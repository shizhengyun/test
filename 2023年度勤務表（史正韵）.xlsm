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130"/>
  <workbookPr codeName="ThisWorkbook"/>
  <mc:AlternateContent xmlns:mc="http://schemas.openxmlformats.org/markup-compatibility/2006">
    <mc:Choice Requires="x15">
      <x15ac:absPath xmlns:x15ac="http://schemas.microsoft.com/office/spreadsheetml/2010/11/ac" url="G:\SHARE\個人保険システムＧ－ＮＴＴＤ管理\ＭＥＬＯＮ\勤務表\ＮＳＴ\ＳＮＳ\"/>
    </mc:Choice>
  </mc:AlternateContent>
  <xr:revisionPtr revIDLastSave="0" documentId="13_ncr:1_{14383A7B-CAF4-4B54-96D8-EDFEA779412E}" xr6:coauthVersionLast="47" xr6:coauthVersionMax="47" xr10:uidLastSave="{00000000-0000-0000-0000-000000000000}"/>
  <bookViews>
    <workbookView xWindow="1512" yWindow="1644" windowWidth="21504" windowHeight="11964" tabRatio="732" activeTab="9" xr2:uid="{00000000-000D-0000-FFFF-FFFF00000000}"/>
  </bookViews>
  <sheets>
    <sheet name="4" sheetId="29" r:id="rId1"/>
    <sheet name="5" sheetId="30" r:id="rId2"/>
    <sheet name="6" sheetId="31" r:id="rId3"/>
    <sheet name="7" sheetId="32" r:id="rId4"/>
    <sheet name="8" sheetId="33" r:id="rId5"/>
    <sheet name="9" sheetId="34" r:id="rId6"/>
    <sheet name="10" sheetId="35" r:id="rId7"/>
    <sheet name="11" sheetId="17" r:id="rId8"/>
    <sheet name="12" sheetId="25" r:id="rId9"/>
    <sheet name="1" sheetId="26" r:id="rId10"/>
    <sheet name="2" sheetId="27" r:id="rId11"/>
    <sheet name="3" sheetId="28" r:id="rId12"/>
    <sheet name="記入例" sheetId="24" r:id="rId13"/>
    <sheet name="readme" sheetId="23"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39" i="30" l="1"/>
  <c r="Q39" i="31"/>
  <c r="Q39" i="32"/>
  <c r="Q39" i="33"/>
  <c r="Q39" i="34"/>
  <c r="Q39" i="35"/>
  <c r="Q39" i="17"/>
  <c r="Q39" i="25"/>
  <c r="Q39" i="26"/>
  <c r="Q39" i="27"/>
  <c r="Q39" i="28"/>
  <c r="Q39" i="29"/>
  <c r="J38" i="35" l="1"/>
  <c r="K38" i="35" s="1"/>
  <c r="J37" i="35"/>
  <c r="K37" i="35" s="1"/>
  <c r="J36" i="35"/>
  <c r="K36" i="35" s="1"/>
  <c r="K35" i="35"/>
  <c r="J35" i="35"/>
  <c r="J34" i="35"/>
  <c r="K34" i="35" s="1"/>
  <c r="K33" i="35"/>
  <c r="J33" i="35"/>
  <c r="J32" i="35"/>
  <c r="K32" i="35" s="1"/>
  <c r="J31" i="35"/>
  <c r="K31" i="35" s="1"/>
  <c r="J30" i="35"/>
  <c r="K30" i="35" s="1"/>
  <c r="J29" i="35"/>
  <c r="K29" i="35" s="1"/>
  <c r="J28" i="35"/>
  <c r="K28" i="35" s="1"/>
  <c r="K27" i="35"/>
  <c r="J27" i="35"/>
  <c r="J26" i="35"/>
  <c r="K26" i="35" s="1"/>
  <c r="K25" i="35"/>
  <c r="J25" i="35"/>
  <c r="J24" i="35"/>
  <c r="K24" i="35" s="1"/>
  <c r="J23" i="35"/>
  <c r="K23" i="35" s="1"/>
  <c r="J22" i="35"/>
  <c r="K22" i="35" s="1"/>
  <c r="J21" i="35"/>
  <c r="K21" i="35" s="1"/>
  <c r="J20" i="35"/>
  <c r="K20" i="35" s="1"/>
  <c r="K19" i="35"/>
  <c r="J19" i="35"/>
  <c r="J18" i="35"/>
  <c r="K18" i="35" s="1"/>
  <c r="J17" i="35"/>
  <c r="K17" i="35" s="1"/>
  <c r="J16" i="35"/>
  <c r="K16" i="35" s="1"/>
  <c r="J15" i="35"/>
  <c r="K15" i="35" s="1"/>
  <c r="J14" i="35"/>
  <c r="K14" i="35" s="1"/>
  <c r="K13" i="35"/>
  <c r="J13" i="35"/>
  <c r="J12" i="35"/>
  <c r="K12" i="35" s="1"/>
  <c r="J11" i="35"/>
  <c r="K11" i="35" s="1"/>
  <c r="J10" i="35"/>
  <c r="K10" i="35" s="1"/>
  <c r="J9" i="35"/>
  <c r="K9" i="35" s="1"/>
  <c r="J8" i="35"/>
  <c r="A8" i="35"/>
  <c r="A9" i="35" s="1"/>
  <c r="J38" i="34"/>
  <c r="K38" i="34" s="1"/>
  <c r="J37" i="34"/>
  <c r="K37" i="34" s="1"/>
  <c r="J36" i="34"/>
  <c r="K36" i="34" s="1"/>
  <c r="K35" i="34"/>
  <c r="J35" i="34"/>
  <c r="J34" i="34"/>
  <c r="K34" i="34" s="1"/>
  <c r="K33" i="34"/>
  <c r="J33" i="34"/>
  <c r="J32" i="34"/>
  <c r="K32" i="34" s="1"/>
  <c r="J31" i="34"/>
  <c r="K31" i="34" s="1"/>
  <c r="J30" i="34"/>
  <c r="K30" i="34" s="1"/>
  <c r="J29" i="34"/>
  <c r="K29" i="34" s="1"/>
  <c r="J28" i="34"/>
  <c r="K28" i="34" s="1"/>
  <c r="K27" i="34"/>
  <c r="J27" i="34"/>
  <c r="J26" i="34"/>
  <c r="K26" i="34" s="1"/>
  <c r="K25" i="34"/>
  <c r="J25" i="34"/>
  <c r="J24" i="34"/>
  <c r="K24" i="34" s="1"/>
  <c r="J23" i="34"/>
  <c r="K23" i="34" s="1"/>
  <c r="J22" i="34"/>
  <c r="K22" i="34" s="1"/>
  <c r="J21" i="34"/>
  <c r="K21" i="34" s="1"/>
  <c r="J20" i="34"/>
  <c r="K20" i="34" s="1"/>
  <c r="K19" i="34"/>
  <c r="J19" i="34"/>
  <c r="J18" i="34"/>
  <c r="K18" i="34" s="1"/>
  <c r="K17" i="34"/>
  <c r="J17" i="34"/>
  <c r="J16" i="34"/>
  <c r="K16" i="34" s="1"/>
  <c r="J15" i="34"/>
  <c r="K15" i="34" s="1"/>
  <c r="J14" i="34"/>
  <c r="K14" i="34" s="1"/>
  <c r="J13" i="34"/>
  <c r="K13" i="34" s="1"/>
  <c r="J12" i="34"/>
  <c r="K12" i="34" s="1"/>
  <c r="K11" i="34"/>
  <c r="J11" i="34"/>
  <c r="J10" i="34"/>
  <c r="K10" i="34" s="1"/>
  <c r="K9" i="34"/>
  <c r="J9" i="34"/>
  <c r="J8" i="34"/>
  <c r="K8" i="34" s="1"/>
  <c r="A8" i="34"/>
  <c r="C8" i="34" s="1"/>
  <c r="J38" i="33"/>
  <c r="K38" i="33" s="1"/>
  <c r="K37" i="33"/>
  <c r="J37" i="33"/>
  <c r="J36" i="33"/>
  <c r="K36" i="33" s="1"/>
  <c r="K35" i="33"/>
  <c r="J35" i="33"/>
  <c r="J34" i="33"/>
  <c r="K34" i="33" s="1"/>
  <c r="J33" i="33"/>
  <c r="K33" i="33" s="1"/>
  <c r="J32" i="33"/>
  <c r="K32" i="33" s="1"/>
  <c r="J31" i="33"/>
  <c r="K31" i="33" s="1"/>
  <c r="J30" i="33"/>
  <c r="K30" i="33" s="1"/>
  <c r="K29" i="33"/>
  <c r="J29" i="33"/>
  <c r="J28" i="33"/>
  <c r="K28" i="33" s="1"/>
  <c r="K27" i="33"/>
  <c r="J27" i="33"/>
  <c r="J26" i="33"/>
  <c r="K26" i="33" s="1"/>
  <c r="J25" i="33"/>
  <c r="K25" i="33" s="1"/>
  <c r="J24" i="33"/>
  <c r="K24" i="33" s="1"/>
  <c r="J23" i="33"/>
  <c r="K23" i="33" s="1"/>
  <c r="J22" i="33"/>
  <c r="K22" i="33" s="1"/>
  <c r="K21" i="33"/>
  <c r="J21" i="33"/>
  <c r="J20" i="33"/>
  <c r="K20" i="33" s="1"/>
  <c r="K19" i="33"/>
  <c r="J19" i="33"/>
  <c r="J18" i="33"/>
  <c r="K18" i="33" s="1"/>
  <c r="J17" i="33"/>
  <c r="K17" i="33" s="1"/>
  <c r="J16" i="33"/>
  <c r="K16" i="33" s="1"/>
  <c r="J15" i="33"/>
  <c r="K15" i="33" s="1"/>
  <c r="J14" i="33"/>
  <c r="K14" i="33" s="1"/>
  <c r="K13" i="33"/>
  <c r="J13" i="33"/>
  <c r="J12" i="33"/>
  <c r="K12" i="33" s="1"/>
  <c r="K11" i="33"/>
  <c r="J11" i="33"/>
  <c r="J10" i="33"/>
  <c r="K10" i="33" s="1"/>
  <c r="J9" i="33"/>
  <c r="K9" i="33" s="1"/>
  <c r="J8" i="33"/>
  <c r="K8" i="33" s="1"/>
  <c r="A8" i="33"/>
  <c r="C8" i="33" s="1"/>
  <c r="J38" i="32"/>
  <c r="K38" i="32" s="1"/>
  <c r="J37" i="32"/>
  <c r="K37" i="32" s="1"/>
  <c r="J36" i="32"/>
  <c r="K36" i="32" s="1"/>
  <c r="J35" i="32"/>
  <c r="K35" i="32" s="1"/>
  <c r="J34" i="32"/>
  <c r="K34" i="32" s="1"/>
  <c r="J33" i="32"/>
  <c r="K33" i="32" s="1"/>
  <c r="K32" i="32"/>
  <c r="J32" i="32"/>
  <c r="J31" i="32"/>
  <c r="K31" i="32" s="1"/>
  <c r="J30" i="32"/>
  <c r="K30" i="32" s="1"/>
  <c r="J29" i="32"/>
  <c r="K29" i="32" s="1"/>
  <c r="J28" i="32"/>
  <c r="K28" i="32" s="1"/>
  <c r="J27" i="32"/>
  <c r="K27" i="32" s="1"/>
  <c r="J26" i="32"/>
  <c r="K26" i="32" s="1"/>
  <c r="J25" i="32"/>
  <c r="K25" i="32" s="1"/>
  <c r="K24" i="32"/>
  <c r="J24" i="32"/>
  <c r="J23" i="32"/>
  <c r="K23" i="32" s="1"/>
  <c r="J22" i="32"/>
  <c r="K22" i="32" s="1"/>
  <c r="J21" i="32"/>
  <c r="K21" i="32" s="1"/>
  <c r="J20" i="32"/>
  <c r="K20" i="32" s="1"/>
  <c r="J19" i="32"/>
  <c r="K19" i="32" s="1"/>
  <c r="J18" i="32"/>
  <c r="K18" i="32" s="1"/>
  <c r="J17" i="32"/>
  <c r="K17" i="32" s="1"/>
  <c r="K16" i="32"/>
  <c r="J16" i="32"/>
  <c r="J15" i="32"/>
  <c r="K15" i="32" s="1"/>
  <c r="J14" i="32"/>
  <c r="K14" i="32" s="1"/>
  <c r="J13" i="32"/>
  <c r="K13" i="32" s="1"/>
  <c r="J12" i="32"/>
  <c r="K12" i="32" s="1"/>
  <c r="J11" i="32"/>
  <c r="K11" i="32" s="1"/>
  <c r="J10" i="32"/>
  <c r="K10" i="32" s="1"/>
  <c r="J9" i="32"/>
  <c r="K9" i="32" s="1"/>
  <c r="K8" i="32"/>
  <c r="J8" i="32"/>
  <c r="A8" i="32"/>
  <c r="C8" i="32" s="1"/>
  <c r="J38" i="31"/>
  <c r="K38" i="31" s="1"/>
  <c r="J37" i="31"/>
  <c r="K37" i="31" s="1"/>
  <c r="J36" i="31"/>
  <c r="K36" i="31" s="1"/>
  <c r="K35" i="31"/>
  <c r="J35" i="31"/>
  <c r="J34" i="31"/>
  <c r="K34" i="31" s="1"/>
  <c r="J33" i="31"/>
  <c r="K33" i="31" s="1"/>
  <c r="J32" i="31"/>
  <c r="K32" i="31" s="1"/>
  <c r="J31" i="31"/>
  <c r="K31" i="31" s="1"/>
  <c r="J30" i="31"/>
  <c r="K30" i="31" s="1"/>
  <c r="J29" i="31"/>
  <c r="K29" i="31" s="1"/>
  <c r="J28" i="31"/>
  <c r="K28" i="31" s="1"/>
  <c r="K27" i="31"/>
  <c r="J27" i="31"/>
  <c r="J26" i="31"/>
  <c r="K26" i="31" s="1"/>
  <c r="J25" i="31"/>
  <c r="K25" i="31" s="1"/>
  <c r="J24" i="31"/>
  <c r="K24" i="31" s="1"/>
  <c r="J23" i="31"/>
  <c r="K23" i="31" s="1"/>
  <c r="J22" i="31"/>
  <c r="K22" i="31" s="1"/>
  <c r="J21" i="31"/>
  <c r="K21" i="31" s="1"/>
  <c r="J20" i="31"/>
  <c r="K20" i="31" s="1"/>
  <c r="K19" i="31"/>
  <c r="J19" i="31"/>
  <c r="J18" i="31"/>
  <c r="K18" i="31" s="1"/>
  <c r="J17" i="31"/>
  <c r="K17" i="31" s="1"/>
  <c r="J16" i="31"/>
  <c r="K16" i="31" s="1"/>
  <c r="J15" i="31"/>
  <c r="K15" i="31" s="1"/>
  <c r="J14" i="31"/>
  <c r="K14" i="31" s="1"/>
  <c r="J13" i="31"/>
  <c r="K13" i="31" s="1"/>
  <c r="J12" i="31"/>
  <c r="K12" i="31" s="1"/>
  <c r="K11" i="31"/>
  <c r="J11" i="31"/>
  <c r="J10" i="31"/>
  <c r="K10" i="31" s="1"/>
  <c r="J9" i="31"/>
  <c r="J39" i="31" s="1"/>
  <c r="J8" i="31"/>
  <c r="K8" i="31" s="1"/>
  <c r="A8" i="31"/>
  <c r="C8" i="31" s="1"/>
  <c r="K38" i="30"/>
  <c r="J38" i="30"/>
  <c r="J37" i="30"/>
  <c r="K37" i="30" s="1"/>
  <c r="J36" i="30"/>
  <c r="K36" i="30" s="1"/>
  <c r="J35" i="30"/>
  <c r="K35" i="30" s="1"/>
  <c r="J34" i="30"/>
  <c r="K34" i="30" s="1"/>
  <c r="J33" i="30"/>
  <c r="K33" i="30" s="1"/>
  <c r="J32" i="30"/>
  <c r="K32" i="30" s="1"/>
  <c r="J31" i="30"/>
  <c r="K31" i="30" s="1"/>
  <c r="K30" i="30"/>
  <c r="J30" i="30"/>
  <c r="J29" i="30"/>
  <c r="K29" i="30" s="1"/>
  <c r="J28" i="30"/>
  <c r="K28" i="30" s="1"/>
  <c r="J27" i="30"/>
  <c r="K27" i="30" s="1"/>
  <c r="J26" i="30"/>
  <c r="K26" i="30" s="1"/>
  <c r="J25" i="30"/>
  <c r="K25" i="30" s="1"/>
  <c r="J24" i="30"/>
  <c r="K24" i="30" s="1"/>
  <c r="J23" i="30"/>
  <c r="K23" i="30" s="1"/>
  <c r="K22" i="30"/>
  <c r="J22" i="30"/>
  <c r="J21" i="30"/>
  <c r="K21" i="30" s="1"/>
  <c r="J20" i="30"/>
  <c r="K20" i="30" s="1"/>
  <c r="J19" i="30"/>
  <c r="K19" i="30" s="1"/>
  <c r="J18" i="30"/>
  <c r="K18" i="30" s="1"/>
  <c r="J17" i="30"/>
  <c r="K17" i="30" s="1"/>
  <c r="K16" i="30"/>
  <c r="J16" i="30"/>
  <c r="J15" i="30"/>
  <c r="K15" i="30" s="1"/>
  <c r="K14" i="30"/>
  <c r="J14" i="30"/>
  <c r="J13" i="30"/>
  <c r="K13" i="30" s="1"/>
  <c r="J12" i="30"/>
  <c r="K12" i="30" s="1"/>
  <c r="J11" i="30"/>
  <c r="K11" i="30" s="1"/>
  <c r="K10" i="30"/>
  <c r="J10" i="30"/>
  <c r="J9" i="30"/>
  <c r="K9" i="30" s="1"/>
  <c r="K8" i="30"/>
  <c r="J8" i="30"/>
  <c r="A8" i="30"/>
  <c r="J38" i="29"/>
  <c r="K38" i="29" s="1"/>
  <c r="K37" i="29"/>
  <c r="J37" i="29"/>
  <c r="J36" i="29"/>
  <c r="K36" i="29" s="1"/>
  <c r="K35" i="29"/>
  <c r="J35" i="29"/>
  <c r="J34" i="29"/>
  <c r="K34" i="29" s="1"/>
  <c r="J33" i="29"/>
  <c r="K33" i="29" s="1"/>
  <c r="J32" i="29"/>
  <c r="K32" i="29" s="1"/>
  <c r="J31" i="29"/>
  <c r="K31" i="29" s="1"/>
  <c r="J30" i="29"/>
  <c r="K30" i="29" s="1"/>
  <c r="K29" i="29"/>
  <c r="J29" i="29"/>
  <c r="J28" i="29"/>
  <c r="K28" i="29" s="1"/>
  <c r="K27" i="29"/>
  <c r="J27" i="29"/>
  <c r="J26" i="29"/>
  <c r="K26" i="29" s="1"/>
  <c r="J25" i="29"/>
  <c r="K25" i="29" s="1"/>
  <c r="J24" i="29"/>
  <c r="K24" i="29" s="1"/>
  <c r="K23" i="29"/>
  <c r="J23" i="29"/>
  <c r="J22" i="29"/>
  <c r="K22" i="29" s="1"/>
  <c r="K21" i="29"/>
  <c r="J21" i="29"/>
  <c r="J20" i="29"/>
  <c r="K20" i="29" s="1"/>
  <c r="K19" i="29"/>
  <c r="J19" i="29"/>
  <c r="J18" i="29"/>
  <c r="K18" i="29" s="1"/>
  <c r="J17" i="29"/>
  <c r="K17" i="29" s="1"/>
  <c r="J16" i="29"/>
  <c r="K16" i="29" s="1"/>
  <c r="J15" i="29"/>
  <c r="K15" i="29" s="1"/>
  <c r="J14" i="29"/>
  <c r="K14" i="29" s="1"/>
  <c r="K13" i="29"/>
  <c r="J13" i="29"/>
  <c r="J12" i="29"/>
  <c r="K12" i="29" s="1"/>
  <c r="K11" i="29"/>
  <c r="J11" i="29"/>
  <c r="J10" i="29"/>
  <c r="K10" i="29" s="1"/>
  <c r="J9" i="29"/>
  <c r="K9" i="29" s="1"/>
  <c r="J8" i="29"/>
  <c r="A8" i="29"/>
  <c r="C8" i="29" s="1"/>
  <c r="J38" i="28"/>
  <c r="K38" i="28" s="1"/>
  <c r="J37" i="28"/>
  <c r="K37" i="28" s="1"/>
  <c r="K36" i="28"/>
  <c r="J36" i="28"/>
  <c r="J35" i="28"/>
  <c r="K35" i="28" s="1"/>
  <c r="K34" i="28"/>
  <c r="J34" i="28"/>
  <c r="J33" i="28"/>
  <c r="K33" i="28" s="1"/>
  <c r="K32" i="28"/>
  <c r="J32" i="28"/>
  <c r="J31" i="28"/>
  <c r="K31" i="28" s="1"/>
  <c r="J30" i="28"/>
  <c r="K30" i="28" s="1"/>
  <c r="J29" i="28"/>
  <c r="K29" i="28" s="1"/>
  <c r="J28" i="28"/>
  <c r="K28" i="28" s="1"/>
  <c r="J27" i="28"/>
  <c r="K27" i="28" s="1"/>
  <c r="K26" i="28"/>
  <c r="J26" i="28"/>
  <c r="J25" i="28"/>
  <c r="K25" i="28" s="1"/>
  <c r="K24" i="28"/>
  <c r="J24" i="28"/>
  <c r="J23" i="28"/>
  <c r="K23" i="28" s="1"/>
  <c r="J22" i="28"/>
  <c r="K22" i="28" s="1"/>
  <c r="J21" i="28"/>
  <c r="K21" i="28" s="1"/>
  <c r="J20" i="28"/>
  <c r="K20" i="28" s="1"/>
  <c r="J19" i="28"/>
  <c r="K19" i="28" s="1"/>
  <c r="K18" i="28"/>
  <c r="J18" i="28"/>
  <c r="J17" i="28"/>
  <c r="K17" i="28" s="1"/>
  <c r="K16" i="28"/>
  <c r="J16" i="28"/>
  <c r="J15" i="28"/>
  <c r="K15" i="28" s="1"/>
  <c r="J14" i="28"/>
  <c r="K14" i="28" s="1"/>
  <c r="J13" i="28"/>
  <c r="K13" i="28" s="1"/>
  <c r="J12" i="28"/>
  <c r="K12" i="28" s="1"/>
  <c r="J11" i="28"/>
  <c r="K11" i="28" s="1"/>
  <c r="K10" i="28"/>
  <c r="J10" i="28"/>
  <c r="J9" i="28"/>
  <c r="K9" i="28" s="1"/>
  <c r="K8" i="28"/>
  <c r="J8" i="28"/>
  <c r="A8" i="28"/>
  <c r="A9" i="28" s="1"/>
  <c r="J38" i="27"/>
  <c r="K38" i="27" s="1"/>
  <c r="K37" i="27"/>
  <c r="J37" i="27"/>
  <c r="J36" i="27"/>
  <c r="K36" i="27" s="1"/>
  <c r="J35" i="27"/>
  <c r="K35" i="27" s="1"/>
  <c r="J34" i="27"/>
  <c r="K34" i="27" s="1"/>
  <c r="J33" i="27"/>
  <c r="K33" i="27" s="1"/>
  <c r="J32" i="27"/>
  <c r="K32" i="27" s="1"/>
  <c r="J31" i="27"/>
  <c r="K31" i="27" s="1"/>
  <c r="J30" i="27"/>
  <c r="K30" i="27" s="1"/>
  <c r="J29" i="27"/>
  <c r="K29" i="27" s="1"/>
  <c r="J28" i="27"/>
  <c r="K28" i="27" s="1"/>
  <c r="J27" i="27"/>
  <c r="K27" i="27" s="1"/>
  <c r="J26" i="27"/>
  <c r="K26" i="27" s="1"/>
  <c r="J25" i="27"/>
  <c r="K25" i="27" s="1"/>
  <c r="J24" i="27"/>
  <c r="K24" i="27" s="1"/>
  <c r="J23" i="27"/>
  <c r="K23" i="27" s="1"/>
  <c r="J22" i="27"/>
  <c r="K22" i="27" s="1"/>
  <c r="J21" i="27"/>
  <c r="K21" i="27" s="1"/>
  <c r="J20" i="27"/>
  <c r="K20" i="27" s="1"/>
  <c r="J19" i="27"/>
  <c r="K19" i="27" s="1"/>
  <c r="J18" i="27"/>
  <c r="K18" i="27" s="1"/>
  <c r="J17" i="27"/>
  <c r="K17" i="27" s="1"/>
  <c r="J16" i="27"/>
  <c r="K16" i="27" s="1"/>
  <c r="J15" i="27"/>
  <c r="K15" i="27" s="1"/>
  <c r="J14" i="27"/>
  <c r="K14" i="27" s="1"/>
  <c r="J13" i="27"/>
  <c r="K13" i="27" s="1"/>
  <c r="J12" i="27"/>
  <c r="K12" i="27" s="1"/>
  <c r="J11" i="27"/>
  <c r="K11" i="27" s="1"/>
  <c r="J10" i="27"/>
  <c r="K10" i="27" s="1"/>
  <c r="J9" i="27"/>
  <c r="K9" i="27" s="1"/>
  <c r="J8" i="27"/>
  <c r="A8" i="27"/>
  <c r="A9" i="27" s="1"/>
  <c r="J38" i="26"/>
  <c r="K38" i="26" s="1"/>
  <c r="J37" i="26"/>
  <c r="K37" i="26" s="1"/>
  <c r="J36" i="26"/>
  <c r="K36" i="26" s="1"/>
  <c r="K35" i="26"/>
  <c r="J35" i="26"/>
  <c r="J34" i="26"/>
  <c r="K34" i="26" s="1"/>
  <c r="J33" i="26"/>
  <c r="K33" i="26" s="1"/>
  <c r="J32" i="26"/>
  <c r="K32" i="26" s="1"/>
  <c r="J31" i="26"/>
  <c r="K31" i="26" s="1"/>
  <c r="J30" i="26"/>
  <c r="K30" i="26" s="1"/>
  <c r="J29" i="26"/>
  <c r="K29" i="26" s="1"/>
  <c r="J28" i="26"/>
  <c r="K28" i="26" s="1"/>
  <c r="J27" i="26"/>
  <c r="K27" i="26" s="1"/>
  <c r="J26" i="26"/>
  <c r="K26" i="26" s="1"/>
  <c r="J25" i="26"/>
  <c r="K25" i="26" s="1"/>
  <c r="J24" i="26"/>
  <c r="K24" i="26" s="1"/>
  <c r="J23" i="26"/>
  <c r="K23" i="26" s="1"/>
  <c r="J22" i="26"/>
  <c r="K22" i="26" s="1"/>
  <c r="J21" i="26"/>
  <c r="K21" i="26" s="1"/>
  <c r="J20" i="26"/>
  <c r="K20" i="26" s="1"/>
  <c r="J19" i="26"/>
  <c r="K19" i="26" s="1"/>
  <c r="J18" i="26"/>
  <c r="K18" i="26" s="1"/>
  <c r="J17" i="26"/>
  <c r="K17" i="26" s="1"/>
  <c r="J16" i="26"/>
  <c r="K16" i="26" s="1"/>
  <c r="J15" i="26"/>
  <c r="K15" i="26" s="1"/>
  <c r="K14" i="26"/>
  <c r="J14" i="26"/>
  <c r="J13" i="26"/>
  <c r="K13" i="26" s="1"/>
  <c r="J12" i="26"/>
  <c r="K12" i="26" s="1"/>
  <c r="J11" i="26"/>
  <c r="K11" i="26" s="1"/>
  <c r="J10" i="26"/>
  <c r="K10" i="26" s="1"/>
  <c r="J9" i="26"/>
  <c r="K9" i="26" s="1"/>
  <c r="K8" i="26"/>
  <c r="J8" i="26"/>
  <c r="A8" i="26"/>
  <c r="A9" i="26" s="1"/>
  <c r="J38" i="25"/>
  <c r="K38" i="25" s="1"/>
  <c r="K37" i="25"/>
  <c r="J37" i="25"/>
  <c r="J36" i="25"/>
  <c r="K36" i="25" s="1"/>
  <c r="J35" i="25"/>
  <c r="K35" i="25" s="1"/>
  <c r="J34" i="25"/>
  <c r="K34" i="25" s="1"/>
  <c r="J33" i="25"/>
  <c r="K33" i="25" s="1"/>
  <c r="J32" i="25"/>
  <c r="K32" i="25" s="1"/>
  <c r="J31" i="25"/>
  <c r="K31" i="25" s="1"/>
  <c r="J30" i="25"/>
  <c r="K30" i="25" s="1"/>
  <c r="J29" i="25"/>
  <c r="K29" i="25" s="1"/>
  <c r="J28" i="25"/>
  <c r="K28" i="25" s="1"/>
  <c r="J27" i="25"/>
  <c r="K27" i="25" s="1"/>
  <c r="J26" i="25"/>
  <c r="K26" i="25" s="1"/>
  <c r="J25" i="25"/>
  <c r="K25" i="25" s="1"/>
  <c r="J24" i="25"/>
  <c r="K24" i="25" s="1"/>
  <c r="J23" i="25"/>
  <c r="K23" i="25" s="1"/>
  <c r="J22" i="25"/>
  <c r="K22" i="25" s="1"/>
  <c r="J21" i="25"/>
  <c r="K21" i="25" s="1"/>
  <c r="J20" i="25"/>
  <c r="K20" i="25" s="1"/>
  <c r="J19" i="25"/>
  <c r="K19" i="25" s="1"/>
  <c r="J18" i="25"/>
  <c r="K18" i="25" s="1"/>
  <c r="J17" i="25"/>
  <c r="K17" i="25" s="1"/>
  <c r="J16" i="25"/>
  <c r="K16" i="25" s="1"/>
  <c r="K15" i="25"/>
  <c r="J15" i="25"/>
  <c r="J14" i="25"/>
  <c r="K14" i="25" s="1"/>
  <c r="J13" i="25"/>
  <c r="K13" i="25" s="1"/>
  <c r="J12" i="25"/>
  <c r="K12" i="25" s="1"/>
  <c r="J11" i="25"/>
  <c r="K11" i="25" s="1"/>
  <c r="J10" i="25"/>
  <c r="K10" i="25" s="1"/>
  <c r="J9" i="25"/>
  <c r="K9" i="25" s="1"/>
  <c r="J8" i="25"/>
  <c r="J39" i="25" s="1"/>
  <c r="A8" i="25"/>
  <c r="A9" i="25" s="1"/>
  <c r="A8" i="17"/>
  <c r="K38" i="24"/>
  <c r="J38" i="24"/>
  <c r="J37" i="24"/>
  <c r="K37" i="24" s="1"/>
  <c r="J36" i="24"/>
  <c r="K36" i="24" s="1"/>
  <c r="J35" i="24"/>
  <c r="K35" i="24" s="1"/>
  <c r="K34" i="24"/>
  <c r="J34" i="24"/>
  <c r="J33" i="24"/>
  <c r="K33" i="24" s="1"/>
  <c r="J32" i="24"/>
  <c r="K32" i="24" s="1"/>
  <c r="J31" i="24"/>
  <c r="K31" i="24" s="1"/>
  <c r="J30" i="24"/>
  <c r="K30" i="24" s="1"/>
  <c r="J29" i="24"/>
  <c r="K29" i="24" s="1"/>
  <c r="K28" i="24"/>
  <c r="J28" i="24"/>
  <c r="J27" i="24"/>
  <c r="K27" i="24" s="1"/>
  <c r="K26" i="24"/>
  <c r="J26" i="24"/>
  <c r="J25" i="24"/>
  <c r="K25" i="24" s="1"/>
  <c r="J24" i="24"/>
  <c r="K24" i="24" s="1"/>
  <c r="J23" i="24"/>
  <c r="K23" i="24" s="1"/>
  <c r="J22" i="24"/>
  <c r="K22" i="24" s="1"/>
  <c r="J21" i="24"/>
  <c r="K21" i="24" s="1"/>
  <c r="K20" i="24"/>
  <c r="J20" i="24"/>
  <c r="J19" i="24"/>
  <c r="K19" i="24" s="1"/>
  <c r="K18" i="24"/>
  <c r="J18" i="24"/>
  <c r="J17" i="24"/>
  <c r="K17" i="24" s="1"/>
  <c r="J16" i="24"/>
  <c r="K16" i="24" s="1"/>
  <c r="J15" i="24"/>
  <c r="K15" i="24" s="1"/>
  <c r="J14" i="24"/>
  <c r="K14" i="24" s="1"/>
  <c r="J13" i="24"/>
  <c r="K13" i="24" s="1"/>
  <c r="K12" i="24"/>
  <c r="J12" i="24"/>
  <c r="J11" i="24"/>
  <c r="K11" i="24" s="1"/>
  <c r="K10" i="24"/>
  <c r="J10" i="24"/>
  <c r="J9" i="24"/>
  <c r="K9" i="24" s="1"/>
  <c r="J8" i="24"/>
  <c r="K8" i="24" s="1"/>
  <c r="A8" i="24"/>
  <c r="A9" i="24" s="1"/>
  <c r="K39" i="30" l="1"/>
  <c r="K39" i="32"/>
  <c r="K9" i="31"/>
  <c r="J39" i="35"/>
  <c r="J39" i="26"/>
  <c r="J39" i="27"/>
  <c r="J39" i="30"/>
  <c r="K39" i="34"/>
  <c r="K39" i="28"/>
  <c r="K39" i="26"/>
  <c r="J39" i="28"/>
  <c r="J39" i="29"/>
  <c r="K39" i="31"/>
  <c r="K39" i="33"/>
  <c r="B8" i="31"/>
  <c r="A9" i="31"/>
  <c r="B9" i="31" s="1"/>
  <c r="B8" i="33"/>
  <c r="A9" i="33"/>
  <c r="C9" i="33" s="1"/>
  <c r="B8" i="29"/>
  <c r="A9" i="29"/>
  <c r="A10" i="29" s="1"/>
  <c r="A11" i="29" s="1"/>
  <c r="C9" i="35"/>
  <c r="A10" i="35"/>
  <c r="B9" i="35"/>
  <c r="B8" i="34"/>
  <c r="A9" i="34"/>
  <c r="J39" i="34"/>
  <c r="C8" i="35"/>
  <c r="K8" i="35"/>
  <c r="K39" i="35" s="1"/>
  <c r="B8" i="35"/>
  <c r="A9" i="30"/>
  <c r="B8" i="30"/>
  <c r="A9" i="32"/>
  <c r="B8" i="32"/>
  <c r="K8" i="29"/>
  <c r="C8" i="30"/>
  <c r="J39" i="32"/>
  <c r="J39" i="33"/>
  <c r="C9" i="28"/>
  <c r="A10" i="28"/>
  <c r="B9" i="28"/>
  <c r="C8" i="28"/>
  <c r="B8" i="28"/>
  <c r="C9" i="27"/>
  <c r="A10" i="27"/>
  <c r="B9" i="27"/>
  <c r="C8" i="27"/>
  <c r="K8" i="27"/>
  <c r="K39" i="27" s="1"/>
  <c r="B8" i="27"/>
  <c r="C9" i="26"/>
  <c r="A10" i="26"/>
  <c r="B9" i="26"/>
  <c r="C8" i="26"/>
  <c r="B8" i="26"/>
  <c r="C9" i="25"/>
  <c r="A10" i="25"/>
  <c r="B9" i="25"/>
  <c r="C8" i="25"/>
  <c r="K8" i="25"/>
  <c r="K39" i="25" s="1"/>
  <c r="B8" i="25"/>
  <c r="J39" i="24"/>
  <c r="K39" i="24" s="1"/>
  <c r="C9" i="24"/>
  <c r="A10" i="24"/>
  <c r="B9" i="24"/>
  <c r="C8" i="24"/>
  <c r="B8" i="24"/>
  <c r="K39" i="29" l="1"/>
  <c r="C10" i="29"/>
  <c r="A10" i="33"/>
  <c r="C10" i="33" s="1"/>
  <c r="C9" i="31"/>
  <c r="A10" i="31"/>
  <c r="A11" i="31" s="1"/>
  <c r="B9" i="29"/>
  <c r="B9" i="33"/>
  <c r="B10" i="29"/>
  <c r="C9" i="29"/>
  <c r="A10" i="34"/>
  <c r="B9" i="34"/>
  <c r="C9" i="34"/>
  <c r="A11" i="35"/>
  <c r="B10" i="35"/>
  <c r="C10" i="35"/>
  <c r="C9" i="32"/>
  <c r="A10" i="32"/>
  <c r="B9" i="32"/>
  <c r="C9" i="30"/>
  <c r="A10" i="30"/>
  <c r="B9" i="30"/>
  <c r="A12" i="29"/>
  <c r="B11" i="29"/>
  <c r="C11" i="29"/>
  <c r="A11" i="28"/>
  <c r="B10" i="28"/>
  <c r="C10" i="28"/>
  <c r="A11" i="27"/>
  <c r="B10" i="27"/>
  <c r="C10" i="27"/>
  <c r="A11" i="26"/>
  <c r="B10" i="26"/>
  <c r="C10" i="26"/>
  <c r="A11" i="25"/>
  <c r="B10" i="25"/>
  <c r="C10" i="25"/>
  <c r="A11" i="24"/>
  <c r="B10" i="24"/>
  <c r="C10" i="24"/>
  <c r="A11" i="33" l="1"/>
  <c r="C10" i="31"/>
  <c r="B10" i="31"/>
  <c r="B10" i="33"/>
  <c r="C11" i="35"/>
  <c r="A12" i="35"/>
  <c r="B11" i="35"/>
  <c r="C10" i="34"/>
  <c r="A11" i="34"/>
  <c r="B10" i="34"/>
  <c r="A12" i="33"/>
  <c r="B11" i="33"/>
  <c r="C11" i="33"/>
  <c r="C12" i="29"/>
  <c r="A13" i="29"/>
  <c r="B12" i="29"/>
  <c r="A12" i="31"/>
  <c r="B11" i="31"/>
  <c r="C11" i="31"/>
  <c r="A11" i="30"/>
  <c r="B10" i="30"/>
  <c r="C10" i="30"/>
  <c r="A11" i="32"/>
  <c r="B10" i="32"/>
  <c r="C10" i="32"/>
  <c r="C11" i="28"/>
  <c r="A12" i="28"/>
  <c r="B11" i="28"/>
  <c r="C11" i="27"/>
  <c r="A12" i="27"/>
  <c r="B11" i="27"/>
  <c r="C11" i="26"/>
  <c r="A12" i="26"/>
  <c r="B11" i="26"/>
  <c r="C11" i="25"/>
  <c r="A12" i="25"/>
  <c r="B11" i="25"/>
  <c r="C11" i="24"/>
  <c r="A12" i="24"/>
  <c r="B11" i="24"/>
  <c r="A12" i="34" l="1"/>
  <c r="B11" i="34"/>
  <c r="C11" i="34"/>
  <c r="A13" i="35"/>
  <c r="B12" i="35"/>
  <c r="C12" i="35"/>
  <c r="C11" i="32"/>
  <c r="A12" i="32"/>
  <c r="B11" i="32"/>
  <c r="C12" i="31"/>
  <c r="A13" i="31"/>
  <c r="B12" i="31"/>
  <c r="A14" i="29"/>
  <c r="B13" i="29"/>
  <c r="C13" i="29"/>
  <c r="C12" i="33"/>
  <c r="A13" i="33"/>
  <c r="B12" i="33"/>
  <c r="C11" i="30"/>
  <c r="A12" i="30"/>
  <c r="B11" i="30"/>
  <c r="A13" i="28"/>
  <c r="B12" i="28"/>
  <c r="C12" i="28"/>
  <c r="A13" i="27"/>
  <c r="B12" i="27"/>
  <c r="C12" i="27"/>
  <c r="A13" i="26"/>
  <c r="B12" i="26"/>
  <c r="C12" i="26"/>
  <c r="A13" i="25"/>
  <c r="B12" i="25"/>
  <c r="C12" i="25"/>
  <c r="A13" i="24"/>
  <c r="B12" i="24"/>
  <c r="C12" i="24"/>
  <c r="C12" i="34" l="1"/>
  <c r="A13" i="34"/>
  <c r="B12" i="34"/>
  <c r="C13" i="35"/>
  <c r="A14" i="35"/>
  <c r="B13" i="35"/>
  <c r="A13" i="30"/>
  <c r="B12" i="30"/>
  <c r="C12" i="30"/>
  <c r="A13" i="32"/>
  <c r="B12" i="32"/>
  <c r="C12" i="32"/>
  <c r="A14" i="33"/>
  <c r="B13" i="33"/>
  <c r="C13" i="33"/>
  <c r="C14" i="29"/>
  <c r="A15" i="29"/>
  <c r="B14" i="29"/>
  <c r="A14" i="31"/>
  <c r="B13" i="31"/>
  <c r="C13" i="31"/>
  <c r="C13" i="28"/>
  <c r="A14" i="28"/>
  <c r="B13" i="28"/>
  <c r="C13" i="27"/>
  <c r="A14" i="27"/>
  <c r="B13" i="27"/>
  <c r="C13" i="26"/>
  <c r="A14" i="26"/>
  <c r="B13" i="26"/>
  <c r="C13" i="25"/>
  <c r="A14" i="25"/>
  <c r="B13" i="25"/>
  <c r="C13" i="24"/>
  <c r="A14" i="24"/>
  <c r="B13" i="24"/>
  <c r="A15" i="35" l="1"/>
  <c r="B14" i="35"/>
  <c r="C14" i="35"/>
  <c r="A14" i="34"/>
  <c r="B13" i="34"/>
  <c r="C13" i="34"/>
  <c r="C13" i="32"/>
  <c r="A14" i="32"/>
  <c r="B13" i="32"/>
  <c r="C14" i="31"/>
  <c r="A15" i="31"/>
  <c r="B14" i="31"/>
  <c r="A16" i="29"/>
  <c r="B15" i="29"/>
  <c r="C15" i="29"/>
  <c r="C14" i="33"/>
  <c r="A15" i="33"/>
  <c r="B14" i="33"/>
  <c r="C13" i="30"/>
  <c r="A14" i="30"/>
  <c r="B13" i="30"/>
  <c r="A15" i="28"/>
  <c r="B14" i="28"/>
  <c r="C14" i="28"/>
  <c r="A15" i="27"/>
  <c r="B14" i="27"/>
  <c r="C14" i="27"/>
  <c r="A15" i="26"/>
  <c r="B14" i="26"/>
  <c r="C14" i="26"/>
  <c r="A15" i="25"/>
  <c r="B14" i="25"/>
  <c r="C14" i="25"/>
  <c r="A15" i="24"/>
  <c r="B14" i="24"/>
  <c r="C14" i="24"/>
  <c r="C15" i="35" l="1"/>
  <c r="A16" i="35"/>
  <c r="B15" i="35"/>
  <c r="C14" i="34"/>
  <c r="A15" i="34"/>
  <c r="B14" i="34"/>
  <c r="A15" i="30"/>
  <c r="B14" i="30"/>
  <c r="C14" i="30"/>
  <c r="A15" i="32"/>
  <c r="B14" i="32"/>
  <c r="C14" i="32"/>
  <c r="A16" i="33"/>
  <c r="B15" i="33"/>
  <c r="C15" i="33"/>
  <c r="C16" i="29"/>
  <c r="A17" i="29"/>
  <c r="B16" i="29"/>
  <c r="A16" i="31"/>
  <c r="B15" i="31"/>
  <c r="C15" i="31"/>
  <c r="C15" i="28"/>
  <c r="A16" i="28"/>
  <c r="B15" i="28"/>
  <c r="C15" i="27"/>
  <c r="A16" i="27"/>
  <c r="B15" i="27"/>
  <c r="C15" i="26"/>
  <c r="A16" i="26"/>
  <c r="B15" i="26"/>
  <c r="C15" i="25"/>
  <c r="A16" i="25"/>
  <c r="B15" i="25"/>
  <c r="C15" i="24"/>
  <c r="A16" i="24"/>
  <c r="B15" i="24"/>
  <c r="A16" i="34" l="1"/>
  <c r="B15" i="34"/>
  <c r="C15" i="34"/>
  <c r="A17" i="35"/>
  <c r="B16" i="35"/>
  <c r="C16" i="35"/>
  <c r="C15" i="32"/>
  <c r="A16" i="32"/>
  <c r="B15" i="32"/>
  <c r="C16" i="31"/>
  <c r="A17" i="31"/>
  <c r="B16" i="31"/>
  <c r="A18" i="29"/>
  <c r="B17" i="29"/>
  <c r="C17" i="29"/>
  <c r="C16" i="33"/>
  <c r="A17" i="33"/>
  <c r="B16" i="33"/>
  <c r="C15" i="30"/>
  <c r="A16" i="30"/>
  <c r="B15" i="30"/>
  <c r="A17" i="28"/>
  <c r="B16" i="28"/>
  <c r="C16" i="28"/>
  <c r="A17" i="27"/>
  <c r="B16" i="27"/>
  <c r="C16" i="27"/>
  <c r="A17" i="26"/>
  <c r="B16" i="26"/>
  <c r="C16" i="26"/>
  <c r="A17" i="25"/>
  <c r="B16" i="25"/>
  <c r="C16" i="25"/>
  <c r="A17" i="24"/>
  <c r="B16" i="24"/>
  <c r="C16" i="24"/>
  <c r="C16" i="34" l="1"/>
  <c r="A17" i="34"/>
  <c r="B16" i="34"/>
  <c r="C17" i="35"/>
  <c r="A18" i="35"/>
  <c r="B17" i="35"/>
  <c r="A18" i="33"/>
  <c r="B17" i="33"/>
  <c r="C17" i="33"/>
  <c r="C18" i="29"/>
  <c r="A19" i="29"/>
  <c r="B18" i="29"/>
  <c r="A18" i="31"/>
  <c r="B17" i="31"/>
  <c r="C17" i="31"/>
  <c r="A17" i="30"/>
  <c r="B16" i="30"/>
  <c r="C16" i="30"/>
  <c r="A17" i="32"/>
  <c r="B16" i="32"/>
  <c r="C16" i="32"/>
  <c r="C17" i="28"/>
  <c r="A18" i="28"/>
  <c r="B17" i="28"/>
  <c r="C17" i="27"/>
  <c r="A18" i="27"/>
  <c r="B17" i="27"/>
  <c r="C17" i="26"/>
  <c r="A18" i="26"/>
  <c r="B17" i="26"/>
  <c r="C17" i="25"/>
  <c r="A18" i="25"/>
  <c r="B17" i="25"/>
  <c r="C17" i="24"/>
  <c r="A18" i="24"/>
  <c r="B17" i="24"/>
  <c r="A19" i="35" l="1"/>
  <c r="B18" i="35"/>
  <c r="C18" i="35"/>
  <c r="A18" i="34"/>
  <c r="B17" i="34"/>
  <c r="C17" i="34"/>
  <c r="C17" i="32"/>
  <c r="A18" i="32"/>
  <c r="B17" i="32"/>
  <c r="C18" i="31"/>
  <c r="A19" i="31"/>
  <c r="B18" i="31"/>
  <c r="A20" i="29"/>
  <c r="B19" i="29"/>
  <c r="C19" i="29"/>
  <c r="C18" i="33"/>
  <c r="A19" i="33"/>
  <c r="B18" i="33"/>
  <c r="C17" i="30"/>
  <c r="A18" i="30"/>
  <c r="B17" i="30"/>
  <c r="A19" i="28"/>
  <c r="B18" i="28"/>
  <c r="C18" i="28"/>
  <c r="A19" i="27"/>
  <c r="B18" i="27"/>
  <c r="C18" i="27"/>
  <c r="A19" i="26"/>
  <c r="B18" i="26"/>
  <c r="C18" i="26"/>
  <c r="A19" i="25"/>
  <c r="B18" i="25"/>
  <c r="C18" i="25"/>
  <c r="A19" i="24"/>
  <c r="B18" i="24"/>
  <c r="C18" i="24"/>
  <c r="C19" i="35" l="1"/>
  <c r="A20" i="35"/>
  <c r="B19" i="35"/>
  <c r="C18" i="34"/>
  <c r="A19" i="34"/>
  <c r="B18" i="34"/>
  <c r="A20" i="33"/>
  <c r="B19" i="33"/>
  <c r="C19" i="33"/>
  <c r="C20" i="29"/>
  <c r="A21" i="29"/>
  <c r="B20" i="29"/>
  <c r="A20" i="31"/>
  <c r="B19" i="31"/>
  <c r="C19" i="31"/>
  <c r="A19" i="30"/>
  <c r="B18" i="30"/>
  <c r="C18" i="30"/>
  <c r="A19" i="32"/>
  <c r="B18" i="32"/>
  <c r="C18" i="32"/>
  <c r="C19" i="28"/>
  <c r="A20" i="28"/>
  <c r="B19" i="28"/>
  <c r="C19" i="27"/>
  <c r="A20" i="27"/>
  <c r="B19" i="27"/>
  <c r="C19" i="26"/>
  <c r="A20" i="26"/>
  <c r="B19" i="26"/>
  <c r="C19" i="25"/>
  <c r="A20" i="25"/>
  <c r="B19" i="25"/>
  <c r="C19" i="24"/>
  <c r="A20" i="24"/>
  <c r="B19" i="24"/>
  <c r="A20" i="34" l="1"/>
  <c r="B19" i="34"/>
  <c r="C19" i="34"/>
  <c r="A21" i="35"/>
  <c r="B20" i="35"/>
  <c r="C20" i="35"/>
  <c r="C19" i="30"/>
  <c r="A20" i="30"/>
  <c r="B19" i="30"/>
  <c r="C19" i="32"/>
  <c r="A20" i="32"/>
  <c r="B19" i="32"/>
  <c r="C20" i="31"/>
  <c r="A21" i="31"/>
  <c r="B20" i="31"/>
  <c r="A22" i="29"/>
  <c r="B21" i="29"/>
  <c r="C21" i="29"/>
  <c r="C20" i="33"/>
  <c r="A21" i="33"/>
  <c r="B20" i="33"/>
  <c r="A21" i="28"/>
  <c r="B20" i="28"/>
  <c r="C20" i="28"/>
  <c r="A21" i="27"/>
  <c r="B20" i="27"/>
  <c r="C20" i="27"/>
  <c r="A21" i="26"/>
  <c r="B20" i="26"/>
  <c r="C20" i="26"/>
  <c r="A21" i="25"/>
  <c r="B20" i="25"/>
  <c r="C20" i="25"/>
  <c r="A21" i="24"/>
  <c r="B20" i="24"/>
  <c r="C20" i="24"/>
  <c r="C20" i="34" l="1"/>
  <c r="A21" i="34"/>
  <c r="B20" i="34"/>
  <c r="C21" i="35"/>
  <c r="A22" i="35"/>
  <c r="B21" i="35"/>
  <c r="A22" i="33"/>
  <c r="B21" i="33"/>
  <c r="C21" i="33"/>
  <c r="C22" i="29"/>
  <c r="A23" i="29"/>
  <c r="B22" i="29"/>
  <c r="A22" i="31"/>
  <c r="B21" i="31"/>
  <c r="C21" i="31"/>
  <c r="A21" i="30"/>
  <c r="B20" i="30"/>
  <c r="C20" i="30"/>
  <c r="A21" i="32"/>
  <c r="B20" i="32"/>
  <c r="C20" i="32"/>
  <c r="C21" i="28"/>
  <c r="A22" i="28"/>
  <c r="B21" i="28"/>
  <c r="C21" i="27"/>
  <c r="A22" i="27"/>
  <c r="B21" i="27"/>
  <c r="C21" i="26"/>
  <c r="A22" i="26"/>
  <c r="B21" i="26"/>
  <c r="C21" i="25"/>
  <c r="A22" i="25"/>
  <c r="B21" i="25"/>
  <c r="C21" i="24"/>
  <c r="A22" i="24"/>
  <c r="B21" i="24"/>
  <c r="A23" i="35" l="1"/>
  <c r="B22" i="35"/>
  <c r="C22" i="35"/>
  <c r="A22" i="34"/>
  <c r="B21" i="34"/>
  <c r="C21" i="34"/>
  <c r="C21" i="30"/>
  <c r="A22" i="30"/>
  <c r="B21" i="30"/>
  <c r="C21" i="32"/>
  <c r="A22" i="32"/>
  <c r="B21" i="32"/>
  <c r="C22" i="31"/>
  <c r="A23" i="31"/>
  <c r="B22" i="31"/>
  <c r="A24" i="29"/>
  <c r="B23" i="29"/>
  <c r="C23" i="29"/>
  <c r="C22" i="33"/>
  <c r="A23" i="33"/>
  <c r="B22" i="33"/>
  <c r="A23" i="28"/>
  <c r="B22" i="28"/>
  <c r="C22" i="28"/>
  <c r="A23" i="27"/>
  <c r="B22" i="27"/>
  <c r="C22" i="27"/>
  <c r="A23" i="26"/>
  <c r="B22" i="26"/>
  <c r="C22" i="26"/>
  <c r="A23" i="25"/>
  <c r="B22" i="25"/>
  <c r="C22" i="25"/>
  <c r="A23" i="24"/>
  <c r="B22" i="24"/>
  <c r="C22" i="24"/>
  <c r="C23" i="35" l="1"/>
  <c r="A24" i="35"/>
  <c r="B23" i="35"/>
  <c r="C22" i="34"/>
  <c r="A23" i="34"/>
  <c r="B22" i="34"/>
  <c r="A23" i="32"/>
  <c r="B22" i="32"/>
  <c r="C22" i="32"/>
  <c r="A24" i="33"/>
  <c r="B23" i="33"/>
  <c r="C23" i="33"/>
  <c r="C24" i="29"/>
  <c r="A25" i="29"/>
  <c r="B24" i="29"/>
  <c r="A24" i="31"/>
  <c r="B23" i="31"/>
  <c r="C23" i="31"/>
  <c r="A23" i="30"/>
  <c r="B22" i="30"/>
  <c r="C22" i="30"/>
  <c r="C23" i="28"/>
  <c r="A24" i="28"/>
  <c r="B23" i="28"/>
  <c r="C23" i="27"/>
  <c r="A24" i="27"/>
  <c r="B23" i="27"/>
  <c r="C23" i="26"/>
  <c r="A24" i="26"/>
  <c r="B23" i="26"/>
  <c r="C23" i="25"/>
  <c r="A24" i="25"/>
  <c r="B23" i="25"/>
  <c r="C23" i="24"/>
  <c r="A24" i="24"/>
  <c r="B23" i="24"/>
  <c r="A24" i="34" l="1"/>
  <c r="B23" i="34"/>
  <c r="C23" i="34"/>
  <c r="A25" i="35"/>
  <c r="B24" i="35"/>
  <c r="C24" i="35"/>
  <c r="C23" i="30"/>
  <c r="A24" i="30"/>
  <c r="B23" i="30"/>
  <c r="C23" i="32"/>
  <c r="A24" i="32"/>
  <c r="B23" i="32"/>
  <c r="C24" i="31"/>
  <c r="A25" i="31"/>
  <c r="B24" i="31"/>
  <c r="A26" i="29"/>
  <c r="B25" i="29"/>
  <c r="C25" i="29"/>
  <c r="C24" i="33"/>
  <c r="A25" i="33"/>
  <c r="B24" i="33"/>
  <c r="A25" i="28"/>
  <c r="B24" i="28"/>
  <c r="C24" i="28"/>
  <c r="A25" i="27"/>
  <c r="B24" i="27"/>
  <c r="C24" i="27"/>
  <c r="A25" i="26"/>
  <c r="B24" i="26"/>
  <c r="C24" i="26"/>
  <c r="A25" i="25"/>
  <c r="B24" i="25"/>
  <c r="C24" i="25"/>
  <c r="A25" i="24"/>
  <c r="B24" i="24"/>
  <c r="C24" i="24"/>
  <c r="C24" i="34" l="1"/>
  <c r="A25" i="34"/>
  <c r="B24" i="34"/>
  <c r="C25" i="35"/>
  <c r="A26" i="35"/>
  <c r="B25" i="35"/>
  <c r="A25" i="32"/>
  <c r="B24" i="32"/>
  <c r="C24" i="32"/>
  <c r="A26" i="33"/>
  <c r="B25" i="33"/>
  <c r="C25" i="33"/>
  <c r="C26" i="29"/>
  <c r="A27" i="29"/>
  <c r="B26" i="29"/>
  <c r="A26" i="31"/>
  <c r="B25" i="31"/>
  <c r="C25" i="31"/>
  <c r="A25" i="30"/>
  <c r="B24" i="30"/>
  <c r="C24" i="30"/>
  <c r="C25" i="28"/>
  <c r="A26" i="28"/>
  <c r="B25" i="28"/>
  <c r="C25" i="27"/>
  <c r="A26" i="27"/>
  <c r="B25" i="27"/>
  <c r="C25" i="26"/>
  <c r="A26" i="26"/>
  <c r="B25" i="26"/>
  <c r="C25" i="25"/>
  <c r="A26" i="25"/>
  <c r="B25" i="25"/>
  <c r="C25" i="24"/>
  <c r="A26" i="24"/>
  <c r="B25" i="24"/>
  <c r="A27" i="35" l="1"/>
  <c r="B26" i="35"/>
  <c r="C26" i="35"/>
  <c r="A26" i="34"/>
  <c r="B25" i="34"/>
  <c r="C25" i="34"/>
  <c r="C25" i="30"/>
  <c r="A26" i="30"/>
  <c r="B25" i="30"/>
  <c r="C25" i="32"/>
  <c r="A26" i="32"/>
  <c r="B25" i="32"/>
  <c r="C26" i="31"/>
  <c r="A27" i="31"/>
  <c r="B26" i="31"/>
  <c r="A28" i="29"/>
  <c r="B27" i="29"/>
  <c r="C27" i="29"/>
  <c r="C26" i="33"/>
  <c r="A27" i="33"/>
  <c r="B26" i="33"/>
  <c r="A27" i="28"/>
  <c r="B26" i="28"/>
  <c r="C26" i="28"/>
  <c r="A27" i="27"/>
  <c r="B26" i="27"/>
  <c r="C26" i="27"/>
  <c r="A27" i="26"/>
  <c r="B26" i="26"/>
  <c r="C26" i="26"/>
  <c r="A27" i="25"/>
  <c r="B26" i="25"/>
  <c r="C26" i="25"/>
  <c r="A27" i="24"/>
  <c r="B26" i="24"/>
  <c r="C26" i="24"/>
  <c r="C27" i="35" l="1"/>
  <c r="A28" i="35"/>
  <c r="B27" i="35"/>
  <c r="C26" i="34"/>
  <c r="A27" i="34"/>
  <c r="B26" i="34"/>
  <c r="A27" i="32"/>
  <c r="B26" i="32"/>
  <c r="C26" i="32"/>
  <c r="A28" i="33"/>
  <c r="B27" i="33"/>
  <c r="C27" i="33"/>
  <c r="C28" i="29"/>
  <c r="A29" i="29"/>
  <c r="B28" i="29"/>
  <c r="A28" i="31"/>
  <c r="B27" i="31"/>
  <c r="C27" i="31"/>
  <c r="A27" i="30"/>
  <c r="B26" i="30"/>
  <c r="C26" i="30"/>
  <c r="C27" i="28"/>
  <c r="A28" i="28"/>
  <c r="B27" i="28"/>
  <c r="C27" i="27"/>
  <c r="A28" i="27"/>
  <c r="B27" i="27"/>
  <c r="C27" i="26"/>
  <c r="A28" i="26"/>
  <c r="B27" i="26"/>
  <c r="C27" i="25"/>
  <c r="A28" i="25"/>
  <c r="B27" i="25"/>
  <c r="C27" i="24"/>
  <c r="A28" i="24"/>
  <c r="B27" i="24"/>
  <c r="A28" i="34" l="1"/>
  <c r="B27" i="34"/>
  <c r="C27" i="34"/>
  <c r="A29" i="35"/>
  <c r="B28" i="35"/>
  <c r="C28" i="35"/>
  <c r="C27" i="30"/>
  <c r="A28" i="30"/>
  <c r="B27" i="30"/>
  <c r="C27" i="32"/>
  <c r="A28" i="32"/>
  <c r="B27" i="32"/>
  <c r="C28" i="31"/>
  <c r="A29" i="31"/>
  <c r="B28" i="31"/>
  <c r="A30" i="29"/>
  <c r="B29" i="29"/>
  <c r="C29" i="29"/>
  <c r="C28" i="33"/>
  <c r="A29" i="33"/>
  <c r="B28" i="33"/>
  <c r="A29" i="28"/>
  <c r="B28" i="28"/>
  <c r="C28" i="28"/>
  <c r="A29" i="27"/>
  <c r="B28" i="27"/>
  <c r="C28" i="27"/>
  <c r="A29" i="26"/>
  <c r="B28" i="26"/>
  <c r="C28" i="26"/>
  <c r="A29" i="25"/>
  <c r="B28" i="25"/>
  <c r="C28" i="25"/>
  <c r="A29" i="24"/>
  <c r="B28" i="24"/>
  <c r="C28" i="24"/>
  <c r="C28" i="34" l="1"/>
  <c r="A29" i="34"/>
  <c r="B28" i="34"/>
  <c r="C29" i="35"/>
  <c r="A30" i="35"/>
  <c r="B29" i="35"/>
  <c r="A29" i="32"/>
  <c r="B28" i="32"/>
  <c r="C28" i="32"/>
  <c r="A30" i="33"/>
  <c r="B29" i="33"/>
  <c r="C29" i="33"/>
  <c r="C30" i="29"/>
  <c r="A31" i="29"/>
  <c r="B30" i="29"/>
  <c r="A30" i="31"/>
  <c r="B29" i="31"/>
  <c r="C29" i="31"/>
  <c r="A29" i="30"/>
  <c r="B28" i="30"/>
  <c r="C28" i="30"/>
  <c r="C29" i="28"/>
  <c r="A30" i="28"/>
  <c r="B29" i="28"/>
  <c r="C29" i="27"/>
  <c r="A30" i="27"/>
  <c r="B29" i="27"/>
  <c r="C29" i="26"/>
  <c r="A30" i="26"/>
  <c r="B29" i="26"/>
  <c r="C29" i="25"/>
  <c r="A30" i="25"/>
  <c r="B29" i="25"/>
  <c r="C29" i="24"/>
  <c r="A30" i="24"/>
  <c r="B29" i="24"/>
  <c r="A31" i="35" l="1"/>
  <c r="B30" i="35"/>
  <c r="C30" i="35"/>
  <c r="A30" i="34"/>
  <c r="B29" i="34"/>
  <c r="C29" i="34"/>
  <c r="C29" i="30"/>
  <c r="A30" i="30"/>
  <c r="B29" i="30"/>
  <c r="C29" i="32"/>
  <c r="A30" i="32"/>
  <c r="B29" i="32"/>
  <c r="C30" i="31"/>
  <c r="A31" i="31"/>
  <c r="B30" i="31"/>
  <c r="A32" i="29"/>
  <c r="B31" i="29"/>
  <c r="C31" i="29"/>
  <c r="C30" i="33"/>
  <c r="A31" i="33"/>
  <c r="B30" i="33"/>
  <c r="A31" i="28"/>
  <c r="B30" i="28"/>
  <c r="C30" i="28"/>
  <c r="A31" i="27"/>
  <c r="B30" i="27"/>
  <c r="C30" i="27"/>
  <c r="A31" i="26"/>
  <c r="B30" i="26"/>
  <c r="C30" i="26"/>
  <c r="A31" i="25"/>
  <c r="B30" i="25"/>
  <c r="C30" i="25"/>
  <c r="A31" i="24"/>
  <c r="B30" i="24"/>
  <c r="C30" i="24"/>
  <c r="C31" i="35" l="1"/>
  <c r="A32" i="35"/>
  <c r="B31" i="35"/>
  <c r="C30" i="34"/>
  <c r="A31" i="34"/>
  <c r="B30" i="34"/>
  <c r="A32" i="33"/>
  <c r="B31" i="33"/>
  <c r="C31" i="33"/>
  <c r="A32" i="31"/>
  <c r="B31" i="31"/>
  <c r="C31" i="31"/>
  <c r="A31" i="30"/>
  <c r="B30" i="30"/>
  <c r="C30" i="30"/>
  <c r="A31" i="32"/>
  <c r="B30" i="32"/>
  <c r="C30" i="32"/>
  <c r="C32" i="29"/>
  <c r="A33" i="29"/>
  <c r="B32" i="29"/>
  <c r="C31" i="28"/>
  <c r="A32" i="28"/>
  <c r="B31" i="28"/>
  <c r="C31" i="27"/>
  <c r="A32" i="27"/>
  <c r="B31" i="27"/>
  <c r="C31" i="26"/>
  <c r="A32" i="26"/>
  <c r="B31" i="26"/>
  <c r="C31" i="25"/>
  <c r="A32" i="25"/>
  <c r="B31" i="25"/>
  <c r="C31" i="24"/>
  <c r="A32" i="24"/>
  <c r="B31" i="24"/>
  <c r="A32" i="34" l="1"/>
  <c r="B31" i="34"/>
  <c r="C31" i="34"/>
  <c r="A33" i="35"/>
  <c r="B32" i="35"/>
  <c r="C32" i="35"/>
  <c r="A34" i="29"/>
  <c r="B33" i="29"/>
  <c r="C33" i="29"/>
  <c r="C31" i="32"/>
  <c r="A32" i="32"/>
  <c r="B31" i="32"/>
  <c r="C32" i="31"/>
  <c r="A33" i="31"/>
  <c r="B32" i="31"/>
  <c r="C31" i="30"/>
  <c r="A32" i="30"/>
  <c r="B31" i="30"/>
  <c r="C32" i="33"/>
  <c r="A33" i="33"/>
  <c r="B32" i="33"/>
  <c r="A33" i="28"/>
  <c r="B32" i="28"/>
  <c r="C32" i="28"/>
  <c r="A33" i="27"/>
  <c r="B32" i="27"/>
  <c r="C32" i="27"/>
  <c r="A33" i="26"/>
  <c r="B32" i="26"/>
  <c r="C32" i="26"/>
  <c r="A33" i="25"/>
  <c r="B32" i="25"/>
  <c r="C32" i="25"/>
  <c r="A33" i="24"/>
  <c r="B32" i="24"/>
  <c r="C32" i="24"/>
  <c r="C32" i="34" l="1"/>
  <c r="A33" i="34"/>
  <c r="B32" i="34"/>
  <c r="C33" i="35"/>
  <c r="A34" i="35"/>
  <c r="B33" i="35"/>
  <c r="A34" i="33"/>
  <c r="B33" i="33"/>
  <c r="C33" i="33"/>
  <c r="A34" i="31"/>
  <c r="B33" i="31"/>
  <c r="C33" i="31"/>
  <c r="A33" i="30"/>
  <c r="B32" i="30"/>
  <c r="C32" i="30"/>
  <c r="A33" i="32"/>
  <c r="B32" i="32"/>
  <c r="C32" i="32"/>
  <c r="C34" i="29"/>
  <c r="A35" i="29"/>
  <c r="B34" i="29"/>
  <c r="C33" i="28"/>
  <c r="A34" i="28"/>
  <c r="B33" i="28"/>
  <c r="C33" i="27"/>
  <c r="A34" i="27"/>
  <c r="B33" i="27"/>
  <c r="C33" i="26"/>
  <c r="A34" i="26"/>
  <c r="B33" i="26"/>
  <c r="C33" i="25"/>
  <c r="A34" i="25"/>
  <c r="B33" i="25"/>
  <c r="C33" i="24"/>
  <c r="A34" i="24"/>
  <c r="B33" i="24"/>
  <c r="A35" i="35" l="1"/>
  <c r="B34" i="35"/>
  <c r="C34" i="35"/>
  <c r="A34" i="34"/>
  <c r="B33" i="34"/>
  <c r="C33" i="34"/>
  <c r="A38" i="29"/>
  <c r="A37" i="29"/>
  <c r="A36" i="29"/>
  <c r="B35" i="29"/>
  <c r="C35" i="29"/>
  <c r="C33" i="32"/>
  <c r="A34" i="32"/>
  <c r="B33" i="32"/>
  <c r="C33" i="30"/>
  <c r="A34" i="30"/>
  <c r="B33" i="30"/>
  <c r="C34" i="33"/>
  <c r="A35" i="33"/>
  <c r="B34" i="33"/>
  <c r="C34" i="31"/>
  <c r="A35" i="31"/>
  <c r="B34" i="31"/>
  <c r="A35" i="28"/>
  <c r="B34" i="28"/>
  <c r="C34" i="28"/>
  <c r="A35" i="27"/>
  <c r="B34" i="27"/>
  <c r="C34" i="27"/>
  <c r="A35" i="26"/>
  <c r="B34" i="26"/>
  <c r="C34" i="26"/>
  <c r="A35" i="25"/>
  <c r="B34" i="25"/>
  <c r="C34" i="25"/>
  <c r="A35" i="24"/>
  <c r="B34" i="24"/>
  <c r="C34" i="24"/>
  <c r="A37" i="35" l="1"/>
  <c r="C35" i="35"/>
  <c r="A38" i="35"/>
  <c r="A36" i="35"/>
  <c r="B35" i="35"/>
  <c r="C34" i="34"/>
  <c r="A35" i="34"/>
  <c r="B34" i="34"/>
  <c r="A38" i="33"/>
  <c r="A36" i="33"/>
  <c r="B35" i="33"/>
  <c r="A37" i="33"/>
  <c r="C35" i="33"/>
  <c r="A35" i="32"/>
  <c r="B34" i="32"/>
  <c r="C34" i="32"/>
  <c r="C36" i="29"/>
  <c r="B36" i="29"/>
  <c r="C38" i="29"/>
  <c r="B38" i="29"/>
  <c r="A38" i="31"/>
  <c r="A36" i="31"/>
  <c r="B35" i="31"/>
  <c r="C35" i="31"/>
  <c r="A37" i="31"/>
  <c r="A35" i="30"/>
  <c r="B34" i="30"/>
  <c r="C34" i="30"/>
  <c r="B37" i="29"/>
  <c r="C37" i="29"/>
  <c r="A37" i="28"/>
  <c r="C35" i="28"/>
  <c r="A38" i="28"/>
  <c r="A36" i="28"/>
  <c r="B35" i="28"/>
  <c r="A37" i="27"/>
  <c r="C35" i="27"/>
  <c r="A38" i="27"/>
  <c r="A36" i="27"/>
  <c r="B35" i="27"/>
  <c r="A37" i="26"/>
  <c r="C35" i="26"/>
  <c r="A38" i="26"/>
  <c r="A36" i="26"/>
  <c r="B35" i="26"/>
  <c r="A37" i="25"/>
  <c r="C35" i="25"/>
  <c r="A38" i="25"/>
  <c r="A36" i="25"/>
  <c r="B35" i="25"/>
  <c r="A37" i="24"/>
  <c r="C35" i="24"/>
  <c r="A38" i="24"/>
  <c r="A36" i="24"/>
  <c r="B35" i="24"/>
  <c r="A38" i="34" l="1"/>
  <c r="A36" i="34"/>
  <c r="B35" i="34"/>
  <c r="A37" i="34"/>
  <c r="C35" i="34"/>
  <c r="B38" i="35"/>
  <c r="C38" i="35"/>
  <c r="C37" i="35"/>
  <c r="B37" i="35"/>
  <c r="B36" i="35"/>
  <c r="C36" i="35"/>
  <c r="B37" i="31"/>
  <c r="C37" i="31"/>
  <c r="C38" i="33"/>
  <c r="B38" i="33"/>
  <c r="C38" i="31"/>
  <c r="B38" i="31"/>
  <c r="A37" i="30"/>
  <c r="C35" i="30"/>
  <c r="A38" i="30"/>
  <c r="A36" i="30"/>
  <c r="B35" i="30"/>
  <c r="C36" i="31"/>
  <c r="B36" i="31"/>
  <c r="A37" i="32"/>
  <c r="C35" i="32"/>
  <c r="A38" i="32"/>
  <c r="A36" i="32"/>
  <c r="B35" i="32"/>
  <c r="B37" i="33"/>
  <c r="C37" i="33"/>
  <c r="C36" i="33"/>
  <c r="B36" i="33"/>
  <c r="B38" i="28"/>
  <c r="C38" i="28"/>
  <c r="C37" i="28"/>
  <c r="B37" i="28"/>
  <c r="B36" i="28"/>
  <c r="C36" i="28"/>
  <c r="B38" i="27"/>
  <c r="C38" i="27"/>
  <c r="C37" i="27"/>
  <c r="B37" i="27"/>
  <c r="B36" i="27"/>
  <c r="C36" i="27"/>
  <c r="B38" i="26"/>
  <c r="C38" i="26"/>
  <c r="C37" i="26"/>
  <c r="B37" i="26"/>
  <c r="B36" i="26"/>
  <c r="C36" i="26"/>
  <c r="B38" i="25"/>
  <c r="C38" i="25"/>
  <c r="C37" i="25"/>
  <c r="B37" i="25"/>
  <c r="B36" i="25"/>
  <c r="C36" i="25"/>
  <c r="B38" i="24"/>
  <c r="C38" i="24"/>
  <c r="C37" i="24"/>
  <c r="B37" i="24"/>
  <c r="B36" i="24"/>
  <c r="C36" i="24"/>
  <c r="C38" i="34" l="1"/>
  <c r="B38" i="34"/>
  <c r="B37" i="34"/>
  <c r="C37" i="34"/>
  <c r="C36" i="34"/>
  <c r="B36" i="34"/>
  <c r="B36" i="32"/>
  <c r="C36" i="32"/>
  <c r="B38" i="30"/>
  <c r="C38" i="30"/>
  <c r="C37" i="30"/>
  <c r="B37" i="30"/>
  <c r="B38" i="32"/>
  <c r="C38" i="32"/>
  <c r="C37" i="32"/>
  <c r="B37" i="32"/>
  <c r="B36" i="30"/>
  <c r="C36" i="30"/>
  <c r="K30" i="17"/>
  <c r="J38" i="17"/>
  <c r="K38" i="17" s="1"/>
  <c r="J37" i="17"/>
  <c r="K37" i="17" s="1"/>
  <c r="J36" i="17"/>
  <c r="K36" i="17" s="1"/>
  <c r="J35" i="17"/>
  <c r="K35" i="17" s="1"/>
  <c r="J34" i="17"/>
  <c r="K34" i="17" s="1"/>
  <c r="J33" i="17"/>
  <c r="K33" i="17" s="1"/>
  <c r="J32" i="17"/>
  <c r="K32" i="17" s="1"/>
  <c r="J31" i="17"/>
  <c r="K31" i="17" s="1"/>
  <c r="J30" i="17"/>
  <c r="J29" i="17"/>
  <c r="K29" i="17" s="1"/>
  <c r="J28" i="17"/>
  <c r="K28" i="17" s="1"/>
  <c r="J27" i="17"/>
  <c r="K27" i="17" s="1"/>
  <c r="J26" i="17"/>
  <c r="K26" i="17" s="1"/>
  <c r="J25" i="17"/>
  <c r="K25" i="17" s="1"/>
  <c r="J24" i="17"/>
  <c r="K24" i="17" s="1"/>
  <c r="J23" i="17"/>
  <c r="K23" i="17" s="1"/>
  <c r="J22" i="17"/>
  <c r="K22" i="17" s="1"/>
  <c r="J21" i="17"/>
  <c r="K21" i="17" s="1"/>
  <c r="J20" i="17"/>
  <c r="K20" i="17" s="1"/>
  <c r="J19" i="17"/>
  <c r="K19" i="17" s="1"/>
  <c r="J18" i="17"/>
  <c r="K18" i="17" s="1"/>
  <c r="J17" i="17"/>
  <c r="K17" i="17" s="1"/>
  <c r="J16" i="17"/>
  <c r="K16" i="17" s="1"/>
  <c r="J15" i="17"/>
  <c r="K15" i="17" s="1"/>
  <c r="J14" i="17"/>
  <c r="K14" i="17" s="1"/>
  <c r="J13" i="17"/>
  <c r="K13" i="17" s="1"/>
  <c r="J12" i="17"/>
  <c r="K12" i="17" s="1"/>
  <c r="J11" i="17"/>
  <c r="K11" i="17" s="1"/>
  <c r="J10" i="17"/>
  <c r="K10" i="17" s="1"/>
  <c r="J9" i="17"/>
  <c r="K9" i="17" s="1"/>
  <c r="J8" i="17"/>
  <c r="K8" i="17" s="1"/>
  <c r="C8" i="17"/>
  <c r="K39" i="17" l="1"/>
  <c r="J39" i="17"/>
  <c r="B8" i="17"/>
  <c r="A9" i="17"/>
  <c r="C9" i="17" l="1"/>
  <c r="B9" i="17"/>
  <c r="A10" i="17"/>
  <c r="B10" i="17" l="1"/>
  <c r="C10" i="17"/>
  <c r="A11" i="17"/>
  <c r="B11" i="17" l="1"/>
  <c r="C11" i="17"/>
  <c r="A12" i="17"/>
  <c r="C12" i="17" l="1"/>
  <c r="B12" i="17"/>
  <c r="A13" i="17"/>
  <c r="C13" i="17" l="1"/>
  <c r="B13" i="17"/>
  <c r="A14" i="17"/>
  <c r="B14" i="17" l="1"/>
  <c r="C14" i="17"/>
  <c r="A15" i="17"/>
  <c r="C15" i="17" l="1"/>
  <c r="B15" i="17"/>
  <c r="A16" i="17"/>
  <c r="C16" i="17" l="1"/>
  <c r="B16" i="17"/>
  <c r="A17" i="17"/>
  <c r="C17" i="17" l="1"/>
  <c r="B17" i="17"/>
  <c r="A18" i="17"/>
  <c r="B18" i="17" l="1"/>
  <c r="C18" i="17"/>
  <c r="A19" i="17"/>
  <c r="C19" i="17" l="1"/>
  <c r="B19" i="17"/>
  <c r="A20" i="17"/>
  <c r="C20" i="17" l="1"/>
  <c r="B20" i="17"/>
  <c r="A21" i="17"/>
  <c r="C21" i="17" l="1"/>
  <c r="B21" i="17"/>
  <c r="A22" i="17"/>
  <c r="B22" i="17" l="1"/>
  <c r="C22" i="17"/>
  <c r="A23" i="17"/>
  <c r="C23" i="17" l="1"/>
  <c r="B23" i="17"/>
  <c r="A24" i="17"/>
  <c r="C24" i="17" l="1"/>
  <c r="B24" i="17"/>
  <c r="A25" i="17"/>
  <c r="C25" i="17" l="1"/>
  <c r="B25" i="17"/>
  <c r="A26" i="17"/>
  <c r="C26" i="17" l="1"/>
  <c r="B26" i="17"/>
  <c r="A27" i="17"/>
  <c r="C27" i="17" l="1"/>
  <c r="B27" i="17"/>
  <c r="A28" i="17"/>
  <c r="C28" i="17" l="1"/>
  <c r="B28" i="17"/>
  <c r="A29" i="17"/>
  <c r="C29" i="17" l="1"/>
  <c r="B29" i="17"/>
  <c r="A30" i="17"/>
  <c r="B30" i="17" l="1"/>
  <c r="C30" i="17"/>
  <c r="A31" i="17"/>
  <c r="C31" i="17" l="1"/>
  <c r="B31" i="17"/>
  <c r="A32" i="17"/>
  <c r="C32" i="17" l="1"/>
  <c r="B32" i="17"/>
  <c r="A33" i="17"/>
  <c r="C33" i="17" l="1"/>
  <c r="B33" i="17"/>
  <c r="A34" i="17"/>
  <c r="B34" i="17" l="1"/>
  <c r="C34" i="17"/>
  <c r="A35" i="17"/>
  <c r="C35" i="17" l="1"/>
  <c r="B35" i="17"/>
  <c r="A37" i="17"/>
  <c r="A38" i="17"/>
  <c r="A36" i="17"/>
  <c r="B38" i="17" l="1"/>
  <c r="C38" i="17"/>
  <c r="C36" i="17"/>
  <c r="B36" i="17"/>
  <c r="C37" i="17"/>
  <c r="B3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000-000001000000}">
      <text>
        <r>
          <rPr>
            <b/>
            <sz val="9"/>
            <color indexed="81"/>
            <rFont val="ＭＳ Ｐゴシック"/>
            <family val="3"/>
            <charset val="128"/>
          </rPr>
          <t>ここを変更すると表の日付が変わる</t>
        </r>
      </text>
    </comment>
    <comment ref="D7" authorId="0" shapeId="0" xr:uid="{00000000-0006-0000-0000-000002000000}">
      <text>
        <r>
          <rPr>
            <sz val="9"/>
            <color indexed="81"/>
            <rFont val="ＭＳ Ｐゴシック"/>
            <family val="3"/>
            <charset val="128"/>
          </rPr>
          <t xml:space="preserve">”○”を入れると網掛けがかかる
</t>
        </r>
      </text>
    </comment>
    <comment ref="I7" authorId="0" shapeId="0" xr:uid="{00000000-0006-0000-00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000-000004000000}">
      <text>
        <r>
          <rPr>
            <sz val="9"/>
            <color indexed="81"/>
            <rFont val="ＭＳ Ｐゴシック"/>
            <family val="3"/>
            <charset val="128"/>
          </rPr>
          <t>休暇は○を入力し、入力漏れか休暇かの区別がつくようにする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100-000001000000}">
      <text>
        <r>
          <rPr>
            <b/>
            <sz val="9"/>
            <color indexed="81"/>
            <rFont val="ＭＳ Ｐゴシック"/>
            <family val="3"/>
            <charset val="128"/>
          </rPr>
          <t>ここを変更すると表の日付が変わる</t>
        </r>
      </text>
    </comment>
    <comment ref="D7" authorId="0" shapeId="0" xr:uid="{00000000-0006-0000-0100-000002000000}">
      <text>
        <r>
          <rPr>
            <sz val="9"/>
            <color indexed="81"/>
            <rFont val="ＭＳ Ｐゴシック"/>
            <family val="3"/>
            <charset val="128"/>
          </rPr>
          <t xml:space="preserve">”○”を入れると網掛けがかかる
</t>
        </r>
      </text>
    </comment>
    <comment ref="I7" authorId="0" shapeId="0" xr:uid="{00000000-0006-0000-01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100-000004000000}">
      <text>
        <r>
          <rPr>
            <sz val="9"/>
            <color indexed="81"/>
            <rFont val="ＭＳ Ｐゴシック"/>
            <family val="3"/>
            <charset val="128"/>
          </rPr>
          <t>休暇は○を入力し、入力漏れか休暇かの区別がつくようにする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200-000001000000}">
      <text>
        <r>
          <rPr>
            <b/>
            <sz val="9"/>
            <color indexed="81"/>
            <rFont val="ＭＳ Ｐゴシック"/>
            <family val="3"/>
            <charset val="128"/>
          </rPr>
          <t>ここを変更すると表の日付が変わる</t>
        </r>
      </text>
    </comment>
    <comment ref="D7" authorId="0" shapeId="0" xr:uid="{00000000-0006-0000-0200-000002000000}">
      <text>
        <r>
          <rPr>
            <sz val="9"/>
            <color indexed="81"/>
            <rFont val="ＭＳ Ｐゴシック"/>
            <family val="3"/>
            <charset val="128"/>
          </rPr>
          <t xml:space="preserve">”○”を入れると網掛けがかかる
</t>
        </r>
      </text>
    </comment>
    <comment ref="I7" authorId="0" shapeId="0" xr:uid="{00000000-0006-0000-02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200-000004000000}">
      <text>
        <r>
          <rPr>
            <sz val="9"/>
            <color indexed="81"/>
            <rFont val="ＭＳ Ｐゴシック"/>
            <family val="3"/>
            <charset val="128"/>
          </rPr>
          <t>休暇は○を入力し、入力漏れか休暇かの区別がつくようにする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300-000001000000}">
      <text>
        <r>
          <rPr>
            <b/>
            <sz val="9"/>
            <color indexed="81"/>
            <rFont val="ＭＳ Ｐゴシック"/>
            <family val="3"/>
            <charset val="128"/>
          </rPr>
          <t>ここを変更すると表の日付が変わる</t>
        </r>
      </text>
    </comment>
    <comment ref="D7" authorId="0" shapeId="0" xr:uid="{00000000-0006-0000-0300-000002000000}">
      <text>
        <r>
          <rPr>
            <sz val="9"/>
            <color indexed="81"/>
            <rFont val="ＭＳ Ｐゴシック"/>
            <family val="3"/>
            <charset val="128"/>
          </rPr>
          <t xml:space="preserve">”○”を入れると網掛けがかかる
</t>
        </r>
      </text>
    </comment>
    <comment ref="I7" authorId="0" shapeId="0" xr:uid="{00000000-0006-0000-03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300-000004000000}">
      <text>
        <r>
          <rPr>
            <sz val="9"/>
            <color indexed="81"/>
            <rFont val="ＭＳ Ｐゴシック"/>
            <family val="3"/>
            <charset val="128"/>
          </rPr>
          <t>休暇は○を入力し、入力漏れか休暇かの区別がつくようにする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400-000001000000}">
      <text>
        <r>
          <rPr>
            <b/>
            <sz val="9"/>
            <color indexed="81"/>
            <rFont val="ＭＳ Ｐゴシック"/>
            <family val="3"/>
            <charset val="128"/>
          </rPr>
          <t>ここを変更すると表の日付が変わる</t>
        </r>
      </text>
    </comment>
    <comment ref="D7" authorId="0" shapeId="0" xr:uid="{00000000-0006-0000-0400-000002000000}">
      <text>
        <r>
          <rPr>
            <sz val="9"/>
            <color indexed="81"/>
            <rFont val="ＭＳ Ｐゴシック"/>
            <family val="3"/>
            <charset val="128"/>
          </rPr>
          <t xml:space="preserve">”○”を入れると網掛けがかかる
</t>
        </r>
      </text>
    </comment>
    <comment ref="I7" authorId="0" shapeId="0" xr:uid="{00000000-0006-0000-04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400-000004000000}">
      <text>
        <r>
          <rPr>
            <sz val="9"/>
            <color indexed="81"/>
            <rFont val="ＭＳ Ｐゴシック"/>
            <family val="3"/>
            <charset val="128"/>
          </rPr>
          <t>休暇は○を入力し、入力漏れか休暇かの区別がつくようにする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500-000001000000}">
      <text>
        <r>
          <rPr>
            <b/>
            <sz val="9"/>
            <color indexed="81"/>
            <rFont val="ＭＳ Ｐゴシック"/>
            <family val="3"/>
            <charset val="128"/>
          </rPr>
          <t>ここを変更すると表の日付が変わる</t>
        </r>
      </text>
    </comment>
    <comment ref="D7" authorId="0" shapeId="0" xr:uid="{00000000-0006-0000-0500-000002000000}">
      <text>
        <r>
          <rPr>
            <sz val="9"/>
            <color indexed="81"/>
            <rFont val="ＭＳ Ｐゴシック"/>
            <family val="3"/>
            <charset val="128"/>
          </rPr>
          <t xml:space="preserve">”○”を入れると網掛けがかかる
</t>
        </r>
      </text>
    </comment>
    <comment ref="I7" authorId="0" shapeId="0" xr:uid="{00000000-0006-0000-05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500-000004000000}">
      <text>
        <r>
          <rPr>
            <sz val="9"/>
            <color indexed="81"/>
            <rFont val="ＭＳ Ｐゴシック"/>
            <family val="3"/>
            <charset val="128"/>
          </rPr>
          <t>休暇は○を入力し、入力漏れか休暇かの区別がつくようにする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600-000001000000}">
      <text>
        <r>
          <rPr>
            <b/>
            <sz val="9"/>
            <color indexed="81"/>
            <rFont val="ＭＳ Ｐゴシック"/>
            <family val="3"/>
            <charset val="128"/>
          </rPr>
          <t>ここを変更すると表の日付が変わる</t>
        </r>
      </text>
    </comment>
    <comment ref="D7" authorId="0" shapeId="0" xr:uid="{00000000-0006-0000-0600-000002000000}">
      <text>
        <r>
          <rPr>
            <sz val="9"/>
            <color indexed="81"/>
            <rFont val="ＭＳ Ｐゴシック"/>
            <family val="3"/>
            <charset val="128"/>
          </rPr>
          <t xml:space="preserve">”○”を入れると網掛けがかかる
</t>
        </r>
      </text>
    </comment>
    <comment ref="I7" authorId="0" shapeId="0" xr:uid="{00000000-0006-0000-06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600-000004000000}">
      <text>
        <r>
          <rPr>
            <sz val="9"/>
            <color indexed="81"/>
            <rFont val="ＭＳ Ｐゴシック"/>
            <family val="3"/>
            <charset val="128"/>
          </rPr>
          <t>休暇は○を入力し、入力漏れか休暇かの区別がつくようにする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700-000001000000}">
      <text>
        <r>
          <rPr>
            <b/>
            <sz val="9"/>
            <color indexed="81"/>
            <rFont val="ＭＳ Ｐゴシック"/>
            <family val="3"/>
            <charset val="128"/>
          </rPr>
          <t>ここを変更すると表の日付が変わる</t>
        </r>
      </text>
    </comment>
    <comment ref="D7" authorId="0" shapeId="0" xr:uid="{00000000-0006-0000-0700-000002000000}">
      <text>
        <r>
          <rPr>
            <sz val="9"/>
            <color indexed="81"/>
            <rFont val="ＭＳ Ｐゴシック"/>
            <family val="3"/>
            <charset val="128"/>
          </rPr>
          <t xml:space="preserve">”○”を入れると網掛けがかかる
</t>
        </r>
      </text>
    </comment>
    <comment ref="I7" authorId="0" shapeId="0" xr:uid="{00000000-0006-0000-07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700-000004000000}">
      <text>
        <r>
          <rPr>
            <sz val="9"/>
            <color indexed="81"/>
            <rFont val="ＭＳ Ｐゴシック"/>
            <family val="3"/>
            <charset val="128"/>
          </rPr>
          <t>休暇は○を入力し、入力漏れか休暇かの区別がつくようにする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800-000001000000}">
      <text>
        <r>
          <rPr>
            <b/>
            <sz val="9"/>
            <color indexed="81"/>
            <rFont val="ＭＳ Ｐゴシック"/>
            <family val="3"/>
            <charset val="128"/>
          </rPr>
          <t>ここを変更すると表の日付が変わる</t>
        </r>
      </text>
    </comment>
    <comment ref="D7" authorId="0" shapeId="0" xr:uid="{00000000-0006-0000-0800-000002000000}">
      <text>
        <r>
          <rPr>
            <sz val="9"/>
            <color indexed="81"/>
            <rFont val="ＭＳ Ｐゴシック"/>
            <family val="3"/>
            <charset val="128"/>
          </rPr>
          <t xml:space="preserve">”○”を入れると網掛けがかかる
</t>
        </r>
      </text>
    </comment>
    <comment ref="I7" authorId="0" shapeId="0" xr:uid="{00000000-0006-0000-08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800-000004000000}">
      <text>
        <r>
          <rPr>
            <sz val="9"/>
            <color indexed="81"/>
            <rFont val="ＭＳ Ｐゴシック"/>
            <family val="3"/>
            <charset val="128"/>
          </rPr>
          <t>休暇は○を入力し、入力漏れか休暇かの区別がつくようにする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900-000001000000}">
      <text>
        <r>
          <rPr>
            <b/>
            <sz val="9"/>
            <color indexed="81"/>
            <rFont val="ＭＳ Ｐゴシック"/>
            <family val="3"/>
            <charset val="128"/>
          </rPr>
          <t>ここを変更すると表の日付が変わる</t>
        </r>
      </text>
    </comment>
    <comment ref="D7" authorId="0" shapeId="0" xr:uid="{00000000-0006-0000-0900-000002000000}">
      <text>
        <r>
          <rPr>
            <sz val="9"/>
            <color indexed="81"/>
            <rFont val="ＭＳ Ｐゴシック"/>
            <family val="3"/>
            <charset val="128"/>
          </rPr>
          <t xml:space="preserve">”○”を入れると網掛けがかかる
</t>
        </r>
      </text>
    </comment>
    <comment ref="I7" authorId="0" shapeId="0" xr:uid="{00000000-0006-0000-09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900-000004000000}">
      <text>
        <r>
          <rPr>
            <sz val="9"/>
            <color indexed="81"/>
            <rFont val="ＭＳ Ｐゴシック"/>
            <family val="3"/>
            <charset val="128"/>
          </rPr>
          <t>休暇は○を入力し、入力漏れか休暇かの区別がつくようにする</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A00-000001000000}">
      <text>
        <r>
          <rPr>
            <b/>
            <sz val="9"/>
            <color indexed="81"/>
            <rFont val="ＭＳ Ｐゴシック"/>
            <family val="3"/>
            <charset val="128"/>
          </rPr>
          <t>ここを変更すると表の日付が変わる</t>
        </r>
      </text>
    </comment>
    <comment ref="D7" authorId="0" shapeId="0" xr:uid="{00000000-0006-0000-0A00-000002000000}">
      <text>
        <r>
          <rPr>
            <sz val="9"/>
            <color indexed="81"/>
            <rFont val="ＭＳ Ｐゴシック"/>
            <family val="3"/>
            <charset val="128"/>
          </rPr>
          <t xml:space="preserve">”○”を入れると網掛けがかかる
</t>
        </r>
      </text>
    </comment>
    <comment ref="I7" authorId="0" shapeId="0" xr:uid="{00000000-0006-0000-0A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A00-000004000000}">
      <text>
        <r>
          <rPr>
            <sz val="9"/>
            <color indexed="81"/>
            <rFont val="ＭＳ Ｐゴシック"/>
            <family val="3"/>
            <charset val="128"/>
          </rPr>
          <t>休暇は○を入力し、入力漏れか休暇かの区別がつくようにする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B00-000001000000}">
      <text>
        <r>
          <rPr>
            <b/>
            <sz val="9"/>
            <color indexed="81"/>
            <rFont val="ＭＳ Ｐゴシック"/>
            <family val="3"/>
            <charset val="128"/>
          </rPr>
          <t>ここを変更すると表の日付が変わる</t>
        </r>
      </text>
    </comment>
    <comment ref="D7" authorId="0" shapeId="0" xr:uid="{00000000-0006-0000-0B00-000002000000}">
      <text>
        <r>
          <rPr>
            <sz val="9"/>
            <color indexed="81"/>
            <rFont val="ＭＳ Ｐゴシック"/>
            <family val="3"/>
            <charset val="128"/>
          </rPr>
          <t xml:space="preserve">”○”を入れると網掛けがかかる
</t>
        </r>
      </text>
    </comment>
    <comment ref="I7" authorId="0" shapeId="0" xr:uid="{00000000-0006-0000-0B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B00-000004000000}">
      <text>
        <r>
          <rPr>
            <sz val="9"/>
            <color indexed="81"/>
            <rFont val="ＭＳ Ｐゴシック"/>
            <family val="3"/>
            <charset val="128"/>
          </rPr>
          <t>休暇は○を入力し、入力漏れか休暇かの区別がつくようにする</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C00-000001000000}">
      <text>
        <r>
          <rPr>
            <b/>
            <sz val="9"/>
            <color indexed="81"/>
            <rFont val="ＭＳ Ｐゴシック"/>
            <family val="3"/>
            <charset val="128"/>
          </rPr>
          <t>ここを変更すると表の日付が変わる</t>
        </r>
      </text>
    </comment>
    <comment ref="D7" authorId="0" shapeId="0" xr:uid="{00000000-0006-0000-0C00-000002000000}">
      <text>
        <r>
          <rPr>
            <sz val="9"/>
            <color indexed="81"/>
            <rFont val="ＭＳ Ｐゴシック"/>
            <family val="3"/>
            <charset val="128"/>
          </rPr>
          <t xml:space="preserve">”○”を入れると網掛けがかかる
</t>
        </r>
      </text>
    </comment>
    <comment ref="I7" authorId="0" shapeId="0" xr:uid="{00000000-0006-0000-0C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C00-000004000000}">
      <text>
        <r>
          <rPr>
            <sz val="9"/>
            <color indexed="81"/>
            <rFont val="ＭＳ Ｐゴシック"/>
            <family val="3"/>
            <charset val="128"/>
          </rPr>
          <t>休暇は○を入力し、入力漏れか休暇かの区別がつくようにする</t>
        </r>
      </text>
    </comment>
  </commentList>
</comments>
</file>

<file path=xl/sharedStrings.xml><?xml version="1.0" encoding="utf-8"?>
<sst xmlns="http://schemas.openxmlformats.org/spreadsheetml/2006/main" count="254" uniqueCount="44">
  <si>
    <t>年</t>
    <rPh sb="0" eb="1">
      <t>ネン</t>
    </rPh>
    <phoneticPr fontId="2"/>
  </si>
  <si>
    <t>月分委託配属者勤務実績表</t>
    <rPh sb="0" eb="2">
      <t>ガツブン</t>
    </rPh>
    <rPh sb="2" eb="4">
      <t>イタク</t>
    </rPh>
    <rPh sb="4" eb="6">
      <t>ハイゾク</t>
    </rPh>
    <rPh sb="6" eb="7">
      <t>シャ</t>
    </rPh>
    <rPh sb="7" eb="9">
      <t>キンム</t>
    </rPh>
    <rPh sb="9" eb="11">
      <t>ジッセキ</t>
    </rPh>
    <rPh sb="11" eb="12">
      <t>ヒョウ</t>
    </rPh>
    <phoneticPr fontId="2"/>
  </si>
  <si>
    <t>氏   　名</t>
    <rPh sb="0" eb="1">
      <t>シ</t>
    </rPh>
    <rPh sb="5" eb="6">
      <t>メイ</t>
    </rPh>
    <phoneticPr fontId="2"/>
  </si>
  <si>
    <t>日付</t>
    <rPh sb="0" eb="2">
      <t>ヒヅケ</t>
    </rPh>
    <phoneticPr fontId="2"/>
  </si>
  <si>
    <t>開始時間</t>
    <rPh sb="0" eb="2">
      <t>カイシ</t>
    </rPh>
    <rPh sb="2" eb="4">
      <t>ジカン</t>
    </rPh>
    <phoneticPr fontId="2"/>
  </si>
  <si>
    <t>終了時間</t>
    <rPh sb="0" eb="2">
      <t>シュウリョウ</t>
    </rPh>
    <rPh sb="2" eb="4">
      <t>ジカン</t>
    </rPh>
    <phoneticPr fontId="2"/>
  </si>
  <si>
    <t>休暇</t>
    <rPh sb="0" eb="2">
      <t>キュウカ</t>
    </rPh>
    <phoneticPr fontId="2"/>
  </si>
  <si>
    <t>備考</t>
    <rPh sb="0" eb="2">
      <t>ビコウ</t>
    </rPh>
    <phoneticPr fontId="2"/>
  </si>
  <si>
    <t>グループ名</t>
    <rPh sb="4" eb="5">
      <t>メイ</t>
    </rPh>
    <phoneticPr fontId="2"/>
  </si>
  <si>
    <t>昼休
（分）</t>
    <rPh sb="0" eb="2">
      <t>ヒルヤス</t>
    </rPh>
    <rPh sb="4" eb="5">
      <t>フン</t>
    </rPh>
    <phoneticPr fontId="2"/>
  </si>
  <si>
    <t>稼働時間
（分）</t>
    <rPh sb="0" eb="2">
      <t>カドウ</t>
    </rPh>
    <rPh sb="2" eb="4">
      <t>ジカン</t>
    </rPh>
    <rPh sb="6" eb="7">
      <t>フン</t>
    </rPh>
    <phoneticPr fontId="2"/>
  </si>
  <si>
    <t>曜日</t>
  </si>
  <si>
    <t>祝日</t>
    <rPh sb="0" eb="2">
      <t>シュクジツ</t>
    </rPh>
    <phoneticPr fontId="2"/>
  </si>
  <si>
    <t>○</t>
    <phoneticPr fontId="2"/>
  </si>
  <si>
    <t>稼働合計</t>
    <rPh sb="0" eb="2">
      <t>カドウ</t>
    </rPh>
    <rPh sb="2" eb="4">
      <t>ゴウケイ</t>
    </rPh>
    <phoneticPr fontId="2"/>
  </si>
  <si>
    <t>会社</t>
    <rPh sb="0" eb="2">
      <t>カイシャ</t>
    </rPh>
    <phoneticPr fontId="2"/>
  </si>
  <si>
    <t>シートコピーの仕方</t>
    <rPh sb="7" eb="9">
      <t>シカタ</t>
    </rPh>
    <phoneticPr fontId="2"/>
  </si>
  <si>
    <t>1．日付の変更</t>
    <rPh sb="2" eb="4">
      <t>ヒヅケ</t>
    </rPh>
    <rPh sb="5" eb="7">
      <t>ヘンコウ</t>
    </rPh>
    <phoneticPr fontId="2"/>
  </si>
  <si>
    <t>２．祝日の設定</t>
    <rPh sb="2" eb="4">
      <t>シュクジツ</t>
    </rPh>
    <rPh sb="5" eb="7">
      <t>セッテイ</t>
    </rPh>
    <phoneticPr fontId="2"/>
  </si>
  <si>
    <t>以上</t>
    <rPh sb="0" eb="2">
      <t>イジョウ</t>
    </rPh>
    <phoneticPr fontId="2"/>
  </si>
  <si>
    <t>３．シート名は投入月（半角）とする</t>
    <rPh sb="5" eb="6">
      <t>メイ</t>
    </rPh>
    <rPh sb="7" eb="9">
      <t>トウニュウ</t>
    </rPh>
    <rPh sb="9" eb="10">
      <t>ツキ</t>
    </rPh>
    <rPh sb="11" eb="13">
      <t>ハンカク</t>
    </rPh>
    <phoneticPr fontId="2"/>
  </si>
  <si>
    <t>稼働時間
（時間）</t>
    <rPh sb="0" eb="2">
      <t>カドウ</t>
    </rPh>
    <rPh sb="2" eb="4">
      <t>ジカン</t>
    </rPh>
    <rPh sb="6" eb="8">
      <t>ジカン</t>
    </rPh>
    <phoneticPr fontId="2"/>
  </si>
  <si>
    <t>○</t>
    <phoneticPr fontId="2"/>
  </si>
  <si>
    <t>帰社</t>
    <rPh sb="0" eb="2">
      <t>キシャ</t>
    </rPh>
    <phoneticPr fontId="2"/>
  </si>
  <si>
    <t>○○○株式会社</t>
    <rPh sb="3" eb="7">
      <t>カブ</t>
    </rPh>
    <phoneticPr fontId="2"/>
  </si>
  <si>
    <t>個人保険システム第１Ｇ</t>
    <rPh sb="0" eb="2">
      <t>コジン</t>
    </rPh>
    <rPh sb="2" eb="4">
      <t>ホケン</t>
    </rPh>
    <rPh sb="8" eb="9">
      <t>ダイ</t>
    </rPh>
    <phoneticPr fontId="2"/>
  </si>
  <si>
    <t>○○○○</t>
    <phoneticPr fontId="2"/>
  </si>
  <si>
    <t>○</t>
  </si>
  <si>
    <t>○</t>
    <phoneticPr fontId="2"/>
  </si>
  <si>
    <t>○</t>
    <phoneticPr fontId="2"/>
  </si>
  <si>
    <t>○</t>
    <phoneticPr fontId="2"/>
  </si>
  <si>
    <t>〇</t>
    <phoneticPr fontId="2"/>
  </si>
  <si>
    <t>〇</t>
    <phoneticPr fontId="2"/>
  </si>
  <si>
    <t>在宅勤務</t>
    <rPh sb="0" eb="2">
      <t>ザイタク</t>
    </rPh>
    <rPh sb="2" eb="4">
      <t>キンム</t>
    </rPh>
    <phoneticPr fontId="2"/>
  </si>
  <si>
    <t>○</t>
    <phoneticPr fontId="2"/>
  </si>
  <si>
    <t>〇</t>
  </si>
  <si>
    <t>○</t>
    <phoneticPr fontId="2"/>
  </si>
  <si>
    <t>○</t>
    <phoneticPr fontId="2"/>
  </si>
  <si>
    <t>〇</t>
    <phoneticPr fontId="2"/>
  </si>
  <si>
    <t>○</t>
    <phoneticPr fontId="2"/>
  </si>
  <si>
    <t>〇</t>
    <phoneticPr fontId="2"/>
  </si>
  <si>
    <t>株式会社SNSソフト</t>
    <rPh sb="0" eb="2">
      <t>カブシキ</t>
    </rPh>
    <rPh sb="2" eb="4">
      <t>カイシャ</t>
    </rPh>
    <phoneticPr fontId="2"/>
  </si>
  <si>
    <t>事務デジタルシステムＧ</t>
    <phoneticPr fontId="2"/>
  </si>
  <si>
    <t>史 正韵</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</si>
</sst>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d"/>
    <numFmt numFmtId="177" formatCode="00"/>
    <numFmt numFmtId="178" formatCode="aaa"/>
    <numFmt numFmtId="179" formatCode="0.0_ "/>
  </numFmts>
  <fonts count="10" x14ac:knownFonts="1">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1"/>
      <name val="ＭＳ Ｐゴシック"/>
      <family val="3"/>
      <charset val="128"/>
    </font>
    <font>
      <b/>
      <sz val="14"/>
      <name val="ＭＳ Ｐゴシック"/>
      <family val="3"/>
      <charset val="128"/>
    </font>
    <font>
      <sz val="9"/>
      <name val="ＭＳ Ｐゴシック"/>
      <family val="3"/>
      <charset val="128"/>
    </font>
    <font>
      <sz val="9"/>
      <color rgb="FFFF0000"/>
      <name val="ＭＳ Ｐゴシック"/>
      <family val="3"/>
      <charset val="128"/>
    </font>
    <font>
      <sz val="9"/>
      <color indexed="81"/>
      <name val="ＭＳ Ｐゴシック"/>
      <family val="3"/>
      <charset val="128"/>
    </font>
    <font>
      <b/>
      <sz val="9"/>
      <color indexed="81"/>
      <name val="ＭＳ Ｐゴシック"/>
      <family val="3"/>
      <charset val="128"/>
    </font>
  </fonts>
  <fills count="6">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thin">
        <color indexed="64"/>
      </bottom>
      <diagonal/>
    </border>
    <border>
      <left/>
      <right style="thick">
        <color indexed="64"/>
      </right>
      <top/>
      <bottom/>
      <diagonal/>
    </border>
    <border>
      <left style="thick">
        <color indexed="64"/>
      </left>
      <right/>
      <top/>
      <bottom style="thick">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n">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38" fontId="1" fillId="0" borderId="0" applyFont="0" applyFill="0" applyBorder="0" applyAlignment="0" applyProtection="0"/>
  </cellStyleXfs>
  <cellXfs count="92">
    <xf numFmtId="0" fontId="0" fillId="0" borderId="0" xfId="0"/>
    <xf numFmtId="0" fontId="3" fillId="0" borderId="0" xfId="0" applyFont="1"/>
    <xf numFmtId="0" fontId="0" fillId="0" borderId="0" xfId="0" applyBorder="1"/>
    <xf numFmtId="0" fontId="3" fillId="0" borderId="0" xfId="0" applyFont="1" applyAlignment="1">
      <alignment horizontal="right"/>
    </xf>
    <xf numFmtId="0" fontId="0" fillId="0" borderId="0" xfId="0" applyBorder="1" applyAlignment="1">
      <alignment horizontal="center"/>
    </xf>
    <xf numFmtId="0" fontId="4" fillId="0" borderId="0" xfId="0" applyFont="1" applyBorder="1" applyAlignment="1">
      <alignment horizontal="center"/>
    </xf>
    <xf numFmtId="0" fontId="4" fillId="0" borderId="0" xfId="0" applyFont="1" applyFill="1" applyBorder="1" applyAlignment="1">
      <alignment horizontal="center"/>
    </xf>
    <xf numFmtId="0" fontId="5" fillId="0" borderId="0" xfId="0" applyFont="1" applyAlignment="1" applyProtection="1">
      <alignment horizontal="right"/>
      <protection locked="0"/>
    </xf>
    <xf numFmtId="0" fontId="3" fillId="0" borderId="0" xfId="0" applyFont="1" applyProtection="1">
      <protection locked="0"/>
    </xf>
    <xf numFmtId="0" fontId="0" fillId="0" borderId="0" xfId="0" applyProtection="1">
      <protection locked="0"/>
    </xf>
    <xf numFmtId="0" fontId="4" fillId="0" borderId="0" xfId="0" applyFont="1" applyProtection="1">
      <protection locked="0"/>
    </xf>
    <xf numFmtId="0" fontId="1" fillId="0" borderId="0" xfId="0" applyFont="1" applyFill="1" applyBorder="1" applyAlignment="1">
      <alignment horizontal="right"/>
    </xf>
    <xf numFmtId="0" fontId="1" fillId="0" borderId="0" xfId="0" applyFont="1" applyFill="1" applyBorder="1"/>
    <xf numFmtId="0" fontId="1" fillId="0" borderId="0" xfId="0" applyFont="1" applyFill="1" applyBorder="1" applyProtection="1">
      <protection locked="0"/>
    </xf>
    <xf numFmtId="0" fontId="0" fillId="0" borderId="0" xfId="0" applyFill="1" applyBorder="1"/>
    <xf numFmtId="0" fontId="0" fillId="0" borderId="0" xfId="0" applyAlignment="1">
      <alignment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0" fillId="0" borderId="0" xfId="0" applyFill="1" applyBorder="1" applyAlignment="1">
      <alignment vertical="center"/>
    </xf>
    <xf numFmtId="0" fontId="0" fillId="4" borderId="6" xfId="0" applyFill="1" applyBorder="1" applyProtection="1">
      <protection locked="0"/>
    </xf>
    <xf numFmtId="0" fontId="0" fillId="4" borderId="13" xfId="0" applyFill="1" applyBorder="1" applyAlignment="1" applyProtection="1">
      <alignment horizontal="center"/>
      <protection locked="0"/>
    </xf>
    <xf numFmtId="176" fontId="0" fillId="4" borderId="6" xfId="0" applyNumberFormat="1" applyFill="1" applyBorder="1" applyProtection="1">
      <protection locked="0"/>
    </xf>
    <xf numFmtId="178" fontId="0" fillId="4" borderId="9" xfId="0" applyNumberFormat="1" applyFill="1" applyBorder="1" applyAlignment="1" applyProtection="1">
      <alignment horizontal="center"/>
      <protection locked="0"/>
    </xf>
    <xf numFmtId="177" fontId="0" fillId="4" borderId="9" xfId="0" applyNumberFormat="1" applyFill="1" applyBorder="1" applyProtection="1">
      <protection locked="0"/>
    </xf>
    <xf numFmtId="0" fontId="0" fillId="4" borderId="17" xfId="0" applyFill="1" applyBorder="1" applyAlignment="1" applyProtection="1">
      <alignment horizontal="center"/>
      <protection locked="0"/>
    </xf>
    <xf numFmtId="176" fontId="0" fillId="4" borderId="10" xfId="0" applyNumberFormat="1" applyFill="1" applyBorder="1" applyProtection="1">
      <protection locked="0"/>
    </xf>
    <xf numFmtId="178" fontId="0" fillId="4" borderId="11" xfId="0" applyNumberFormat="1" applyFill="1" applyBorder="1" applyAlignment="1" applyProtection="1">
      <alignment horizontal="center"/>
      <protection locked="0"/>
    </xf>
    <xf numFmtId="0" fontId="0" fillId="4" borderId="10" xfId="0" applyFill="1" applyBorder="1" applyProtection="1">
      <protection locked="0"/>
    </xf>
    <xf numFmtId="177" fontId="0" fillId="4" borderId="11" xfId="0" applyNumberFormat="1" applyFill="1" applyBorder="1" applyProtection="1">
      <protection locked="0"/>
    </xf>
    <xf numFmtId="0" fontId="0" fillId="4" borderId="5" xfId="0" applyFill="1" applyBorder="1" applyAlignment="1" applyProtection="1">
      <alignment horizontal="center"/>
      <protection locked="0"/>
    </xf>
    <xf numFmtId="177" fontId="0" fillId="4" borderId="24" xfId="0" applyNumberFormat="1" applyFill="1" applyBorder="1" applyProtection="1">
      <protection locked="0"/>
    </xf>
    <xf numFmtId="177" fontId="0" fillId="4" borderId="25" xfId="0" applyNumberFormat="1" applyFill="1" applyBorder="1" applyProtection="1">
      <protection locked="0"/>
    </xf>
    <xf numFmtId="0" fontId="0" fillId="4" borderId="0" xfId="0" applyFill="1" applyBorder="1" applyAlignment="1" applyProtection="1">
      <alignment horizontal="center"/>
      <protection locked="0"/>
    </xf>
    <xf numFmtId="0" fontId="0" fillId="4" borderId="16" xfId="0" applyFill="1" applyBorder="1" applyAlignment="1" applyProtection="1">
      <alignment horizontal="center"/>
      <protection locked="0"/>
    </xf>
    <xf numFmtId="0" fontId="0" fillId="4" borderId="4" xfId="0" applyFill="1" applyBorder="1" applyAlignment="1" applyProtection="1">
      <alignment horizontal="center"/>
      <protection locked="0"/>
    </xf>
    <xf numFmtId="178" fontId="0" fillId="4" borderId="0" xfId="0" applyNumberFormat="1" applyFill="1" applyBorder="1" applyAlignment="1" applyProtection="1">
      <alignment horizontal="center"/>
      <protection locked="0"/>
    </xf>
    <xf numFmtId="178" fontId="0" fillId="4" borderId="24" xfId="0" applyNumberFormat="1" applyFill="1" applyBorder="1" applyAlignment="1" applyProtection="1">
      <alignment horizontal="center"/>
      <protection locked="0"/>
    </xf>
    <xf numFmtId="178" fontId="0" fillId="4" borderId="25" xfId="0" applyNumberFormat="1" applyFill="1" applyBorder="1" applyAlignment="1" applyProtection="1">
      <alignment horizontal="center"/>
      <protection locked="0"/>
    </xf>
    <xf numFmtId="0" fontId="0" fillId="4" borderId="24" xfId="0" applyNumberFormat="1" applyFill="1" applyBorder="1" applyAlignment="1" applyProtection="1">
      <alignment horizontal="center"/>
      <protection locked="0"/>
    </xf>
    <xf numFmtId="0" fontId="0" fillId="4" borderId="25" xfId="0" applyNumberFormat="1" applyFill="1" applyBorder="1" applyAlignment="1" applyProtection="1">
      <alignment horizontal="center"/>
      <protection locked="0"/>
    </xf>
    <xf numFmtId="0" fontId="7" fillId="0" borderId="0" xfId="0" applyFont="1"/>
    <xf numFmtId="176" fontId="0" fillId="4" borderId="27" xfId="0" applyNumberFormat="1" applyFill="1" applyBorder="1" applyProtection="1">
      <protection locked="0"/>
    </xf>
    <xf numFmtId="0" fontId="0" fillId="4" borderId="28" xfId="0" applyNumberFormat="1" applyFill="1" applyBorder="1" applyAlignment="1" applyProtection="1">
      <alignment horizontal="center"/>
      <protection locked="0"/>
    </xf>
    <xf numFmtId="178" fontId="0" fillId="4" borderId="29" xfId="0" applyNumberFormat="1" applyFill="1" applyBorder="1" applyAlignment="1" applyProtection="1">
      <alignment horizontal="center"/>
      <protection locked="0"/>
    </xf>
    <xf numFmtId="0" fontId="0" fillId="4" borderId="27" xfId="0" applyFill="1" applyBorder="1" applyProtection="1">
      <protection locked="0"/>
    </xf>
    <xf numFmtId="177" fontId="0" fillId="4" borderId="30" xfId="0" applyNumberFormat="1" applyFill="1" applyBorder="1" applyProtection="1">
      <protection locked="0"/>
    </xf>
    <xf numFmtId="177" fontId="0" fillId="4" borderId="31" xfId="0" applyNumberFormat="1" applyFill="1" applyBorder="1" applyProtection="1">
      <protection locked="0"/>
    </xf>
    <xf numFmtId="0" fontId="4" fillId="5" borderId="12" xfId="0" applyFont="1" applyFill="1" applyBorder="1" applyAlignment="1">
      <alignment horizontal="center" vertical="center"/>
    </xf>
    <xf numFmtId="0" fontId="4" fillId="5"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9" xfId="0" applyFont="1" applyFill="1" applyBorder="1" applyAlignment="1">
      <alignment horizontal="center" vertical="center" wrapText="1"/>
    </xf>
    <xf numFmtId="0" fontId="4" fillId="3" borderId="20" xfId="0" applyFont="1" applyFill="1" applyBorder="1" applyAlignment="1">
      <alignment horizontal="center" vertical="center"/>
    </xf>
    <xf numFmtId="0" fontId="0" fillId="0" borderId="0" xfId="0" applyBorder="1" applyAlignment="1" applyProtection="1">
      <protection locked="0"/>
    </xf>
    <xf numFmtId="38" fontId="0" fillId="0" borderId="2" xfId="1" applyFont="1" applyBorder="1"/>
    <xf numFmtId="0" fontId="4" fillId="5" borderId="18" xfId="0" applyFont="1" applyFill="1" applyBorder="1" applyAlignment="1">
      <alignment horizontal="center" vertical="center" wrapText="1"/>
    </xf>
    <xf numFmtId="0" fontId="0" fillId="4" borderId="32" xfId="0" applyFill="1" applyBorder="1"/>
    <xf numFmtId="0" fontId="0" fillId="4" borderId="15" xfId="0" applyFill="1" applyBorder="1"/>
    <xf numFmtId="0" fontId="0" fillId="4" borderId="21" xfId="0" applyFill="1" applyBorder="1"/>
    <xf numFmtId="0" fontId="4" fillId="5" borderId="8" xfId="0" applyFont="1" applyFill="1" applyBorder="1" applyAlignment="1">
      <alignment horizontal="center" vertical="center" wrapText="1"/>
    </xf>
    <xf numFmtId="179" fontId="0" fillId="4" borderId="29" xfId="0" applyNumberFormat="1" applyFill="1" applyBorder="1"/>
    <xf numFmtId="179" fontId="0" fillId="4" borderId="9" xfId="0" applyNumberFormat="1" applyFill="1" applyBorder="1"/>
    <xf numFmtId="179" fontId="0" fillId="4" borderId="35" xfId="0" applyNumberFormat="1" applyFill="1" applyBorder="1"/>
    <xf numFmtId="179" fontId="0" fillId="0" borderId="26" xfId="1" applyNumberFormat="1" applyFont="1" applyBorder="1"/>
    <xf numFmtId="0" fontId="4" fillId="3" borderId="8" xfId="0" applyFont="1" applyFill="1" applyBorder="1" applyAlignment="1">
      <alignment horizontal="center" vertical="center" wrapText="1"/>
    </xf>
    <xf numFmtId="179" fontId="0" fillId="0" borderId="36" xfId="1" applyNumberFormat="1" applyFont="1" applyBorder="1"/>
    <xf numFmtId="0" fontId="6" fillId="4" borderId="15" xfId="0" applyFont="1" applyFill="1" applyBorder="1" applyAlignment="1" applyProtection="1">
      <alignment horizontal="left"/>
      <protection locked="0"/>
    </xf>
    <xf numFmtId="0" fontId="6" fillId="4" borderId="16" xfId="0" applyFont="1" applyFill="1" applyBorder="1" applyAlignment="1" applyProtection="1">
      <alignment horizontal="left"/>
      <protection locked="0"/>
    </xf>
    <xf numFmtId="0" fontId="6" fillId="4" borderId="17" xfId="0" applyFont="1" applyFill="1" applyBorder="1" applyAlignment="1" applyProtection="1">
      <alignment horizontal="left"/>
      <protection locked="0"/>
    </xf>
    <xf numFmtId="0" fontId="6" fillId="4" borderId="21" xfId="0" applyFont="1" applyFill="1" applyBorder="1" applyAlignment="1" applyProtection="1">
      <alignment horizontal="left"/>
      <protection locked="0"/>
    </xf>
    <xf numFmtId="0" fontId="6" fillId="4" borderId="22" xfId="0" applyFont="1" applyFill="1" applyBorder="1" applyAlignment="1" applyProtection="1">
      <alignment horizontal="left"/>
      <protection locked="0"/>
    </xf>
    <xf numFmtId="0" fontId="6" fillId="4" borderId="23" xfId="0" applyFont="1" applyFill="1" applyBorder="1" applyAlignment="1" applyProtection="1">
      <alignment horizontal="left"/>
      <protection locked="0"/>
    </xf>
    <xf numFmtId="0" fontId="0" fillId="2" borderId="2"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4" fillId="0" borderId="2" xfId="0" applyFont="1" applyBorder="1" applyAlignment="1">
      <alignment horizontal="center"/>
    </xf>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pplyProtection="1">
      <protection locked="0"/>
    </xf>
    <xf numFmtId="0" fontId="0" fillId="0" borderId="3" xfId="0" applyBorder="1" applyAlignment="1" applyProtection="1">
      <protection locked="0"/>
    </xf>
    <xf numFmtId="0" fontId="0" fillId="0" borderId="1" xfId="0" applyBorder="1" applyAlignment="1" applyProtection="1">
      <protection locked="0"/>
    </xf>
    <xf numFmtId="0" fontId="4" fillId="0" borderId="14"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4" fillId="3" borderId="18"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20" xfId="0" applyFont="1" applyFill="1" applyBorder="1" applyAlignment="1">
      <alignment horizontal="center" vertical="center"/>
    </xf>
    <xf numFmtId="0" fontId="6" fillId="4" borderId="32" xfId="0" applyFont="1" applyFill="1" applyBorder="1" applyAlignment="1" applyProtection="1">
      <alignment horizontal="left"/>
      <protection locked="0"/>
    </xf>
    <xf numFmtId="0" fontId="6" fillId="4" borderId="33" xfId="0" applyFont="1" applyFill="1" applyBorder="1" applyAlignment="1" applyProtection="1">
      <alignment horizontal="left"/>
      <protection locked="0"/>
    </xf>
    <xf numFmtId="0" fontId="6" fillId="4" borderId="34" xfId="0" applyFont="1" applyFill="1" applyBorder="1" applyAlignment="1" applyProtection="1">
      <alignment horizontal="left"/>
      <protection locked="0"/>
    </xf>
    <xf numFmtId="0" fontId="0" fillId="0" borderId="2" xfId="0" applyBorder="1" applyProtection="1">
      <protection locked="0"/>
    </xf>
    <xf numFmtId="0" fontId="0" fillId="0" borderId="3" xfId="0" applyBorder="1" applyProtection="1">
      <protection locked="0"/>
    </xf>
    <xf numFmtId="0" fontId="0" fillId="0" borderId="1" xfId="0" applyBorder="1" applyProtection="1">
      <protection locked="0"/>
    </xf>
  </cellXfs>
  <cellStyles count="2">
    <cellStyle name="桁区切り" xfId="1" builtinId="6"/>
    <cellStyle name="標準" xfId="0" builtinId="0"/>
  </cellStyles>
  <dxfs count="65">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5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685152" name="Line 1">
          <a:extLst>
            <a:ext uri="{FF2B5EF4-FFF2-40B4-BE49-F238E27FC236}">
              <a16:creationId xmlns:a16="http://schemas.microsoft.com/office/drawing/2014/main" id="{00000000-0008-0000-0700-000060740A00}"/>
            </a:ext>
          </a:extLst>
        </xdr:cNvPr>
        <xdr:cNvSpPr>
          <a:spLocks noChangeShapeType="1"/>
        </xdr:cNvSpPr>
      </xdr:nvSpPr>
      <xdr:spPr bwMode="auto">
        <a:xfrm>
          <a:off x="285750" y="352425"/>
          <a:ext cx="4619625" cy="0"/>
        </a:xfrm>
        <a:prstGeom prst="line">
          <a:avLst/>
        </a:prstGeom>
        <a:noFill/>
        <a:ln w="19050">
          <a:solidFill>
            <a:srgbClr val="000000"/>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A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B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C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295275</xdr:colOff>
      <xdr:row>5</xdr:row>
      <xdr:rowOff>76200</xdr:rowOff>
    </xdr:from>
    <xdr:to>
      <xdr:col>10</xdr:col>
      <xdr:colOff>238125</xdr:colOff>
      <xdr:row>9</xdr:row>
      <xdr:rowOff>114300</xdr:rowOff>
    </xdr:to>
    <xdr:pic>
      <xdr:nvPicPr>
        <xdr:cNvPr id="691202" name="Picture 2">
          <a:extLst>
            <a:ext uri="{FF2B5EF4-FFF2-40B4-BE49-F238E27FC236}">
              <a16:creationId xmlns:a16="http://schemas.microsoft.com/office/drawing/2014/main" id="{00000000-0008-0000-0D00-0000028C0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95275" y="933450"/>
          <a:ext cx="6800850" cy="723900"/>
        </a:xfrm>
        <a:prstGeom prst="rect">
          <a:avLst/>
        </a:prstGeom>
        <a:noFill/>
      </xdr:spPr>
    </xdr:pic>
    <xdr:clientData/>
  </xdr:twoCellAnchor>
  <xdr:twoCellAnchor editAs="oneCell">
    <xdr:from>
      <xdr:col>1</xdr:col>
      <xdr:colOff>38100</xdr:colOff>
      <xdr:row>11</xdr:row>
      <xdr:rowOff>66675</xdr:rowOff>
    </xdr:from>
    <xdr:to>
      <xdr:col>2</xdr:col>
      <xdr:colOff>504825</xdr:colOff>
      <xdr:row>21</xdr:row>
      <xdr:rowOff>47625</xdr:rowOff>
    </xdr:to>
    <xdr:pic>
      <xdr:nvPicPr>
        <xdr:cNvPr id="691206" name="Picture 6">
          <a:extLst>
            <a:ext uri="{FF2B5EF4-FFF2-40B4-BE49-F238E27FC236}">
              <a16:creationId xmlns:a16="http://schemas.microsoft.com/office/drawing/2014/main" id="{00000000-0008-0000-0D00-0000068C0A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1952625"/>
          <a:ext cx="1152525" cy="1695450"/>
        </a:xfrm>
        <a:prstGeom prst="rect">
          <a:avLst/>
        </a:prstGeom>
        <a:noFill/>
      </xdr:spPr>
    </xdr:pic>
    <xdr:clientData/>
  </xdr:twoCellAnchor>
  <xdr:twoCellAnchor>
    <xdr:from>
      <xdr:col>3</xdr:col>
      <xdr:colOff>533401</xdr:colOff>
      <xdr:row>10</xdr:row>
      <xdr:rowOff>38100</xdr:rowOff>
    </xdr:from>
    <xdr:to>
      <xdr:col>6</xdr:col>
      <xdr:colOff>200025</xdr:colOff>
      <xdr:row>12</xdr:row>
      <xdr:rowOff>161925</xdr:rowOff>
    </xdr:to>
    <xdr:sp macro="" textlink="">
      <xdr:nvSpPr>
        <xdr:cNvPr id="5" name="テキスト ボックス 4">
          <a:extLst>
            <a:ext uri="{FF2B5EF4-FFF2-40B4-BE49-F238E27FC236}">
              <a16:creationId xmlns:a16="http://schemas.microsoft.com/office/drawing/2014/main" id="{00000000-0008-0000-0D00-000005000000}"/>
            </a:ext>
          </a:extLst>
        </xdr:cNvPr>
        <xdr:cNvSpPr txBox="1"/>
      </xdr:nvSpPr>
      <xdr:spPr>
        <a:xfrm>
          <a:off x="2590801" y="1752600"/>
          <a:ext cx="1724024"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ここの日付を変える</a:t>
          </a:r>
        </a:p>
      </xdr:txBody>
    </xdr:sp>
    <xdr:clientData/>
  </xdr:twoCellAnchor>
  <xdr:twoCellAnchor>
    <xdr:from>
      <xdr:col>4</xdr:col>
      <xdr:colOff>285750</xdr:colOff>
      <xdr:row>8</xdr:row>
      <xdr:rowOff>104776</xdr:rowOff>
    </xdr:from>
    <xdr:to>
      <xdr:col>5</xdr:col>
      <xdr:colOff>19050</xdr:colOff>
      <xdr:row>10</xdr:row>
      <xdr:rowOff>76201</xdr:rowOff>
    </xdr:to>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rot="10800000">
          <a:off x="3028950" y="1476376"/>
          <a:ext cx="419100" cy="314325"/>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28576</xdr:colOff>
      <xdr:row>8</xdr:row>
      <xdr:rowOff>114300</xdr:rowOff>
    </xdr:from>
    <xdr:to>
      <xdr:col>3</xdr:col>
      <xdr:colOff>590551</xdr:colOff>
      <xdr:row>10</xdr:row>
      <xdr:rowOff>95250</xdr:rowOff>
    </xdr:to>
    <xdr:cxnSp macro="">
      <xdr:nvCxnSpPr>
        <xdr:cNvPr id="9" name="直線矢印コネクタ 8">
          <a:extLst>
            <a:ext uri="{FF2B5EF4-FFF2-40B4-BE49-F238E27FC236}">
              <a16:creationId xmlns:a16="http://schemas.microsoft.com/office/drawing/2014/main" id="{00000000-0008-0000-0D00-000009000000}"/>
            </a:ext>
          </a:extLst>
        </xdr:cNvPr>
        <xdr:cNvCxnSpPr/>
      </xdr:nvCxnSpPr>
      <xdr:spPr bwMode="auto">
        <a:xfrm rot="10800000">
          <a:off x="2085976" y="1485900"/>
          <a:ext cx="561975" cy="3238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533401</xdr:colOff>
      <xdr:row>15</xdr:row>
      <xdr:rowOff>0</xdr:rowOff>
    </xdr:from>
    <xdr:to>
      <xdr:col>5</xdr:col>
      <xdr:colOff>514351</xdr:colOff>
      <xdr:row>17</xdr:row>
      <xdr:rowOff>123825</xdr:rowOff>
    </xdr:to>
    <xdr:sp macro="" textlink="">
      <xdr:nvSpPr>
        <xdr:cNvPr id="10" name="テキスト ボックス 9">
          <a:extLst>
            <a:ext uri="{FF2B5EF4-FFF2-40B4-BE49-F238E27FC236}">
              <a16:creationId xmlns:a16="http://schemas.microsoft.com/office/drawing/2014/main" id="{00000000-0008-0000-0D00-00000A000000}"/>
            </a:ext>
          </a:extLst>
        </xdr:cNvPr>
        <xdr:cNvSpPr txBox="1"/>
      </xdr:nvSpPr>
      <xdr:spPr>
        <a:xfrm>
          <a:off x="2590801" y="2571750"/>
          <a:ext cx="135255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自動的に変更</a:t>
          </a:r>
        </a:p>
      </xdr:txBody>
    </xdr:sp>
    <xdr:clientData/>
  </xdr:twoCellAnchor>
  <xdr:twoCellAnchor>
    <xdr:from>
      <xdr:col>3</xdr:col>
      <xdr:colOff>123825</xdr:colOff>
      <xdr:row>16</xdr:row>
      <xdr:rowOff>47625</xdr:rowOff>
    </xdr:from>
    <xdr:to>
      <xdr:col>3</xdr:col>
      <xdr:colOff>657227</xdr:colOff>
      <xdr:row>16</xdr:row>
      <xdr:rowOff>49213</xdr:rowOff>
    </xdr:to>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rot="10800000">
          <a:off x="2181225" y="2790825"/>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2</xdr:col>
      <xdr:colOff>619125</xdr:colOff>
      <xdr:row>11</xdr:row>
      <xdr:rowOff>142875</xdr:rowOff>
    </xdr:from>
    <xdr:to>
      <xdr:col>3</xdr:col>
      <xdr:colOff>66675</xdr:colOff>
      <xdr:row>20</xdr:row>
      <xdr:rowOff>123825</xdr:rowOff>
    </xdr:to>
    <xdr:sp macro="" textlink="">
      <xdr:nvSpPr>
        <xdr:cNvPr id="13" name="右中かっこ 12">
          <a:extLst>
            <a:ext uri="{FF2B5EF4-FFF2-40B4-BE49-F238E27FC236}">
              <a16:creationId xmlns:a16="http://schemas.microsoft.com/office/drawing/2014/main" id="{00000000-0008-0000-0D00-00000D000000}"/>
            </a:ext>
          </a:extLst>
        </xdr:cNvPr>
        <xdr:cNvSpPr/>
      </xdr:nvSpPr>
      <xdr:spPr bwMode="auto">
        <a:xfrm>
          <a:off x="1990725" y="2028825"/>
          <a:ext cx="133350" cy="1524000"/>
        </a:xfrm>
        <a:prstGeom prst="righ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editAs="oneCell">
    <xdr:from>
      <xdr:col>1</xdr:col>
      <xdr:colOff>38100</xdr:colOff>
      <xdr:row>24</xdr:row>
      <xdr:rowOff>123825</xdr:rowOff>
    </xdr:from>
    <xdr:to>
      <xdr:col>4</xdr:col>
      <xdr:colOff>38100</xdr:colOff>
      <xdr:row>35</xdr:row>
      <xdr:rowOff>123825</xdr:rowOff>
    </xdr:to>
    <xdr:pic>
      <xdr:nvPicPr>
        <xdr:cNvPr id="691208" name="Picture 8">
          <a:extLst>
            <a:ext uri="{FF2B5EF4-FFF2-40B4-BE49-F238E27FC236}">
              <a16:creationId xmlns:a16="http://schemas.microsoft.com/office/drawing/2014/main" id="{00000000-0008-0000-0D00-0000088C0A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23900" y="4238625"/>
          <a:ext cx="2057400" cy="1885950"/>
        </a:xfrm>
        <a:prstGeom prst="rect">
          <a:avLst/>
        </a:prstGeom>
        <a:noFill/>
      </xdr:spPr>
    </xdr:pic>
    <xdr:clientData/>
  </xdr:twoCellAnchor>
  <xdr:twoCellAnchor>
    <xdr:from>
      <xdr:col>4</xdr:col>
      <xdr:colOff>590550</xdr:colOff>
      <xdr:row>30</xdr:row>
      <xdr:rowOff>104775</xdr:rowOff>
    </xdr:from>
    <xdr:to>
      <xdr:col>9</xdr:col>
      <xdr:colOff>400049</xdr:colOff>
      <xdr:row>33</xdr:row>
      <xdr:rowOff>57150</xdr:rowOff>
    </xdr:to>
    <xdr:sp macro="" textlink="">
      <xdr:nvSpPr>
        <xdr:cNvPr id="15" name="テキスト ボックス 14">
          <a:extLst>
            <a:ext uri="{FF2B5EF4-FFF2-40B4-BE49-F238E27FC236}">
              <a16:creationId xmlns:a16="http://schemas.microsoft.com/office/drawing/2014/main" id="{00000000-0008-0000-0D00-00000F000000}"/>
            </a:ext>
          </a:extLst>
        </xdr:cNvPr>
        <xdr:cNvSpPr txBox="1"/>
      </xdr:nvSpPr>
      <xdr:spPr>
        <a:xfrm>
          <a:off x="3333750" y="5248275"/>
          <a:ext cx="323849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祝日に”○”を入れると網掛けがかかる</a:t>
          </a:r>
        </a:p>
      </xdr:txBody>
    </xdr:sp>
    <xdr:clientData/>
  </xdr:twoCellAnchor>
  <xdr:twoCellAnchor>
    <xdr:from>
      <xdr:col>4</xdr:col>
      <xdr:colOff>180975</xdr:colOff>
      <xdr:row>31</xdr:row>
      <xdr:rowOff>152400</xdr:rowOff>
    </xdr:from>
    <xdr:to>
      <xdr:col>5</xdr:col>
      <xdr:colOff>28577</xdr:colOff>
      <xdr:row>31</xdr:row>
      <xdr:rowOff>153988</xdr:rowOff>
    </xdr:to>
    <xdr:cxnSp macro="">
      <xdr:nvCxnSpPr>
        <xdr:cNvPr id="16" name="直線矢印コネクタ 15">
          <a:extLst>
            <a:ext uri="{FF2B5EF4-FFF2-40B4-BE49-F238E27FC236}">
              <a16:creationId xmlns:a16="http://schemas.microsoft.com/office/drawing/2014/main" id="{00000000-0008-0000-0D00-000010000000}"/>
            </a:ext>
          </a:extLst>
        </xdr:cNvPr>
        <xdr:cNvCxnSpPr/>
      </xdr:nvCxnSpPr>
      <xdr:spPr bwMode="auto">
        <a:xfrm rot="10800000">
          <a:off x="2924175" y="5467350"/>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editAs="oneCell">
    <xdr:from>
      <xdr:col>1</xdr:col>
      <xdr:colOff>257175</xdr:colOff>
      <xdr:row>40</xdr:row>
      <xdr:rowOff>19050</xdr:rowOff>
    </xdr:from>
    <xdr:to>
      <xdr:col>3</xdr:col>
      <xdr:colOff>333375</xdr:colOff>
      <xdr:row>43</xdr:row>
      <xdr:rowOff>38100</xdr:rowOff>
    </xdr:to>
    <xdr:pic>
      <xdr:nvPicPr>
        <xdr:cNvPr id="691210" name="Picture 10">
          <a:extLst>
            <a:ext uri="{FF2B5EF4-FFF2-40B4-BE49-F238E27FC236}">
              <a16:creationId xmlns:a16="http://schemas.microsoft.com/office/drawing/2014/main" id="{00000000-0008-0000-0D00-00000A8C0A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942975" y="6877050"/>
          <a:ext cx="1447800" cy="533400"/>
        </a:xfrm>
        <a:prstGeom prst="rect">
          <a:avLst/>
        </a:prstGeom>
        <a:noFill/>
      </xdr:spPr>
    </xdr:pic>
    <xdr:clientData/>
  </xdr:twoCellAnchor>
  <xdr:twoCellAnchor>
    <xdr:from>
      <xdr:col>2</xdr:col>
      <xdr:colOff>581025</xdr:colOff>
      <xdr:row>44</xdr:row>
      <xdr:rowOff>0</xdr:rowOff>
    </xdr:from>
    <xdr:to>
      <xdr:col>7</xdr:col>
      <xdr:colOff>257174</xdr:colOff>
      <xdr:row>46</xdr:row>
      <xdr:rowOff>123825</xdr:rowOff>
    </xdr:to>
    <xdr:sp macro="" textlink="">
      <xdr:nvSpPr>
        <xdr:cNvPr id="18" name="テキスト ボックス 17">
          <a:extLst>
            <a:ext uri="{FF2B5EF4-FFF2-40B4-BE49-F238E27FC236}">
              <a16:creationId xmlns:a16="http://schemas.microsoft.com/office/drawing/2014/main" id="{00000000-0008-0000-0D00-000012000000}"/>
            </a:ext>
          </a:extLst>
        </xdr:cNvPr>
        <xdr:cNvSpPr txBox="1"/>
      </xdr:nvSpPr>
      <xdr:spPr>
        <a:xfrm>
          <a:off x="1952625" y="7543800"/>
          <a:ext cx="310514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１１月の場合、半角で”</a:t>
          </a:r>
          <a:r>
            <a:rPr kumimoji="1" lang="en-US" altLang="ja-JP" sz="1100"/>
            <a:t>11</a:t>
          </a:r>
          <a:r>
            <a:rPr kumimoji="1" lang="ja-JP" altLang="en-US" sz="1100"/>
            <a:t>”とする</a:t>
          </a:r>
        </a:p>
      </xdr:txBody>
    </xdr:sp>
    <xdr:clientData/>
  </xdr:twoCellAnchor>
  <xdr:twoCellAnchor>
    <xdr:from>
      <xdr:col>2</xdr:col>
      <xdr:colOff>295276</xdr:colOff>
      <xdr:row>43</xdr:row>
      <xdr:rowOff>38101</xdr:rowOff>
    </xdr:from>
    <xdr:to>
      <xdr:col>3</xdr:col>
      <xdr:colOff>19053</xdr:colOff>
      <xdr:row>45</xdr:row>
      <xdr:rowOff>49214</xdr:rowOff>
    </xdr:to>
    <xdr:cxnSp macro="">
      <xdr:nvCxnSpPr>
        <xdr:cNvPr id="19" name="直線矢印コネクタ 18">
          <a:extLst>
            <a:ext uri="{FF2B5EF4-FFF2-40B4-BE49-F238E27FC236}">
              <a16:creationId xmlns:a16="http://schemas.microsoft.com/office/drawing/2014/main" id="{00000000-0008-0000-0D00-000013000000}"/>
            </a:ext>
          </a:extLst>
        </xdr:cNvPr>
        <xdr:cNvCxnSpPr>
          <a:endCxn id="691210" idx="2"/>
        </xdr:cNvCxnSpPr>
      </xdr:nvCxnSpPr>
      <xdr:spPr bwMode="auto">
        <a:xfrm rot="10800000">
          <a:off x="1666876" y="7410451"/>
          <a:ext cx="409577" cy="354013"/>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V40"/>
  <sheetViews>
    <sheetView showGridLines="0" workbookViewId="0">
      <pane ySplit="7" topLeftCell="A8" activePane="bottomLeft" state="frozen"/>
      <selection activeCell="Q34" sqref="Q34"/>
      <selection pane="bottomLeft" activeCell="D1" sqref="D1"/>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4</v>
      </c>
      <c r="G1" s="1" t="s">
        <v>1</v>
      </c>
    </row>
    <row r="2" spans="1:22" ht="21.9" customHeight="1" thickBot="1" x14ac:dyDescent="0.25"/>
    <row r="3" spans="1:22" ht="21.9" customHeight="1" thickTop="1" thickBot="1" x14ac:dyDescent="0.25">
      <c r="A3" s="74" t="s">
        <v>15</v>
      </c>
      <c r="B3" s="75"/>
      <c r="C3" s="75"/>
      <c r="D3" s="76"/>
      <c r="E3" s="77"/>
      <c r="F3" s="78"/>
      <c r="G3" s="78"/>
      <c r="H3" s="78"/>
      <c r="I3" s="78"/>
      <c r="J3" s="79"/>
      <c r="K3" s="53"/>
    </row>
    <row r="4" spans="1:22" ht="21.9" customHeight="1" thickTop="1" thickBot="1" x14ac:dyDescent="0.25">
      <c r="A4" s="74" t="s">
        <v>8</v>
      </c>
      <c r="B4" s="75"/>
      <c r="C4" s="75"/>
      <c r="D4" s="76"/>
      <c r="E4" s="77"/>
      <c r="F4" s="78"/>
      <c r="G4" s="78"/>
      <c r="H4" s="78"/>
      <c r="I4" s="78"/>
      <c r="J4" s="79"/>
      <c r="K4" s="53"/>
    </row>
    <row r="5" spans="1:22" ht="21.9" customHeight="1" thickTop="1" thickBot="1" x14ac:dyDescent="0.25">
      <c r="A5" s="80" t="s">
        <v>2</v>
      </c>
      <c r="B5" s="81"/>
      <c r="C5" s="81"/>
      <c r="D5" s="82"/>
      <c r="E5" s="77"/>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45017</v>
      </c>
      <c r="B8" s="36">
        <f>A8</f>
        <v>45017</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45018</v>
      </c>
      <c r="B9" s="37">
        <f>A9</f>
        <v>45018</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45019</v>
      </c>
      <c r="B10" s="37">
        <f t="shared" ref="B10:B37" si="4">A10</f>
        <v>45019</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45020</v>
      </c>
      <c r="B11" s="37">
        <f t="shared" si="4"/>
        <v>45020</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45021</v>
      </c>
      <c r="B12" s="37">
        <f t="shared" si="4"/>
        <v>45021</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45022</v>
      </c>
      <c r="B13" s="37">
        <f t="shared" si="4"/>
        <v>45022</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45023</v>
      </c>
      <c r="B14" s="37">
        <f t="shared" si="4"/>
        <v>45023</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45024</v>
      </c>
      <c r="B15" s="37">
        <f t="shared" si="4"/>
        <v>45024</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45025</v>
      </c>
      <c r="B16" s="37">
        <f t="shared" si="4"/>
        <v>45025</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45026</v>
      </c>
      <c r="B17" s="37">
        <f t="shared" si="4"/>
        <v>45026</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45027</v>
      </c>
      <c r="B18" s="37">
        <f t="shared" si="4"/>
        <v>45027</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45028</v>
      </c>
      <c r="B19" s="37">
        <f t="shared" si="4"/>
        <v>45028</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45029</v>
      </c>
      <c r="B20" s="37">
        <f t="shared" si="4"/>
        <v>45029</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45030</v>
      </c>
      <c r="B21" s="37">
        <f t="shared" si="4"/>
        <v>45030</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45031</v>
      </c>
      <c r="B22" s="37">
        <f t="shared" si="4"/>
        <v>45031</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45032</v>
      </c>
      <c r="B23" s="37">
        <f t="shared" si="4"/>
        <v>45032</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45033</v>
      </c>
      <c r="B24" s="37">
        <f t="shared" si="4"/>
        <v>45033</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45034</v>
      </c>
      <c r="B25" s="37">
        <f t="shared" si="4"/>
        <v>45034</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45035</v>
      </c>
      <c r="B26" s="37">
        <f t="shared" si="4"/>
        <v>45035</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45036</v>
      </c>
      <c r="B27" s="37">
        <f t="shared" si="4"/>
        <v>45036</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45037</v>
      </c>
      <c r="B28" s="37">
        <f t="shared" si="4"/>
        <v>45037</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45038</v>
      </c>
      <c r="B29" s="37">
        <f t="shared" si="4"/>
        <v>45038</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45039</v>
      </c>
      <c r="B30" s="37">
        <f t="shared" si="4"/>
        <v>45039</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45040</v>
      </c>
      <c r="B31" s="37">
        <f t="shared" si="4"/>
        <v>45040</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45041</v>
      </c>
      <c r="B32" s="37">
        <f t="shared" si="4"/>
        <v>45041</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45042</v>
      </c>
      <c r="B33" s="37">
        <f t="shared" si="4"/>
        <v>45042</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45043</v>
      </c>
      <c r="B34" s="37">
        <f t="shared" si="4"/>
        <v>45043</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45044</v>
      </c>
      <c r="B35" s="37">
        <f t="shared" si="4"/>
        <v>45044</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45045</v>
      </c>
      <c r="B36" s="37">
        <f t="shared" si="4"/>
        <v>45045</v>
      </c>
      <c r="C36" s="39">
        <f t="shared" si="1"/>
        <v>2</v>
      </c>
      <c r="D36" s="23" t="s">
        <v>28</v>
      </c>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45046</v>
      </c>
      <c r="B37" s="37">
        <f t="shared" si="4"/>
        <v>45046</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64" priority="4" stopIfTrue="1">
      <formula>$C8&gt;0</formula>
    </cfRule>
  </conditionalFormatting>
  <conditionalFormatting sqref="I25:I29">
    <cfRule type="expression" dxfId="63" priority="3" stopIfTrue="1">
      <formula>$C25&gt;0</formula>
    </cfRule>
  </conditionalFormatting>
  <conditionalFormatting sqref="I32:I36">
    <cfRule type="expression" dxfId="62" priority="2" stopIfTrue="1">
      <formula>$C32&gt;0</formula>
    </cfRule>
  </conditionalFormatting>
  <conditionalFormatting sqref="Q8:Q38">
    <cfRule type="expression" dxfId="61"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0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000-000001000000}">
      <formula1>0</formula1>
      <formula2>100</formula2>
    </dataValidation>
    <dataValidation type="whole" operator="equal" allowBlank="1" showInputMessage="1" showErrorMessage="1" error="選択されている年から変更することはできません。" sqref="T9:T18" xr:uid="{00000000-0002-0000-0000-000002000000}">
      <formula1>$J$23</formula1>
    </dataValidation>
    <dataValidation type="whole" operator="equal" allowBlank="1" showInputMessage="1" showErrorMessage="1" error="選択されている月から変更することはできません。" sqref="U9:U18" xr:uid="{00000000-0002-0000-0000-000003000000}">
      <formula1>$J$24</formula1>
    </dataValidation>
    <dataValidation type="list" showInputMessage="1" showErrorMessage="1" error="リストの中から選択してください" sqref="V9:V15" xr:uid="{00000000-0002-0000-00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V40"/>
  <sheetViews>
    <sheetView showGridLines="0" workbookViewId="0">
      <pane ySplit="7" topLeftCell="A26" activePane="bottomLeft" state="frozen"/>
      <selection activeCell="Q40" sqref="Q40"/>
      <selection pane="bottomLeft" activeCell="D1" sqref="D1"/>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5</v>
      </c>
      <c r="G1" s="1" t="s">
        <v>1</v>
      </c>
    </row>
    <row r="2" spans="1:22" ht="21.9" customHeight="1" thickBot="1" x14ac:dyDescent="0.25"/>
    <row r="3" spans="1:22" ht="21.9" customHeight="1" thickTop="1" thickBot="1" x14ac:dyDescent="0.25">
      <c r="A3" s="74" t="s">
        <v>15</v>
      </c>
      <c r="B3" s="75"/>
      <c r="C3" s="75"/>
      <c r="D3" s="76"/>
      <c r="E3" s="77"/>
      <c r="F3" s="78"/>
      <c r="G3" s="78"/>
      <c r="H3" s="78"/>
      <c r="I3" s="78"/>
      <c r="J3" s="79"/>
      <c r="K3" s="53"/>
    </row>
    <row r="4" spans="1:22" ht="21.9" customHeight="1" thickTop="1" thickBot="1" x14ac:dyDescent="0.25">
      <c r="A4" s="74" t="s">
        <v>8</v>
      </c>
      <c r="B4" s="75"/>
      <c r="C4" s="75"/>
      <c r="D4" s="76"/>
      <c r="E4" s="77"/>
      <c r="F4" s="78"/>
      <c r="G4" s="78"/>
      <c r="H4" s="78"/>
      <c r="I4" s="78"/>
      <c r="J4" s="79"/>
      <c r="K4" s="53"/>
    </row>
    <row r="5" spans="1:22" ht="21.9" customHeight="1" thickTop="1" thickBot="1" x14ac:dyDescent="0.25">
      <c r="A5" s="80" t="s">
        <v>2</v>
      </c>
      <c r="B5" s="81"/>
      <c r="C5" s="81"/>
      <c r="D5" s="82"/>
      <c r="E5" s="77"/>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45047</v>
      </c>
      <c r="B8" s="36">
        <f>A8</f>
        <v>45047</v>
      </c>
      <c r="C8" s="43">
        <f>IF(WEEKDAY(A8,2)&gt;5,1,0)+IF(D8&lt;&gt;"",1,0)</f>
        <v>0</v>
      </c>
      <c r="D8" s="23"/>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45048</v>
      </c>
      <c r="B9" s="37">
        <f>A9</f>
        <v>45048</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45049</v>
      </c>
      <c r="B10" s="37">
        <f t="shared" ref="B10:B37" si="4">A10</f>
        <v>45049</v>
      </c>
      <c r="C10" s="39">
        <f t="shared" si="1"/>
        <v>1</v>
      </c>
      <c r="D10" s="23" t="s">
        <v>34</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45050</v>
      </c>
      <c r="B11" s="37">
        <f t="shared" si="4"/>
        <v>45050</v>
      </c>
      <c r="C11" s="39">
        <f t="shared" si="1"/>
        <v>1</v>
      </c>
      <c r="D11" s="23" t="s">
        <v>30</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45051</v>
      </c>
      <c r="B12" s="37">
        <f t="shared" si="4"/>
        <v>45051</v>
      </c>
      <c r="C12" s="39">
        <f t="shared" si="1"/>
        <v>1</v>
      </c>
      <c r="D12" s="23" t="s">
        <v>29</v>
      </c>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45052</v>
      </c>
      <c r="B13" s="37">
        <f t="shared" si="4"/>
        <v>45052</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45053</v>
      </c>
      <c r="B14" s="37">
        <f t="shared" si="4"/>
        <v>45053</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45054</v>
      </c>
      <c r="B15" s="37">
        <f t="shared" si="4"/>
        <v>45054</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45055</v>
      </c>
      <c r="B16" s="37">
        <f t="shared" si="4"/>
        <v>45055</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45056</v>
      </c>
      <c r="B17" s="37">
        <f t="shared" si="4"/>
        <v>45056</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45057</v>
      </c>
      <c r="B18" s="37">
        <f t="shared" si="4"/>
        <v>45057</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45058</v>
      </c>
      <c r="B19" s="37">
        <f t="shared" si="4"/>
        <v>45058</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45059</v>
      </c>
      <c r="B20" s="37">
        <f t="shared" si="4"/>
        <v>45059</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45060</v>
      </c>
      <c r="B21" s="37">
        <f t="shared" si="4"/>
        <v>45060</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45061</v>
      </c>
      <c r="B22" s="37">
        <f t="shared" si="4"/>
        <v>45061</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45062</v>
      </c>
      <c r="B23" s="37">
        <f t="shared" si="4"/>
        <v>45062</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45063</v>
      </c>
      <c r="B24" s="37">
        <f t="shared" si="4"/>
        <v>45063</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45064</v>
      </c>
      <c r="B25" s="37">
        <f t="shared" si="4"/>
        <v>45064</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45065</v>
      </c>
      <c r="B26" s="37">
        <f t="shared" si="4"/>
        <v>45065</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45066</v>
      </c>
      <c r="B27" s="37">
        <f t="shared" si="4"/>
        <v>45066</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45067</v>
      </c>
      <c r="B28" s="37">
        <f t="shared" si="4"/>
        <v>45067</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45068</v>
      </c>
      <c r="B29" s="37">
        <f t="shared" si="4"/>
        <v>45068</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45069</v>
      </c>
      <c r="B30" s="37">
        <f t="shared" si="4"/>
        <v>45069</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45070</v>
      </c>
      <c r="B31" s="37">
        <f t="shared" si="4"/>
        <v>45070</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45071</v>
      </c>
      <c r="B32" s="37">
        <f t="shared" si="4"/>
        <v>45071</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45072</v>
      </c>
      <c r="B33" s="37">
        <f t="shared" si="4"/>
        <v>45072</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45073</v>
      </c>
      <c r="B34" s="37">
        <f t="shared" si="4"/>
        <v>45073</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45074</v>
      </c>
      <c r="B35" s="37">
        <f t="shared" si="4"/>
        <v>45074</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45075</v>
      </c>
      <c r="B36" s="37">
        <f t="shared" si="4"/>
        <v>45075</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45076</v>
      </c>
      <c r="B37" s="37">
        <f t="shared" si="4"/>
        <v>45076</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45077</v>
      </c>
      <c r="B38" s="38">
        <f>A38</f>
        <v>45077</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10:D12 D14:D38">
    <cfRule type="expression" dxfId="60" priority="7" stopIfTrue="1">
      <formula>$C8&gt;0</formula>
    </cfRule>
  </conditionalFormatting>
  <conditionalFormatting sqref="I25:I29">
    <cfRule type="expression" dxfId="59" priority="6" stopIfTrue="1">
      <formula>$C25&gt;0</formula>
    </cfRule>
  </conditionalFormatting>
  <conditionalFormatting sqref="I32:I36">
    <cfRule type="expression" dxfId="58" priority="5" stopIfTrue="1">
      <formula>$C32&gt;0</formula>
    </cfRule>
  </conditionalFormatting>
  <conditionalFormatting sqref="D8">
    <cfRule type="expression" dxfId="57" priority="4" stopIfTrue="1">
      <formula>$C8&gt;0</formula>
    </cfRule>
  </conditionalFormatting>
  <conditionalFormatting sqref="D9">
    <cfRule type="expression" dxfId="56" priority="3" stopIfTrue="1">
      <formula>$C9&gt;0</formula>
    </cfRule>
  </conditionalFormatting>
  <conditionalFormatting sqref="D13">
    <cfRule type="expression" dxfId="55" priority="2" stopIfTrue="1">
      <formula>$C13&gt;0</formula>
    </cfRule>
  </conditionalFormatting>
  <conditionalFormatting sqref="Q8:Q38">
    <cfRule type="expression" dxfId="54" priority="1" stopIfTrue="1">
      <formula>$C8&gt;0</formula>
    </cfRule>
  </conditionalFormatting>
  <dataValidations count="5">
    <dataValidation type="list" showInputMessage="1" showErrorMessage="1" error="リストの中から選択してください" sqref="V9:V15" xr:uid="{00000000-0002-0000-0100-000000000000}">
      <formula1>$S$8:$S$39</formula1>
    </dataValidation>
    <dataValidation type="whole" operator="equal" allowBlank="1" showInputMessage="1" showErrorMessage="1" error="選択されている月から変更することはできません。" sqref="U9:U18" xr:uid="{00000000-0002-0000-0100-000001000000}">
      <formula1>$J$24</formula1>
    </dataValidation>
    <dataValidation type="whole" operator="equal" allowBlank="1" showInputMessage="1" showErrorMessage="1" error="選択されている年から変更することはできません。" sqref="T9:T18" xr:uid="{00000000-0002-0000-01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1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1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V40"/>
  <sheetViews>
    <sheetView showGridLines="0" workbookViewId="0">
      <pane ySplit="7" topLeftCell="A20" activePane="bottomLeft" state="frozen"/>
      <selection activeCell="D1" sqref="D1"/>
      <selection pane="bottomLeft" activeCell="D1" sqref="D1"/>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6</v>
      </c>
      <c r="G1" s="1" t="s">
        <v>1</v>
      </c>
    </row>
    <row r="2" spans="1:22" ht="21.9" customHeight="1" thickBot="1" x14ac:dyDescent="0.25"/>
    <row r="3" spans="1:22" ht="21.9" customHeight="1" thickTop="1" thickBot="1" x14ac:dyDescent="0.25">
      <c r="A3" s="74" t="s">
        <v>15</v>
      </c>
      <c r="B3" s="75"/>
      <c r="C3" s="75"/>
      <c r="D3" s="76"/>
      <c r="E3" s="77"/>
      <c r="F3" s="78"/>
      <c r="G3" s="78"/>
      <c r="H3" s="78"/>
      <c r="I3" s="78"/>
      <c r="J3" s="79"/>
      <c r="K3" s="53"/>
    </row>
    <row r="4" spans="1:22" ht="21.9" customHeight="1" thickTop="1" thickBot="1" x14ac:dyDescent="0.25">
      <c r="A4" s="74" t="s">
        <v>8</v>
      </c>
      <c r="B4" s="75"/>
      <c r="C4" s="75"/>
      <c r="D4" s="76"/>
      <c r="E4" s="77"/>
      <c r="F4" s="78"/>
      <c r="G4" s="78"/>
      <c r="H4" s="78"/>
      <c r="I4" s="78"/>
      <c r="J4" s="79"/>
      <c r="K4" s="53"/>
    </row>
    <row r="5" spans="1:22" ht="21.9" customHeight="1" thickTop="1" thickBot="1" x14ac:dyDescent="0.25">
      <c r="A5" s="80" t="s">
        <v>2</v>
      </c>
      <c r="B5" s="81"/>
      <c r="C5" s="81"/>
      <c r="D5" s="82"/>
      <c r="E5" s="77"/>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45078</v>
      </c>
      <c r="B8" s="36">
        <f>A8</f>
        <v>45078</v>
      </c>
      <c r="C8" s="43">
        <f>IF(WEEKDAY(A8,2)&gt;5,1,0)+IF(D8&lt;&gt;"",1,0)</f>
        <v>0</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45079</v>
      </c>
      <c r="B9" s="37">
        <f>A9</f>
        <v>45079</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45080</v>
      </c>
      <c r="B10" s="37">
        <f t="shared" ref="B10:B37" si="4">A10</f>
        <v>45080</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45081</v>
      </c>
      <c r="B11" s="37">
        <f t="shared" si="4"/>
        <v>45081</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45082</v>
      </c>
      <c r="B12" s="37">
        <f t="shared" si="4"/>
        <v>45082</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45083</v>
      </c>
      <c r="B13" s="37">
        <f t="shared" si="4"/>
        <v>45083</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45084</v>
      </c>
      <c r="B14" s="37">
        <f t="shared" si="4"/>
        <v>45084</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45085</v>
      </c>
      <c r="B15" s="37">
        <f t="shared" si="4"/>
        <v>45085</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45086</v>
      </c>
      <c r="B16" s="37">
        <f t="shared" si="4"/>
        <v>45086</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45087</v>
      </c>
      <c r="B17" s="37">
        <f t="shared" si="4"/>
        <v>45087</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45088</v>
      </c>
      <c r="B18" s="37">
        <f t="shared" si="4"/>
        <v>45088</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45089</v>
      </c>
      <c r="B19" s="37">
        <f t="shared" si="4"/>
        <v>45089</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45090</v>
      </c>
      <c r="B20" s="37">
        <f t="shared" si="4"/>
        <v>45090</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45091</v>
      </c>
      <c r="B21" s="37">
        <f t="shared" si="4"/>
        <v>45091</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45092</v>
      </c>
      <c r="B22" s="37">
        <f t="shared" si="4"/>
        <v>45092</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45093</v>
      </c>
      <c r="B23" s="37">
        <f t="shared" si="4"/>
        <v>45093</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45094</v>
      </c>
      <c r="B24" s="37">
        <f t="shared" si="4"/>
        <v>45094</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45095</v>
      </c>
      <c r="B25" s="37">
        <f t="shared" si="4"/>
        <v>45095</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45096</v>
      </c>
      <c r="B26" s="37">
        <f t="shared" si="4"/>
        <v>45096</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45097</v>
      </c>
      <c r="B27" s="37">
        <f t="shared" si="4"/>
        <v>45097</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45098</v>
      </c>
      <c r="B28" s="37">
        <f t="shared" si="4"/>
        <v>45098</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45099</v>
      </c>
      <c r="B29" s="37">
        <f t="shared" si="4"/>
        <v>45099</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45100</v>
      </c>
      <c r="B30" s="37">
        <f t="shared" si="4"/>
        <v>45100</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45101</v>
      </c>
      <c r="B31" s="37">
        <f t="shared" si="4"/>
        <v>45101</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45102</v>
      </c>
      <c r="B32" s="37">
        <f t="shared" si="4"/>
        <v>45102</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45103</v>
      </c>
      <c r="B33" s="37">
        <f t="shared" si="4"/>
        <v>45103</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45104</v>
      </c>
      <c r="B34" s="37">
        <f t="shared" si="4"/>
        <v>45104</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45105</v>
      </c>
      <c r="B35" s="37">
        <f t="shared" si="4"/>
        <v>45105</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45106</v>
      </c>
      <c r="B36" s="37">
        <f t="shared" si="4"/>
        <v>45106</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45107</v>
      </c>
      <c r="B37" s="37">
        <f t="shared" si="4"/>
        <v>45107</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53" priority="4" stopIfTrue="1">
      <formula>$C8&gt;0</formula>
    </cfRule>
  </conditionalFormatting>
  <conditionalFormatting sqref="I25:I29">
    <cfRule type="expression" dxfId="52" priority="3" stopIfTrue="1">
      <formula>$C25&gt;0</formula>
    </cfRule>
  </conditionalFormatting>
  <conditionalFormatting sqref="I32:I36">
    <cfRule type="expression" dxfId="51" priority="2" stopIfTrue="1">
      <formula>$C32&gt;0</formula>
    </cfRule>
  </conditionalFormatting>
  <conditionalFormatting sqref="Q8:Q38">
    <cfRule type="expression" dxfId="50"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2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200-000001000000}">
      <formula1>0</formula1>
      <formula2>100</formula2>
    </dataValidation>
    <dataValidation type="whole" operator="equal" allowBlank="1" showInputMessage="1" showErrorMessage="1" error="選択されている年から変更することはできません。" sqref="T9:T18" xr:uid="{00000000-0002-0000-0200-000002000000}">
      <formula1>$J$23</formula1>
    </dataValidation>
    <dataValidation type="whole" operator="equal" allowBlank="1" showInputMessage="1" showErrorMessage="1" error="選択されている月から変更することはできません。" sqref="U9:U18" xr:uid="{00000000-0002-0000-0200-000003000000}">
      <formula1>$J$24</formula1>
    </dataValidation>
    <dataValidation type="list" showInputMessage="1" showErrorMessage="1" error="リストの中から選択してください" sqref="V9:V15" xr:uid="{00000000-0002-0000-02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V40"/>
  <sheetViews>
    <sheetView showGridLines="0" workbookViewId="0">
      <pane ySplit="7" topLeftCell="A32" activePane="bottomLeft" state="frozen"/>
      <selection activeCell="D1" sqref="D1"/>
      <selection pane="bottomLeft" activeCell="D25" sqref="D2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7</v>
      </c>
      <c r="G1" s="1" t="s">
        <v>1</v>
      </c>
    </row>
    <row r="2" spans="1:22" ht="21.9" customHeight="1" thickBot="1" x14ac:dyDescent="0.25"/>
    <row r="3" spans="1:22" ht="21.9" customHeight="1" thickTop="1" thickBot="1" x14ac:dyDescent="0.25">
      <c r="A3" s="74" t="s">
        <v>15</v>
      </c>
      <c r="B3" s="75"/>
      <c r="C3" s="75"/>
      <c r="D3" s="76"/>
      <c r="E3" s="77"/>
      <c r="F3" s="78"/>
      <c r="G3" s="78"/>
      <c r="H3" s="78"/>
      <c r="I3" s="78"/>
      <c r="J3" s="79"/>
      <c r="K3" s="53"/>
    </row>
    <row r="4" spans="1:22" ht="21.9" customHeight="1" thickTop="1" thickBot="1" x14ac:dyDescent="0.25">
      <c r="A4" s="74" t="s">
        <v>8</v>
      </c>
      <c r="B4" s="75"/>
      <c r="C4" s="75"/>
      <c r="D4" s="76"/>
      <c r="E4" s="77"/>
      <c r="F4" s="78"/>
      <c r="G4" s="78"/>
      <c r="H4" s="78"/>
      <c r="I4" s="78"/>
      <c r="J4" s="79"/>
      <c r="K4" s="53"/>
    </row>
    <row r="5" spans="1:22" ht="21.9" customHeight="1" thickTop="1" thickBot="1" x14ac:dyDescent="0.25">
      <c r="A5" s="80" t="s">
        <v>2</v>
      </c>
      <c r="B5" s="81"/>
      <c r="C5" s="81"/>
      <c r="D5" s="82"/>
      <c r="E5" s="77"/>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45108</v>
      </c>
      <c r="B8" s="36">
        <f>A8</f>
        <v>45108</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45109</v>
      </c>
      <c r="B9" s="37">
        <f>A9</f>
        <v>45109</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45110</v>
      </c>
      <c r="B10" s="37">
        <f t="shared" ref="B10:B37" si="4">A10</f>
        <v>45110</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45111</v>
      </c>
      <c r="B11" s="37">
        <f t="shared" si="4"/>
        <v>45111</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45112</v>
      </c>
      <c r="B12" s="37">
        <f t="shared" si="4"/>
        <v>45112</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45113</v>
      </c>
      <c r="B13" s="37">
        <f t="shared" si="4"/>
        <v>45113</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45114</v>
      </c>
      <c r="B14" s="37">
        <f t="shared" si="4"/>
        <v>45114</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45115</v>
      </c>
      <c r="B15" s="37">
        <f t="shared" si="4"/>
        <v>45115</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45116</v>
      </c>
      <c r="B16" s="37">
        <f t="shared" si="4"/>
        <v>45116</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45117</v>
      </c>
      <c r="B17" s="37">
        <f t="shared" si="4"/>
        <v>45117</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45118</v>
      </c>
      <c r="B18" s="37">
        <f t="shared" si="4"/>
        <v>45118</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45119</v>
      </c>
      <c r="B19" s="37">
        <f t="shared" si="4"/>
        <v>45119</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45120</v>
      </c>
      <c r="B20" s="37">
        <f t="shared" si="4"/>
        <v>45120</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45121</v>
      </c>
      <c r="B21" s="37">
        <f t="shared" si="4"/>
        <v>45121</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45122</v>
      </c>
      <c r="B22" s="37">
        <f t="shared" si="4"/>
        <v>45122</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45123</v>
      </c>
      <c r="B23" s="37">
        <f t="shared" si="4"/>
        <v>45123</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45124</v>
      </c>
      <c r="B24" s="37">
        <f t="shared" si="4"/>
        <v>45124</v>
      </c>
      <c r="C24" s="39">
        <f t="shared" si="1"/>
        <v>1</v>
      </c>
      <c r="D24" s="23" t="s">
        <v>39</v>
      </c>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45125</v>
      </c>
      <c r="B25" s="37">
        <f t="shared" si="4"/>
        <v>45125</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45126</v>
      </c>
      <c r="B26" s="37">
        <f t="shared" si="4"/>
        <v>45126</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45127</v>
      </c>
      <c r="B27" s="37">
        <f t="shared" si="4"/>
        <v>45127</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45128</v>
      </c>
      <c r="B28" s="37">
        <f t="shared" si="4"/>
        <v>45128</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45129</v>
      </c>
      <c r="B29" s="37">
        <f t="shared" si="4"/>
        <v>45129</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45130</v>
      </c>
      <c r="B30" s="37">
        <f t="shared" si="4"/>
        <v>45130</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45131</v>
      </c>
      <c r="B31" s="37">
        <f t="shared" si="4"/>
        <v>45131</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45132</v>
      </c>
      <c r="B32" s="37">
        <f t="shared" si="4"/>
        <v>45132</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45133</v>
      </c>
      <c r="B33" s="37">
        <f t="shared" si="4"/>
        <v>45133</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45134</v>
      </c>
      <c r="B34" s="37">
        <f t="shared" si="4"/>
        <v>45134</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45135</v>
      </c>
      <c r="B35" s="37">
        <f t="shared" si="4"/>
        <v>45135</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45136</v>
      </c>
      <c r="B36" s="37">
        <f t="shared" si="4"/>
        <v>45136</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45137</v>
      </c>
      <c r="B37" s="37">
        <f t="shared" si="4"/>
        <v>45137</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45138</v>
      </c>
      <c r="B38" s="38">
        <f>A38</f>
        <v>45138</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21 D23:D38">
    <cfRule type="expression" dxfId="49" priority="5" stopIfTrue="1">
      <formula>$C8&gt;0</formula>
    </cfRule>
  </conditionalFormatting>
  <conditionalFormatting sqref="I25:I29">
    <cfRule type="expression" dxfId="48" priority="4" stopIfTrue="1">
      <formula>$C25&gt;0</formula>
    </cfRule>
  </conditionalFormatting>
  <conditionalFormatting sqref="I32:I36">
    <cfRule type="expression" dxfId="47" priority="3" stopIfTrue="1">
      <formula>$C32&gt;0</formula>
    </cfRule>
  </conditionalFormatting>
  <conditionalFormatting sqref="D22">
    <cfRule type="expression" dxfId="46" priority="2" stopIfTrue="1">
      <formula>$C22&gt;0</formula>
    </cfRule>
  </conditionalFormatting>
  <conditionalFormatting sqref="Q8:Q38">
    <cfRule type="expression" dxfId="45" priority="1" stopIfTrue="1">
      <formula>$C8&gt;0</formula>
    </cfRule>
  </conditionalFormatting>
  <dataValidations count="5">
    <dataValidation type="list" showInputMessage="1" showErrorMessage="1" error="リストの中から選択してください" sqref="V9:V15" xr:uid="{00000000-0002-0000-0300-000000000000}">
      <formula1>$S$8:$S$39</formula1>
    </dataValidation>
    <dataValidation type="whole" operator="equal" allowBlank="1" showInputMessage="1" showErrorMessage="1" error="選択されている月から変更することはできません。" sqref="U9:U18" xr:uid="{00000000-0002-0000-0300-000001000000}">
      <formula1>$J$24</formula1>
    </dataValidation>
    <dataValidation type="whole" operator="equal" allowBlank="1" showInputMessage="1" showErrorMessage="1" error="選択されている年から変更することはできません。" sqref="T9:T18" xr:uid="{00000000-0002-0000-03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3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3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V40"/>
  <sheetViews>
    <sheetView showGridLines="0" workbookViewId="0">
      <pane ySplit="7" topLeftCell="A32" activePane="bottomLeft" state="frozen"/>
      <selection activeCell="D1" sqref="D1"/>
      <selection pane="bottomLeft" activeCell="L4" sqref="L4"/>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8</v>
      </c>
      <c r="G1" s="1" t="s">
        <v>1</v>
      </c>
    </row>
    <row r="2" spans="1:22" ht="21.9" customHeight="1" thickBot="1" x14ac:dyDescent="0.25"/>
    <row r="3" spans="1:22" ht="21.9" customHeight="1" thickTop="1" thickBot="1" x14ac:dyDescent="0.25">
      <c r="A3" s="74" t="s">
        <v>15</v>
      </c>
      <c r="B3" s="75"/>
      <c r="C3" s="75"/>
      <c r="D3" s="76"/>
      <c r="E3" s="77"/>
      <c r="F3" s="78"/>
      <c r="G3" s="78"/>
      <c r="H3" s="78"/>
      <c r="I3" s="78"/>
      <c r="J3" s="79"/>
      <c r="K3" s="53"/>
    </row>
    <row r="4" spans="1:22" ht="21.9" customHeight="1" thickTop="1" thickBot="1" x14ac:dyDescent="0.25">
      <c r="A4" s="74" t="s">
        <v>8</v>
      </c>
      <c r="B4" s="75"/>
      <c r="C4" s="75"/>
      <c r="D4" s="76"/>
      <c r="E4" s="77"/>
      <c r="F4" s="78"/>
      <c r="G4" s="78"/>
      <c r="H4" s="78"/>
      <c r="I4" s="78"/>
      <c r="J4" s="79"/>
      <c r="K4" s="53"/>
    </row>
    <row r="5" spans="1:22" ht="21.9" customHeight="1" thickTop="1" thickBot="1" x14ac:dyDescent="0.25">
      <c r="A5" s="80" t="s">
        <v>2</v>
      </c>
      <c r="B5" s="81"/>
      <c r="C5" s="81"/>
      <c r="D5" s="82"/>
      <c r="E5" s="77"/>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45139</v>
      </c>
      <c r="B8" s="36">
        <f>A8</f>
        <v>45139</v>
      </c>
      <c r="C8" s="43">
        <f>IF(WEEKDAY(A8,2)&gt;5,1,0)+IF(D8&lt;&gt;"",1,0)</f>
        <v>0</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45140</v>
      </c>
      <c r="B9" s="37">
        <f>A9</f>
        <v>45140</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45141</v>
      </c>
      <c r="B10" s="37">
        <f t="shared" ref="B10:B37" si="4">A10</f>
        <v>45141</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45142</v>
      </c>
      <c r="B11" s="37">
        <f t="shared" si="4"/>
        <v>45142</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45143</v>
      </c>
      <c r="B12" s="37">
        <f t="shared" si="4"/>
        <v>45143</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45144</v>
      </c>
      <c r="B13" s="37">
        <f t="shared" si="4"/>
        <v>45144</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45145</v>
      </c>
      <c r="B14" s="37">
        <f t="shared" si="4"/>
        <v>45145</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45146</v>
      </c>
      <c r="B15" s="37">
        <f t="shared" si="4"/>
        <v>45146</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45147</v>
      </c>
      <c r="B16" s="37">
        <f t="shared" si="4"/>
        <v>45147</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45148</v>
      </c>
      <c r="B17" s="37">
        <f t="shared" si="4"/>
        <v>45148</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45149</v>
      </c>
      <c r="B18" s="37">
        <f t="shared" si="4"/>
        <v>45149</v>
      </c>
      <c r="C18" s="39">
        <f t="shared" si="1"/>
        <v>1</v>
      </c>
      <c r="D18" s="23" t="s">
        <v>37</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45150</v>
      </c>
      <c r="B19" s="37">
        <f t="shared" si="4"/>
        <v>45150</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45151</v>
      </c>
      <c r="B20" s="37">
        <f t="shared" si="4"/>
        <v>45151</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45152</v>
      </c>
      <c r="B21" s="37">
        <f t="shared" si="4"/>
        <v>45152</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45153</v>
      </c>
      <c r="B22" s="37">
        <f t="shared" si="4"/>
        <v>45153</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45154</v>
      </c>
      <c r="B23" s="37">
        <f t="shared" si="4"/>
        <v>45154</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45155</v>
      </c>
      <c r="B24" s="37">
        <f t="shared" si="4"/>
        <v>45155</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45156</v>
      </c>
      <c r="B25" s="37">
        <f t="shared" si="4"/>
        <v>45156</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45157</v>
      </c>
      <c r="B26" s="37">
        <f t="shared" si="4"/>
        <v>45157</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45158</v>
      </c>
      <c r="B27" s="37">
        <f t="shared" si="4"/>
        <v>45158</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45159</v>
      </c>
      <c r="B28" s="37">
        <f t="shared" si="4"/>
        <v>45159</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45160</v>
      </c>
      <c r="B29" s="37">
        <f t="shared" si="4"/>
        <v>45160</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45161</v>
      </c>
      <c r="B30" s="37">
        <f t="shared" si="4"/>
        <v>45161</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45162</v>
      </c>
      <c r="B31" s="37">
        <f t="shared" si="4"/>
        <v>45162</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45163</v>
      </c>
      <c r="B32" s="37">
        <f t="shared" si="4"/>
        <v>45163</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45164</v>
      </c>
      <c r="B33" s="37">
        <f t="shared" si="4"/>
        <v>45164</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45165</v>
      </c>
      <c r="B34" s="37">
        <f t="shared" si="4"/>
        <v>45165</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45166</v>
      </c>
      <c r="B35" s="37">
        <f t="shared" si="4"/>
        <v>45166</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45167</v>
      </c>
      <c r="B36" s="37">
        <f t="shared" si="4"/>
        <v>45167</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45168</v>
      </c>
      <c r="B37" s="37">
        <f t="shared" si="4"/>
        <v>45168</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45169</v>
      </c>
      <c r="B38" s="38">
        <f>A38</f>
        <v>45169</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18 D20:D38">
    <cfRule type="expression" dxfId="44" priority="5" stopIfTrue="1">
      <formula>$C8&gt;0</formula>
    </cfRule>
  </conditionalFormatting>
  <conditionalFormatting sqref="I25:I29">
    <cfRule type="expression" dxfId="43" priority="4" stopIfTrue="1">
      <formula>$C25&gt;0</formula>
    </cfRule>
  </conditionalFormatting>
  <conditionalFormatting sqref="I32:I36">
    <cfRule type="expression" dxfId="42" priority="3" stopIfTrue="1">
      <formula>$C32&gt;0</formula>
    </cfRule>
  </conditionalFormatting>
  <conditionalFormatting sqref="D19">
    <cfRule type="expression" dxfId="41" priority="2" stopIfTrue="1">
      <formula>$C19&gt;0</formula>
    </cfRule>
  </conditionalFormatting>
  <conditionalFormatting sqref="Q8:Q38">
    <cfRule type="expression" dxfId="40"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4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400-000001000000}">
      <formula1>0</formula1>
      <formula2>100</formula2>
    </dataValidation>
    <dataValidation type="whole" operator="equal" allowBlank="1" showInputMessage="1" showErrorMessage="1" error="選択されている年から変更することはできません。" sqref="T9:T18" xr:uid="{00000000-0002-0000-0400-000002000000}">
      <formula1>$J$23</formula1>
    </dataValidation>
    <dataValidation type="whole" operator="equal" allowBlank="1" showInputMessage="1" showErrorMessage="1" error="選択されている月から変更することはできません。" sqref="U9:U18" xr:uid="{00000000-0002-0000-0400-000003000000}">
      <formula1>$J$24</formula1>
    </dataValidation>
    <dataValidation type="list" showInputMessage="1" showErrorMessage="1" error="リストの中から選択してください" sqref="V9:V15" xr:uid="{00000000-0002-0000-04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V40"/>
  <sheetViews>
    <sheetView showGridLines="0" workbookViewId="0">
      <pane ySplit="7" topLeftCell="A29" activePane="bottomLeft" state="frozen"/>
      <selection activeCell="D1" sqref="D1"/>
      <selection pane="bottomLeft" activeCell="D26" sqref="D26"/>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9</v>
      </c>
      <c r="G1" s="1" t="s">
        <v>1</v>
      </c>
    </row>
    <row r="2" spans="1:22" ht="21.9" customHeight="1" thickBot="1" x14ac:dyDescent="0.25"/>
    <row r="3" spans="1:22" ht="21.9" customHeight="1" thickTop="1" thickBot="1" x14ac:dyDescent="0.25">
      <c r="A3" s="74" t="s">
        <v>15</v>
      </c>
      <c r="B3" s="75"/>
      <c r="C3" s="75"/>
      <c r="D3" s="76"/>
      <c r="E3" s="77"/>
      <c r="F3" s="78"/>
      <c r="G3" s="78"/>
      <c r="H3" s="78"/>
      <c r="I3" s="78"/>
      <c r="J3" s="79"/>
      <c r="K3" s="53"/>
    </row>
    <row r="4" spans="1:22" ht="21.9" customHeight="1" thickTop="1" thickBot="1" x14ac:dyDescent="0.25">
      <c r="A4" s="74" t="s">
        <v>8</v>
      </c>
      <c r="B4" s="75"/>
      <c r="C4" s="75"/>
      <c r="D4" s="76"/>
      <c r="E4" s="77"/>
      <c r="F4" s="78"/>
      <c r="G4" s="78"/>
      <c r="H4" s="78"/>
      <c r="I4" s="78"/>
      <c r="J4" s="79"/>
      <c r="K4" s="53"/>
    </row>
    <row r="5" spans="1:22" ht="21.9" customHeight="1" thickTop="1" thickBot="1" x14ac:dyDescent="0.25">
      <c r="A5" s="80" t="s">
        <v>2</v>
      </c>
      <c r="B5" s="81"/>
      <c r="C5" s="81"/>
      <c r="D5" s="82"/>
      <c r="E5" s="77"/>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45170</v>
      </c>
      <c r="B8" s="36">
        <f>A8</f>
        <v>45170</v>
      </c>
      <c r="C8" s="43">
        <f>IF(WEEKDAY(A8,2)&gt;5,1,0)+IF(D8&lt;&gt;"",1,0)</f>
        <v>0</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45171</v>
      </c>
      <c r="B9" s="37">
        <f>A9</f>
        <v>45171</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45172</v>
      </c>
      <c r="B10" s="37">
        <f t="shared" ref="B10:B37" si="4">A10</f>
        <v>45172</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45173</v>
      </c>
      <c r="B11" s="37">
        <f t="shared" si="4"/>
        <v>45173</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45174</v>
      </c>
      <c r="B12" s="37">
        <f t="shared" si="4"/>
        <v>45174</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45175</v>
      </c>
      <c r="B13" s="37">
        <f t="shared" si="4"/>
        <v>45175</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45176</v>
      </c>
      <c r="B14" s="37">
        <f t="shared" si="4"/>
        <v>45176</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45177</v>
      </c>
      <c r="B15" s="37">
        <f t="shared" si="4"/>
        <v>45177</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45178</v>
      </c>
      <c r="B16" s="37">
        <f t="shared" si="4"/>
        <v>45178</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45179</v>
      </c>
      <c r="B17" s="37">
        <f t="shared" si="4"/>
        <v>45179</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45180</v>
      </c>
      <c r="B18" s="37">
        <f t="shared" si="4"/>
        <v>45180</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45181</v>
      </c>
      <c r="B19" s="37">
        <f t="shared" si="4"/>
        <v>45181</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45182</v>
      </c>
      <c r="B20" s="37">
        <f t="shared" si="4"/>
        <v>45182</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45183</v>
      </c>
      <c r="B21" s="37">
        <f t="shared" si="4"/>
        <v>45183</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45184</v>
      </c>
      <c r="B22" s="37">
        <f t="shared" si="4"/>
        <v>45184</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45185</v>
      </c>
      <c r="B23" s="37">
        <f t="shared" si="4"/>
        <v>45185</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45186</v>
      </c>
      <c r="B24" s="37">
        <f t="shared" si="4"/>
        <v>45186</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45187</v>
      </c>
      <c r="B25" s="37">
        <f t="shared" si="4"/>
        <v>45187</v>
      </c>
      <c r="C25" s="39">
        <f t="shared" si="1"/>
        <v>1</v>
      </c>
      <c r="D25" s="23" t="s">
        <v>39</v>
      </c>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45188</v>
      </c>
      <c r="B26" s="37">
        <f t="shared" si="4"/>
        <v>45188</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45189</v>
      </c>
      <c r="B27" s="37">
        <f t="shared" si="4"/>
        <v>45189</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45190</v>
      </c>
      <c r="B28" s="37">
        <f t="shared" si="4"/>
        <v>45190</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45191</v>
      </c>
      <c r="B29" s="37">
        <f t="shared" si="4"/>
        <v>45191</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45192</v>
      </c>
      <c r="B30" s="37">
        <f t="shared" si="4"/>
        <v>45192</v>
      </c>
      <c r="C30" s="39">
        <f t="shared" si="1"/>
        <v>2</v>
      </c>
      <c r="D30" s="23" t="s">
        <v>35</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45193</v>
      </c>
      <c r="B31" s="37">
        <f t="shared" si="4"/>
        <v>45193</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45194</v>
      </c>
      <c r="B32" s="37">
        <f t="shared" si="4"/>
        <v>45194</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45195</v>
      </c>
      <c r="B33" s="37">
        <f t="shared" si="4"/>
        <v>45195</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45196</v>
      </c>
      <c r="B34" s="37">
        <f t="shared" si="4"/>
        <v>45196</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45197</v>
      </c>
      <c r="B35" s="37">
        <f t="shared" si="4"/>
        <v>45197</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45198</v>
      </c>
      <c r="B36" s="37">
        <f t="shared" si="4"/>
        <v>45198</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45199</v>
      </c>
      <c r="B37" s="37">
        <f t="shared" si="4"/>
        <v>45199</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24:D27 D8:D22 D31:D38">
    <cfRule type="expression" dxfId="39" priority="8" stopIfTrue="1">
      <formula>$C8&gt;0</formula>
    </cfRule>
  </conditionalFormatting>
  <conditionalFormatting sqref="I25:I29">
    <cfRule type="expression" dxfId="38" priority="7" stopIfTrue="1">
      <formula>$C25&gt;0</formula>
    </cfRule>
  </conditionalFormatting>
  <conditionalFormatting sqref="I32:I36">
    <cfRule type="expression" dxfId="37" priority="6" stopIfTrue="1">
      <formula>$C32&gt;0</formula>
    </cfRule>
  </conditionalFormatting>
  <conditionalFormatting sqref="D28">
    <cfRule type="expression" dxfId="36" priority="5" stopIfTrue="1">
      <formula>$C28&gt;0</formula>
    </cfRule>
  </conditionalFormatting>
  <conditionalFormatting sqref="D29">
    <cfRule type="expression" dxfId="35" priority="4" stopIfTrue="1">
      <formula>$C29&gt;0</formula>
    </cfRule>
  </conditionalFormatting>
  <conditionalFormatting sqref="D23">
    <cfRule type="expression" dxfId="34" priority="3" stopIfTrue="1">
      <formula>$C23&gt;0</formula>
    </cfRule>
  </conditionalFormatting>
  <conditionalFormatting sqref="D30">
    <cfRule type="expression" dxfId="33" priority="2" stopIfTrue="1">
      <formula>$C30&gt;0</formula>
    </cfRule>
  </conditionalFormatting>
  <conditionalFormatting sqref="Q8:Q38">
    <cfRule type="expression" dxfId="32"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5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500-000001000000}">
      <formula1>0</formula1>
      <formula2>100</formula2>
    </dataValidation>
    <dataValidation type="whole" operator="equal" allowBlank="1" showInputMessage="1" showErrorMessage="1" error="選択されている年から変更することはできません。" sqref="T9:T18" xr:uid="{00000000-0002-0000-0500-000002000000}">
      <formula1>$J$23</formula1>
    </dataValidation>
    <dataValidation type="whole" operator="equal" allowBlank="1" showInputMessage="1" showErrorMessage="1" error="選択されている月から変更することはできません。" sqref="U9:U18" xr:uid="{00000000-0002-0000-0500-000003000000}">
      <formula1>$J$24</formula1>
    </dataValidation>
    <dataValidation type="list" showInputMessage="1" showErrorMessage="1" error="リストの中から選択してください" sqref="V9:V15" xr:uid="{00000000-0002-0000-05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V40"/>
  <sheetViews>
    <sheetView showGridLines="0" workbookViewId="0">
      <pane ySplit="7" topLeftCell="A29" activePane="bottomLeft" state="frozen"/>
      <selection activeCell="D1" sqref="D1"/>
      <selection pane="bottomLeft" activeCell="D17" sqref="D17"/>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10</v>
      </c>
      <c r="G1" s="1" t="s">
        <v>1</v>
      </c>
    </row>
    <row r="2" spans="1:22" ht="21.9" customHeight="1" thickBot="1" x14ac:dyDescent="0.25"/>
    <row r="3" spans="1:22" ht="21.9" customHeight="1" thickTop="1" thickBot="1" x14ac:dyDescent="0.25">
      <c r="A3" s="74" t="s">
        <v>15</v>
      </c>
      <c r="B3" s="75"/>
      <c r="C3" s="75"/>
      <c r="D3" s="76"/>
      <c r="E3" s="77"/>
      <c r="F3" s="78"/>
      <c r="G3" s="78"/>
      <c r="H3" s="78"/>
      <c r="I3" s="78"/>
      <c r="J3" s="79"/>
      <c r="K3" s="53"/>
    </row>
    <row r="4" spans="1:22" ht="21.9" customHeight="1" thickTop="1" thickBot="1" x14ac:dyDescent="0.25">
      <c r="A4" s="74" t="s">
        <v>8</v>
      </c>
      <c r="B4" s="75"/>
      <c r="C4" s="75"/>
      <c r="D4" s="76"/>
      <c r="E4" s="77"/>
      <c r="F4" s="78"/>
      <c r="G4" s="78"/>
      <c r="H4" s="78"/>
      <c r="I4" s="78"/>
      <c r="J4" s="79"/>
      <c r="K4" s="53"/>
    </row>
    <row r="5" spans="1:22" ht="21.9" customHeight="1" thickTop="1" thickBot="1" x14ac:dyDescent="0.25">
      <c r="A5" s="80" t="s">
        <v>2</v>
      </c>
      <c r="B5" s="81"/>
      <c r="C5" s="81"/>
      <c r="D5" s="82"/>
      <c r="E5" s="77"/>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45200</v>
      </c>
      <c r="B8" s="36">
        <f>A8</f>
        <v>45200</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45201</v>
      </c>
      <c r="B9" s="37">
        <f>A9</f>
        <v>45201</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45202</v>
      </c>
      <c r="B10" s="37">
        <f t="shared" ref="B10:B37" si="4">A10</f>
        <v>45202</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45203</v>
      </c>
      <c r="B11" s="37">
        <f t="shared" si="4"/>
        <v>45203</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45204</v>
      </c>
      <c r="B12" s="37">
        <f t="shared" si="4"/>
        <v>45204</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45205</v>
      </c>
      <c r="B13" s="37">
        <f t="shared" si="4"/>
        <v>45205</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45206</v>
      </c>
      <c r="B14" s="37">
        <f t="shared" si="4"/>
        <v>45206</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45207</v>
      </c>
      <c r="B15" s="37">
        <f t="shared" si="4"/>
        <v>45207</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45208</v>
      </c>
      <c r="B16" s="37">
        <f t="shared" si="4"/>
        <v>45208</v>
      </c>
      <c r="C16" s="39">
        <f t="shared" si="1"/>
        <v>1</v>
      </c>
      <c r="D16" s="23" t="s">
        <v>39</v>
      </c>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45209</v>
      </c>
      <c r="B17" s="37">
        <f t="shared" si="4"/>
        <v>45209</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45210</v>
      </c>
      <c r="B18" s="37">
        <f t="shared" si="4"/>
        <v>45210</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45211</v>
      </c>
      <c r="B19" s="37">
        <f t="shared" si="4"/>
        <v>45211</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45212</v>
      </c>
      <c r="B20" s="37">
        <f t="shared" si="4"/>
        <v>45212</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45213</v>
      </c>
      <c r="B21" s="37">
        <f t="shared" si="4"/>
        <v>45213</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45214</v>
      </c>
      <c r="B22" s="37">
        <f t="shared" si="4"/>
        <v>45214</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45215</v>
      </c>
      <c r="B23" s="37">
        <f t="shared" si="4"/>
        <v>45215</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45216</v>
      </c>
      <c r="B24" s="37">
        <f t="shared" si="4"/>
        <v>45216</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45217</v>
      </c>
      <c r="B25" s="37">
        <f t="shared" si="4"/>
        <v>45217</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45218</v>
      </c>
      <c r="B26" s="37">
        <f t="shared" si="4"/>
        <v>45218</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45219</v>
      </c>
      <c r="B27" s="37">
        <f t="shared" si="4"/>
        <v>45219</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45220</v>
      </c>
      <c r="B28" s="37">
        <f t="shared" si="4"/>
        <v>45220</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45221</v>
      </c>
      <c r="B29" s="37">
        <f t="shared" si="4"/>
        <v>45221</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45222</v>
      </c>
      <c r="B30" s="37">
        <f t="shared" si="4"/>
        <v>45222</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45223</v>
      </c>
      <c r="B31" s="37">
        <f t="shared" si="4"/>
        <v>45223</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45224</v>
      </c>
      <c r="B32" s="37">
        <f t="shared" si="4"/>
        <v>45224</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45225</v>
      </c>
      <c r="B33" s="37">
        <f t="shared" si="4"/>
        <v>45225</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45226</v>
      </c>
      <c r="B34" s="37">
        <f t="shared" si="4"/>
        <v>45226</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45227</v>
      </c>
      <c r="B35" s="37">
        <f t="shared" si="4"/>
        <v>45227</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45228</v>
      </c>
      <c r="B36" s="37">
        <f t="shared" si="4"/>
        <v>45228</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45229</v>
      </c>
      <c r="B37" s="37">
        <f t="shared" si="4"/>
        <v>45229</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45230</v>
      </c>
      <c r="B38" s="38">
        <f>A38</f>
        <v>45230</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18 D20 D22:D38">
    <cfRule type="expression" dxfId="31" priority="6" stopIfTrue="1">
      <formula>$C8&gt;0</formula>
    </cfRule>
  </conditionalFormatting>
  <conditionalFormatting sqref="I25:I29">
    <cfRule type="expression" dxfId="30" priority="5" stopIfTrue="1">
      <formula>$C25&gt;0</formula>
    </cfRule>
  </conditionalFormatting>
  <conditionalFormatting sqref="I32:I36">
    <cfRule type="expression" dxfId="29" priority="4" stopIfTrue="1">
      <formula>$C32&gt;0</formula>
    </cfRule>
  </conditionalFormatting>
  <conditionalFormatting sqref="D19">
    <cfRule type="expression" dxfId="28" priority="3" stopIfTrue="1">
      <formula>$C19&gt;0</formula>
    </cfRule>
  </conditionalFormatting>
  <conditionalFormatting sqref="D21">
    <cfRule type="expression" dxfId="27" priority="2" stopIfTrue="1">
      <formula>$C21&gt;0</formula>
    </cfRule>
  </conditionalFormatting>
  <conditionalFormatting sqref="Q8:Q38">
    <cfRule type="expression" dxfId="26" priority="1" stopIfTrue="1">
      <formula>$C8&gt;0</formula>
    </cfRule>
  </conditionalFormatting>
  <dataValidations count="5">
    <dataValidation type="list" showInputMessage="1" showErrorMessage="1" error="リストの中から選択してください" sqref="V9:V15" xr:uid="{00000000-0002-0000-0600-000000000000}">
      <formula1>$S$8:$S$39</formula1>
    </dataValidation>
    <dataValidation type="whole" operator="equal" allowBlank="1" showInputMessage="1" showErrorMessage="1" error="選択されている月から変更することはできません。" sqref="U9:U18" xr:uid="{00000000-0002-0000-0600-000001000000}">
      <formula1>$J$24</formula1>
    </dataValidation>
    <dataValidation type="whole" operator="equal" allowBlank="1" showInputMessage="1" showErrorMessage="1" error="選択されている年から変更することはできません。" sqref="T9:T18" xr:uid="{00000000-0002-0000-06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6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6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pageSetUpPr fitToPage="1"/>
  </sheetPr>
  <dimension ref="A1:V40"/>
  <sheetViews>
    <sheetView showGridLines="0" workbookViewId="0">
      <pane ySplit="7" topLeftCell="A23" activePane="bottomLeft" state="frozen"/>
      <selection activeCell="D1" sqref="D1"/>
      <selection pane="bottomLeft" activeCell="D1" sqref="D1"/>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11</v>
      </c>
      <c r="G1" s="1" t="s">
        <v>1</v>
      </c>
    </row>
    <row r="2" spans="1:22" ht="21.9" customHeight="1" thickBot="1" x14ac:dyDescent="0.25"/>
    <row r="3" spans="1:22" ht="21.9" customHeight="1" thickTop="1" thickBot="1" x14ac:dyDescent="0.25">
      <c r="A3" s="74" t="s">
        <v>15</v>
      </c>
      <c r="B3" s="75"/>
      <c r="C3" s="75"/>
      <c r="D3" s="76"/>
      <c r="E3" s="77"/>
      <c r="F3" s="78"/>
      <c r="G3" s="78"/>
      <c r="H3" s="78"/>
      <c r="I3" s="78"/>
      <c r="J3" s="79"/>
      <c r="K3" s="53"/>
    </row>
    <row r="4" spans="1:22" ht="21.9" customHeight="1" thickTop="1" thickBot="1" x14ac:dyDescent="0.25">
      <c r="A4" s="74" t="s">
        <v>8</v>
      </c>
      <c r="B4" s="75"/>
      <c r="C4" s="75"/>
      <c r="D4" s="76"/>
      <c r="E4" s="77"/>
      <c r="F4" s="78"/>
      <c r="G4" s="78"/>
      <c r="H4" s="78"/>
      <c r="I4" s="78"/>
      <c r="J4" s="79"/>
      <c r="K4" s="53"/>
    </row>
    <row r="5" spans="1:22" ht="21.9" customHeight="1" thickTop="1" thickBot="1" x14ac:dyDescent="0.25">
      <c r="A5" s="80" t="s">
        <v>2</v>
      </c>
      <c r="B5" s="81"/>
      <c r="C5" s="81"/>
      <c r="D5" s="82"/>
      <c r="E5" s="77"/>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45231</v>
      </c>
      <c r="B8" s="36">
        <f>A8</f>
        <v>45231</v>
      </c>
      <c r="C8" s="43">
        <f>IF(WEEKDAY(A8,2)&gt;5,1,0)+IF(D8&lt;&gt;"",1,0)</f>
        <v>0</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45232</v>
      </c>
      <c r="B9" s="37">
        <f>A9</f>
        <v>45232</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45233</v>
      </c>
      <c r="B10" s="37">
        <f t="shared" ref="B10:B37" si="4">A10</f>
        <v>45233</v>
      </c>
      <c r="C10" s="39">
        <f t="shared" si="1"/>
        <v>1</v>
      </c>
      <c r="D10" s="23" t="s">
        <v>31</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45234</v>
      </c>
      <c r="B11" s="37">
        <f t="shared" si="4"/>
        <v>45234</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45235</v>
      </c>
      <c r="B12" s="37">
        <f t="shared" si="4"/>
        <v>45235</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45236</v>
      </c>
      <c r="B13" s="37">
        <f t="shared" si="4"/>
        <v>45236</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45237</v>
      </c>
      <c r="B14" s="37">
        <f t="shared" si="4"/>
        <v>45237</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45238</v>
      </c>
      <c r="B15" s="37">
        <f t="shared" si="4"/>
        <v>45238</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45239</v>
      </c>
      <c r="B16" s="37">
        <f t="shared" si="4"/>
        <v>45239</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45240</v>
      </c>
      <c r="B17" s="37">
        <f t="shared" si="4"/>
        <v>45240</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45241</v>
      </c>
      <c r="B18" s="37">
        <f t="shared" si="4"/>
        <v>45241</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45242</v>
      </c>
      <c r="B19" s="37">
        <f t="shared" si="4"/>
        <v>45242</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45243</v>
      </c>
      <c r="B20" s="37">
        <f t="shared" si="4"/>
        <v>45243</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45244</v>
      </c>
      <c r="B21" s="37">
        <f t="shared" si="4"/>
        <v>45244</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45245</v>
      </c>
      <c r="B22" s="37">
        <f t="shared" si="4"/>
        <v>45245</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45246</v>
      </c>
      <c r="B23" s="37">
        <f t="shared" si="4"/>
        <v>45246</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45247</v>
      </c>
      <c r="B24" s="37">
        <f t="shared" si="4"/>
        <v>45247</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45248</v>
      </c>
      <c r="B25" s="37">
        <f t="shared" si="4"/>
        <v>45248</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45249</v>
      </c>
      <c r="B26" s="37">
        <f t="shared" si="4"/>
        <v>45249</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45250</v>
      </c>
      <c r="B27" s="37">
        <f t="shared" si="4"/>
        <v>45250</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45251</v>
      </c>
      <c r="B28" s="37">
        <f t="shared" si="4"/>
        <v>45251</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45252</v>
      </c>
      <c r="B29" s="37">
        <f t="shared" si="4"/>
        <v>45252</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45253</v>
      </c>
      <c r="B30" s="37">
        <f t="shared" si="4"/>
        <v>45253</v>
      </c>
      <c r="C30" s="39">
        <f t="shared" si="1"/>
        <v>1</v>
      </c>
      <c r="D30" s="23" t="s">
        <v>27</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45254</v>
      </c>
      <c r="B31" s="37">
        <f t="shared" si="4"/>
        <v>45254</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45255</v>
      </c>
      <c r="B32" s="37">
        <f t="shared" si="4"/>
        <v>45255</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45256</v>
      </c>
      <c r="B33" s="37">
        <f t="shared" si="4"/>
        <v>45256</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45257</v>
      </c>
      <c r="B34" s="37">
        <f t="shared" si="4"/>
        <v>45257</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45258</v>
      </c>
      <c r="B35" s="37">
        <f t="shared" si="4"/>
        <v>45258</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45259</v>
      </c>
      <c r="B36" s="37">
        <f t="shared" si="4"/>
        <v>45259</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45260</v>
      </c>
      <c r="B37" s="37">
        <f t="shared" si="4"/>
        <v>45260</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4:P14"/>
    <mergeCell ref="A3:D3"/>
    <mergeCell ref="A5:D5"/>
    <mergeCell ref="E7:F7"/>
    <mergeCell ref="G7:H7"/>
    <mergeCell ref="M7:P7"/>
    <mergeCell ref="M8:P8"/>
    <mergeCell ref="M9:P9"/>
    <mergeCell ref="M10:P10"/>
    <mergeCell ref="M11:P11"/>
    <mergeCell ref="M12:P12"/>
    <mergeCell ref="M13:P13"/>
    <mergeCell ref="M26:P26"/>
    <mergeCell ref="M15:P15"/>
    <mergeCell ref="M16:P16"/>
    <mergeCell ref="M17:P17"/>
    <mergeCell ref="M18:P18"/>
    <mergeCell ref="M19:P19"/>
    <mergeCell ref="M20:P20"/>
    <mergeCell ref="M21:P21"/>
    <mergeCell ref="M22:P22"/>
    <mergeCell ref="M23:P23"/>
    <mergeCell ref="M24:P24"/>
    <mergeCell ref="M25:P25"/>
    <mergeCell ref="M38:P38"/>
    <mergeCell ref="M27:P27"/>
    <mergeCell ref="M28:P28"/>
    <mergeCell ref="M29:P29"/>
    <mergeCell ref="M30:P30"/>
    <mergeCell ref="M31:P31"/>
    <mergeCell ref="M32:P32"/>
    <mergeCell ref="M33:P33"/>
    <mergeCell ref="M34:P34"/>
    <mergeCell ref="M35:P35"/>
    <mergeCell ref="M36:P36"/>
    <mergeCell ref="M37:P37"/>
    <mergeCell ref="H39:I39"/>
    <mergeCell ref="A4:D4"/>
    <mergeCell ref="E3:J3"/>
    <mergeCell ref="E4:J4"/>
    <mergeCell ref="E5:J5"/>
  </mergeCells>
  <phoneticPr fontId="2"/>
  <conditionalFormatting sqref="I37:I38 J8:P38 I8:I24 I30:I31 A8:C38 E8:H38 D31:D38 D8:D10 D12:D29">
    <cfRule type="expression" dxfId="25" priority="6" stopIfTrue="1">
      <formula>$C8&gt;0</formula>
    </cfRule>
  </conditionalFormatting>
  <conditionalFormatting sqref="I25:I29">
    <cfRule type="expression" dxfId="24" priority="5" stopIfTrue="1">
      <formula>$C25&gt;0</formula>
    </cfRule>
  </conditionalFormatting>
  <conditionalFormatting sqref="I32:I36">
    <cfRule type="expression" dxfId="23" priority="4" stopIfTrue="1">
      <formula>$C32&gt;0</formula>
    </cfRule>
  </conditionalFormatting>
  <conditionalFormatting sqref="D30">
    <cfRule type="expression" dxfId="22" priority="3" stopIfTrue="1">
      <formula>$C30&gt;0</formula>
    </cfRule>
  </conditionalFormatting>
  <conditionalFormatting sqref="D11">
    <cfRule type="expression" dxfId="21" priority="2" stopIfTrue="1">
      <formula>$C11&gt;0</formula>
    </cfRule>
  </conditionalFormatting>
  <conditionalFormatting sqref="Q8:Q38">
    <cfRule type="expression" dxfId="20" priority="1" stopIfTrue="1">
      <formula>$C8&gt;0</formula>
    </cfRule>
  </conditionalFormatting>
  <dataValidations count="5">
    <dataValidation type="list" showInputMessage="1" showErrorMessage="1" error="リストの中から選択してください" sqref="V9:V15" xr:uid="{00000000-0002-0000-0700-000000000000}">
      <formula1>$S$8:$S$39</formula1>
    </dataValidation>
    <dataValidation type="whole" operator="equal" allowBlank="1" showInputMessage="1" showErrorMessage="1" error="選択されている月から変更することはできません。" sqref="U9:U18" xr:uid="{00000000-0002-0000-0700-000001000000}">
      <formula1>$J$24</formula1>
    </dataValidation>
    <dataValidation type="whole" operator="equal" allowBlank="1" showInputMessage="1" showErrorMessage="1" error="選択されている年から変更することはできません。" sqref="T9:T18" xr:uid="{00000000-0002-0000-07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7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7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pageSetUpPr fitToPage="1"/>
  </sheetPr>
  <dimension ref="A1:V40"/>
  <sheetViews>
    <sheetView showGridLines="0" workbookViewId="0">
      <pane ySplit="7" topLeftCell="A26" activePane="bottomLeft" state="frozen"/>
      <selection activeCell="D1" sqref="D1"/>
      <selection pane="bottomLeft" activeCell="D1" sqref="D1"/>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2023</v>
      </c>
      <c r="E1" s="1" t="s">
        <v>0</v>
      </c>
      <c r="F1" s="8">
        <v>12</v>
      </c>
      <c r="G1" s="1" t="s">
        <v>1</v>
      </c>
    </row>
    <row r="2" spans="1:22" ht="21.9" customHeight="1" thickBot="1" x14ac:dyDescent="0.25"/>
    <row r="3" spans="1:22" ht="21.9" customHeight="1" thickTop="1" thickBot="1" x14ac:dyDescent="0.25">
      <c r="A3" s="74" t="s">
        <v>15</v>
      </c>
      <c r="B3" s="75"/>
      <c r="C3" s="75"/>
      <c r="D3" s="76"/>
      <c r="E3" s="77"/>
      <c r="F3" s="78"/>
      <c r="G3" s="78"/>
      <c r="H3" s="78"/>
      <c r="I3" s="78"/>
      <c r="J3" s="79"/>
      <c r="K3" s="53"/>
    </row>
    <row r="4" spans="1:22" ht="21.9" customHeight="1" thickTop="1" thickBot="1" x14ac:dyDescent="0.25">
      <c r="A4" s="74" t="s">
        <v>8</v>
      </c>
      <c r="B4" s="75"/>
      <c r="C4" s="75"/>
      <c r="D4" s="76"/>
      <c r="E4" s="77"/>
      <c r="F4" s="78"/>
      <c r="G4" s="78"/>
      <c r="H4" s="78"/>
      <c r="I4" s="78"/>
      <c r="J4" s="79"/>
      <c r="K4" s="53"/>
    </row>
    <row r="5" spans="1:22" ht="21.9" customHeight="1" thickTop="1" thickBot="1" x14ac:dyDescent="0.25">
      <c r="A5" s="80" t="s">
        <v>2</v>
      </c>
      <c r="B5" s="81"/>
      <c r="C5" s="81"/>
      <c r="D5" s="82"/>
      <c r="E5" s="77"/>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45261</v>
      </c>
      <c r="B8" s="36">
        <f>A8</f>
        <v>45261</v>
      </c>
      <c r="C8" s="43">
        <f>IF(WEEKDAY(A8,2)&gt;5,1,0)+IF(D8&lt;&gt;"",1,0)</f>
        <v>0</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45262</v>
      </c>
      <c r="B9" s="37">
        <f>A9</f>
        <v>45262</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45263</v>
      </c>
      <c r="B10" s="37">
        <f t="shared" ref="B10:B37" si="4">A10</f>
        <v>45263</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45264</v>
      </c>
      <c r="B11" s="37">
        <f t="shared" si="4"/>
        <v>45264</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45265</v>
      </c>
      <c r="B12" s="37">
        <f t="shared" si="4"/>
        <v>45265</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45266</v>
      </c>
      <c r="B13" s="37">
        <f t="shared" si="4"/>
        <v>45266</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45267</v>
      </c>
      <c r="B14" s="37">
        <f t="shared" si="4"/>
        <v>45267</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45268</v>
      </c>
      <c r="B15" s="37">
        <f t="shared" si="4"/>
        <v>45268</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45269</v>
      </c>
      <c r="B16" s="37">
        <f t="shared" si="4"/>
        <v>45269</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45270</v>
      </c>
      <c r="B17" s="37">
        <f t="shared" si="4"/>
        <v>45270</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45271</v>
      </c>
      <c r="B18" s="37">
        <f t="shared" si="4"/>
        <v>45271</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45272</v>
      </c>
      <c r="B19" s="37">
        <f t="shared" si="4"/>
        <v>45272</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45273</v>
      </c>
      <c r="B20" s="37">
        <f t="shared" si="4"/>
        <v>45273</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45274</v>
      </c>
      <c r="B21" s="37">
        <f t="shared" si="4"/>
        <v>45274</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45275</v>
      </c>
      <c r="B22" s="37">
        <f t="shared" si="4"/>
        <v>45275</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45276</v>
      </c>
      <c r="B23" s="37">
        <f t="shared" si="4"/>
        <v>45276</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45277</v>
      </c>
      <c r="B24" s="37">
        <f t="shared" si="4"/>
        <v>45277</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45278</v>
      </c>
      <c r="B25" s="37">
        <f t="shared" si="4"/>
        <v>45278</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45279</v>
      </c>
      <c r="B26" s="37">
        <f t="shared" si="4"/>
        <v>45279</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45280</v>
      </c>
      <c r="B27" s="37">
        <f t="shared" si="4"/>
        <v>45280</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45281</v>
      </c>
      <c r="B28" s="37">
        <f t="shared" si="4"/>
        <v>45281</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45282</v>
      </c>
      <c r="B29" s="37">
        <f t="shared" si="4"/>
        <v>45282</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45283</v>
      </c>
      <c r="B30" s="37">
        <f t="shared" si="4"/>
        <v>45283</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45284</v>
      </c>
      <c r="B31" s="37">
        <f t="shared" si="4"/>
        <v>45284</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45285</v>
      </c>
      <c r="B32" s="37">
        <f t="shared" si="4"/>
        <v>45285</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45286</v>
      </c>
      <c r="B33" s="37">
        <f t="shared" si="4"/>
        <v>45286</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45287</v>
      </c>
      <c r="B34" s="37">
        <f t="shared" si="4"/>
        <v>45287</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45288</v>
      </c>
      <c r="B35" s="37">
        <f t="shared" si="4"/>
        <v>45288</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45289</v>
      </c>
      <c r="B36" s="37">
        <f t="shared" si="4"/>
        <v>45289</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45290</v>
      </c>
      <c r="B37" s="37">
        <f t="shared" si="4"/>
        <v>45290</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45291</v>
      </c>
      <c r="B38" s="38">
        <f>A38</f>
        <v>45291</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19" priority="4" stopIfTrue="1">
      <formula>$C8&gt;0</formula>
    </cfRule>
  </conditionalFormatting>
  <conditionalFormatting sqref="I25:I29">
    <cfRule type="expression" dxfId="18" priority="3" stopIfTrue="1">
      <formula>$C25&gt;0</formula>
    </cfRule>
  </conditionalFormatting>
  <conditionalFormatting sqref="I32:I36">
    <cfRule type="expression" dxfId="17" priority="2" stopIfTrue="1">
      <formula>$C32&gt;0</formula>
    </cfRule>
  </conditionalFormatting>
  <conditionalFormatting sqref="Q8:Q38">
    <cfRule type="expression" dxfId="16"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8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800-000001000000}">
      <formula1>0</formula1>
      <formula2>100</formula2>
    </dataValidation>
    <dataValidation type="whole" operator="equal" allowBlank="1" showInputMessage="1" showErrorMessage="1" error="選択されている年から変更することはできません。" sqref="T9:T18" xr:uid="{00000000-0002-0000-0800-000002000000}">
      <formula1>$J$23</formula1>
    </dataValidation>
    <dataValidation type="whole" operator="equal" allowBlank="1" showInputMessage="1" showErrorMessage="1" error="選択されている月から変更することはできません。" sqref="U9:U18" xr:uid="{00000000-0002-0000-0800-000003000000}">
      <formula1>$J$24</formula1>
    </dataValidation>
    <dataValidation type="list" showInputMessage="1" showErrorMessage="1" error="リストの中から選択してください" sqref="V9:V15" xr:uid="{00000000-0002-0000-08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pageSetUpPr fitToPage="1"/>
  </sheetPr>
  <dimension ref="A1:V40"/>
  <sheetViews>
    <sheetView showGridLines="0" tabSelected="1" workbookViewId="0">
      <pane ySplit="7" topLeftCell="A27" activePane="bottomLeft" state="frozen"/>
      <selection activeCell="Q40" sqref="Q40"/>
      <selection pane="bottomLeft" activeCell="G33" sqref="G33"/>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v>
      </c>
      <c r="G1" s="1" t="s">
        <v>1</v>
      </c>
    </row>
    <row r="2" spans="1:22" ht="21.9" customHeight="1" thickBot="1" x14ac:dyDescent="0.25"/>
    <row r="3" spans="1:22" ht="21.9" customHeight="1" thickTop="1" thickBot="1" x14ac:dyDescent="0.25">
      <c r="A3" s="74" t="s">
        <v>15</v>
      </c>
      <c r="B3" s="75"/>
      <c r="C3" s="75"/>
      <c r="D3" s="76"/>
      <c r="E3" s="89" t="s">
        <v>41</v>
      </c>
      <c r="F3" s="90"/>
      <c r="G3" s="90"/>
      <c r="H3" s="90"/>
      <c r="I3" s="90"/>
      <c r="J3" s="91"/>
      <c r="K3" s="53"/>
    </row>
    <row r="4" spans="1:22" ht="21.9" customHeight="1" thickTop="1" thickBot="1" x14ac:dyDescent="0.25">
      <c r="A4" s="74" t="s">
        <v>8</v>
      </c>
      <c r="B4" s="75"/>
      <c r="C4" s="75"/>
      <c r="D4" s="76"/>
      <c r="E4" s="89" t="s">
        <v>42</v>
      </c>
      <c r="F4" s="90"/>
      <c r="G4" s="90"/>
      <c r="H4" s="90"/>
      <c r="I4" s="90"/>
      <c r="J4" s="91"/>
      <c r="K4" s="53"/>
    </row>
    <row r="5" spans="1:22" ht="21.9" customHeight="1" thickTop="1" thickBot="1" x14ac:dyDescent="0.25">
      <c r="A5" s="80" t="s">
        <v>2</v>
      </c>
      <c r="B5" s="81"/>
      <c r="C5" s="81"/>
      <c r="D5" s="82"/>
      <c r="E5" s="77" t="s">
        <v>43</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45292</v>
      </c>
      <c r="B8" s="36">
        <f>A8</f>
        <v>45292</v>
      </c>
      <c r="C8" s="43">
        <f>IF(WEEKDAY(A8,2)&gt;5,1,0)+IF(D8&lt;&gt;"",1,0)</f>
        <v>1</v>
      </c>
      <c r="D8" s="44" t="s">
        <v>39</v>
      </c>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45293</v>
      </c>
      <c r="B9" s="37">
        <f>A9</f>
        <v>45293</v>
      </c>
      <c r="C9" s="39">
        <f t="shared" ref="C9:C38" si="1">IF(WEEKDAY(A9,2)&gt;5,1,0)+IF(D9&lt;&gt;"",1,0)</f>
        <v>1</v>
      </c>
      <c r="D9" s="23" t="s">
        <v>13</v>
      </c>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45294</v>
      </c>
      <c r="B10" s="37">
        <f t="shared" ref="B10:B37" si="4">A10</f>
        <v>45294</v>
      </c>
      <c r="C10" s="39">
        <f t="shared" si="1"/>
        <v>1</v>
      </c>
      <c r="D10" s="23" t="s">
        <v>36</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45295</v>
      </c>
      <c r="B11" s="37">
        <f t="shared" si="4"/>
        <v>45295</v>
      </c>
      <c r="C11" s="39">
        <f t="shared" si="1"/>
        <v>0</v>
      </c>
      <c r="D11" s="23"/>
      <c r="E11" s="20">
        <v>9</v>
      </c>
      <c r="F11" s="31">
        <v>0</v>
      </c>
      <c r="G11" s="20">
        <v>19</v>
      </c>
      <c r="H11" s="24">
        <v>30</v>
      </c>
      <c r="I11" s="34">
        <v>60</v>
      </c>
      <c r="J11" s="57">
        <f t="shared" si="0"/>
        <v>570</v>
      </c>
      <c r="K11" s="61">
        <f t="shared" si="2"/>
        <v>9.5</v>
      </c>
      <c r="L11" s="25"/>
      <c r="M11" s="66"/>
      <c r="N11" s="67"/>
      <c r="O11" s="67"/>
      <c r="P11" s="68"/>
      <c r="Q11" s="25"/>
      <c r="S11" s="14"/>
      <c r="T11" s="11"/>
      <c r="U11" s="12"/>
      <c r="V11" s="13"/>
    </row>
    <row r="12" spans="1:22" ht="18" customHeight="1" x14ac:dyDescent="0.2">
      <c r="A12" s="22">
        <f t="shared" si="3"/>
        <v>45296</v>
      </c>
      <c r="B12" s="37">
        <f t="shared" si="4"/>
        <v>45296</v>
      </c>
      <c r="C12" s="39">
        <f t="shared" si="1"/>
        <v>0</v>
      </c>
      <c r="D12" s="23"/>
      <c r="E12" s="20">
        <v>9</v>
      </c>
      <c r="F12" s="31">
        <v>0</v>
      </c>
      <c r="G12" s="20">
        <v>19</v>
      </c>
      <c r="H12" s="24">
        <v>0</v>
      </c>
      <c r="I12" s="34">
        <v>60</v>
      </c>
      <c r="J12" s="57">
        <f t="shared" si="0"/>
        <v>540</v>
      </c>
      <c r="K12" s="61">
        <f t="shared" si="2"/>
        <v>9</v>
      </c>
      <c r="L12" s="25"/>
      <c r="M12" s="66"/>
      <c r="N12" s="67"/>
      <c r="O12" s="67"/>
      <c r="P12" s="68"/>
      <c r="Q12" s="25"/>
      <c r="S12" s="14"/>
      <c r="T12" s="11"/>
      <c r="U12" s="12"/>
      <c r="V12" s="13"/>
    </row>
    <row r="13" spans="1:22" ht="18" customHeight="1" x14ac:dyDescent="0.2">
      <c r="A13" s="22">
        <f t="shared" si="3"/>
        <v>45297</v>
      </c>
      <c r="B13" s="37">
        <f t="shared" si="4"/>
        <v>45297</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45298</v>
      </c>
      <c r="B14" s="37">
        <f t="shared" si="4"/>
        <v>45298</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45299</v>
      </c>
      <c r="B15" s="37">
        <f t="shared" si="4"/>
        <v>45299</v>
      </c>
      <c r="C15" s="39">
        <f t="shared" si="1"/>
        <v>1</v>
      </c>
      <c r="D15" s="23" t="s">
        <v>38</v>
      </c>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45300</v>
      </c>
      <c r="B16" s="37">
        <f t="shared" si="4"/>
        <v>45300</v>
      </c>
      <c r="C16" s="39">
        <f t="shared" si="1"/>
        <v>0</v>
      </c>
      <c r="D16" s="23"/>
      <c r="E16" s="20">
        <v>9</v>
      </c>
      <c r="F16" s="31">
        <v>0</v>
      </c>
      <c r="G16" s="20">
        <v>21</v>
      </c>
      <c r="H16" s="24">
        <v>0</v>
      </c>
      <c r="I16" s="34">
        <v>60</v>
      </c>
      <c r="J16" s="57">
        <f t="shared" si="0"/>
        <v>660</v>
      </c>
      <c r="K16" s="61">
        <f t="shared" si="2"/>
        <v>11</v>
      </c>
      <c r="L16" s="25"/>
      <c r="M16" s="66"/>
      <c r="N16" s="67"/>
      <c r="O16" s="67"/>
      <c r="P16" s="68"/>
      <c r="Q16" s="25"/>
      <c r="S16" s="14"/>
      <c r="T16" s="11"/>
      <c r="U16" s="12"/>
      <c r="V16" s="13"/>
    </row>
    <row r="17" spans="1:22" ht="18" customHeight="1" x14ac:dyDescent="0.2">
      <c r="A17" s="22">
        <f t="shared" si="3"/>
        <v>45301</v>
      </c>
      <c r="B17" s="37">
        <f t="shared" si="4"/>
        <v>45301</v>
      </c>
      <c r="C17" s="39">
        <f t="shared" si="1"/>
        <v>0</v>
      </c>
      <c r="D17" s="23"/>
      <c r="E17" s="20">
        <v>9</v>
      </c>
      <c r="F17" s="31">
        <v>0</v>
      </c>
      <c r="G17" s="20">
        <v>21</v>
      </c>
      <c r="H17" s="24">
        <v>0</v>
      </c>
      <c r="I17" s="34">
        <v>60</v>
      </c>
      <c r="J17" s="57">
        <f t="shared" si="0"/>
        <v>660</v>
      </c>
      <c r="K17" s="61">
        <f t="shared" si="2"/>
        <v>11</v>
      </c>
      <c r="L17" s="25"/>
      <c r="M17" s="66"/>
      <c r="N17" s="67"/>
      <c r="O17" s="67"/>
      <c r="P17" s="68"/>
      <c r="Q17" s="25"/>
      <c r="T17" s="11"/>
      <c r="U17" s="12"/>
      <c r="V17" s="13"/>
    </row>
    <row r="18" spans="1:22" ht="18" customHeight="1" x14ac:dyDescent="0.2">
      <c r="A18" s="22">
        <f t="shared" si="3"/>
        <v>45302</v>
      </c>
      <c r="B18" s="37">
        <f t="shared" si="4"/>
        <v>45302</v>
      </c>
      <c r="C18" s="39">
        <f t="shared" si="1"/>
        <v>0</v>
      </c>
      <c r="D18" s="23"/>
      <c r="E18" s="20">
        <v>9</v>
      </c>
      <c r="F18" s="31">
        <v>0</v>
      </c>
      <c r="G18" s="20">
        <v>21</v>
      </c>
      <c r="H18" s="24">
        <v>0</v>
      </c>
      <c r="I18" s="34">
        <v>60</v>
      </c>
      <c r="J18" s="57">
        <f t="shared" si="0"/>
        <v>660</v>
      </c>
      <c r="K18" s="61">
        <f t="shared" si="2"/>
        <v>11</v>
      </c>
      <c r="L18" s="25"/>
      <c r="M18" s="66"/>
      <c r="N18" s="67"/>
      <c r="O18" s="67"/>
      <c r="P18" s="68"/>
      <c r="Q18" s="25"/>
      <c r="T18" s="11"/>
      <c r="U18" s="12"/>
      <c r="V18" s="13"/>
    </row>
    <row r="19" spans="1:22" ht="18" customHeight="1" x14ac:dyDescent="0.2">
      <c r="A19" s="22">
        <f t="shared" si="3"/>
        <v>45303</v>
      </c>
      <c r="B19" s="37">
        <f t="shared" si="4"/>
        <v>45303</v>
      </c>
      <c r="C19" s="39">
        <f t="shared" si="1"/>
        <v>0</v>
      </c>
      <c r="D19" s="23"/>
      <c r="E19" s="20">
        <v>9</v>
      </c>
      <c r="F19" s="31">
        <v>0</v>
      </c>
      <c r="G19" s="20">
        <v>20</v>
      </c>
      <c r="H19" s="24">
        <v>0</v>
      </c>
      <c r="I19" s="34">
        <v>60</v>
      </c>
      <c r="J19" s="57">
        <f t="shared" si="0"/>
        <v>600</v>
      </c>
      <c r="K19" s="61">
        <f t="shared" si="2"/>
        <v>10</v>
      </c>
      <c r="L19" s="25"/>
      <c r="M19" s="66"/>
      <c r="N19" s="67"/>
      <c r="O19" s="67"/>
      <c r="P19" s="68"/>
      <c r="Q19" s="25"/>
      <c r="V19" s="13"/>
    </row>
    <row r="20" spans="1:22" ht="18" customHeight="1" x14ac:dyDescent="0.2">
      <c r="A20" s="22">
        <f t="shared" si="3"/>
        <v>45304</v>
      </c>
      <c r="B20" s="37">
        <f t="shared" si="4"/>
        <v>45304</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45305</v>
      </c>
      <c r="B21" s="37">
        <f t="shared" si="4"/>
        <v>45305</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45306</v>
      </c>
      <c r="B22" s="37">
        <f t="shared" si="4"/>
        <v>45306</v>
      </c>
      <c r="C22" s="39">
        <f t="shared" si="1"/>
        <v>0</v>
      </c>
      <c r="D22" s="23"/>
      <c r="E22" s="20">
        <v>9</v>
      </c>
      <c r="F22" s="31">
        <v>0</v>
      </c>
      <c r="G22" s="20">
        <v>19</v>
      </c>
      <c r="H22" s="24">
        <v>30</v>
      </c>
      <c r="I22" s="34">
        <v>60</v>
      </c>
      <c r="J22" s="57">
        <f t="shared" si="0"/>
        <v>570</v>
      </c>
      <c r="K22" s="61">
        <f t="shared" si="2"/>
        <v>9.5</v>
      </c>
      <c r="L22" s="25"/>
      <c r="M22" s="66"/>
      <c r="N22" s="67"/>
      <c r="O22" s="67"/>
      <c r="P22" s="68"/>
      <c r="Q22" s="25"/>
      <c r="V22" s="13"/>
    </row>
    <row r="23" spans="1:22" ht="18" customHeight="1" x14ac:dyDescent="0.2">
      <c r="A23" s="22">
        <f t="shared" si="3"/>
        <v>45307</v>
      </c>
      <c r="B23" s="37">
        <f t="shared" si="4"/>
        <v>45307</v>
      </c>
      <c r="C23" s="39">
        <f t="shared" si="1"/>
        <v>0</v>
      </c>
      <c r="D23" s="23"/>
      <c r="E23" s="20">
        <v>9</v>
      </c>
      <c r="F23" s="31">
        <v>0</v>
      </c>
      <c r="G23" s="20">
        <v>19</v>
      </c>
      <c r="H23" s="24">
        <v>0</v>
      </c>
      <c r="I23" s="34">
        <v>60</v>
      </c>
      <c r="J23" s="57">
        <f t="shared" si="0"/>
        <v>540</v>
      </c>
      <c r="K23" s="61">
        <f t="shared" si="2"/>
        <v>9</v>
      </c>
      <c r="L23" s="25"/>
      <c r="M23" s="66"/>
      <c r="N23" s="67"/>
      <c r="O23" s="67"/>
      <c r="P23" s="68"/>
      <c r="Q23" s="25"/>
      <c r="V23" s="13"/>
    </row>
    <row r="24" spans="1:22" ht="18" customHeight="1" x14ac:dyDescent="0.2">
      <c r="A24" s="22">
        <f t="shared" si="3"/>
        <v>45308</v>
      </c>
      <c r="B24" s="37">
        <f t="shared" si="4"/>
        <v>45308</v>
      </c>
      <c r="C24" s="39">
        <f t="shared" si="1"/>
        <v>0</v>
      </c>
      <c r="D24" s="23"/>
      <c r="E24" s="20">
        <v>9</v>
      </c>
      <c r="F24" s="31">
        <v>0</v>
      </c>
      <c r="G24" s="20">
        <v>20</v>
      </c>
      <c r="H24" s="24">
        <v>0</v>
      </c>
      <c r="I24" s="34">
        <v>60</v>
      </c>
      <c r="J24" s="57">
        <f t="shared" si="0"/>
        <v>600</v>
      </c>
      <c r="K24" s="61">
        <f t="shared" si="2"/>
        <v>10</v>
      </c>
      <c r="L24" s="25"/>
      <c r="M24" s="66"/>
      <c r="N24" s="67"/>
      <c r="O24" s="67"/>
      <c r="P24" s="68"/>
      <c r="Q24" s="25"/>
      <c r="V24" s="13"/>
    </row>
    <row r="25" spans="1:22" ht="18" customHeight="1" x14ac:dyDescent="0.2">
      <c r="A25" s="22">
        <f t="shared" si="3"/>
        <v>45309</v>
      </c>
      <c r="B25" s="37">
        <f t="shared" si="4"/>
        <v>45309</v>
      </c>
      <c r="C25" s="39">
        <f t="shared" si="1"/>
        <v>0</v>
      </c>
      <c r="D25" s="23"/>
      <c r="E25" s="20">
        <v>9</v>
      </c>
      <c r="F25" s="31">
        <v>0</v>
      </c>
      <c r="G25" s="20">
        <v>20</v>
      </c>
      <c r="H25" s="24">
        <v>0</v>
      </c>
      <c r="I25" s="34">
        <v>60</v>
      </c>
      <c r="J25" s="57">
        <f t="shared" si="0"/>
        <v>600</v>
      </c>
      <c r="K25" s="61">
        <f t="shared" si="2"/>
        <v>10</v>
      </c>
      <c r="L25" s="25"/>
      <c r="M25" s="66"/>
      <c r="N25" s="67"/>
      <c r="O25" s="67"/>
      <c r="P25" s="68"/>
      <c r="Q25" s="25"/>
      <c r="V25" s="13"/>
    </row>
    <row r="26" spans="1:22" ht="18" customHeight="1" x14ac:dyDescent="0.2">
      <c r="A26" s="22">
        <f t="shared" si="3"/>
        <v>45310</v>
      </c>
      <c r="B26" s="37">
        <f t="shared" si="4"/>
        <v>45310</v>
      </c>
      <c r="C26" s="39">
        <f t="shared" si="1"/>
        <v>0</v>
      </c>
      <c r="D26" s="23"/>
      <c r="E26" s="20">
        <v>9</v>
      </c>
      <c r="F26" s="31">
        <v>0</v>
      </c>
      <c r="G26" s="20">
        <v>20</v>
      </c>
      <c r="H26" s="24">
        <v>0</v>
      </c>
      <c r="I26" s="34">
        <v>60</v>
      </c>
      <c r="J26" s="57">
        <f t="shared" si="0"/>
        <v>600</v>
      </c>
      <c r="K26" s="61">
        <f t="shared" si="2"/>
        <v>10</v>
      </c>
      <c r="L26" s="25"/>
      <c r="M26" s="66"/>
      <c r="N26" s="67"/>
      <c r="O26" s="67"/>
      <c r="P26" s="68"/>
      <c r="Q26" s="25"/>
      <c r="V26" s="13"/>
    </row>
    <row r="27" spans="1:22" ht="18" customHeight="1" x14ac:dyDescent="0.2">
      <c r="A27" s="22">
        <f t="shared" si="3"/>
        <v>45311</v>
      </c>
      <c r="B27" s="37">
        <f t="shared" si="4"/>
        <v>45311</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45312</v>
      </c>
      <c r="B28" s="37">
        <f t="shared" si="4"/>
        <v>45312</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45313</v>
      </c>
      <c r="B29" s="37">
        <f t="shared" si="4"/>
        <v>45313</v>
      </c>
      <c r="C29" s="39">
        <f t="shared" si="1"/>
        <v>0</v>
      </c>
      <c r="D29" s="23"/>
      <c r="E29" s="20"/>
      <c r="F29" s="31"/>
      <c r="G29" s="20"/>
      <c r="H29" s="24"/>
      <c r="I29" s="34"/>
      <c r="J29" s="57">
        <f t="shared" si="0"/>
        <v>0</v>
      </c>
      <c r="K29" s="61">
        <f t="shared" si="2"/>
        <v>0</v>
      </c>
      <c r="L29" s="25" t="s">
        <v>31</v>
      </c>
      <c r="M29" s="66"/>
      <c r="N29" s="67"/>
      <c r="O29" s="67"/>
      <c r="P29" s="68"/>
      <c r="Q29" s="25"/>
      <c r="V29" s="13"/>
    </row>
    <row r="30" spans="1:22" ht="18" customHeight="1" x14ac:dyDescent="0.2">
      <c r="A30" s="22">
        <f t="shared" si="3"/>
        <v>45314</v>
      </c>
      <c r="B30" s="37">
        <f t="shared" si="4"/>
        <v>45314</v>
      </c>
      <c r="C30" s="39">
        <f t="shared" si="1"/>
        <v>0</v>
      </c>
      <c r="D30" s="23"/>
      <c r="E30" s="20">
        <v>9</v>
      </c>
      <c r="F30" s="31">
        <v>0</v>
      </c>
      <c r="G30" s="20">
        <v>21</v>
      </c>
      <c r="H30" s="24">
        <v>0</v>
      </c>
      <c r="I30" s="34">
        <v>60</v>
      </c>
      <c r="J30" s="57">
        <f t="shared" si="0"/>
        <v>660</v>
      </c>
      <c r="K30" s="61">
        <f t="shared" si="2"/>
        <v>11</v>
      </c>
      <c r="L30" s="25"/>
      <c r="M30" s="66"/>
      <c r="N30" s="67"/>
      <c r="O30" s="67"/>
      <c r="P30" s="68"/>
      <c r="Q30" s="25"/>
      <c r="V30" s="13"/>
    </row>
    <row r="31" spans="1:22" ht="18" customHeight="1" x14ac:dyDescent="0.2">
      <c r="A31" s="22">
        <f t="shared" si="3"/>
        <v>45315</v>
      </c>
      <c r="B31" s="37">
        <f t="shared" si="4"/>
        <v>45315</v>
      </c>
      <c r="C31" s="39">
        <f t="shared" si="1"/>
        <v>0</v>
      </c>
      <c r="D31" s="23"/>
      <c r="E31" s="20">
        <v>9</v>
      </c>
      <c r="F31" s="31">
        <v>0</v>
      </c>
      <c r="G31" s="20">
        <v>19</v>
      </c>
      <c r="H31" s="24">
        <v>0</v>
      </c>
      <c r="I31" s="34">
        <v>60</v>
      </c>
      <c r="J31" s="57">
        <f t="shared" si="0"/>
        <v>540</v>
      </c>
      <c r="K31" s="61">
        <f t="shared" si="2"/>
        <v>9</v>
      </c>
      <c r="L31" s="25"/>
      <c r="M31" s="66"/>
      <c r="N31" s="67"/>
      <c r="O31" s="67"/>
      <c r="P31" s="68"/>
      <c r="Q31" s="25"/>
      <c r="V31" s="13"/>
    </row>
    <row r="32" spans="1:22" ht="18" customHeight="1" x14ac:dyDescent="0.2">
      <c r="A32" s="22">
        <f t="shared" si="3"/>
        <v>45316</v>
      </c>
      <c r="B32" s="37">
        <f t="shared" si="4"/>
        <v>45316</v>
      </c>
      <c r="C32" s="39">
        <f t="shared" si="1"/>
        <v>0</v>
      </c>
      <c r="D32" s="23"/>
      <c r="E32" s="20">
        <v>9</v>
      </c>
      <c r="F32" s="31">
        <v>0</v>
      </c>
      <c r="G32" s="20">
        <v>19</v>
      </c>
      <c r="H32" s="24">
        <v>0</v>
      </c>
      <c r="I32" s="34">
        <v>60</v>
      </c>
      <c r="J32" s="57">
        <f t="shared" si="0"/>
        <v>540</v>
      </c>
      <c r="K32" s="61">
        <f t="shared" si="2"/>
        <v>9</v>
      </c>
      <c r="L32" s="25"/>
      <c r="M32" s="66"/>
      <c r="N32" s="67"/>
      <c r="O32" s="67"/>
      <c r="P32" s="68"/>
      <c r="Q32" s="25"/>
      <c r="V32" s="13"/>
    </row>
    <row r="33" spans="1:22" ht="18" customHeight="1" x14ac:dyDescent="0.2">
      <c r="A33" s="22">
        <f t="shared" si="3"/>
        <v>45317</v>
      </c>
      <c r="B33" s="37">
        <f t="shared" si="4"/>
        <v>45317</v>
      </c>
      <c r="C33" s="39">
        <f t="shared" si="1"/>
        <v>0</v>
      </c>
      <c r="D33" s="23"/>
      <c r="E33" s="20">
        <v>9</v>
      </c>
      <c r="F33" s="31">
        <v>0</v>
      </c>
      <c r="G33" s="20">
        <v>19</v>
      </c>
      <c r="H33" s="24">
        <v>0</v>
      </c>
      <c r="I33" s="34">
        <v>60</v>
      </c>
      <c r="J33" s="57">
        <f t="shared" si="0"/>
        <v>540</v>
      </c>
      <c r="K33" s="61">
        <f t="shared" si="2"/>
        <v>9</v>
      </c>
      <c r="L33" s="25"/>
      <c r="M33" s="66"/>
      <c r="N33" s="67"/>
      <c r="O33" s="67"/>
      <c r="P33" s="68"/>
      <c r="Q33" s="25"/>
      <c r="V33" s="13"/>
    </row>
    <row r="34" spans="1:22" ht="18" customHeight="1" x14ac:dyDescent="0.2">
      <c r="A34" s="22">
        <f t="shared" si="3"/>
        <v>45318</v>
      </c>
      <c r="B34" s="37">
        <f t="shared" si="4"/>
        <v>45318</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45319</v>
      </c>
      <c r="B35" s="37">
        <f t="shared" si="4"/>
        <v>45319</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45320</v>
      </c>
      <c r="B36" s="37">
        <f t="shared" si="4"/>
        <v>45320</v>
      </c>
      <c r="C36" s="39">
        <f t="shared" si="1"/>
        <v>0</v>
      </c>
      <c r="D36" s="23"/>
      <c r="E36" s="20">
        <v>9</v>
      </c>
      <c r="F36" s="31">
        <v>0</v>
      </c>
      <c r="G36" s="20">
        <v>19</v>
      </c>
      <c r="H36" s="24">
        <v>0</v>
      </c>
      <c r="I36" s="34">
        <v>60</v>
      </c>
      <c r="J36" s="57">
        <f t="shared" si="0"/>
        <v>540</v>
      </c>
      <c r="K36" s="61">
        <f t="shared" si="2"/>
        <v>9</v>
      </c>
      <c r="L36" s="25"/>
      <c r="M36" s="66"/>
      <c r="N36" s="67"/>
      <c r="O36" s="67"/>
      <c r="P36" s="68"/>
      <c r="Q36" s="25"/>
    </row>
    <row r="37" spans="1:22" ht="18" customHeight="1" x14ac:dyDescent="0.2">
      <c r="A37" s="22">
        <f>IF($A$35="","",IF(NOT(MONTH($A$35)=MONTH($A$35+2)),"",$A$35+2))</f>
        <v>45321</v>
      </c>
      <c r="B37" s="37">
        <f t="shared" si="4"/>
        <v>45321</v>
      </c>
      <c r="C37" s="39">
        <f t="shared" si="1"/>
        <v>0</v>
      </c>
      <c r="D37" s="23"/>
      <c r="E37" s="20">
        <v>9</v>
      </c>
      <c r="F37" s="31">
        <v>0</v>
      </c>
      <c r="G37" s="20">
        <v>19</v>
      </c>
      <c r="H37" s="24">
        <v>0</v>
      </c>
      <c r="I37" s="34">
        <v>60</v>
      </c>
      <c r="J37" s="57">
        <f t="shared" si="0"/>
        <v>540</v>
      </c>
      <c r="K37" s="61">
        <f t="shared" si="2"/>
        <v>9</v>
      </c>
      <c r="L37" s="25"/>
      <c r="M37" s="66"/>
      <c r="N37" s="67"/>
      <c r="O37" s="67"/>
      <c r="P37" s="68"/>
      <c r="Q37" s="25"/>
    </row>
    <row r="38" spans="1:22" ht="18" customHeight="1" thickBot="1" x14ac:dyDescent="0.25">
      <c r="A38" s="26">
        <f>IF($A$35="","",IF(NOT(MONTH($A$35)=MONTH($A$35+3)),"",$A$35+3))</f>
        <v>45322</v>
      </c>
      <c r="B38" s="38">
        <f>A38</f>
        <v>45322</v>
      </c>
      <c r="C38" s="40">
        <f t="shared" si="1"/>
        <v>0</v>
      </c>
      <c r="D38" s="27"/>
      <c r="E38" s="20">
        <v>9</v>
      </c>
      <c r="F38" s="31">
        <v>0</v>
      </c>
      <c r="G38" s="20">
        <v>19</v>
      </c>
      <c r="H38" s="24">
        <v>0</v>
      </c>
      <c r="I38" s="34">
        <v>60</v>
      </c>
      <c r="J38" s="58">
        <f t="shared" si="0"/>
        <v>540</v>
      </c>
      <c r="K38" s="62">
        <f t="shared" si="2"/>
        <v>9</v>
      </c>
      <c r="L38" s="30"/>
      <c r="M38" s="69"/>
      <c r="N38" s="70"/>
      <c r="O38" s="70"/>
      <c r="P38" s="71"/>
      <c r="Q38" s="30"/>
    </row>
    <row r="39" spans="1:22" ht="18.75" customHeight="1" thickTop="1" thickBot="1" x14ac:dyDescent="0.25">
      <c r="A39" s="9"/>
      <c r="B39" s="9"/>
      <c r="C39" s="9"/>
      <c r="D39" s="10"/>
      <c r="E39" s="9"/>
      <c r="F39" s="9"/>
      <c r="G39" s="9"/>
      <c r="H39" s="72" t="s">
        <v>14</v>
      </c>
      <c r="I39" s="73"/>
      <c r="J39" s="54">
        <f>SUM(J8:J38)</f>
        <v>10500</v>
      </c>
      <c r="K39" s="63">
        <f>SUM(K8:K38)</f>
        <v>175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J8:P38 A8:C38 D8:I17 E18:I18 D27:H29 D19:I26 D30:I30 D31:H38 I31:I33">
    <cfRule type="expression" dxfId="15" priority="5" stopIfTrue="1">
      <formula>$C8&gt;0</formula>
    </cfRule>
  </conditionalFormatting>
  <conditionalFormatting sqref="I27:I29">
    <cfRule type="expression" dxfId="14" priority="4" stopIfTrue="1">
      <formula>$C27&gt;0</formula>
    </cfRule>
  </conditionalFormatting>
  <conditionalFormatting sqref="I34:I38">
    <cfRule type="expression" dxfId="13" priority="3" stopIfTrue="1">
      <formula>$C34&gt;0</formula>
    </cfRule>
  </conditionalFormatting>
  <conditionalFormatting sqref="D18">
    <cfRule type="expression" dxfId="12" priority="2" stopIfTrue="1">
      <formula>$C18&gt;0</formula>
    </cfRule>
  </conditionalFormatting>
  <conditionalFormatting sqref="Q8:Q38">
    <cfRule type="expression" dxfId="11" priority="1" stopIfTrue="1">
      <formula>$C8&gt;0</formula>
    </cfRule>
  </conditionalFormatting>
  <dataValidations count="5">
    <dataValidation type="list" showInputMessage="1" showErrorMessage="1" error="リストの中から選択してください" sqref="V9:V15" xr:uid="{00000000-0002-0000-0900-000000000000}">
      <formula1>$S$8:$S$39</formula1>
    </dataValidation>
    <dataValidation type="whole" operator="equal" allowBlank="1" showInputMessage="1" showErrorMessage="1" error="選択されている月から変更することはできません。" sqref="U9:U18" xr:uid="{00000000-0002-0000-0900-000001000000}">
      <formula1>$J$24</formula1>
    </dataValidation>
    <dataValidation type="whole" operator="equal" allowBlank="1" showInputMessage="1" showErrorMessage="1" error="選択されている年から変更することはできません。" sqref="T9:T18" xr:uid="{00000000-0002-0000-09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9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9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pageSetUpPr fitToPage="1"/>
  </sheetPr>
  <dimension ref="A1:V40"/>
  <sheetViews>
    <sheetView showGridLines="0" workbookViewId="0">
      <pane ySplit="7" topLeftCell="A14" activePane="bottomLeft" state="frozen"/>
      <selection activeCell="D2" sqref="D2"/>
      <selection pane="bottomLeft" activeCell="D20" sqref="D20"/>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2</v>
      </c>
      <c r="G1" s="1" t="s">
        <v>1</v>
      </c>
    </row>
    <row r="2" spans="1:22" ht="21.9" customHeight="1" thickBot="1" x14ac:dyDescent="0.25"/>
    <row r="3" spans="1:22" ht="21.9" customHeight="1" thickTop="1" thickBot="1" x14ac:dyDescent="0.25">
      <c r="A3" s="74" t="s">
        <v>15</v>
      </c>
      <c r="B3" s="75"/>
      <c r="C3" s="75"/>
      <c r="D3" s="76"/>
      <c r="E3" s="77"/>
      <c r="F3" s="78"/>
      <c r="G3" s="78"/>
      <c r="H3" s="78"/>
      <c r="I3" s="78"/>
      <c r="J3" s="79"/>
      <c r="K3" s="53"/>
    </row>
    <row r="4" spans="1:22" ht="21.9" customHeight="1" thickTop="1" thickBot="1" x14ac:dyDescent="0.25">
      <c r="A4" s="74" t="s">
        <v>8</v>
      </c>
      <c r="B4" s="75"/>
      <c r="C4" s="75"/>
      <c r="D4" s="76"/>
      <c r="E4" s="77"/>
      <c r="F4" s="78"/>
      <c r="G4" s="78"/>
      <c r="H4" s="78"/>
      <c r="I4" s="78"/>
      <c r="J4" s="79"/>
      <c r="K4" s="53"/>
    </row>
    <row r="5" spans="1:22" ht="21.9" customHeight="1" thickTop="1" thickBot="1" x14ac:dyDescent="0.25">
      <c r="A5" s="80" t="s">
        <v>2</v>
      </c>
      <c r="B5" s="81"/>
      <c r="C5" s="81"/>
      <c r="D5" s="82"/>
      <c r="E5" s="77"/>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45323</v>
      </c>
      <c r="B8" s="36">
        <f>A8</f>
        <v>45323</v>
      </c>
      <c r="C8" s="43">
        <f>IF(WEEKDAY(A8,2)&gt;5,1,0)+IF(D8&lt;&gt;"",1,0)</f>
        <v>0</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45324</v>
      </c>
      <c r="B9" s="37">
        <f>A9</f>
        <v>45324</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45325</v>
      </c>
      <c r="B10" s="37">
        <f t="shared" ref="B10:B37" si="4">A10</f>
        <v>45325</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45326</v>
      </c>
      <c r="B11" s="37">
        <f t="shared" si="4"/>
        <v>45326</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45327</v>
      </c>
      <c r="B12" s="37">
        <f t="shared" si="4"/>
        <v>45327</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45328</v>
      </c>
      <c r="B13" s="37">
        <f t="shared" si="4"/>
        <v>45328</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45329</v>
      </c>
      <c r="B14" s="37">
        <f t="shared" si="4"/>
        <v>45329</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45330</v>
      </c>
      <c r="B15" s="37">
        <f t="shared" si="4"/>
        <v>45330</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45331</v>
      </c>
      <c r="B16" s="37">
        <f t="shared" si="4"/>
        <v>45331</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45332</v>
      </c>
      <c r="B17" s="37">
        <f t="shared" si="4"/>
        <v>45332</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45333</v>
      </c>
      <c r="B18" s="37">
        <f t="shared" si="4"/>
        <v>45333</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45334</v>
      </c>
      <c r="B19" s="37">
        <f t="shared" si="4"/>
        <v>45334</v>
      </c>
      <c r="C19" s="39">
        <f t="shared" si="1"/>
        <v>1</v>
      </c>
      <c r="D19" s="23" t="s">
        <v>40</v>
      </c>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45335</v>
      </c>
      <c r="B20" s="37">
        <f t="shared" si="4"/>
        <v>45335</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45336</v>
      </c>
      <c r="B21" s="37">
        <f t="shared" si="4"/>
        <v>45336</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45337</v>
      </c>
      <c r="B22" s="37">
        <f t="shared" si="4"/>
        <v>45337</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45338</v>
      </c>
      <c r="B23" s="37">
        <f t="shared" si="4"/>
        <v>45338</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45339</v>
      </c>
      <c r="B24" s="37">
        <f t="shared" si="4"/>
        <v>45339</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45340</v>
      </c>
      <c r="B25" s="37">
        <f t="shared" si="4"/>
        <v>45340</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45341</v>
      </c>
      <c r="B26" s="37">
        <f t="shared" si="4"/>
        <v>45341</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45342</v>
      </c>
      <c r="B27" s="37">
        <f t="shared" si="4"/>
        <v>45342</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45343</v>
      </c>
      <c r="B28" s="37">
        <f t="shared" si="4"/>
        <v>45343</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45344</v>
      </c>
      <c r="B29" s="37">
        <f t="shared" si="4"/>
        <v>45344</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45345</v>
      </c>
      <c r="B30" s="37">
        <f t="shared" si="4"/>
        <v>45345</v>
      </c>
      <c r="C30" s="39">
        <f t="shared" si="1"/>
        <v>1</v>
      </c>
      <c r="D30" s="23" t="s">
        <v>32</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45346</v>
      </c>
      <c r="B31" s="37">
        <f t="shared" si="4"/>
        <v>45346</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45347</v>
      </c>
      <c r="B32" s="37">
        <f t="shared" si="4"/>
        <v>45347</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45348</v>
      </c>
      <c r="B33" s="37">
        <f t="shared" si="4"/>
        <v>45348</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45349</v>
      </c>
      <c r="B34" s="37">
        <f t="shared" si="4"/>
        <v>45349</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45350</v>
      </c>
      <c r="B35" s="37">
        <f t="shared" si="4"/>
        <v>45350</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45351</v>
      </c>
      <c r="B36" s="37">
        <f t="shared" si="4"/>
        <v>45351</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t="str">
        <f>IF($A$35="","",IF(NOT(MONTH($A$35)=MONTH($A$35+2)),"",$A$35+2))</f>
        <v/>
      </c>
      <c r="B37" s="37" t="str">
        <f t="shared" si="4"/>
        <v/>
      </c>
      <c r="C37" s="39" t="e">
        <f t="shared" si="1"/>
        <v>#VALUE!</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10" priority="4" stopIfTrue="1">
      <formula>$C8&gt;0</formula>
    </cfRule>
  </conditionalFormatting>
  <conditionalFormatting sqref="I25:I29">
    <cfRule type="expression" dxfId="9" priority="3" stopIfTrue="1">
      <formula>$C25&gt;0</formula>
    </cfRule>
  </conditionalFormatting>
  <conditionalFormatting sqref="I32:I36">
    <cfRule type="expression" dxfId="8" priority="2" stopIfTrue="1">
      <formula>$C32&gt;0</formula>
    </cfRule>
  </conditionalFormatting>
  <conditionalFormatting sqref="Q8:Q38">
    <cfRule type="expression" dxfId="7"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A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A00-000001000000}">
      <formula1>0</formula1>
      <formula2>100</formula2>
    </dataValidation>
    <dataValidation type="whole" operator="equal" allowBlank="1" showInputMessage="1" showErrorMessage="1" error="選択されている年から変更することはできません。" sqref="T9:T18" xr:uid="{00000000-0002-0000-0A00-000002000000}">
      <formula1>$J$23</formula1>
    </dataValidation>
    <dataValidation type="whole" operator="equal" allowBlank="1" showInputMessage="1" showErrorMessage="1" error="選択されている月から変更することはできません。" sqref="U9:U18" xr:uid="{00000000-0002-0000-0A00-000003000000}">
      <formula1>$J$24</formula1>
    </dataValidation>
    <dataValidation type="list" showInputMessage="1" showErrorMessage="1" error="リストの中から選択してください" sqref="V9:V15" xr:uid="{00000000-0002-0000-0A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V40"/>
  <sheetViews>
    <sheetView showGridLines="0" workbookViewId="0">
      <pane ySplit="7" topLeftCell="A8" activePane="bottomLeft" state="frozen"/>
      <selection activeCell="D2" sqref="D2"/>
      <selection pane="bottomLeft" activeCell="G26" sqref="G26"/>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3</v>
      </c>
      <c r="G1" s="1" t="s">
        <v>1</v>
      </c>
    </row>
    <row r="2" spans="1:22" ht="21.9" customHeight="1" thickBot="1" x14ac:dyDescent="0.25"/>
    <row r="3" spans="1:22" ht="21.9" customHeight="1" thickTop="1" thickBot="1" x14ac:dyDescent="0.25">
      <c r="A3" s="74" t="s">
        <v>15</v>
      </c>
      <c r="B3" s="75"/>
      <c r="C3" s="75"/>
      <c r="D3" s="76"/>
      <c r="E3" s="77"/>
      <c r="F3" s="78"/>
      <c r="G3" s="78"/>
      <c r="H3" s="78"/>
      <c r="I3" s="78"/>
      <c r="J3" s="79"/>
      <c r="K3" s="53"/>
    </row>
    <row r="4" spans="1:22" ht="21.9" customHeight="1" thickTop="1" thickBot="1" x14ac:dyDescent="0.25">
      <c r="A4" s="74" t="s">
        <v>8</v>
      </c>
      <c r="B4" s="75"/>
      <c r="C4" s="75"/>
      <c r="D4" s="76"/>
      <c r="E4" s="77"/>
      <c r="F4" s="78"/>
      <c r="G4" s="78"/>
      <c r="H4" s="78"/>
      <c r="I4" s="78"/>
      <c r="J4" s="79"/>
      <c r="K4" s="53"/>
    </row>
    <row r="5" spans="1:22" ht="21.9" customHeight="1" thickTop="1" thickBot="1" x14ac:dyDescent="0.25">
      <c r="A5" s="80" t="s">
        <v>2</v>
      </c>
      <c r="B5" s="81"/>
      <c r="C5" s="81"/>
      <c r="D5" s="82"/>
      <c r="E5" s="77"/>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45352</v>
      </c>
      <c r="B8" s="36">
        <f>A8</f>
        <v>45352</v>
      </c>
      <c r="C8" s="43">
        <f>IF(WEEKDAY(A8,2)&gt;5,1,0)+IF(D8&lt;&gt;"",1,0)</f>
        <v>0</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45353</v>
      </c>
      <c r="B9" s="37">
        <f>A9</f>
        <v>45353</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45354</v>
      </c>
      <c r="B10" s="37">
        <f t="shared" ref="B10:B37" si="4">A10</f>
        <v>45354</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45355</v>
      </c>
      <c r="B11" s="37">
        <f t="shared" si="4"/>
        <v>45355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45356</v>
      </c>
      <c r="B12" s="37">
        <f t="shared" si="4"/>
        <v>45356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45357</v>
      </c>
      <c r="B13" s="37">
        <f t="shared" si="4"/>
        <v>45357</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45358</v>
      </c>
      <c r="B14" s="37">
        <f t="shared" si="4"/>
        <v>45358</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45359</v>
      </c>
      <c r="B15" s="37">
        <f t="shared" si="4"/>
        <v>45359</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45360</v>
      </c>
      <c r="B16" s="37">
        <f t="shared" si="4"/>
        <v>45360</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45361</v>
      </c>
      <c r="B17" s="37">
        <f t="shared" si="4"/>
        <v>45361</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45362</v>
      </c>
      <c r="B18" s="37">
        <f t="shared" si="4"/>
        <v>45362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45363</v>
      </c>
      <c r="B19" s="37">
        <f t="shared" si="4"/>
        <v>45363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45364</v>
      </c>
      <c r="B20" s="37">
        <f t="shared" si="4"/>
        <v>45364</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45365</v>
      </c>
      <c r="B21" s="37">
        <f t="shared" si="4"/>
        <v>45365</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45366</v>
      </c>
      <c r="B22" s="37">
        <f t="shared" si="4"/>
        <v>45366</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45367</v>
      </c>
      <c r="B23" s="37">
        <f t="shared" si="4"/>
        <v>45367</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45368</v>
      </c>
      <c r="B24" s="37">
        <f t="shared" si="4"/>
        <v>45368</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45369</v>
      </c>
      <c r="B25" s="37">
        <f t="shared" si="4"/>
        <v>45369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45370</v>
      </c>
      <c r="B26" s="37">
        <f t="shared" si="4"/>
        <v>45370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45371</v>
      </c>
      <c r="B27" s="37">
        <f t="shared" si="4"/>
        <v>45371</v>
      </c>
      <c r="C27" s="39">
        <f t="shared" si="1"/>
        <v>1</v>
      </c>
      <c r="D27" s="23" t="s">
        <v>27</v>
      </c>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45372</v>
      </c>
      <c r="B28" s="37">
        <f t="shared" si="4"/>
        <v>45372</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45373</v>
      </c>
      <c r="B29" s="37">
        <f t="shared" si="4"/>
        <v>45373</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45374</v>
      </c>
      <c r="B30" s="37">
        <f t="shared" si="4"/>
        <v>45374</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45375</v>
      </c>
      <c r="B31" s="37">
        <f t="shared" si="4"/>
        <v>45375</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45376</v>
      </c>
      <c r="B32" s="37">
        <f t="shared" si="4"/>
        <v>45376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45377</v>
      </c>
      <c r="B33" s="37">
        <f t="shared" si="4"/>
        <v>45377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45378</v>
      </c>
      <c r="B34" s="37">
        <f t="shared" si="4"/>
        <v>45378</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45379</v>
      </c>
      <c r="B35" s="37">
        <f t="shared" si="4"/>
        <v>45379</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45380</v>
      </c>
      <c r="B36" s="37">
        <f t="shared" si="4"/>
        <v>45380</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45381</v>
      </c>
      <c r="B37" s="37">
        <f t="shared" si="4"/>
        <v>45381</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45382</v>
      </c>
      <c r="B38" s="38">
        <f>A38</f>
        <v>45382</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6" priority="4" stopIfTrue="1">
      <formula>$C8&gt;0</formula>
    </cfRule>
  </conditionalFormatting>
  <conditionalFormatting sqref="I25:I29">
    <cfRule type="expression" dxfId="5" priority="3" stopIfTrue="1">
      <formula>$C25&gt;0</formula>
    </cfRule>
  </conditionalFormatting>
  <conditionalFormatting sqref="I32:I36">
    <cfRule type="expression" dxfId="4" priority="2" stopIfTrue="1">
      <formula>$C32&gt;0</formula>
    </cfRule>
  </conditionalFormatting>
  <conditionalFormatting sqref="Q8:Q38">
    <cfRule type="expression" dxfId="3" priority="1" stopIfTrue="1">
      <formula>$C8&gt;0</formula>
    </cfRule>
  </conditionalFormatting>
  <dataValidations count="5">
    <dataValidation type="list" showInputMessage="1" showErrorMessage="1" error="リストの中から選択してください" sqref="V9:V15" xr:uid="{00000000-0002-0000-0B00-000000000000}">
      <formula1>$S$8:$S$39</formula1>
    </dataValidation>
    <dataValidation type="whole" operator="equal" allowBlank="1" showInputMessage="1" showErrorMessage="1" error="選択されている月から変更することはできません。" sqref="U9:U18" xr:uid="{00000000-0002-0000-0B00-000001000000}">
      <formula1>$J$24</formula1>
    </dataValidation>
    <dataValidation type="whole" operator="equal" allowBlank="1" showInputMessage="1" showErrorMessage="1" error="選択されている年から変更することはできません。" sqref="T9:T18" xr:uid="{00000000-0002-0000-0B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B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B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pageSetUpPr fitToPage="1"/>
  </sheetPr>
  <dimension ref="A1:V40"/>
  <sheetViews>
    <sheetView showGridLines="0" workbookViewId="0">
      <pane ySplit="7" topLeftCell="A8" activePane="bottomLeft" state="frozen"/>
      <selection pane="bottomLeft" activeCell="A8" sqref="A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2013</v>
      </c>
      <c r="E1" s="1" t="s">
        <v>0</v>
      </c>
      <c r="F1" s="8">
        <v>11</v>
      </c>
      <c r="G1" s="1" t="s">
        <v>1</v>
      </c>
    </row>
    <row r="2" spans="1:22" ht="21.9" customHeight="1" thickBot="1" x14ac:dyDescent="0.25"/>
    <row r="3" spans="1:22" ht="21.9" customHeight="1" thickTop="1" thickBot="1" x14ac:dyDescent="0.25">
      <c r="A3" s="74" t="s">
        <v>15</v>
      </c>
      <c r="B3" s="75"/>
      <c r="C3" s="75"/>
      <c r="D3" s="76"/>
      <c r="E3" s="77" t="s">
        <v>24</v>
      </c>
      <c r="F3" s="78"/>
      <c r="G3" s="78"/>
      <c r="H3" s="78"/>
      <c r="I3" s="78"/>
      <c r="J3" s="79"/>
      <c r="K3" s="53"/>
    </row>
    <row r="4" spans="1:22" ht="21.9" customHeight="1" thickTop="1" thickBot="1" x14ac:dyDescent="0.25">
      <c r="A4" s="74" t="s">
        <v>8</v>
      </c>
      <c r="B4" s="75"/>
      <c r="C4" s="75"/>
      <c r="D4" s="76"/>
      <c r="E4" s="77" t="s">
        <v>25</v>
      </c>
      <c r="F4" s="78"/>
      <c r="G4" s="78"/>
      <c r="H4" s="78"/>
      <c r="I4" s="78"/>
      <c r="J4" s="79"/>
      <c r="K4" s="53"/>
    </row>
    <row r="5" spans="1:22" ht="21.9" customHeight="1" thickTop="1" thickBot="1" x14ac:dyDescent="0.25">
      <c r="A5" s="80" t="s">
        <v>2</v>
      </c>
      <c r="B5" s="81"/>
      <c r="C5" s="81"/>
      <c r="D5" s="82"/>
      <c r="E5" s="77" t="s">
        <v>26</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R7" s="16"/>
      <c r="S7" s="17"/>
      <c r="T7" s="18"/>
      <c r="U7" s="19"/>
      <c r="V7" s="19"/>
    </row>
    <row r="8" spans="1:22" ht="18" customHeight="1" x14ac:dyDescent="0.2">
      <c r="A8" s="42">
        <f>IF(D1="","",DATE(D1,F1,1))</f>
        <v>41579</v>
      </c>
      <c r="B8" s="36">
        <f>A8</f>
        <v>41579</v>
      </c>
      <c r="C8" s="43">
        <f>IF(WEEKDAY(A8,2)&gt;5,1,0)+IF(D8&lt;&gt;"",1,0)</f>
        <v>0</v>
      </c>
      <c r="D8" s="44"/>
      <c r="E8" s="45">
        <v>9</v>
      </c>
      <c r="F8" s="46">
        <v>0</v>
      </c>
      <c r="G8" s="45">
        <v>18</v>
      </c>
      <c r="H8" s="47">
        <v>0</v>
      </c>
      <c r="I8" s="33">
        <v>60</v>
      </c>
      <c r="J8" s="56">
        <f t="shared" ref="J8:J38" si="0">IF((H8-F8)&lt;0,(G8-E8-1)*60+(60+H8-F8),(G8-E8)*60+H8-F8)-I8</f>
        <v>480</v>
      </c>
      <c r="K8" s="60">
        <f>J8/60</f>
        <v>8</v>
      </c>
      <c r="L8" s="21"/>
      <c r="M8" s="86"/>
      <c r="N8" s="87"/>
      <c r="O8" s="87"/>
      <c r="P8" s="88"/>
      <c r="S8" s="14"/>
      <c r="T8" s="6"/>
      <c r="U8" s="6"/>
      <c r="V8" s="6"/>
    </row>
    <row r="9" spans="1:22" ht="18" customHeight="1" x14ac:dyDescent="0.2">
      <c r="A9" s="22">
        <f>IF(A8="","",(A8+1))</f>
        <v>41580</v>
      </c>
      <c r="B9" s="37">
        <f>A9</f>
        <v>41580</v>
      </c>
      <c r="C9" s="39">
        <f t="shared" ref="C9:C38" si="1">IF(WEEKDAY(A9,2)&gt;5,1,0)+IF(D9&lt;&gt;"",1,0)</f>
        <v>1</v>
      </c>
      <c r="D9" s="23"/>
      <c r="E9" s="20"/>
      <c r="F9" s="31"/>
      <c r="G9" s="20"/>
      <c r="H9" s="24"/>
      <c r="I9" s="34"/>
      <c r="J9" s="57">
        <f t="shared" si="0"/>
        <v>0</v>
      </c>
      <c r="K9" s="61">
        <f t="shared" ref="K9:K38" si="2">J9/60</f>
        <v>0</v>
      </c>
      <c r="L9" s="25"/>
      <c r="M9" s="66"/>
      <c r="N9" s="67"/>
      <c r="O9" s="67"/>
      <c r="P9" s="68"/>
      <c r="S9" s="14"/>
      <c r="T9" s="11"/>
      <c r="U9" s="12"/>
      <c r="V9" s="13"/>
    </row>
    <row r="10" spans="1:22" ht="18" customHeight="1" x14ac:dyDescent="0.2">
      <c r="A10" s="22">
        <f t="shared" ref="A10:A35" si="3">IF(A9="","",(A9+1))</f>
        <v>41581</v>
      </c>
      <c r="B10" s="37">
        <f t="shared" ref="B10:B37" si="4">A10</f>
        <v>41581</v>
      </c>
      <c r="C10" s="39">
        <f t="shared" si="1"/>
        <v>1</v>
      </c>
      <c r="D10" s="23"/>
      <c r="E10" s="20"/>
      <c r="F10" s="31"/>
      <c r="G10" s="20"/>
      <c r="H10" s="24"/>
      <c r="I10" s="34"/>
      <c r="J10" s="57">
        <f t="shared" si="0"/>
        <v>0</v>
      </c>
      <c r="K10" s="61">
        <f t="shared" si="2"/>
        <v>0</v>
      </c>
      <c r="L10" s="25"/>
      <c r="M10" s="66"/>
      <c r="N10" s="67"/>
      <c r="O10" s="67"/>
      <c r="P10" s="68"/>
      <c r="S10" s="14"/>
      <c r="T10" s="11"/>
      <c r="U10" s="12"/>
      <c r="V10" s="13"/>
    </row>
    <row r="11" spans="1:22" ht="18" customHeight="1" x14ac:dyDescent="0.2">
      <c r="A11" s="22">
        <f t="shared" si="3"/>
        <v>41582</v>
      </c>
      <c r="B11" s="37">
        <f t="shared" si="4"/>
        <v>41582</v>
      </c>
      <c r="C11" s="39">
        <f t="shared" si="1"/>
        <v>1</v>
      </c>
      <c r="D11" s="23" t="s">
        <v>13</v>
      </c>
      <c r="E11" s="20"/>
      <c r="F11" s="31"/>
      <c r="G11" s="20"/>
      <c r="H11" s="24"/>
      <c r="I11" s="34"/>
      <c r="J11" s="57">
        <f t="shared" si="0"/>
        <v>0</v>
      </c>
      <c r="K11" s="61">
        <f t="shared" si="2"/>
        <v>0</v>
      </c>
      <c r="L11" s="25"/>
      <c r="M11" s="66"/>
      <c r="N11" s="67"/>
      <c r="O11" s="67"/>
      <c r="P11" s="68"/>
      <c r="S11" s="14"/>
      <c r="T11" s="11"/>
      <c r="U11" s="12"/>
      <c r="V11" s="13"/>
    </row>
    <row r="12" spans="1:22" ht="18" customHeight="1" x14ac:dyDescent="0.2">
      <c r="A12" s="22">
        <f t="shared" si="3"/>
        <v>41583</v>
      </c>
      <c r="B12" s="37">
        <f t="shared" si="4"/>
        <v>41583</v>
      </c>
      <c r="C12" s="39">
        <f t="shared" si="1"/>
        <v>0</v>
      </c>
      <c r="D12" s="23"/>
      <c r="E12" s="20">
        <v>9</v>
      </c>
      <c r="F12" s="31">
        <v>0</v>
      </c>
      <c r="G12" s="20">
        <v>18</v>
      </c>
      <c r="H12" s="24">
        <v>0</v>
      </c>
      <c r="I12" s="34">
        <v>60</v>
      </c>
      <c r="J12" s="57">
        <f t="shared" si="0"/>
        <v>480</v>
      </c>
      <c r="K12" s="61">
        <f t="shared" si="2"/>
        <v>8</v>
      </c>
      <c r="L12" s="25"/>
      <c r="M12" s="66"/>
      <c r="N12" s="67"/>
      <c r="O12" s="67"/>
      <c r="P12" s="68"/>
      <c r="S12" s="14"/>
      <c r="T12" s="11"/>
      <c r="U12" s="12"/>
      <c r="V12" s="13"/>
    </row>
    <row r="13" spans="1:22" ht="18" customHeight="1" x14ac:dyDescent="0.2">
      <c r="A13" s="22">
        <f t="shared" si="3"/>
        <v>41584</v>
      </c>
      <c r="B13" s="37">
        <f t="shared" si="4"/>
        <v>41584</v>
      </c>
      <c r="C13" s="39">
        <f t="shared" si="1"/>
        <v>0</v>
      </c>
      <c r="D13" s="23"/>
      <c r="E13" s="20">
        <v>9</v>
      </c>
      <c r="F13" s="31">
        <v>0</v>
      </c>
      <c r="G13" s="20">
        <v>18</v>
      </c>
      <c r="H13" s="24">
        <v>0</v>
      </c>
      <c r="I13" s="34">
        <v>60</v>
      </c>
      <c r="J13" s="57">
        <f t="shared" si="0"/>
        <v>480</v>
      </c>
      <c r="K13" s="61">
        <f t="shared" si="2"/>
        <v>8</v>
      </c>
      <c r="L13" s="25"/>
      <c r="M13" s="66"/>
      <c r="N13" s="67"/>
      <c r="O13" s="67"/>
      <c r="P13" s="68"/>
      <c r="S13" s="14"/>
      <c r="T13" s="11"/>
      <c r="U13" s="12"/>
      <c r="V13" s="13"/>
    </row>
    <row r="14" spans="1:22" ht="18" customHeight="1" x14ac:dyDescent="0.2">
      <c r="A14" s="22">
        <f t="shared" si="3"/>
        <v>41585</v>
      </c>
      <c r="B14" s="37">
        <f t="shared" si="4"/>
        <v>41585</v>
      </c>
      <c r="C14" s="39">
        <f t="shared" si="1"/>
        <v>0</v>
      </c>
      <c r="D14" s="23"/>
      <c r="E14" s="20">
        <v>9</v>
      </c>
      <c r="F14" s="31">
        <v>0</v>
      </c>
      <c r="G14" s="20">
        <v>18</v>
      </c>
      <c r="H14" s="24">
        <v>0</v>
      </c>
      <c r="I14" s="34">
        <v>60</v>
      </c>
      <c r="J14" s="57">
        <f t="shared" si="0"/>
        <v>480</v>
      </c>
      <c r="K14" s="61">
        <f t="shared" si="2"/>
        <v>8</v>
      </c>
      <c r="L14" s="25"/>
      <c r="M14" s="66"/>
      <c r="N14" s="67"/>
      <c r="O14" s="67"/>
      <c r="P14" s="68"/>
      <c r="S14" s="14"/>
      <c r="T14" s="11"/>
      <c r="U14" s="12"/>
      <c r="V14" s="13"/>
    </row>
    <row r="15" spans="1:22" ht="18" customHeight="1" x14ac:dyDescent="0.2">
      <c r="A15" s="22">
        <f t="shared" si="3"/>
        <v>41586</v>
      </c>
      <c r="B15" s="37">
        <f t="shared" si="4"/>
        <v>41586</v>
      </c>
      <c r="C15" s="39">
        <f t="shared" si="1"/>
        <v>0</v>
      </c>
      <c r="D15" s="23"/>
      <c r="E15" s="20"/>
      <c r="F15" s="31"/>
      <c r="G15" s="20"/>
      <c r="H15" s="24"/>
      <c r="I15" s="34"/>
      <c r="J15" s="57">
        <f t="shared" si="0"/>
        <v>0</v>
      </c>
      <c r="K15" s="61">
        <f t="shared" si="2"/>
        <v>0</v>
      </c>
      <c r="L15" s="25" t="s">
        <v>22</v>
      </c>
      <c r="M15" s="66"/>
      <c r="N15" s="67"/>
      <c r="O15" s="67"/>
      <c r="P15" s="68"/>
      <c r="S15" s="14"/>
      <c r="T15" s="11"/>
      <c r="U15" s="12"/>
      <c r="V15" s="13"/>
    </row>
    <row r="16" spans="1:22" ht="18" customHeight="1" x14ac:dyDescent="0.2">
      <c r="A16" s="22">
        <f t="shared" si="3"/>
        <v>41587</v>
      </c>
      <c r="B16" s="37">
        <f t="shared" si="4"/>
        <v>41587</v>
      </c>
      <c r="C16" s="39">
        <f t="shared" si="1"/>
        <v>1</v>
      </c>
      <c r="D16" s="23"/>
      <c r="E16" s="20"/>
      <c r="F16" s="31"/>
      <c r="G16" s="20"/>
      <c r="H16" s="24"/>
      <c r="I16" s="34"/>
      <c r="J16" s="57">
        <f t="shared" si="0"/>
        <v>0</v>
      </c>
      <c r="K16" s="61">
        <f t="shared" si="2"/>
        <v>0</v>
      </c>
      <c r="L16" s="25"/>
      <c r="M16" s="66"/>
      <c r="N16" s="67"/>
      <c r="O16" s="67"/>
      <c r="P16" s="68"/>
      <c r="S16" s="14"/>
      <c r="T16" s="11"/>
      <c r="U16" s="12"/>
      <c r="V16" s="13"/>
    </row>
    <row r="17" spans="1:22" ht="18" customHeight="1" x14ac:dyDescent="0.2">
      <c r="A17" s="22">
        <f t="shared" si="3"/>
        <v>41588</v>
      </c>
      <c r="B17" s="37">
        <f t="shared" si="4"/>
        <v>41588</v>
      </c>
      <c r="C17" s="39">
        <f t="shared" si="1"/>
        <v>1</v>
      </c>
      <c r="D17" s="23"/>
      <c r="E17" s="20"/>
      <c r="F17" s="31"/>
      <c r="G17" s="20"/>
      <c r="H17" s="24"/>
      <c r="I17" s="34"/>
      <c r="J17" s="57">
        <f t="shared" si="0"/>
        <v>0</v>
      </c>
      <c r="K17" s="61">
        <f t="shared" si="2"/>
        <v>0</v>
      </c>
      <c r="L17" s="25"/>
      <c r="M17" s="66"/>
      <c r="N17" s="67"/>
      <c r="O17" s="67"/>
      <c r="P17" s="68"/>
      <c r="T17" s="11"/>
      <c r="U17" s="12"/>
      <c r="V17" s="13"/>
    </row>
    <row r="18" spans="1:22" ht="18" customHeight="1" x14ac:dyDescent="0.2">
      <c r="A18" s="22">
        <f t="shared" si="3"/>
        <v>41589</v>
      </c>
      <c r="B18" s="37">
        <f t="shared" si="4"/>
        <v>41589</v>
      </c>
      <c r="C18" s="39">
        <f t="shared" si="1"/>
        <v>0</v>
      </c>
      <c r="D18" s="23"/>
      <c r="E18" s="20">
        <v>13</v>
      </c>
      <c r="F18" s="31">
        <v>0</v>
      </c>
      <c r="G18" s="20">
        <v>18</v>
      </c>
      <c r="H18" s="24">
        <v>0</v>
      </c>
      <c r="I18" s="34"/>
      <c r="J18" s="57">
        <f t="shared" si="0"/>
        <v>300</v>
      </c>
      <c r="K18" s="61">
        <f t="shared" si="2"/>
        <v>5</v>
      </c>
      <c r="L18" s="25"/>
      <c r="M18" s="66" t="s">
        <v>23</v>
      </c>
      <c r="N18" s="67"/>
      <c r="O18" s="67"/>
      <c r="P18" s="68"/>
      <c r="T18" s="11"/>
      <c r="U18" s="12"/>
      <c r="V18" s="13"/>
    </row>
    <row r="19" spans="1:22" ht="18" customHeight="1" x14ac:dyDescent="0.2">
      <c r="A19" s="22">
        <f t="shared" si="3"/>
        <v>41590</v>
      </c>
      <c r="B19" s="37">
        <f t="shared" si="4"/>
        <v>41590</v>
      </c>
      <c r="C19" s="39">
        <f t="shared" si="1"/>
        <v>0</v>
      </c>
      <c r="D19" s="23"/>
      <c r="E19" s="20">
        <v>9</v>
      </c>
      <c r="F19" s="31">
        <v>0</v>
      </c>
      <c r="G19" s="20">
        <v>18</v>
      </c>
      <c r="H19" s="24">
        <v>0</v>
      </c>
      <c r="I19" s="34">
        <v>60</v>
      </c>
      <c r="J19" s="57">
        <f t="shared" si="0"/>
        <v>480</v>
      </c>
      <c r="K19" s="61">
        <f t="shared" si="2"/>
        <v>8</v>
      </c>
      <c r="L19" s="25"/>
      <c r="M19" s="66"/>
      <c r="N19" s="67"/>
      <c r="O19" s="67"/>
      <c r="P19" s="68"/>
      <c r="V19" s="13"/>
    </row>
    <row r="20" spans="1:22" ht="18" customHeight="1" x14ac:dyDescent="0.2">
      <c r="A20" s="22">
        <f t="shared" si="3"/>
        <v>41591</v>
      </c>
      <c r="B20" s="37">
        <f t="shared" si="4"/>
        <v>41591</v>
      </c>
      <c r="C20" s="39">
        <f t="shared" si="1"/>
        <v>0</v>
      </c>
      <c r="D20" s="23"/>
      <c r="E20" s="20">
        <v>9</v>
      </c>
      <c r="F20" s="31">
        <v>0</v>
      </c>
      <c r="G20" s="20">
        <v>18</v>
      </c>
      <c r="H20" s="24">
        <v>0</v>
      </c>
      <c r="I20" s="34">
        <v>60</v>
      </c>
      <c r="J20" s="57">
        <f t="shared" si="0"/>
        <v>480</v>
      </c>
      <c r="K20" s="61">
        <f t="shared" si="2"/>
        <v>8</v>
      </c>
      <c r="L20" s="25"/>
      <c r="M20" s="66"/>
      <c r="N20" s="67"/>
      <c r="O20" s="67"/>
      <c r="P20" s="68"/>
      <c r="V20" s="13"/>
    </row>
    <row r="21" spans="1:22" ht="18" customHeight="1" x14ac:dyDescent="0.2">
      <c r="A21" s="22">
        <f t="shared" si="3"/>
        <v>41592</v>
      </c>
      <c r="B21" s="37">
        <f t="shared" si="4"/>
        <v>41592</v>
      </c>
      <c r="C21" s="39">
        <f t="shared" si="1"/>
        <v>0</v>
      </c>
      <c r="D21" s="23"/>
      <c r="E21" s="20">
        <v>9</v>
      </c>
      <c r="F21" s="31">
        <v>0</v>
      </c>
      <c r="G21" s="20">
        <v>18</v>
      </c>
      <c r="H21" s="24">
        <v>0</v>
      </c>
      <c r="I21" s="34">
        <v>60</v>
      </c>
      <c r="J21" s="57">
        <f t="shared" si="0"/>
        <v>480</v>
      </c>
      <c r="K21" s="61">
        <f t="shared" si="2"/>
        <v>8</v>
      </c>
      <c r="L21" s="25"/>
      <c r="M21" s="66"/>
      <c r="N21" s="67"/>
      <c r="O21" s="67"/>
      <c r="P21" s="68"/>
      <c r="V21" s="13"/>
    </row>
    <row r="22" spans="1:22" ht="18" customHeight="1" x14ac:dyDescent="0.2">
      <c r="A22" s="22">
        <f t="shared" si="3"/>
        <v>41593</v>
      </c>
      <c r="B22" s="37">
        <f t="shared" si="4"/>
        <v>41593</v>
      </c>
      <c r="C22" s="39">
        <f t="shared" si="1"/>
        <v>0</v>
      </c>
      <c r="D22" s="23"/>
      <c r="E22" s="20">
        <v>9</v>
      </c>
      <c r="F22" s="31">
        <v>0</v>
      </c>
      <c r="G22" s="20">
        <v>18</v>
      </c>
      <c r="H22" s="24">
        <v>0</v>
      </c>
      <c r="I22" s="34">
        <v>60</v>
      </c>
      <c r="J22" s="57">
        <f t="shared" si="0"/>
        <v>480</v>
      </c>
      <c r="K22" s="61">
        <f t="shared" si="2"/>
        <v>8</v>
      </c>
      <c r="L22" s="25"/>
      <c r="M22" s="66"/>
      <c r="N22" s="67"/>
      <c r="O22" s="67"/>
      <c r="P22" s="68"/>
      <c r="V22" s="13"/>
    </row>
    <row r="23" spans="1:22" ht="18" customHeight="1" x14ac:dyDescent="0.2">
      <c r="A23" s="22">
        <f t="shared" si="3"/>
        <v>41594</v>
      </c>
      <c r="B23" s="37">
        <f t="shared" si="4"/>
        <v>41594</v>
      </c>
      <c r="C23" s="39">
        <f t="shared" si="1"/>
        <v>1</v>
      </c>
      <c r="D23" s="23"/>
      <c r="E23" s="20"/>
      <c r="F23" s="31"/>
      <c r="G23" s="20"/>
      <c r="H23" s="24"/>
      <c r="I23" s="34"/>
      <c r="J23" s="57">
        <f t="shared" si="0"/>
        <v>0</v>
      </c>
      <c r="K23" s="61">
        <f t="shared" si="2"/>
        <v>0</v>
      </c>
      <c r="L23" s="25"/>
      <c r="M23" s="66"/>
      <c r="N23" s="67"/>
      <c r="O23" s="67"/>
      <c r="P23" s="68"/>
      <c r="V23" s="13"/>
    </row>
    <row r="24" spans="1:22" ht="18" customHeight="1" x14ac:dyDescent="0.2">
      <c r="A24" s="22">
        <f t="shared" si="3"/>
        <v>41595</v>
      </c>
      <c r="B24" s="37">
        <f t="shared" si="4"/>
        <v>41595</v>
      </c>
      <c r="C24" s="39">
        <f t="shared" si="1"/>
        <v>1</v>
      </c>
      <c r="D24" s="23"/>
      <c r="E24" s="20"/>
      <c r="F24" s="31"/>
      <c r="G24" s="20"/>
      <c r="H24" s="24"/>
      <c r="I24" s="34"/>
      <c r="J24" s="57">
        <f t="shared" si="0"/>
        <v>0</v>
      </c>
      <c r="K24" s="61">
        <f t="shared" si="2"/>
        <v>0</v>
      </c>
      <c r="L24" s="25"/>
      <c r="M24" s="66"/>
      <c r="N24" s="67"/>
      <c r="O24" s="67"/>
      <c r="P24" s="68"/>
      <c r="V24" s="13"/>
    </row>
    <row r="25" spans="1:22" ht="18" customHeight="1" x14ac:dyDescent="0.2">
      <c r="A25" s="22">
        <f t="shared" si="3"/>
        <v>41596</v>
      </c>
      <c r="B25" s="37">
        <f t="shared" si="4"/>
        <v>41596</v>
      </c>
      <c r="C25" s="39">
        <f t="shared" si="1"/>
        <v>0</v>
      </c>
      <c r="D25" s="23"/>
      <c r="E25" s="20">
        <v>9</v>
      </c>
      <c r="F25" s="31">
        <v>0</v>
      </c>
      <c r="G25" s="20">
        <v>12</v>
      </c>
      <c r="H25" s="24">
        <v>0</v>
      </c>
      <c r="I25" s="34"/>
      <c r="J25" s="57">
        <f t="shared" si="0"/>
        <v>180</v>
      </c>
      <c r="K25" s="61">
        <f t="shared" si="2"/>
        <v>3</v>
      </c>
      <c r="L25" s="25"/>
      <c r="M25" s="66" t="s">
        <v>23</v>
      </c>
      <c r="N25" s="67"/>
      <c r="O25" s="67"/>
      <c r="P25" s="68"/>
      <c r="V25" s="13"/>
    </row>
    <row r="26" spans="1:22" ht="18" customHeight="1" x14ac:dyDescent="0.2">
      <c r="A26" s="22">
        <f t="shared" si="3"/>
        <v>41597</v>
      </c>
      <c r="B26" s="37">
        <f t="shared" si="4"/>
        <v>41597</v>
      </c>
      <c r="C26" s="39">
        <f t="shared" si="1"/>
        <v>0</v>
      </c>
      <c r="D26" s="23"/>
      <c r="E26" s="20">
        <v>9</v>
      </c>
      <c r="F26" s="31">
        <v>0</v>
      </c>
      <c r="G26" s="20">
        <v>18</v>
      </c>
      <c r="H26" s="24">
        <v>0</v>
      </c>
      <c r="I26" s="34">
        <v>60</v>
      </c>
      <c r="J26" s="57">
        <f t="shared" si="0"/>
        <v>480</v>
      </c>
      <c r="K26" s="61">
        <f t="shared" si="2"/>
        <v>8</v>
      </c>
      <c r="L26" s="25"/>
      <c r="M26" s="66"/>
      <c r="N26" s="67"/>
      <c r="O26" s="67"/>
      <c r="P26" s="68"/>
      <c r="V26" s="13"/>
    </row>
    <row r="27" spans="1:22" ht="18" customHeight="1" x14ac:dyDescent="0.2">
      <c r="A27" s="22">
        <f t="shared" si="3"/>
        <v>41598</v>
      </c>
      <c r="B27" s="37">
        <f t="shared" si="4"/>
        <v>41598</v>
      </c>
      <c r="C27" s="39">
        <f t="shared" si="1"/>
        <v>0</v>
      </c>
      <c r="D27" s="23"/>
      <c r="E27" s="20">
        <v>9</v>
      </c>
      <c r="F27" s="31">
        <v>0</v>
      </c>
      <c r="G27" s="20">
        <v>18</v>
      </c>
      <c r="H27" s="24">
        <v>0</v>
      </c>
      <c r="I27" s="34">
        <v>60</v>
      </c>
      <c r="J27" s="57">
        <f t="shared" si="0"/>
        <v>480</v>
      </c>
      <c r="K27" s="61">
        <f t="shared" si="2"/>
        <v>8</v>
      </c>
      <c r="L27" s="25"/>
      <c r="M27" s="66"/>
      <c r="N27" s="67"/>
      <c r="O27" s="67"/>
      <c r="P27" s="68"/>
      <c r="V27" s="13"/>
    </row>
    <row r="28" spans="1:22" ht="18" customHeight="1" x14ac:dyDescent="0.2">
      <c r="A28" s="22">
        <f t="shared" si="3"/>
        <v>41599</v>
      </c>
      <c r="B28" s="37">
        <f t="shared" si="4"/>
        <v>41599</v>
      </c>
      <c r="C28" s="39">
        <f t="shared" si="1"/>
        <v>0</v>
      </c>
      <c r="D28" s="23"/>
      <c r="E28" s="20">
        <v>9</v>
      </c>
      <c r="F28" s="31">
        <v>0</v>
      </c>
      <c r="G28" s="20">
        <v>18</v>
      </c>
      <c r="H28" s="24">
        <v>0</v>
      </c>
      <c r="I28" s="34">
        <v>60</v>
      </c>
      <c r="J28" s="57">
        <f t="shared" si="0"/>
        <v>480</v>
      </c>
      <c r="K28" s="61">
        <f t="shared" si="2"/>
        <v>8</v>
      </c>
      <c r="L28" s="25"/>
      <c r="M28" s="66"/>
      <c r="N28" s="67"/>
      <c r="O28" s="67"/>
      <c r="P28" s="68"/>
      <c r="V28" s="13"/>
    </row>
    <row r="29" spans="1:22" ht="18" customHeight="1" x14ac:dyDescent="0.2">
      <c r="A29" s="22">
        <f t="shared" si="3"/>
        <v>41600</v>
      </c>
      <c r="B29" s="37">
        <f t="shared" si="4"/>
        <v>41600</v>
      </c>
      <c r="C29" s="39">
        <f t="shared" si="1"/>
        <v>0</v>
      </c>
      <c r="D29" s="23"/>
      <c r="E29" s="20">
        <v>9</v>
      </c>
      <c r="F29" s="31">
        <v>0</v>
      </c>
      <c r="G29" s="20">
        <v>18</v>
      </c>
      <c r="H29" s="24">
        <v>0</v>
      </c>
      <c r="I29" s="34">
        <v>60</v>
      </c>
      <c r="J29" s="57">
        <f t="shared" si="0"/>
        <v>480</v>
      </c>
      <c r="K29" s="61">
        <f t="shared" si="2"/>
        <v>8</v>
      </c>
      <c r="L29" s="25"/>
      <c r="M29" s="66"/>
      <c r="N29" s="67"/>
      <c r="O29" s="67"/>
      <c r="P29" s="68"/>
      <c r="V29" s="13"/>
    </row>
    <row r="30" spans="1:22" ht="18" customHeight="1" x14ac:dyDescent="0.2">
      <c r="A30" s="22">
        <f t="shared" si="3"/>
        <v>41601</v>
      </c>
      <c r="B30" s="37">
        <f t="shared" si="4"/>
        <v>41601</v>
      </c>
      <c r="C30" s="39">
        <f t="shared" si="1"/>
        <v>1</v>
      </c>
      <c r="D30" s="23"/>
      <c r="E30" s="20"/>
      <c r="F30" s="31"/>
      <c r="G30" s="20"/>
      <c r="H30" s="24"/>
      <c r="I30" s="34"/>
      <c r="J30" s="57">
        <f t="shared" si="0"/>
        <v>0</v>
      </c>
      <c r="K30" s="61">
        <f t="shared" si="2"/>
        <v>0</v>
      </c>
      <c r="L30" s="25"/>
      <c r="M30" s="66"/>
      <c r="N30" s="67"/>
      <c r="O30" s="67"/>
      <c r="P30" s="68"/>
      <c r="V30" s="13"/>
    </row>
    <row r="31" spans="1:22" ht="18" customHeight="1" x14ac:dyDescent="0.2">
      <c r="A31" s="22">
        <f t="shared" si="3"/>
        <v>41602</v>
      </c>
      <c r="B31" s="37">
        <f t="shared" si="4"/>
        <v>41602</v>
      </c>
      <c r="C31" s="39">
        <f t="shared" si="1"/>
        <v>1</v>
      </c>
      <c r="D31" s="23"/>
      <c r="E31" s="20"/>
      <c r="F31" s="31"/>
      <c r="G31" s="20"/>
      <c r="H31" s="24"/>
      <c r="I31" s="34"/>
      <c r="J31" s="57">
        <f t="shared" si="0"/>
        <v>0</v>
      </c>
      <c r="K31" s="61">
        <f t="shared" si="2"/>
        <v>0</v>
      </c>
      <c r="L31" s="25"/>
      <c r="M31" s="66"/>
      <c r="N31" s="67"/>
      <c r="O31" s="67"/>
      <c r="P31" s="68"/>
      <c r="V31" s="13"/>
    </row>
    <row r="32" spans="1:22" ht="18" customHeight="1" x14ac:dyDescent="0.2">
      <c r="A32" s="22">
        <f t="shared" si="3"/>
        <v>41603</v>
      </c>
      <c r="B32" s="37">
        <f t="shared" si="4"/>
        <v>41603</v>
      </c>
      <c r="C32" s="39">
        <f t="shared" si="1"/>
        <v>0</v>
      </c>
      <c r="D32" s="23"/>
      <c r="E32" s="20">
        <v>9</v>
      </c>
      <c r="F32" s="31">
        <v>0</v>
      </c>
      <c r="G32" s="20">
        <v>19</v>
      </c>
      <c r="H32" s="24">
        <v>30</v>
      </c>
      <c r="I32" s="34">
        <v>60</v>
      </c>
      <c r="J32" s="57">
        <f t="shared" si="0"/>
        <v>570</v>
      </c>
      <c r="K32" s="61">
        <f t="shared" si="2"/>
        <v>9.5</v>
      </c>
      <c r="L32" s="25"/>
      <c r="M32" s="66"/>
      <c r="N32" s="67"/>
      <c r="O32" s="67"/>
      <c r="P32" s="68"/>
      <c r="V32" s="13"/>
    </row>
    <row r="33" spans="1:22" ht="18" customHeight="1" x14ac:dyDescent="0.2">
      <c r="A33" s="22">
        <f t="shared" si="3"/>
        <v>41604</v>
      </c>
      <c r="B33" s="37">
        <f t="shared" si="4"/>
        <v>41604</v>
      </c>
      <c r="C33" s="39">
        <f t="shared" si="1"/>
        <v>0</v>
      </c>
      <c r="D33" s="23"/>
      <c r="E33" s="20">
        <v>9</v>
      </c>
      <c r="F33" s="31">
        <v>0</v>
      </c>
      <c r="G33" s="20">
        <v>19</v>
      </c>
      <c r="H33" s="24">
        <v>15</v>
      </c>
      <c r="I33" s="34">
        <v>60</v>
      </c>
      <c r="J33" s="57">
        <f t="shared" si="0"/>
        <v>555</v>
      </c>
      <c r="K33" s="61">
        <f t="shared" si="2"/>
        <v>9.25</v>
      </c>
      <c r="L33" s="25"/>
      <c r="M33" s="66"/>
      <c r="N33" s="67"/>
      <c r="O33" s="67"/>
      <c r="P33" s="68"/>
      <c r="V33" s="13"/>
    </row>
    <row r="34" spans="1:22" ht="18" customHeight="1" x14ac:dyDescent="0.2">
      <c r="A34" s="22">
        <f t="shared" si="3"/>
        <v>41605</v>
      </c>
      <c r="B34" s="37">
        <f t="shared" si="4"/>
        <v>41605</v>
      </c>
      <c r="C34" s="39">
        <f t="shared" si="1"/>
        <v>0</v>
      </c>
      <c r="D34" s="23"/>
      <c r="E34" s="20">
        <v>9</v>
      </c>
      <c r="F34" s="31">
        <v>0</v>
      </c>
      <c r="G34" s="20">
        <v>19</v>
      </c>
      <c r="H34" s="24">
        <v>10</v>
      </c>
      <c r="I34" s="34">
        <v>60</v>
      </c>
      <c r="J34" s="57">
        <f t="shared" si="0"/>
        <v>550</v>
      </c>
      <c r="K34" s="61">
        <f t="shared" si="2"/>
        <v>9.1666666666666661</v>
      </c>
      <c r="L34" s="25"/>
      <c r="M34" s="66"/>
      <c r="N34" s="67"/>
      <c r="O34" s="67"/>
      <c r="P34" s="68"/>
    </row>
    <row r="35" spans="1:22" ht="18" customHeight="1" x14ac:dyDescent="0.2">
      <c r="A35" s="22">
        <f t="shared" si="3"/>
        <v>41606</v>
      </c>
      <c r="B35" s="37">
        <f t="shared" si="4"/>
        <v>41606</v>
      </c>
      <c r="C35" s="39">
        <f t="shared" si="1"/>
        <v>0</v>
      </c>
      <c r="D35" s="23"/>
      <c r="E35" s="20">
        <v>9</v>
      </c>
      <c r="F35" s="31">
        <v>0</v>
      </c>
      <c r="G35" s="20">
        <v>18</v>
      </c>
      <c r="H35" s="24">
        <v>45</v>
      </c>
      <c r="I35" s="34">
        <v>60</v>
      </c>
      <c r="J35" s="57">
        <f t="shared" si="0"/>
        <v>525</v>
      </c>
      <c r="K35" s="61">
        <f t="shared" si="2"/>
        <v>8.75</v>
      </c>
      <c r="L35" s="25"/>
      <c r="M35" s="66"/>
      <c r="N35" s="67"/>
      <c r="O35" s="67"/>
      <c r="P35" s="68"/>
    </row>
    <row r="36" spans="1:22" ht="18" customHeight="1" x14ac:dyDescent="0.2">
      <c r="A36" s="22">
        <f>IF($A$35="","",IF(NOT(MONTH($A$35)=MONTH($A$35+1)),"",$A$35+1))</f>
        <v>41607</v>
      </c>
      <c r="B36" s="37">
        <f t="shared" si="4"/>
        <v>41607</v>
      </c>
      <c r="C36" s="39">
        <f t="shared" si="1"/>
        <v>0</v>
      </c>
      <c r="D36" s="23"/>
      <c r="E36" s="20">
        <v>9</v>
      </c>
      <c r="F36" s="31">
        <v>0</v>
      </c>
      <c r="G36" s="20">
        <v>20</v>
      </c>
      <c r="H36" s="24">
        <v>0</v>
      </c>
      <c r="I36" s="34">
        <v>60</v>
      </c>
      <c r="J36" s="57">
        <f t="shared" si="0"/>
        <v>600</v>
      </c>
      <c r="K36" s="61">
        <f t="shared" si="2"/>
        <v>10</v>
      </c>
      <c r="L36" s="25"/>
      <c r="M36" s="66"/>
      <c r="N36" s="67"/>
      <c r="O36" s="67"/>
      <c r="P36" s="68"/>
    </row>
    <row r="37" spans="1:22" ht="18" customHeight="1" x14ac:dyDescent="0.2">
      <c r="A37" s="22">
        <f>IF($A$35="","",IF(NOT(MONTH($A$35)=MONTH($A$35+2)),"",$A$35+2))</f>
        <v>41608</v>
      </c>
      <c r="B37" s="37">
        <f t="shared" si="4"/>
        <v>41608</v>
      </c>
      <c r="C37" s="39">
        <f t="shared" si="1"/>
        <v>1</v>
      </c>
      <c r="D37" s="23"/>
      <c r="E37" s="20"/>
      <c r="F37" s="31"/>
      <c r="G37" s="20"/>
      <c r="H37" s="24"/>
      <c r="I37" s="34"/>
      <c r="J37" s="57">
        <f t="shared" si="0"/>
        <v>0</v>
      </c>
      <c r="K37" s="61">
        <f t="shared" si="2"/>
        <v>0</v>
      </c>
      <c r="L37" s="25"/>
      <c r="M37" s="66"/>
      <c r="N37" s="67"/>
      <c r="O37" s="67"/>
      <c r="P37" s="68"/>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row>
    <row r="39" spans="1:22" ht="18.75" customHeight="1" thickTop="1" thickBot="1" x14ac:dyDescent="0.25">
      <c r="A39" s="9"/>
      <c r="B39" s="9"/>
      <c r="C39" s="9"/>
      <c r="D39" s="10"/>
      <c r="E39" s="9"/>
      <c r="F39" s="9"/>
      <c r="G39" s="9"/>
      <c r="H39" s="72" t="s">
        <v>14</v>
      </c>
      <c r="I39" s="73"/>
      <c r="J39" s="54">
        <f>SUM(J8:J38)</f>
        <v>9040</v>
      </c>
      <c r="K39" s="63">
        <f>J39/60</f>
        <v>150.66666666666666</v>
      </c>
      <c r="L39" s="9"/>
      <c r="M39" s="9"/>
      <c r="N39" s="9"/>
      <c r="O39" s="9"/>
      <c r="P39" s="9"/>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2" priority="3" stopIfTrue="1">
      <formula>$C8&gt;0</formula>
    </cfRule>
  </conditionalFormatting>
  <conditionalFormatting sqref="I25:I29">
    <cfRule type="expression" dxfId="1" priority="2" stopIfTrue="1">
      <formula>$C25&gt;0</formula>
    </cfRule>
  </conditionalFormatting>
  <conditionalFormatting sqref="I32:I36">
    <cfRule type="expression" dxfId="0"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C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C00-000001000000}">
      <formula1>0</formula1>
      <formula2>100</formula2>
    </dataValidation>
    <dataValidation type="whole" operator="equal" allowBlank="1" showInputMessage="1" showErrorMessage="1" error="選択されている年から変更することはできません。" sqref="T9:T18" xr:uid="{00000000-0002-0000-0C00-000002000000}">
      <formula1>$J$23</formula1>
    </dataValidation>
    <dataValidation type="whole" operator="equal" allowBlank="1" showInputMessage="1" showErrorMessage="1" error="選択されている月から変更することはできません。" sqref="U9:U18" xr:uid="{00000000-0002-0000-0C00-000003000000}">
      <formula1>$J$24</formula1>
    </dataValidation>
    <dataValidation type="list" showInputMessage="1" showErrorMessage="1" error="リストの中から選択してください" sqref="V9:V15" xr:uid="{00000000-0002-0000-0C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A50"/>
  <sheetViews>
    <sheetView workbookViewId="0">
      <selection activeCell="G23" sqref="G23"/>
    </sheetView>
  </sheetViews>
  <sheetFormatPr defaultRowHeight="13.2" x14ac:dyDescent="0.2"/>
  <sheetData>
    <row r="1" spans="1:1" x14ac:dyDescent="0.2">
      <c r="A1" t="s">
        <v>16</v>
      </c>
    </row>
    <row r="3" spans="1:1" x14ac:dyDescent="0.2">
      <c r="A3" t="s">
        <v>17</v>
      </c>
    </row>
    <row r="24" spans="1:1" x14ac:dyDescent="0.2">
      <c r="A24" t="s">
        <v>18</v>
      </c>
    </row>
    <row r="38" spans="1:1" x14ac:dyDescent="0.2">
      <c r="A38" t="s">
        <v>20</v>
      </c>
    </row>
    <row r="50" spans="1:1" x14ac:dyDescent="0.2">
      <c r="A50" t="s">
        <v>19</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4</vt:lpstr>
      <vt:lpstr>5</vt:lpstr>
      <vt:lpstr>6</vt:lpstr>
      <vt:lpstr>7</vt:lpstr>
      <vt:lpstr>8</vt:lpstr>
      <vt:lpstr>9</vt:lpstr>
      <vt:lpstr>10</vt:lpstr>
      <vt:lpstr>11</vt:lpstr>
      <vt:lpstr>12</vt:lpstr>
      <vt:lpstr>1</vt:lpstr>
      <vt:lpstr>2</vt:lpstr>
      <vt:lpstr>3</vt:lpstr>
      <vt:lpstr>記入例</vt:lpstr>
      <vt:lpstr>readme</vt:lpstr>
    </vt:vector>
  </TitlesOfParts>
  <Company>Ｉ．Ｂ．Ｍ</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史 正韵</cp:lastModifiedBy>
  <cp:lastPrinted>2013-10-31T09:10:48Z</cp:lastPrinted>
  <dcterms:created xsi:type="dcterms:W3CDTF">2000-11-07T00:59:05Z</dcterms:created>
  <dcterms:modified xsi:type="dcterms:W3CDTF">2024-01-25T08:40:18Z</dcterms:modified>
</cp:coreProperties>
</file>