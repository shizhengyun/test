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7CAB3059-4144-451A-B425-EFC3145CD321}" xr6:coauthVersionLast="47" xr6:coauthVersionMax="47" xr10:uidLastSave="{00000000-0000-0000-0000-000000000000}"/>
  <bookViews>
    <workbookView xWindow="-108" yWindow="-108" windowWidth="23256" windowHeight="13896" tabRatio="732" activeTab="11"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8" i="27" l="1"/>
  <c r="J32" i="27"/>
  <c r="K32" i="27" s="1"/>
  <c r="J25" i="27"/>
  <c r="K25" i="27" s="1"/>
  <c r="J11" i="27"/>
  <c r="K11" i="27" s="1"/>
  <c r="Q39" i="30"/>
  <c r="Q39" i="31"/>
  <c r="Q39" i="32"/>
  <c r="Q39" i="33"/>
  <c r="Q39" i="34"/>
  <c r="Q39" i="35"/>
  <c r="Q39" i="17"/>
  <c r="Q39" i="25"/>
  <c r="Q39" i="26"/>
  <c r="Q39" i="27"/>
  <c r="Q39" i="28"/>
  <c r="Q39" i="29"/>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K32" i="32"/>
  <c r="J32" i="32"/>
  <c r="J31" i="32"/>
  <c r="K31" i="32" s="1"/>
  <c r="J30" i="32"/>
  <c r="K30" i="32" s="1"/>
  <c r="J29" i="32"/>
  <c r="K29" i="32" s="1"/>
  <c r="J28" i="32"/>
  <c r="K28" i="32" s="1"/>
  <c r="J27" i="32"/>
  <c r="K27" i="32" s="1"/>
  <c r="J26" i="32"/>
  <c r="K26" i="32" s="1"/>
  <c r="J25" i="32"/>
  <c r="K25" i="32" s="1"/>
  <c r="K24" i="32"/>
  <c r="J24" i="32"/>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K19" i="31"/>
  <c r="J19" i="31"/>
  <c r="J18" i="31"/>
  <c r="K18" i="31" s="1"/>
  <c r="J17" i="31"/>
  <c r="K17" i="31" s="1"/>
  <c r="J16" i="31"/>
  <c r="K16" i="31" s="1"/>
  <c r="J15" i="31"/>
  <c r="K15" i="31" s="1"/>
  <c r="J14" i="31"/>
  <c r="K14" i="31" s="1"/>
  <c r="J13" i="31"/>
  <c r="K13" i="31" s="1"/>
  <c r="J12" i="31"/>
  <c r="K12" i="31" s="1"/>
  <c r="K11" i="31"/>
  <c r="J11" i="31"/>
  <c r="J10" i="31"/>
  <c r="K10" i="31" s="1"/>
  <c r="J9" i="31"/>
  <c r="J39" i="31" s="1"/>
  <c r="J8" i="31"/>
  <c r="K8" i="31" s="1"/>
  <c r="A8" i="31"/>
  <c r="C8" i="31" s="1"/>
  <c r="K38" i="30"/>
  <c r="J38" i="30"/>
  <c r="J37" i="30"/>
  <c r="K37" i="30" s="1"/>
  <c r="J36" i="30"/>
  <c r="K36" i="30" s="1"/>
  <c r="J35" i="30"/>
  <c r="K35" i="30" s="1"/>
  <c r="J34" i="30"/>
  <c r="K34" i="30" s="1"/>
  <c r="J33" i="30"/>
  <c r="K33" i="30" s="1"/>
  <c r="J32" i="30"/>
  <c r="K32" i="30" s="1"/>
  <c r="J31" i="30"/>
  <c r="K31" i="30" s="1"/>
  <c r="K30" i="30"/>
  <c r="J30" i="30"/>
  <c r="J29" i="30"/>
  <c r="K29" i="30" s="1"/>
  <c r="J28" i="30"/>
  <c r="K28" i="30" s="1"/>
  <c r="J27" i="30"/>
  <c r="K27" i="30" s="1"/>
  <c r="J26" i="30"/>
  <c r="K26" i="30" s="1"/>
  <c r="J25" i="30"/>
  <c r="K25" i="30" s="1"/>
  <c r="J24" i="30"/>
  <c r="K24" i="30" s="1"/>
  <c r="J23" i="30"/>
  <c r="K23" i="30" s="1"/>
  <c r="K22" i="30"/>
  <c r="J22" i="30"/>
  <c r="J21" i="30"/>
  <c r="K21" i="30" s="1"/>
  <c r="J20" i="30"/>
  <c r="K20" i="30" s="1"/>
  <c r="J19" i="30"/>
  <c r="K19" i="30" s="1"/>
  <c r="J18" i="30"/>
  <c r="K18" i="30" s="1"/>
  <c r="J17" i="30"/>
  <c r="K17" i="30" s="1"/>
  <c r="K16" i="30"/>
  <c r="J16" i="30"/>
  <c r="J15" i="30"/>
  <c r="K15" i="30" s="1"/>
  <c r="K14" i="30"/>
  <c r="J14" i="30"/>
  <c r="J13" i="30"/>
  <c r="K13" i="30" s="1"/>
  <c r="J12" i="30"/>
  <c r="K12" i="30" s="1"/>
  <c r="J11" i="30"/>
  <c r="K11" i="30" s="1"/>
  <c r="K10" i="30"/>
  <c r="J10" i="30"/>
  <c r="J9" i="30"/>
  <c r="K9" i="30" s="1"/>
  <c r="K8" i="30"/>
  <c r="J8" i="30"/>
  <c r="A8" i="30"/>
  <c r="J38" i="29"/>
  <c r="K38" i="29" s="1"/>
  <c r="K37" i="29"/>
  <c r="J37" i="29"/>
  <c r="J36" i="29"/>
  <c r="K36" i="29" s="1"/>
  <c r="K35" i="29"/>
  <c r="J35" i="29"/>
  <c r="J34" i="29"/>
  <c r="K34" i="29" s="1"/>
  <c r="J33" i="29"/>
  <c r="K33" i="29" s="1"/>
  <c r="J32" i="29"/>
  <c r="K32" i="29" s="1"/>
  <c r="J31" i="29"/>
  <c r="K31" i="29" s="1"/>
  <c r="J30" i="29"/>
  <c r="K30" i="29" s="1"/>
  <c r="K29" i="29"/>
  <c r="J29" i="29"/>
  <c r="J28" i="29"/>
  <c r="K28" i="29" s="1"/>
  <c r="K27" i="29"/>
  <c r="J27" i="29"/>
  <c r="J26" i="29"/>
  <c r="K26" i="29" s="1"/>
  <c r="J25" i="29"/>
  <c r="K25" i="29" s="1"/>
  <c r="J24" i="29"/>
  <c r="K24" i="29" s="1"/>
  <c r="K23" i="29"/>
  <c r="J23" i="29"/>
  <c r="J22" i="29"/>
  <c r="K22" i="29" s="1"/>
  <c r="K21" i="29"/>
  <c r="J21" i="29"/>
  <c r="J20" i="29"/>
  <c r="K20" i="29" s="1"/>
  <c r="K19" i="29"/>
  <c r="J19" i="29"/>
  <c r="J18" i="29"/>
  <c r="K18" i="29" s="1"/>
  <c r="J17" i="29"/>
  <c r="K17" i="29" s="1"/>
  <c r="J16" i="29"/>
  <c r="K16" i="29" s="1"/>
  <c r="J15" i="29"/>
  <c r="K15" i="29" s="1"/>
  <c r="J14" i="29"/>
  <c r="K14" i="29" s="1"/>
  <c r="K13" i="29"/>
  <c r="J13" i="29"/>
  <c r="J12" i="29"/>
  <c r="K12" i="29" s="1"/>
  <c r="K11" i="29"/>
  <c r="J11" i="29"/>
  <c r="J10" i="29"/>
  <c r="K10" i="29" s="1"/>
  <c r="J9" i="29"/>
  <c r="K9" i="29" s="1"/>
  <c r="J8" i="29"/>
  <c r="A8" i="29"/>
  <c r="C8" i="29" s="1"/>
  <c r="J38" i="28"/>
  <c r="K38" i="28" s="1"/>
  <c r="J37" i="28"/>
  <c r="K37" i="28" s="1"/>
  <c r="J36" i="28"/>
  <c r="K36" i="28" s="1"/>
  <c r="J35" i="28"/>
  <c r="K35" i="28" s="1"/>
  <c r="J34" i="28"/>
  <c r="K34" i="28" s="1"/>
  <c r="J33" i="28"/>
  <c r="K33" i="28" s="1"/>
  <c r="J32" i="28"/>
  <c r="K32" i="28" s="1"/>
  <c r="J31" i="28"/>
  <c r="K31" i="28" s="1"/>
  <c r="J30" i="28"/>
  <c r="K30" i="28" s="1"/>
  <c r="J29" i="28"/>
  <c r="K29" i="28" s="1"/>
  <c r="J28" i="28"/>
  <c r="K28" i="28" s="1"/>
  <c r="J27" i="28"/>
  <c r="K27" i="28" s="1"/>
  <c r="J26" i="28"/>
  <c r="K26" i="28" s="1"/>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1" i="27"/>
  <c r="K31" i="27" s="1"/>
  <c r="J30" i="27"/>
  <c r="K30" i="27" s="1"/>
  <c r="J29" i="27"/>
  <c r="K29" i="27" s="1"/>
  <c r="J28" i="27"/>
  <c r="K28" i="27" s="1"/>
  <c r="J27" i="27"/>
  <c r="K27" i="27" s="1"/>
  <c r="J26" i="27"/>
  <c r="K26" i="27" s="1"/>
  <c r="J24" i="27"/>
  <c r="K24" i="27" s="1"/>
  <c r="J23" i="27"/>
  <c r="K23" i="27" s="1"/>
  <c r="J22" i="27"/>
  <c r="K22" i="27" s="1"/>
  <c r="J21" i="27"/>
  <c r="K21" i="27" s="1"/>
  <c r="J20" i="27"/>
  <c r="K20" i="27" s="1"/>
  <c r="J19" i="27"/>
  <c r="K19" i="27" s="1"/>
  <c r="K18" i="27"/>
  <c r="J17" i="27"/>
  <c r="K17" i="27" s="1"/>
  <c r="J16" i="27"/>
  <c r="K16" i="27" s="1"/>
  <c r="J15" i="27"/>
  <c r="K15" i="27" s="1"/>
  <c r="J14" i="27"/>
  <c r="K14" i="27" s="1"/>
  <c r="J13" i="27"/>
  <c r="K13" i="27" s="1"/>
  <c r="J12" i="27"/>
  <c r="K12" i="27" s="1"/>
  <c r="J10" i="27"/>
  <c r="K10" i="27" s="1"/>
  <c r="J9" i="27"/>
  <c r="K9" i="27" s="1"/>
  <c r="J8" i="27"/>
  <c r="A8" i="27"/>
  <c r="A9" i="27" s="1"/>
  <c r="J38" i="26"/>
  <c r="K38" i="26" s="1"/>
  <c r="J37" i="26"/>
  <c r="K37" i="26" s="1"/>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J19" i="26"/>
  <c r="K19" i="26" s="1"/>
  <c r="J18" i="26"/>
  <c r="K18" i="26" s="1"/>
  <c r="J17" i="26"/>
  <c r="K17" i="26" s="1"/>
  <c r="J16" i="26"/>
  <c r="K16" i="26" s="1"/>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K39" i="30" l="1"/>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K8" i="29"/>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<sst xmlns="http://schemas.openxmlformats.org/spreadsheetml/2006/main" count="261" uniqueCount="44">
  <si>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</si>
  <si>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</si>
  <si>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</si>
  <si>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</si>
  <si>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</si>
  <si>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</si>
  <si>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</si>
  <si>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</si>
  <si>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</si>
  <si>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</si>
  <si>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</si>
  <si>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</si>
  <si>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</si>
  <si>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</si>
  <si>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</si>
  <si>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</si>
  <si>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</si>
  <si>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</si>
  <si>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</si>
  <si>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</si>
  <si>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</si>
  <si>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</si>
  <si>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</si>
  <si>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</si>
  <si>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</si>
  <si>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</si>
  <si>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</si>
  <si>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</si>
  <si>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</si>
  <si>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</si>
  <si>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</si>
  <si>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</si>
  <si>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</si>
  <si>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</si>
  <si>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</si>
  <si>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</si>
  <si>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</si>
  <si>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</si>
  <si>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〇</t>
    <phoneticPr fontId="2"/>
  </si>
  <si>
    <t>○</t>
    <phoneticPr fontId="2"/>
  </si>
  <si>
    <t>〇</t>
    <phoneticPr fontId="2"/>
  </si>
  <si>
    <t>株式会社SNSソフト</t>
    <rPh sb="0" eb="2">
      <t>カブシキ</t>
    </rPh>
    <rPh sb="2" eb="4">
      <t>カイシャ</t>
    </rPh>
    <phoneticPr fontId="2"/>
  </si>
  <si>
    <t>事務デジタルシステムＧ</t>
    <phoneticPr fontId="2"/>
  </si>
  <si>
    <t>史 正韵</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</si>
</sst>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style="thick">
        <color indexed="64"/>
      </left>
      <right style="thick">
        <color indexed="64"/>
      </right>
      <top style="thin">
        <color indexed="64"/>
      </top>
      <bottom style="thin">
        <color indexed="64"/>
      </bottom>
      <diagonal/>
    </border>
  </borders>
  <cellStyleXfs count="2">
    <xf numFmtId="0" fontId="0" fillId="0" borderId="0"/>
    <xf numFmtId="38" fontId="1" fillId="0" borderId="0" applyFont="0" applyFill="0" applyBorder="0" applyAlignment="0" applyProtection="0"/>
  </cellStyleXfs>
  <cellXfs count="93">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0" fillId="4" borderId="37" xfId="0" applyFill="1" applyBorder="1" applyAlignment="1" applyProtection="1">
      <alignment horizontal="center"/>
      <protection locked="0"/>
    </xf>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cellXfs>
  <cellStyles count="2">
    <cellStyle name="桁区切り" xfId="1" builtinId="6"/>
    <cellStyle name="標準" xfId="0" builtinId="0"/>
  </cellStyles>
  <dxfs count="6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4</v>
      </c>
      <c r="G1" s="1" t="s">
        <v>1</v>
      </c>
    </row>
    <row r="2" spans="1:22" ht="21.9" customHeight="1" thickBot="1" x14ac:dyDescent="0.25"/>
    <row r="3" spans="1:22" ht="21.9" customHeight="1" thickTop="1" thickBot="1" x14ac:dyDescent="0.25">
      <c r="A3" s="75" t="s">
        <v>15</v>
      </c>
      <c r="B3" s="76"/>
      <c r="C3" s="76"/>
      <c r="D3" s="77"/>
      <c r="E3" s="78"/>
      <c r="F3" s="79"/>
      <c r="G3" s="79"/>
      <c r="H3" s="79"/>
      <c r="I3" s="79"/>
      <c r="J3" s="80"/>
      <c r="K3" s="53"/>
    </row>
    <row r="4" spans="1:22" ht="21.9" customHeight="1" thickTop="1" thickBot="1" x14ac:dyDescent="0.25">
      <c r="A4" s="75" t="s">
        <v>8</v>
      </c>
      <c r="B4" s="76"/>
      <c r="C4" s="76"/>
      <c r="D4" s="77"/>
      <c r="E4" s="78"/>
      <c r="F4" s="79"/>
      <c r="G4" s="79"/>
      <c r="H4" s="79"/>
      <c r="I4" s="79"/>
      <c r="J4" s="80"/>
      <c r="K4" s="53"/>
    </row>
    <row r="5" spans="1:22" ht="21.9" customHeight="1" thickTop="1" thickBot="1" x14ac:dyDescent="0.25">
      <c r="A5" s="81" t="s">
        <v>2</v>
      </c>
      <c r="B5" s="82"/>
      <c r="C5" s="82"/>
      <c r="D5" s="83"/>
      <c r="E5" s="78"/>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45017</v>
      </c>
      <c r="B8" s="36">
        <f>A8</f>
        <v>45017</v>
      </c>
      <c r="C8" s="43">
        <f>IF(WEEKDAY(A8,2)&gt;5,1,0)+IF(D8&lt;&gt;"",1,0)</f>
        <v>1</v>
      </c>
      <c r="D8" s="44"/>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45018</v>
      </c>
      <c r="B9" s="37">
        <f>A9</f>
        <v>45018</v>
      </c>
      <c r="C9" s="39">
        <f t="shared" ref="C9:C38" si="1">IF(WEEKDAY(A9,2)&gt;5,1,0)+IF(D9&lt;&gt;"",1,0)</f>
        <v>1</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45019</v>
      </c>
      <c r="B10" s="37">
        <f t="shared" ref="B10:B37" si="4">A10</f>
        <v>45019</v>
      </c>
      <c r="C10" s="39">
        <f t="shared" si="1"/>
        <v>0</v>
      </c>
      <c r="D10" s="23"/>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45020</v>
      </c>
      <c r="B11" s="37">
        <f t="shared" si="4"/>
        <v>45020</v>
      </c>
      <c r="C11" s="39">
        <f t="shared" si="1"/>
        <v>0</v>
      </c>
      <c r="D11" s="23"/>
      <c r="E11" s="20"/>
      <c r="F11" s="31"/>
      <c r="G11" s="20"/>
      <c r="H11" s="24"/>
      <c r="I11" s="34"/>
      <c r="J11" s="57">
        <f t="shared" si="0"/>
        <v>0</v>
      </c>
      <c r="K11" s="61">
        <f t="shared" si="2"/>
        <v>0</v>
      </c>
      <c r="L11" s="25"/>
      <c r="M11" s="67"/>
      <c r="N11" s="68"/>
      <c r="O11" s="68"/>
      <c r="P11" s="69"/>
      <c r="Q11" s="25"/>
      <c r="S11" s="14"/>
      <c r="T11" s="11"/>
      <c r="U11" s="12"/>
      <c r="V11" s="13"/>
    </row>
    <row r="12" spans="1:22" ht="18" customHeight="1" x14ac:dyDescent="0.2">
      <c r="A12" s="22">
        <f t="shared" si="3"/>
        <v>45021</v>
      </c>
      <c r="B12" s="37">
        <f t="shared" si="4"/>
        <v>45021</v>
      </c>
      <c r="C12" s="39">
        <f t="shared" si="1"/>
        <v>0</v>
      </c>
      <c r="D12" s="23"/>
      <c r="E12" s="20"/>
      <c r="F12" s="31"/>
      <c r="G12" s="20"/>
      <c r="H12" s="24"/>
      <c r="I12" s="34"/>
      <c r="J12" s="57">
        <f t="shared" si="0"/>
        <v>0</v>
      </c>
      <c r="K12" s="61">
        <f t="shared" si="2"/>
        <v>0</v>
      </c>
      <c r="L12" s="25"/>
      <c r="M12" s="67"/>
      <c r="N12" s="68"/>
      <c r="O12" s="68"/>
      <c r="P12" s="69"/>
      <c r="Q12" s="25"/>
      <c r="S12" s="14"/>
      <c r="T12" s="11"/>
      <c r="U12" s="12"/>
      <c r="V12" s="13"/>
    </row>
    <row r="13" spans="1:22" ht="18" customHeight="1" x14ac:dyDescent="0.2">
      <c r="A13" s="22">
        <f t="shared" si="3"/>
        <v>45022</v>
      </c>
      <c r="B13" s="37">
        <f t="shared" si="4"/>
        <v>45022</v>
      </c>
      <c r="C13" s="39">
        <f t="shared" si="1"/>
        <v>0</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45023</v>
      </c>
      <c r="B14" s="37">
        <f t="shared" si="4"/>
        <v>45023</v>
      </c>
      <c r="C14" s="39">
        <f t="shared" si="1"/>
        <v>0</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45024</v>
      </c>
      <c r="B15" s="37">
        <f t="shared" si="4"/>
        <v>45024</v>
      </c>
      <c r="C15" s="39">
        <f t="shared" si="1"/>
        <v>1</v>
      </c>
      <c r="D15" s="23"/>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45025</v>
      </c>
      <c r="B16" s="37">
        <f t="shared" si="4"/>
        <v>45025</v>
      </c>
      <c r="C16" s="39">
        <f t="shared" si="1"/>
        <v>1</v>
      </c>
      <c r="D16" s="23"/>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45026</v>
      </c>
      <c r="B17" s="37">
        <f t="shared" si="4"/>
        <v>45026</v>
      </c>
      <c r="C17" s="39">
        <f t="shared" si="1"/>
        <v>0</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45027</v>
      </c>
      <c r="B18" s="37">
        <f t="shared" si="4"/>
        <v>45027</v>
      </c>
      <c r="C18" s="39">
        <f t="shared" si="1"/>
        <v>0</v>
      </c>
      <c r="D18" s="23"/>
      <c r="E18" s="20"/>
      <c r="F18" s="31"/>
      <c r="G18" s="20"/>
      <c r="H18" s="24"/>
      <c r="I18" s="34"/>
      <c r="J18" s="57">
        <f t="shared" si="0"/>
        <v>0</v>
      </c>
      <c r="K18" s="61">
        <f t="shared" si="2"/>
        <v>0</v>
      </c>
      <c r="L18" s="25"/>
      <c r="M18" s="67"/>
      <c r="N18" s="68"/>
      <c r="O18" s="68"/>
      <c r="P18" s="69"/>
      <c r="Q18" s="25"/>
      <c r="T18" s="11"/>
      <c r="U18" s="12"/>
      <c r="V18" s="13"/>
    </row>
    <row r="19" spans="1:22" ht="18" customHeight="1" x14ac:dyDescent="0.2">
      <c r="A19" s="22">
        <f t="shared" si="3"/>
        <v>45028</v>
      </c>
      <c r="B19" s="37">
        <f t="shared" si="4"/>
        <v>45028</v>
      </c>
      <c r="C19" s="39">
        <f t="shared" si="1"/>
        <v>0</v>
      </c>
      <c r="D19" s="23"/>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45029</v>
      </c>
      <c r="B20" s="37">
        <f t="shared" si="4"/>
        <v>45029</v>
      </c>
      <c r="C20" s="39">
        <f t="shared" si="1"/>
        <v>0</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45030</v>
      </c>
      <c r="B21" s="37">
        <f t="shared" si="4"/>
        <v>45030</v>
      </c>
      <c r="C21" s="39">
        <f t="shared" si="1"/>
        <v>0</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45031</v>
      </c>
      <c r="B22" s="37">
        <f t="shared" si="4"/>
        <v>45031</v>
      </c>
      <c r="C22" s="39">
        <f t="shared" si="1"/>
        <v>1</v>
      </c>
      <c r="D22" s="23"/>
      <c r="E22" s="20"/>
      <c r="F22" s="31"/>
      <c r="G22" s="20"/>
      <c r="H22" s="24"/>
      <c r="I22" s="34"/>
      <c r="J22" s="57">
        <f t="shared" si="0"/>
        <v>0</v>
      </c>
      <c r="K22" s="61">
        <f t="shared" si="2"/>
        <v>0</v>
      </c>
      <c r="L22" s="25"/>
      <c r="M22" s="67"/>
      <c r="N22" s="68"/>
      <c r="O22" s="68"/>
      <c r="P22" s="69"/>
      <c r="Q22" s="25"/>
      <c r="V22" s="13"/>
    </row>
    <row r="23" spans="1:22" ht="18" customHeight="1" x14ac:dyDescent="0.2">
      <c r="A23" s="22">
        <f t="shared" si="3"/>
        <v>45032</v>
      </c>
      <c r="B23" s="37">
        <f t="shared" si="4"/>
        <v>45032</v>
      </c>
      <c r="C23" s="39">
        <f t="shared" si="1"/>
        <v>1</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45033</v>
      </c>
      <c r="B24" s="37">
        <f t="shared" si="4"/>
        <v>45033</v>
      </c>
      <c r="C24" s="39">
        <f t="shared" si="1"/>
        <v>0</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45034</v>
      </c>
      <c r="B25" s="37">
        <f t="shared" si="4"/>
        <v>45034</v>
      </c>
      <c r="C25" s="39">
        <f t="shared" si="1"/>
        <v>0</v>
      </c>
      <c r="D25" s="23"/>
      <c r="E25" s="20"/>
      <c r="F25" s="31"/>
      <c r="G25" s="20"/>
      <c r="H25" s="24"/>
      <c r="I25" s="34"/>
      <c r="J25" s="57">
        <f t="shared" si="0"/>
        <v>0</v>
      </c>
      <c r="K25" s="61">
        <f t="shared" si="2"/>
        <v>0</v>
      </c>
      <c r="L25" s="25"/>
      <c r="M25" s="67"/>
      <c r="N25" s="68"/>
      <c r="O25" s="68"/>
      <c r="P25" s="69"/>
      <c r="Q25" s="25"/>
      <c r="V25" s="13"/>
    </row>
    <row r="26" spans="1:22" ht="18" customHeight="1" x14ac:dyDescent="0.2">
      <c r="A26" s="22">
        <f t="shared" si="3"/>
        <v>45035</v>
      </c>
      <c r="B26" s="37">
        <f t="shared" si="4"/>
        <v>45035</v>
      </c>
      <c r="C26" s="39">
        <f t="shared" si="1"/>
        <v>0</v>
      </c>
      <c r="D26" s="23"/>
      <c r="E26" s="20"/>
      <c r="F26" s="31"/>
      <c r="G26" s="20"/>
      <c r="H26" s="24"/>
      <c r="I26" s="34"/>
      <c r="J26" s="57">
        <f t="shared" si="0"/>
        <v>0</v>
      </c>
      <c r="K26" s="61">
        <f t="shared" si="2"/>
        <v>0</v>
      </c>
      <c r="L26" s="25"/>
      <c r="M26" s="67"/>
      <c r="N26" s="68"/>
      <c r="O26" s="68"/>
      <c r="P26" s="69"/>
      <c r="Q26" s="25"/>
      <c r="V26" s="13"/>
    </row>
    <row r="27" spans="1:22" ht="18" customHeight="1" x14ac:dyDescent="0.2">
      <c r="A27" s="22">
        <f t="shared" si="3"/>
        <v>45036</v>
      </c>
      <c r="B27" s="37">
        <f t="shared" si="4"/>
        <v>45036</v>
      </c>
      <c r="C27" s="39">
        <f t="shared" si="1"/>
        <v>0</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45037</v>
      </c>
      <c r="B28" s="37">
        <f t="shared" si="4"/>
        <v>45037</v>
      </c>
      <c r="C28" s="39">
        <f t="shared" si="1"/>
        <v>0</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45038</v>
      </c>
      <c r="B29" s="37">
        <f t="shared" si="4"/>
        <v>45038</v>
      </c>
      <c r="C29" s="39">
        <f t="shared" si="1"/>
        <v>1</v>
      </c>
      <c r="D29" s="23"/>
      <c r="E29" s="20"/>
      <c r="F29" s="31"/>
      <c r="G29" s="20"/>
      <c r="H29" s="24"/>
      <c r="I29" s="34"/>
      <c r="J29" s="57">
        <f t="shared" si="0"/>
        <v>0</v>
      </c>
      <c r="K29" s="61">
        <f t="shared" si="2"/>
        <v>0</v>
      </c>
      <c r="L29" s="25"/>
      <c r="M29" s="67"/>
      <c r="N29" s="68"/>
      <c r="O29" s="68"/>
      <c r="P29" s="69"/>
      <c r="Q29" s="25"/>
      <c r="V29" s="13"/>
    </row>
    <row r="30" spans="1:22" ht="18" customHeight="1" x14ac:dyDescent="0.2">
      <c r="A30" s="22">
        <f t="shared" si="3"/>
        <v>45039</v>
      </c>
      <c r="B30" s="37">
        <f t="shared" si="4"/>
        <v>45039</v>
      </c>
      <c r="C30" s="39">
        <f t="shared" si="1"/>
        <v>1</v>
      </c>
      <c r="D30" s="23"/>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45040</v>
      </c>
      <c r="B31" s="37">
        <f t="shared" si="4"/>
        <v>45040</v>
      </c>
      <c r="C31" s="39">
        <f t="shared" si="1"/>
        <v>0</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45041</v>
      </c>
      <c r="B32" s="37">
        <f t="shared" si="4"/>
        <v>45041</v>
      </c>
      <c r="C32" s="39">
        <f t="shared" si="1"/>
        <v>0</v>
      </c>
      <c r="D32" s="23"/>
      <c r="E32" s="20"/>
      <c r="F32" s="31"/>
      <c r="G32" s="20"/>
      <c r="H32" s="24"/>
      <c r="I32" s="34"/>
      <c r="J32" s="57">
        <f t="shared" si="0"/>
        <v>0</v>
      </c>
      <c r="K32" s="61">
        <f t="shared" si="2"/>
        <v>0</v>
      </c>
      <c r="L32" s="25"/>
      <c r="M32" s="67"/>
      <c r="N32" s="68"/>
      <c r="O32" s="68"/>
      <c r="P32" s="69"/>
      <c r="Q32" s="25"/>
      <c r="V32" s="13"/>
    </row>
    <row r="33" spans="1:22" ht="18" customHeight="1" x14ac:dyDescent="0.2">
      <c r="A33" s="22">
        <f t="shared" si="3"/>
        <v>45042</v>
      </c>
      <c r="B33" s="37">
        <f t="shared" si="4"/>
        <v>45042</v>
      </c>
      <c r="C33" s="39">
        <f t="shared" si="1"/>
        <v>0</v>
      </c>
      <c r="D33" s="23"/>
      <c r="E33" s="20"/>
      <c r="F33" s="31"/>
      <c r="G33" s="20"/>
      <c r="H33" s="24"/>
      <c r="I33" s="34"/>
      <c r="J33" s="57">
        <f t="shared" si="0"/>
        <v>0</v>
      </c>
      <c r="K33" s="61">
        <f t="shared" si="2"/>
        <v>0</v>
      </c>
      <c r="L33" s="25"/>
      <c r="M33" s="67"/>
      <c r="N33" s="68"/>
      <c r="O33" s="68"/>
      <c r="P33" s="69"/>
      <c r="Q33" s="25"/>
      <c r="V33" s="13"/>
    </row>
    <row r="34" spans="1:22" ht="18" customHeight="1" x14ac:dyDescent="0.2">
      <c r="A34" s="22">
        <f t="shared" si="3"/>
        <v>45043</v>
      </c>
      <c r="B34" s="37">
        <f t="shared" si="4"/>
        <v>45043</v>
      </c>
      <c r="C34" s="39">
        <f t="shared" si="1"/>
        <v>0</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45044</v>
      </c>
      <c r="B35" s="37">
        <f t="shared" si="4"/>
        <v>45044</v>
      </c>
      <c r="C35" s="39">
        <f t="shared" si="1"/>
        <v>0</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45045</v>
      </c>
      <c r="B36" s="37">
        <f t="shared" si="4"/>
        <v>45045</v>
      </c>
      <c r="C36" s="39">
        <f t="shared" si="1"/>
        <v>2</v>
      </c>
      <c r="D36" s="23" t="s">
        <v>28</v>
      </c>
      <c r="E36" s="20"/>
      <c r="F36" s="31"/>
      <c r="G36" s="20"/>
      <c r="H36" s="24"/>
      <c r="I36" s="34"/>
      <c r="J36" s="57">
        <f t="shared" si="0"/>
        <v>0</v>
      </c>
      <c r="K36" s="61">
        <f t="shared" si="2"/>
        <v>0</v>
      </c>
      <c r="L36" s="25"/>
      <c r="M36" s="67"/>
      <c r="N36" s="68"/>
      <c r="O36" s="68"/>
      <c r="P36" s="69"/>
      <c r="Q36" s="25"/>
    </row>
    <row r="37" spans="1:22" ht="18" customHeight="1" x14ac:dyDescent="0.2">
      <c r="A37" s="22">
        <f>IF($A$35="","",IF(NOT(MONTH($A$35)=MONTH($A$35+2)),"",$A$35+2))</f>
        <v>45046</v>
      </c>
      <c r="B37" s="37">
        <f t="shared" si="4"/>
        <v>45046</v>
      </c>
      <c r="C37" s="39">
        <f t="shared" si="1"/>
        <v>1</v>
      </c>
      <c r="D37" s="23"/>
      <c r="E37" s="20"/>
      <c r="F37" s="31"/>
      <c r="G37" s="20"/>
      <c r="H37" s="24"/>
      <c r="I37" s="34"/>
      <c r="J37" s="57">
        <f t="shared" si="0"/>
        <v>0</v>
      </c>
      <c r="K37" s="61">
        <f t="shared" si="2"/>
        <v>0</v>
      </c>
      <c r="L37" s="25"/>
      <c r="M37" s="67"/>
      <c r="N37" s="68"/>
      <c r="O37" s="68"/>
      <c r="P37" s="69"/>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67" priority="4" stopIfTrue="1">
      <formula>$C8&gt;0</formula>
    </cfRule>
  </conditionalFormatting>
  <conditionalFormatting sqref="I25:I29">
    <cfRule type="expression" dxfId="66" priority="3" stopIfTrue="1">
      <formula>$C25&gt;0</formula>
    </cfRule>
  </conditionalFormatting>
  <conditionalFormatting sqref="I32:I36">
    <cfRule type="expression" dxfId="65" priority="2" stopIfTrue="1">
      <formula>$C32&gt;0</formula>
    </cfRule>
  </conditionalFormatting>
  <conditionalFormatting sqref="Q8:Q38">
    <cfRule type="expression" dxfId="64"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Q40" sqref="Q40"/>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5</v>
      </c>
      <c r="G1" s="1" t="s">
        <v>1</v>
      </c>
    </row>
    <row r="2" spans="1:22" ht="21.9" customHeight="1" thickBot="1" x14ac:dyDescent="0.25"/>
    <row r="3" spans="1:22" ht="21.9" customHeight="1" thickTop="1" thickBot="1" x14ac:dyDescent="0.25">
      <c r="A3" s="75" t="s">
        <v>15</v>
      </c>
      <c r="B3" s="76"/>
      <c r="C3" s="76"/>
      <c r="D3" s="77"/>
      <c r="E3" s="78"/>
      <c r="F3" s="79"/>
      <c r="G3" s="79"/>
      <c r="H3" s="79"/>
      <c r="I3" s="79"/>
      <c r="J3" s="80"/>
      <c r="K3" s="53"/>
    </row>
    <row r="4" spans="1:22" ht="21.9" customHeight="1" thickTop="1" thickBot="1" x14ac:dyDescent="0.25">
      <c r="A4" s="75" t="s">
        <v>8</v>
      </c>
      <c r="B4" s="76"/>
      <c r="C4" s="76"/>
      <c r="D4" s="77"/>
      <c r="E4" s="78"/>
      <c r="F4" s="79"/>
      <c r="G4" s="79"/>
      <c r="H4" s="79"/>
      <c r="I4" s="79"/>
      <c r="J4" s="80"/>
      <c r="K4" s="53"/>
    </row>
    <row r="5" spans="1:22" ht="21.9" customHeight="1" thickTop="1" thickBot="1" x14ac:dyDescent="0.25">
      <c r="A5" s="81" t="s">
        <v>2</v>
      </c>
      <c r="B5" s="82"/>
      <c r="C5" s="82"/>
      <c r="D5" s="83"/>
      <c r="E5" s="78"/>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45047</v>
      </c>
      <c r="B8" s="36">
        <f>A8</f>
        <v>45047</v>
      </c>
      <c r="C8" s="43">
        <f>IF(WEEKDAY(A8,2)&gt;5,1,0)+IF(D8&lt;&gt;"",1,0)</f>
        <v>0</v>
      </c>
      <c r="D8" s="23"/>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45048</v>
      </c>
      <c r="B9" s="37">
        <f>A9</f>
        <v>45048</v>
      </c>
      <c r="C9" s="39">
        <f t="shared" ref="C9:C38" si="1">IF(WEEKDAY(A9,2)&gt;5,1,0)+IF(D9&lt;&gt;"",1,0)</f>
        <v>0</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45049</v>
      </c>
      <c r="B10" s="37">
        <f t="shared" ref="B10:B37" si="4">A10</f>
        <v>45049</v>
      </c>
      <c r="C10" s="39">
        <f t="shared" si="1"/>
        <v>1</v>
      </c>
      <c r="D10" s="23" t="s">
        <v>34</v>
      </c>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45050</v>
      </c>
      <c r="B11" s="37">
        <f t="shared" si="4"/>
        <v>45050</v>
      </c>
      <c r="C11" s="39">
        <f t="shared" si="1"/>
        <v>1</v>
      </c>
      <c r="D11" s="23" t="s">
        <v>30</v>
      </c>
      <c r="E11" s="20"/>
      <c r="F11" s="31"/>
      <c r="G11" s="20"/>
      <c r="H11" s="24"/>
      <c r="I11" s="34"/>
      <c r="J11" s="57">
        <f t="shared" si="0"/>
        <v>0</v>
      </c>
      <c r="K11" s="61">
        <f t="shared" si="2"/>
        <v>0</v>
      </c>
      <c r="L11" s="25"/>
      <c r="M11" s="67"/>
      <c r="N11" s="68"/>
      <c r="O11" s="68"/>
      <c r="P11" s="69"/>
      <c r="Q11" s="25"/>
      <c r="S11" s="14"/>
      <c r="T11" s="11"/>
      <c r="U11" s="12"/>
      <c r="V11" s="13"/>
    </row>
    <row r="12" spans="1:22" ht="18" customHeight="1" x14ac:dyDescent="0.2">
      <c r="A12" s="22">
        <f t="shared" si="3"/>
        <v>45051</v>
      </c>
      <c r="B12" s="37">
        <f t="shared" si="4"/>
        <v>45051</v>
      </c>
      <c r="C12" s="39">
        <f t="shared" si="1"/>
        <v>1</v>
      </c>
      <c r="D12" s="23" t="s">
        <v>29</v>
      </c>
      <c r="E12" s="20"/>
      <c r="F12" s="31"/>
      <c r="G12" s="20"/>
      <c r="H12" s="24"/>
      <c r="I12" s="34"/>
      <c r="J12" s="57">
        <f t="shared" si="0"/>
        <v>0</v>
      </c>
      <c r="K12" s="61">
        <f t="shared" si="2"/>
        <v>0</v>
      </c>
      <c r="L12" s="25"/>
      <c r="M12" s="67"/>
      <c r="N12" s="68"/>
      <c r="O12" s="68"/>
      <c r="P12" s="69"/>
      <c r="Q12" s="25"/>
      <c r="S12" s="14"/>
      <c r="T12" s="11"/>
      <c r="U12" s="12"/>
      <c r="V12" s="13"/>
    </row>
    <row r="13" spans="1:22" ht="18" customHeight="1" x14ac:dyDescent="0.2">
      <c r="A13" s="22">
        <f t="shared" si="3"/>
        <v>45052</v>
      </c>
      <c r="B13" s="37">
        <f t="shared" si="4"/>
        <v>45052</v>
      </c>
      <c r="C13" s="39">
        <f t="shared" si="1"/>
        <v>1</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45053</v>
      </c>
      <c r="B14" s="37">
        <f t="shared" si="4"/>
        <v>45053</v>
      </c>
      <c r="C14" s="39">
        <f t="shared" si="1"/>
        <v>1</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45054</v>
      </c>
      <c r="B15" s="37">
        <f t="shared" si="4"/>
        <v>45054</v>
      </c>
      <c r="C15" s="39">
        <f t="shared" si="1"/>
        <v>0</v>
      </c>
      <c r="D15" s="23"/>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45055</v>
      </c>
      <c r="B16" s="37">
        <f t="shared" si="4"/>
        <v>45055</v>
      </c>
      <c r="C16" s="39">
        <f t="shared" si="1"/>
        <v>0</v>
      </c>
      <c r="D16" s="23"/>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45056</v>
      </c>
      <c r="B17" s="37">
        <f t="shared" si="4"/>
        <v>45056</v>
      </c>
      <c r="C17" s="39">
        <f t="shared" si="1"/>
        <v>0</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45057</v>
      </c>
      <c r="B18" s="37">
        <f t="shared" si="4"/>
        <v>45057</v>
      </c>
      <c r="C18" s="39">
        <f t="shared" si="1"/>
        <v>0</v>
      </c>
      <c r="D18" s="23"/>
      <c r="E18" s="20"/>
      <c r="F18" s="31"/>
      <c r="G18" s="20"/>
      <c r="H18" s="24"/>
      <c r="I18" s="34"/>
      <c r="J18" s="57">
        <f t="shared" si="0"/>
        <v>0</v>
      </c>
      <c r="K18" s="61">
        <f t="shared" si="2"/>
        <v>0</v>
      </c>
      <c r="L18" s="25"/>
      <c r="M18" s="67"/>
      <c r="N18" s="68"/>
      <c r="O18" s="68"/>
      <c r="P18" s="69"/>
      <c r="Q18" s="25"/>
      <c r="T18" s="11"/>
      <c r="U18" s="12"/>
      <c r="V18" s="13"/>
    </row>
    <row r="19" spans="1:22" ht="18" customHeight="1" x14ac:dyDescent="0.2">
      <c r="A19" s="22">
        <f t="shared" si="3"/>
        <v>45058</v>
      </c>
      <c r="B19" s="37">
        <f t="shared" si="4"/>
        <v>45058</v>
      </c>
      <c r="C19" s="39">
        <f t="shared" si="1"/>
        <v>0</v>
      </c>
      <c r="D19" s="23"/>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45059</v>
      </c>
      <c r="B20" s="37">
        <f t="shared" si="4"/>
        <v>45059</v>
      </c>
      <c r="C20" s="39">
        <f t="shared" si="1"/>
        <v>1</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45060</v>
      </c>
      <c r="B21" s="37">
        <f t="shared" si="4"/>
        <v>45060</v>
      </c>
      <c r="C21" s="39">
        <f t="shared" si="1"/>
        <v>1</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45061</v>
      </c>
      <c r="B22" s="37">
        <f t="shared" si="4"/>
        <v>45061</v>
      </c>
      <c r="C22" s="39">
        <f t="shared" si="1"/>
        <v>0</v>
      </c>
      <c r="D22" s="23"/>
      <c r="E22" s="20"/>
      <c r="F22" s="31"/>
      <c r="G22" s="20"/>
      <c r="H22" s="24"/>
      <c r="I22" s="34"/>
      <c r="J22" s="57">
        <f t="shared" si="0"/>
        <v>0</v>
      </c>
      <c r="K22" s="61">
        <f t="shared" si="2"/>
        <v>0</v>
      </c>
      <c r="L22" s="25"/>
      <c r="M22" s="67"/>
      <c r="N22" s="68"/>
      <c r="O22" s="68"/>
      <c r="P22" s="69"/>
      <c r="Q22" s="25"/>
      <c r="V22" s="13"/>
    </row>
    <row r="23" spans="1:22" ht="18" customHeight="1" x14ac:dyDescent="0.2">
      <c r="A23" s="22">
        <f t="shared" si="3"/>
        <v>45062</v>
      </c>
      <c r="B23" s="37">
        <f t="shared" si="4"/>
        <v>45062</v>
      </c>
      <c r="C23" s="39">
        <f t="shared" si="1"/>
        <v>0</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45063</v>
      </c>
      <c r="B24" s="37">
        <f t="shared" si="4"/>
        <v>45063</v>
      </c>
      <c r="C24" s="39">
        <f t="shared" si="1"/>
        <v>0</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45064</v>
      </c>
      <c r="B25" s="37">
        <f t="shared" si="4"/>
        <v>45064</v>
      </c>
      <c r="C25" s="39">
        <f t="shared" si="1"/>
        <v>0</v>
      </c>
      <c r="D25" s="23"/>
      <c r="E25" s="20"/>
      <c r="F25" s="31"/>
      <c r="G25" s="20"/>
      <c r="H25" s="24"/>
      <c r="I25" s="34"/>
      <c r="J25" s="57">
        <f t="shared" si="0"/>
        <v>0</v>
      </c>
      <c r="K25" s="61">
        <f t="shared" si="2"/>
        <v>0</v>
      </c>
      <c r="L25" s="25"/>
      <c r="M25" s="67"/>
      <c r="N25" s="68"/>
      <c r="O25" s="68"/>
      <c r="P25" s="69"/>
      <c r="Q25" s="25"/>
      <c r="V25" s="13"/>
    </row>
    <row r="26" spans="1:22" ht="18" customHeight="1" x14ac:dyDescent="0.2">
      <c r="A26" s="22">
        <f t="shared" si="3"/>
        <v>45065</v>
      </c>
      <c r="B26" s="37">
        <f t="shared" si="4"/>
        <v>45065</v>
      </c>
      <c r="C26" s="39">
        <f t="shared" si="1"/>
        <v>0</v>
      </c>
      <c r="D26" s="23"/>
      <c r="E26" s="20"/>
      <c r="F26" s="31"/>
      <c r="G26" s="20"/>
      <c r="H26" s="24"/>
      <c r="I26" s="34"/>
      <c r="J26" s="57">
        <f t="shared" si="0"/>
        <v>0</v>
      </c>
      <c r="K26" s="61">
        <f t="shared" si="2"/>
        <v>0</v>
      </c>
      <c r="L26" s="25"/>
      <c r="M26" s="67"/>
      <c r="N26" s="68"/>
      <c r="O26" s="68"/>
      <c r="P26" s="69"/>
      <c r="Q26" s="25"/>
      <c r="V26" s="13"/>
    </row>
    <row r="27" spans="1:22" ht="18" customHeight="1" x14ac:dyDescent="0.2">
      <c r="A27" s="22">
        <f t="shared" si="3"/>
        <v>45066</v>
      </c>
      <c r="B27" s="37">
        <f t="shared" si="4"/>
        <v>45066</v>
      </c>
      <c r="C27" s="39">
        <f t="shared" si="1"/>
        <v>1</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45067</v>
      </c>
      <c r="B28" s="37">
        <f t="shared" si="4"/>
        <v>45067</v>
      </c>
      <c r="C28" s="39">
        <f t="shared" si="1"/>
        <v>1</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45068</v>
      </c>
      <c r="B29" s="37">
        <f t="shared" si="4"/>
        <v>45068</v>
      </c>
      <c r="C29" s="39">
        <f t="shared" si="1"/>
        <v>0</v>
      </c>
      <c r="D29" s="23"/>
      <c r="E29" s="20"/>
      <c r="F29" s="31"/>
      <c r="G29" s="20"/>
      <c r="H29" s="24"/>
      <c r="I29" s="34"/>
      <c r="J29" s="57">
        <f t="shared" si="0"/>
        <v>0</v>
      </c>
      <c r="K29" s="61">
        <f t="shared" si="2"/>
        <v>0</v>
      </c>
      <c r="L29" s="25"/>
      <c r="M29" s="67"/>
      <c r="N29" s="68"/>
      <c r="O29" s="68"/>
      <c r="P29" s="69"/>
      <c r="Q29" s="25"/>
      <c r="V29" s="13"/>
    </row>
    <row r="30" spans="1:22" ht="18" customHeight="1" x14ac:dyDescent="0.2">
      <c r="A30" s="22">
        <f t="shared" si="3"/>
        <v>45069</v>
      </c>
      <c r="B30" s="37">
        <f t="shared" si="4"/>
        <v>45069</v>
      </c>
      <c r="C30" s="39">
        <f t="shared" si="1"/>
        <v>0</v>
      </c>
      <c r="D30" s="23"/>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45070</v>
      </c>
      <c r="B31" s="37">
        <f t="shared" si="4"/>
        <v>45070</v>
      </c>
      <c r="C31" s="39">
        <f t="shared" si="1"/>
        <v>0</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45071</v>
      </c>
      <c r="B32" s="37">
        <f t="shared" si="4"/>
        <v>45071</v>
      </c>
      <c r="C32" s="39">
        <f t="shared" si="1"/>
        <v>0</v>
      </c>
      <c r="D32" s="23"/>
      <c r="E32" s="20"/>
      <c r="F32" s="31"/>
      <c r="G32" s="20"/>
      <c r="H32" s="24"/>
      <c r="I32" s="34"/>
      <c r="J32" s="57">
        <f t="shared" si="0"/>
        <v>0</v>
      </c>
      <c r="K32" s="61">
        <f t="shared" si="2"/>
        <v>0</v>
      </c>
      <c r="L32" s="25"/>
      <c r="M32" s="67"/>
      <c r="N32" s="68"/>
      <c r="O32" s="68"/>
      <c r="P32" s="69"/>
      <c r="Q32" s="25"/>
      <c r="V32" s="13"/>
    </row>
    <row r="33" spans="1:22" ht="18" customHeight="1" x14ac:dyDescent="0.2">
      <c r="A33" s="22">
        <f t="shared" si="3"/>
        <v>45072</v>
      </c>
      <c r="B33" s="37">
        <f t="shared" si="4"/>
        <v>45072</v>
      </c>
      <c r="C33" s="39">
        <f t="shared" si="1"/>
        <v>0</v>
      </c>
      <c r="D33" s="23"/>
      <c r="E33" s="20"/>
      <c r="F33" s="31"/>
      <c r="G33" s="20"/>
      <c r="H33" s="24"/>
      <c r="I33" s="34"/>
      <c r="J33" s="57">
        <f t="shared" si="0"/>
        <v>0</v>
      </c>
      <c r="K33" s="61">
        <f t="shared" si="2"/>
        <v>0</v>
      </c>
      <c r="L33" s="25"/>
      <c r="M33" s="67"/>
      <c r="N33" s="68"/>
      <c r="O33" s="68"/>
      <c r="P33" s="69"/>
      <c r="Q33" s="25"/>
      <c r="V33" s="13"/>
    </row>
    <row r="34" spans="1:22" ht="18" customHeight="1" x14ac:dyDescent="0.2">
      <c r="A34" s="22">
        <f t="shared" si="3"/>
        <v>45073</v>
      </c>
      <c r="B34" s="37">
        <f t="shared" si="4"/>
        <v>45073</v>
      </c>
      <c r="C34" s="39">
        <f t="shared" si="1"/>
        <v>1</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45074</v>
      </c>
      <c r="B35" s="37">
        <f t="shared" si="4"/>
        <v>45074</v>
      </c>
      <c r="C35" s="39">
        <f t="shared" si="1"/>
        <v>1</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45075</v>
      </c>
      <c r="B36" s="37">
        <f t="shared" si="4"/>
        <v>45075</v>
      </c>
      <c r="C36" s="39">
        <f t="shared" si="1"/>
        <v>0</v>
      </c>
      <c r="D36" s="23"/>
      <c r="E36" s="20"/>
      <c r="F36" s="31"/>
      <c r="G36" s="20"/>
      <c r="H36" s="24"/>
      <c r="I36" s="34"/>
      <c r="J36" s="57">
        <f t="shared" si="0"/>
        <v>0</v>
      </c>
      <c r="K36" s="61">
        <f t="shared" si="2"/>
        <v>0</v>
      </c>
      <c r="L36" s="25"/>
      <c r="M36" s="67"/>
      <c r="N36" s="68"/>
      <c r="O36" s="68"/>
      <c r="P36" s="69"/>
      <c r="Q36" s="25"/>
    </row>
    <row r="37" spans="1:22" ht="18" customHeight="1" x14ac:dyDescent="0.2">
      <c r="A37" s="22">
        <f>IF($A$35="","",IF(NOT(MONTH($A$35)=MONTH($A$35+2)),"",$A$35+2))</f>
        <v>45076</v>
      </c>
      <c r="B37" s="37">
        <f t="shared" si="4"/>
        <v>45076</v>
      </c>
      <c r="C37" s="39">
        <f t="shared" si="1"/>
        <v>0</v>
      </c>
      <c r="D37" s="23"/>
      <c r="E37" s="20"/>
      <c r="F37" s="31"/>
      <c r="G37" s="20"/>
      <c r="H37" s="24"/>
      <c r="I37" s="34"/>
      <c r="J37" s="57">
        <f t="shared" si="0"/>
        <v>0</v>
      </c>
      <c r="K37" s="61">
        <f t="shared" si="2"/>
        <v>0</v>
      </c>
      <c r="L37" s="25"/>
      <c r="M37" s="67"/>
      <c r="N37" s="68"/>
      <c r="O37" s="68"/>
      <c r="P37" s="69"/>
      <c r="Q37" s="25"/>
    </row>
    <row r="38" spans="1:22" ht="18" customHeight="1" thickBot="1" x14ac:dyDescent="0.25">
      <c r="A38" s="26">
        <f>IF($A$35="","",IF(NOT(MONTH($A$35)=MONTH($A$35+3)),"",$A$35+3))</f>
        <v>45077</v>
      </c>
      <c r="B38" s="38">
        <f>A38</f>
        <v>45077</v>
      </c>
      <c r="C38" s="40">
        <f t="shared" si="1"/>
        <v>0</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10:D12 D14:D38">
    <cfRule type="expression" dxfId="63" priority="7" stopIfTrue="1">
      <formula>$C8&gt;0</formula>
    </cfRule>
  </conditionalFormatting>
  <conditionalFormatting sqref="I25:I29">
    <cfRule type="expression" dxfId="62" priority="6" stopIfTrue="1">
      <formula>$C25&gt;0</formula>
    </cfRule>
  </conditionalFormatting>
  <conditionalFormatting sqref="I32:I36">
    <cfRule type="expression" dxfId="61" priority="5" stopIfTrue="1">
      <formula>$C32&gt;0</formula>
    </cfRule>
  </conditionalFormatting>
  <conditionalFormatting sqref="D8">
    <cfRule type="expression" dxfId="60" priority="4" stopIfTrue="1">
      <formula>$C8&gt;0</formula>
    </cfRule>
  </conditionalFormatting>
  <conditionalFormatting sqref="D9">
    <cfRule type="expression" dxfId="59" priority="3" stopIfTrue="1">
      <formula>$C9&gt;0</formula>
    </cfRule>
  </conditionalFormatting>
  <conditionalFormatting sqref="D13">
    <cfRule type="expression" dxfId="58" priority="2" stopIfTrue="1">
      <formula>$C13&gt;0</formula>
    </cfRule>
  </conditionalFormatting>
  <conditionalFormatting sqref="Q8:Q38">
    <cfRule type="expression" dxfId="57"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20" activePane="bottomLeft" state="frozen"/>
      <selection activeCell="D1" sqref="D1"/>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6</v>
      </c>
      <c r="G1" s="1" t="s">
        <v>1</v>
      </c>
    </row>
    <row r="2" spans="1:22" ht="21.9" customHeight="1" thickBot="1" x14ac:dyDescent="0.25"/>
    <row r="3" spans="1:22" ht="21.9" customHeight="1" thickTop="1" thickBot="1" x14ac:dyDescent="0.25">
      <c r="A3" s="75" t="s">
        <v>15</v>
      </c>
      <c r="B3" s="76"/>
      <c r="C3" s="76"/>
      <c r="D3" s="77"/>
      <c r="E3" s="78"/>
      <c r="F3" s="79"/>
      <c r="G3" s="79"/>
      <c r="H3" s="79"/>
      <c r="I3" s="79"/>
      <c r="J3" s="80"/>
      <c r="K3" s="53"/>
    </row>
    <row r="4" spans="1:22" ht="21.9" customHeight="1" thickTop="1" thickBot="1" x14ac:dyDescent="0.25">
      <c r="A4" s="75" t="s">
        <v>8</v>
      </c>
      <c r="B4" s="76"/>
      <c r="C4" s="76"/>
      <c r="D4" s="77"/>
      <c r="E4" s="78"/>
      <c r="F4" s="79"/>
      <c r="G4" s="79"/>
      <c r="H4" s="79"/>
      <c r="I4" s="79"/>
      <c r="J4" s="80"/>
      <c r="K4" s="53"/>
    </row>
    <row r="5" spans="1:22" ht="21.9" customHeight="1" thickTop="1" thickBot="1" x14ac:dyDescent="0.25">
      <c r="A5" s="81" t="s">
        <v>2</v>
      </c>
      <c r="B5" s="82"/>
      <c r="C5" s="82"/>
      <c r="D5" s="83"/>
      <c r="E5" s="78"/>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45078</v>
      </c>
      <c r="B8" s="36">
        <f>A8</f>
        <v>45078</v>
      </c>
      <c r="C8" s="43">
        <f>IF(WEEKDAY(A8,2)&gt;5,1,0)+IF(D8&lt;&gt;"",1,0)</f>
        <v>0</v>
      </c>
      <c r="D8" s="44"/>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45079</v>
      </c>
      <c r="B9" s="37">
        <f>A9</f>
        <v>45079</v>
      </c>
      <c r="C9" s="39">
        <f t="shared" ref="C9:C38" si="1">IF(WEEKDAY(A9,2)&gt;5,1,0)+IF(D9&lt;&gt;"",1,0)</f>
        <v>0</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45080</v>
      </c>
      <c r="B10" s="37">
        <f t="shared" ref="B10:B37" si="4">A10</f>
        <v>45080</v>
      </c>
      <c r="C10" s="39">
        <f t="shared" si="1"/>
        <v>1</v>
      </c>
      <c r="D10" s="23"/>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45081</v>
      </c>
      <c r="B11" s="37">
        <f t="shared" si="4"/>
        <v>45081</v>
      </c>
      <c r="C11" s="39">
        <f t="shared" si="1"/>
        <v>1</v>
      </c>
      <c r="D11" s="23"/>
      <c r="E11" s="20"/>
      <c r="F11" s="31"/>
      <c r="G11" s="20"/>
      <c r="H11" s="24"/>
      <c r="I11" s="34"/>
      <c r="J11" s="57">
        <f t="shared" si="0"/>
        <v>0</v>
      </c>
      <c r="K11" s="61">
        <f t="shared" si="2"/>
        <v>0</v>
      </c>
      <c r="L11" s="25"/>
      <c r="M11" s="67"/>
      <c r="N11" s="68"/>
      <c r="O11" s="68"/>
      <c r="P11" s="69"/>
      <c r="Q11" s="25"/>
      <c r="S11" s="14"/>
      <c r="T11" s="11"/>
      <c r="U11" s="12"/>
      <c r="V11" s="13"/>
    </row>
    <row r="12" spans="1:22" ht="18" customHeight="1" x14ac:dyDescent="0.2">
      <c r="A12" s="22">
        <f t="shared" si="3"/>
        <v>45082</v>
      </c>
      <c r="B12" s="37">
        <f t="shared" si="4"/>
        <v>45082</v>
      </c>
      <c r="C12" s="39">
        <f t="shared" si="1"/>
        <v>0</v>
      </c>
      <c r="D12" s="23"/>
      <c r="E12" s="20"/>
      <c r="F12" s="31"/>
      <c r="G12" s="20"/>
      <c r="H12" s="24"/>
      <c r="I12" s="34"/>
      <c r="J12" s="57">
        <f t="shared" si="0"/>
        <v>0</v>
      </c>
      <c r="K12" s="61">
        <f t="shared" si="2"/>
        <v>0</v>
      </c>
      <c r="L12" s="25"/>
      <c r="M12" s="67"/>
      <c r="N12" s="68"/>
      <c r="O12" s="68"/>
      <c r="P12" s="69"/>
      <c r="Q12" s="25"/>
      <c r="S12" s="14"/>
      <c r="T12" s="11"/>
      <c r="U12" s="12"/>
      <c r="V12" s="13"/>
    </row>
    <row r="13" spans="1:22" ht="18" customHeight="1" x14ac:dyDescent="0.2">
      <c r="A13" s="22">
        <f t="shared" si="3"/>
        <v>45083</v>
      </c>
      <c r="B13" s="37">
        <f t="shared" si="4"/>
        <v>45083</v>
      </c>
      <c r="C13" s="39">
        <f t="shared" si="1"/>
        <v>0</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45084</v>
      </c>
      <c r="B14" s="37">
        <f t="shared" si="4"/>
        <v>45084</v>
      </c>
      <c r="C14" s="39">
        <f t="shared" si="1"/>
        <v>0</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45085</v>
      </c>
      <c r="B15" s="37">
        <f t="shared" si="4"/>
        <v>45085</v>
      </c>
      <c r="C15" s="39">
        <f t="shared" si="1"/>
        <v>0</v>
      </c>
      <c r="D15" s="23"/>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45086</v>
      </c>
      <c r="B16" s="37">
        <f t="shared" si="4"/>
        <v>45086</v>
      </c>
      <c r="C16" s="39">
        <f t="shared" si="1"/>
        <v>0</v>
      </c>
      <c r="D16" s="23"/>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45087</v>
      </c>
      <c r="B17" s="37">
        <f t="shared" si="4"/>
        <v>45087</v>
      </c>
      <c r="C17" s="39">
        <f t="shared" si="1"/>
        <v>1</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45088</v>
      </c>
      <c r="B18" s="37">
        <f t="shared" si="4"/>
        <v>45088</v>
      </c>
      <c r="C18" s="39">
        <f t="shared" si="1"/>
        <v>1</v>
      </c>
      <c r="D18" s="23"/>
      <c r="E18" s="20"/>
      <c r="F18" s="31"/>
      <c r="G18" s="20"/>
      <c r="H18" s="24"/>
      <c r="I18" s="34"/>
      <c r="J18" s="57">
        <f t="shared" si="0"/>
        <v>0</v>
      </c>
      <c r="K18" s="61">
        <f t="shared" si="2"/>
        <v>0</v>
      </c>
      <c r="L18" s="25"/>
      <c r="M18" s="67"/>
      <c r="N18" s="68"/>
      <c r="O18" s="68"/>
      <c r="P18" s="69"/>
      <c r="Q18" s="25"/>
      <c r="T18" s="11"/>
      <c r="U18" s="12"/>
      <c r="V18" s="13"/>
    </row>
    <row r="19" spans="1:22" ht="18" customHeight="1" x14ac:dyDescent="0.2">
      <c r="A19" s="22">
        <f t="shared" si="3"/>
        <v>45089</v>
      </c>
      <c r="B19" s="37">
        <f t="shared" si="4"/>
        <v>45089</v>
      </c>
      <c r="C19" s="39">
        <f t="shared" si="1"/>
        <v>0</v>
      </c>
      <c r="D19" s="23"/>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45090</v>
      </c>
      <c r="B20" s="37">
        <f t="shared" si="4"/>
        <v>45090</v>
      </c>
      <c r="C20" s="39">
        <f t="shared" si="1"/>
        <v>0</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45091</v>
      </c>
      <c r="B21" s="37">
        <f t="shared" si="4"/>
        <v>45091</v>
      </c>
      <c r="C21" s="39">
        <f t="shared" si="1"/>
        <v>0</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45092</v>
      </c>
      <c r="B22" s="37">
        <f t="shared" si="4"/>
        <v>45092</v>
      </c>
      <c r="C22" s="39">
        <f t="shared" si="1"/>
        <v>0</v>
      </c>
      <c r="D22" s="23"/>
      <c r="E22" s="20"/>
      <c r="F22" s="31"/>
      <c r="G22" s="20"/>
      <c r="H22" s="24"/>
      <c r="I22" s="34"/>
      <c r="J22" s="57">
        <f t="shared" si="0"/>
        <v>0</v>
      </c>
      <c r="K22" s="61">
        <f t="shared" si="2"/>
        <v>0</v>
      </c>
      <c r="L22" s="25"/>
      <c r="M22" s="67"/>
      <c r="N22" s="68"/>
      <c r="O22" s="68"/>
      <c r="P22" s="69"/>
      <c r="Q22" s="25"/>
      <c r="V22" s="13"/>
    </row>
    <row r="23" spans="1:22" ht="18" customHeight="1" x14ac:dyDescent="0.2">
      <c r="A23" s="22">
        <f t="shared" si="3"/>
        <v>45093</v>
      </c>
      <c r="B23" s="37">
        <f t="shared" si="4"/>
        <v>45093</v>
      </c>
      <c r="C23" s="39">
        <f t="shared" si="1"/>
        <v>0</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45094</v>
      </c>
      <c r="B24" s="37">
        <f t="shared" si="4"/>
        <v>45094</v>
      </c>
      <c r="C24" s="39">
        <f t="shared" si="1"/>
        <v>1</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45095</v>
      </c>
      <c r="B25" s="37">
        <f t="shared" si="4"/>
        <v>45095</v>
      </c>
      <c r="C25" s="39">
        <f t="shared" si="1"/>
        <v>1</v>
      </c>
      <c r="D25" s="23"/>
      <c r="E25" s="20"/>
      <c r="F25" s="31"/>
      <c r="G25" s="20"/>
      <c r="H25" s="24"/>
      <c r="I25" s="34"/>
      <c r="J25" s="57">
        <f t="shared" si="0"/>
        <v>0</v>
      </c>
      <c r="K25" s="61">
        <f t="shared" si="2"/>
        <v>0</v>
      </c>
      <c r="L25" s="25"/>
      <c r="M25" s="67"/>
      <c r="N25" s="68"/>
      <c r="O25" s="68"/>
      <c r="P25" s="69"/>
      <c r="Q25" s="25"/>
      <c r="V25" s="13"/>
    </row>
    <row r="26" spans="1:22" ht="18" customHeight="1" x14ac:dyDescent="0.2">
      <c r="A26" s="22">
        <f t="shared" si="3"/>
        <v>45096</v>
      </c>
      <c r="B26" s="37">
        <f t="shared" si="4"/>
        <v>45096</v>
      </c>
      <c r="C26" s="39">
        <f t="shared" si="1"/>
        <v>0</v>
      </c>
      <c r="D26" s="23"/>
      <c r="E26" s="20"/>
      <c r="F26" s="31"/>
      <c r="G26" s="20"/>
      <c r="H26" s="24"/>
      <c r="I26" s="34"/>
      <c r="J26" s="57">
        <f t="shared" si="0"/>
        <v>0</v>
      </c>
      <c r="K26" s="61">
        <f t="shared" si="2"/>
        <v>0</v>
      </c>
      <c r="L26" s="25"/>
      <c r="M26" s="67"/>
      <c r="N26" s="68"/>
      <c r="O26" s="68"/>
      <c r="P26" s="69"/>
      <c r="Q26" s="25"/>
      <c r="V26" s="13"/>
    </row>
    <row r="27" spans="1:22" ht="18" customHeight="1" x14ac:dyDescent="0.2">
      <c r="A27" s="22">
        <f t="shared" si="3"/>
        <v>45097</v>
      </c>
      <c r="B27" s="37">
        <f t="shared" si="4"/>
        <v>45097</v>
      </c>
      <c r="C27" s="39">
        <f t="shared" si="1"/>
        <v>0</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45098</v>
      </c>
      <c r="B28" s="37">
        <f t="shared" si="4"/>
        <v>45098</v>
      </c>
      <c r="C28" s="39">
        <f t="shared" si="1"/>
        <v>0</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45099</v>
      </c>
      <c r="B29" s="37">
        <f t="shared" si="4"/>
        <v>45099</v>
      </c>
      <c r="C29" s="39">
        <f t="shared" si="1"/>
        <v>0</v>
      </c>
      <c r="D29" s="23"/>
      <c r="E29" s="20"/>
      <c r="F29" s="31"/>
      <c r="G29" s="20"/>
      <c r="H29" s="24"/>
      <c r="I29" s="34"/>
      <c r="J29" s="57">
        <f t="shared" si="0"/>
        <v>0</v>
      </c>
      <c r="K29" s="61">
        <f t="shared" si="2"/>
        <v>0</v>
      </c>
      <c r="L29" s="25"/>
      <c r="M29" s="67"/>
      <c r="N29" s="68"/>
      <c r="O29" s="68"/>
      <c r="P29" s="69"/>
      <c r="Q29" s="25"/>
      <c r="V29" s="13"/>
    </row>
    <row r="30" spans="1:22" ht="18" customHeight="1" x14ac:dyDescent="0.2">
      <c r="A30" s="22">
        <f t="shared" si="3"/>
        <v>45100</v>
      </c>
      <c r="B30" s="37">
        <f t="shared" si="4"/>
        <v>45100</v>
      </c>
      <c r="C30" s="39">
        <f t="shared" si="1"/>
        <v>0</v>
      </c>
      <c r="D30" s="23"/>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45101</v>
      </c>
      <c r="B31" s="37">
        <f t="shared" si="4"/>
        <v>45101</v>
      </c>
      <c r="C31" s="39">
        <f t="shared" si="1"/>
        <v>1</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45102</v>
      </c>
      <c r="B32" s="37">
        <f t="shared" si="4"/>
        <v>45102</v>
      </c>
      <c r="C32" s="39">
        <f t="shared" si="1"/>
        <v>1</v>
      </c>
      <c r="D32" s="23"/>
      <c r="E32" s="20"/>
      <c r="F32" s="31"/>
      <c r="G32" s="20"/>
      <c r="H32" s="24"/>
      <c r="I32" s="34"/>
      <c r="J32" s="57">
        <f t="shared" si="0"/>
        <v>0</v>
      </c>
      <c r="K32" s="61">
        <f t="shared" si="2"/>
        <v>0</v>
      </c>
      <c r="L32" s="25"/>
      <c r="M32" s="67"/>
      <c r="N32" s="68"/>
      <c r="O32" s="68"/>
      <c r="P32" s="69"/>
      <c r="Q32" s="25"/>
      <c r="V32" s="13"/>
    </row>
    <row r="33" spans="1:22" ht="18" customHeight="1" x14ac:dyDescent="0.2">
      <c r="A33" s="22">
        <f t="shared" si="3"/>
        <v>45103</v>
      </c>
      <c r="B33" s="37">
        <f t="shared" si="4"/>
        <v>45103</v>
      </c>
      <c r="C33" s="39">
        <f t="shared" si="1"/>
        <v>0</v>
      </c>
      <c r="D33" s="23"/>
      <c r="E33" s="20"/>
      <c r="F33" s="31"/>
      <c r="G33" s="20"/>
      <c r="H33" s="24"/>
      <c r="I33" s="34"/>
      <c r="J33" s="57">
        <f t="shared" si="0"/>
        <v>0</v>
      </c>
      <c r="K33" s="61">
        <f t="shared" si="2"/>
        <v>0</v>
      </c>
      <c r="L33" s="25"/>
      <c r="M33" s="67"/>
      <c r="N33" s="68"/>
      <c r="O33" s="68"/>
      <c r="P33" s="69"/>
      <c r="Q33" s="25"/>
      <c r="V33" s="13"/>
    </row>
    <row r="34" spans="1:22" ht="18" customHeight="1" x14ac:dyDescent="0.2">
      <c r="A34" s="22">
        <f t="shared" si="3"/>
        <v>45104</v>
      </c>
      <c r="B34" s="37">
        <f t="shared" si="4"/>
        <v>45104</v>
      </c>
      <c r="C34" s="39">
        <f t="shared" si="1"/>
        <v>0</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45105</v>
      </c>
      <c r="B35" s="37">
        <f t="shared" si="4"/>
        <v>45105</v>
      </c>
      <c r="C35" s="39">
        <f t="shared" si="1"/>
        <v>0</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45106</v>
      </c>
      <c r="B36" s="37">
        <f t="shared" si="4"/>
        <v>45106</v>
      </c>
      <c r="C36" s="39">
        <f t="shared" si="1"/>
        <v>0</v>
      </c>
      <c r="D36" s="23"/>
      <c r="E36" s="20"/>
      <c r="F36" s="31"/>
      <c r="G36" s="20"/>
      <c r="H36" s="24"/>
      <c r="I36" s="34"/>
      <c r="J36" s="57">
        <f t="shared" si="0"/>
        <v>0</v>
      </c>
      <c r="K36" s="61">
        <f t="shared" si="2"/>
        <v>0</v>
      </c>
      <c r="L36" s="25"/>
      <c r="M36" s="67"/>
      <c r="N36" s="68"/>
      <c r="O36" s="68"/>
      <c r="P36" s="69"/>
      <c r="Q36" s="25"/>
    </row>
    <row r="37" spans="1:22" ht="18" customHeight="1" x14ac:dyDescent="0.2">
      <c r="A37" s="22">
        <f>IF($A$35="","",IF(NOT(MONTH($A$35)=MONTH($A$35+2)),"",$A$35+2))</f>
        <v>45107</v>
      </c>
      <c r="B37" s="37">
        <f t="shared" si="4"/>
        <v>45107</v>
      </c>
      <c r="C37" s="39">
        <f t="shared" si="1"/>
        <v>0</v>
      </c>
      <c r="D37" s="23"/>
      <c r="E37" s="20"/>
      <c r="F37" s="31"/>
      <c r="G37" s="20"/>
      <c r="H37" s="24"/>
      <c r="I37" s="34"/>
      <c r="J37" s="57">
        <f t="shared" si="0"/>
        <v>0</v>
      </c>
      <c r="K37" s="61">
        <f t="shared" si="2"/>
        <v>0</v>
      </c>
      <c r="L37" s="25"/>
      <c r="M37" s="67"/>
      <c r="N37" s="68"/>
      <c r="O37" s="68"/>
      <c r="P37" s="69"/>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56" priority="4" stopIfTrue="1">
      <formula>$C8&gt;0</formula>
    </cfRule>
  </conditionalFormatting>
  <conditionalFormatting sqref="I25:I29">
    <cfRule type="expression" dxfId="55" priority="3" stopIfTrue="1">
      <formula>$C25&gt;0</formula>
    </cfRule>
  </conditionalFormatting>
  <conditionalFormatting sqref="I32:I36">
    <cfRule type="expression" dxfId="54" priority="2" stopIfTrue="1">
      <formula>$C32&gt;0</formula>
    </cfRule>
  </conditionalFormatting>
  <conditionalFormatting sqref="Q8:Q38">
    <cfRule type="expression" dxfId="53"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32" activePane="bottomLeft" state="frozen"/>
      <selection activeCell="D1" sqref="D1"/>
      <selection pane="bottomLeft" activeCell="D25" sqref="D2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7</v>
      </c>
      <c r="G1" s="1" t="s">
        <v>1</v>
      </c>
    </row>
    <row r="2" spans="1:22" ht="21.9" customHeight="1" thickBot="1" x14ac:dyDescent="0.25"/>
    <row r="3" spans="1:22" ht="21.9" customHeight="1" thickTop="1" thickBot="1" x14ac:dyDescent="0.25">
      <c r="A3" s="75" t="s">
        <v>15</v>
      </c>
      <c r="B3" s="76"/>
      <c r="C3" s="76"/>
      <c r="D3" s="77"/>
      <c r="E3" s="78"/>
      <c r="F3" s="79"/>
      <c r="G3" s="79"/>
      <c r="H3" s="79"/>
      <c r="I3" s="79"/>
      <c r="J3" s="80"/>
      <c r="K3" s="53"/>
    </row>
    <row r="4" spans="1:22" ht="21.9" customHeight="1" thickTop="1" thickBot="1" x14ac:dyDescent="0.25">
      <c r="A4" s="75" t="s">
        <v>8</v>
      </c>
      <c r="B4" s="76"/>
      <c r="C4" s="76"/>
      <c r="D4" s="77"/>
      <c r="E4" s="78"/>
      <c r="F4" s="79"/>
      <c r="G4" s="79"/>
      <c r="H4" s="79"/>
      <c r="I4" s="79"/>
      <c r="J4" s="80"/>
      <c r="K4" s="53"/>
    </row>
    <row r="5" spans="1:22" ht="21.9" customHeight="1" thickTop="1" thickBot="1" x14ac:dyDescent="0.25">
      <c r="A5" s="81" t="s">
        <v>2</v>
      </c>
      <c r="B5" s="82"/>
      <c r="C5" s="82"/>
      <c r="D5" s="83"/>
      <c r="E5" s="78"/>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45108</v>
      </c>
      <c r="B8" s="36">
        <f>A8</f>
        <v>45108</v>
      </c>
      <c r="C8" s="43">
        <f>IF(WEEKDAY(A8,2)&gt;5,1,0)+IF(D8&lt;&gt;"",1,0)</f>
        <v>1</v>
      </c>
      <c r="D8" s="44"/>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45109</v>
      </c>
      <c r="B9" s="37">
        <f>A9</f>
        <v>45109</v>
      </c>
      <c r="C9" s="39">
        <f t="shared" ref="C9:C38" si="1">IF(WEEKDAY(A9,2)&gt;5,1,0)+IF(D9&lt;&gt;"",1,0)</f>
        <v>1</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45110</v>
      </c>
      <c r="B10" s="37">
        <f t="shared" ref="B10:B37" si="4">A10</f>
        <v>45110</v>
      </c>
      <c r="C10" s="39">
        <f t="shared" si="1"/>
        <v>0</v>
      </c>
      <c r="D10" s="23"/>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45111</v>
      </c>
      <c r="B11" s="37">
        <f t="shared" si="4"/>
        <v>45111</v>
      </c>
      <c r="C11" s="39">
        <f t="shared" si="1"/>
        <v>0</v>
      </c>
      <c r="D11" s="23"/>
      <c r="E11" s="20"/>
      <c r="F11" s="31"/>
      <c r="G11" s="20"/>
      <c r="H11" s="24"/>
      <c r="I11" s="34"/>
      <c r="J11" s="57">
        <f t="shared" si="0"/>
        <v>0</v>
      </c>
      <c r="K11" s="61">
        <f t="shared" si="2"/>
        <v>0</v>
      </c>
      <c r="L11" s="25"/>
      <c r="M11" s="67"/>
      <c r="N11" s="68"/>
      <c r="O11" s="68"/>
      <c r="P11" s="69"/>
      <c r="Q11" s="25"/>
      <c r="S11" s="14"/>
      <c r="T11" s="11"/>
      <c r="U11" s="12"/>
      <c r="V11" s="13"/>
    </row>
    <row r="12" spans="1:22" ht="18" customHeight="1" x14ac:dyDescent="0.2">
      <c r="A12" s="22">
        <f t="shared" si="3"/>
        <v>45112</v>
      </c>
      <c r="B12" s="37">
        <f t="shared" si="4"/>
        <v>45112</v>
      </c>
      <c r="C12" s="39">
        <f t="shared" si="1"/>
        <v>0</v>
      </c>
      <c r="D12" s="23"/>
      <c r="E12" s="20"/>
      <c r="F12" s="31"/>
      <c r="G12" s="20"/>
      <c r="H12" s="24"/>
      <c r="I12" s="34"/>
      <c r="J12" s="57">
        <f t="shared" si="0"/>
        <v>0</v>
      </c>
      <c r="K12" s="61">
        <f t="shared" si="2"/>
        <v>0</v>
      </c>
      <c r="L12" s="25"/>
      <c r="M12" s="67"/>
      <c r="N12" s="68"/>
      <c r="O12" s="68"/>
      <c r="P12" s="69"/>
      <c r="Q12" s="25"/>
      <c r="S12" s="14"/>
      <c r="T12" s="11"/>
      <c r="U12" s="12"/>
      <c r="V12" s="13"/>
    </row>
    <row r="13" spans="1:22" ht="18" customHeight="1" x14ac:dyDescent="0.2">
      <c r="A13" s="22">
        <f t="shared" si="3"/>
        <v>45113</v>
      </c>
      <c r="B13" s="37">
        <f t="shared" si="4"/>
        <v>45113</v>
      </c>
      <c r="C13" s="39">
        <f t="shared" si="1"/>
        <v>0</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45114</v>
      </c>
      <c r="B14" s="37">
        <f t="shared" si="4"/>
        <v>45114</v>
      </c>
      <c r="C14" s="39">
        <f t="shared" si="1"/>
        <v>0</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45115</v>
      </c>
      <c r="B15" s="37">
        <f t="shared" si="4"/>
        <v>45115</v>
      </c>
      <c r="C15" s="39">
        <f t="shared" si="1"/>
        <v>1</v>
      </c>
      <c r="D15" s="23"/>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45116</v>
      </c>
      <c r="B16" s="37">
        <f t="shared" si="4"/>
        <v>45116</v>
      </c>
      <c r="C16" s="39">
        <f t="shared" si="1"/>
        <v>1</v>
      </c>
      <c r="D16" s="23"/>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45117</v>
      </c>
      <c r="B17" s="37">
        <f t="shared" si="4"/>
        <v>45117</v>
      </c>
      <c r="C17" s="39">
        <f t="shared" si="1"/>
        <v>0</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45118</v>
      </c>
      <c r="B18" s="37">
        <f t="shared" si="4"/>
        <v>45118</v>
      </c>
      <c r="C18" s="39">
        <f t="shared" si="1"/>
        <v>0</v>
      </c>
      <c r="D18" s="23"/>
      <c r="E18" s="20"/>
      <c r="F18" s="31"/>
      <c r="G18" s="20"/>
      <c r="H18" s="24"/>
      <c r="I18" s="34"/>
      <c r="J18" s="57">
        <f t="shared" si="0"/>
        <v>0</v>
      </c>
      <c r="K18" s="61">
        <f t="shared" si="2"/>
        <v>0</v>
      </c>
      <c r="L18" s="25"/>
      <c r="M18" s="67"/>
      <c r="N18" s="68"/>
      <c r="O18" s="68"/>
      <c r="P18" s="69"/>
      <c r="Q18" s="25"/>
      <c r="T18" s="11"/>
      <c r="U18" s="12"/>
      <c r="V18" s="13"/>
    </row>
    <row r="19" spans="1:22" ht="18" customHeight="1" x14ac:dyDescent="0.2">
      <c r="A19" s="22">
        <f t="shared" si="3"/>
        <v>45119</v>
      </c>
      <c r="B19" s="37">
        <f t="shared" si="4"/>
        <v>45119</v>
      </c>
      <c r="C19" s="39">
        <f t="shared" si="1"/>
        <v>0</v>
      </c>
      <c r="D19" s="23"/>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45120</v>
      </c>
      <c r="B20" s="37">
        <f t="shared" si="4"/>
        <v>45120</v>
      </c>
      <c r="C20" s="39">
        <f t="shared" si="1"/>
        <v>0</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45121</v>
      </c>
      <c r="B21" s="37">
        <f t="shared" si="4"/>
        <v>45121</v>
      </c>
      <c r="C21" s="39">
        <f t="shared" si="1"/>
        <v>0</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45122</v>
      </c>
      <c r="B22" s="37">
        <f t="shared" si="4"/>
        <v>45122</v>
      </c>
      <c r="C22" s="39">
        <f t="shared" si="1"/>
        <v>1</v>
      </c>
      <c r="D22" s="23"/>
      <c r="E22" s="20"/>
      <c r="F22" s="31"/>
      <c r="G22" s="20"/>
      <c r="H22" s="24"/>
      <c r="I22" s="34"/>
      <c r="J22" s="57">
        <f t="shared" si="0"/>
        <v>0</v>
      </c>
      <c r="K22" s="61">
        <f t="shared" si="2"/>
        <v>0</v>
      </c>
      <c r="L22" s="25"/>
      <c r="M22" s="67"/>
      <c r="N22" s="68"/>
      <c r="O22" s="68"/>
      <c r="P22" s="69"/>
      <c r="Q22" s="25"/>
      <c r="V22" s="13"/>
    </row>
    <row r="23" spans="1:22" ht="18" customHeight="1" x14ac:dyDescent="0.2">
      <c r="A23" s="22">
        <f t="shared" si="3"/>
        <v>45123</v>
      </c>
      <c r="B23" s="37">
        <f t="shared" si="4"/>
        <v>45123</v>
      </c>
      <c r="C23" s="39">
        <f t="shared" si="1"/>
        <v>1</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45124</v>
      </c>
      <c r="B24" s="37">
        <f t="shared" si="4"/>
        <v>45124</v>
      </c>
      <c r="C24" s="39">
        <f t="shared" si="1"/>
        <v>1</v>
      </c>
      <c r="D24" s="23" t="s">
        <v>39</v>
      </c>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45125</v>
      </c>
      <c r="B25" s="37">
        <f t="shared" si="4"/>
        <v>45125</v>
      </c>
      <c r="C25" s="39">
        <f t="shared" si="1"/>
        <v>0</v>
      </c>
      <c r="D25" s="23"/>
      <c r="E25" s="20"/>
      <c r="F25" s="31"/>
      <c r="G25" s="20"/>
      <c r="H25" s="24"/>
      <c r="I25" s="34"/>
      <c r="J25" s="57">
        <f t="shared" si="0"/>
        <v>0</v>
      </c>
      <c r="K25" s="61">
        <f t="shared" si="2"/>
        <v>0</v>
      </c>
      <c r="L25" s="25"/>
      <c r="M25" s="67"/>
      <c r="N25" s="68"/>
      <c r="O25" s="68"/>
      <c r="P25" s="69"/>
      <c r="Q25" s="25"/>
      <c r="V25" s="13"/>
    </row>
    <row r="26" spans="1:22" ht="18" customHeight="1" x14ac:dyDescent="0.2">
      <c r="A26" s="22">
        <f t="shared" si="3"/>
        <v>45126</v>
      </c>
      <c r="B26" s="37">
        <f t="shared" si="4"/>
        <v>45126</v>
      </c>
      <c r="C26" s="39">
        <f t="shared" si="1"/>
        <v>0</v>
      </c>
      <c r="D26" s="23"/>
      <c r="E26" s="20"/>
      <c r="F26" s="31"/>
      <c r="G26" s="20"/>
      <c r="H26" s="24"/>
      <c r="I26" s="34"/>
      <c r="J26" s="57">
        <f t="shared" si="0"/>
        <v>0</v>
      </c>
      <c r="K26" s="61">
        <f t="shared" si="2"/>
        <v>0</v>
      </c>
      <c r="L26" s="25"/>
      <c r="M26" s="67"/>
      <c r="N26" s="68"/>
      <c r="O26" s="68"/>
      <c r="P26" s="69"/>
      <c r="Q26" s="25"/>
      <c r="V26" s="13"/>
    </row>
    <row r="27" spans="1:22" ht="18" customHeight="1" x14ac:dyDescent="0.2">
      <c r="A27" s="22">
        <f t="shared" si="3"/>
        <v>45127</v>
      </c>
      <c r="B27" s="37">
        <f t="shared" si="4"/>
        <v>45127</v>
      </c>
      <c r="C27" s="39">
        <f t="shared" si="1"/>
        <v>0</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45128</v>
      </c>
      <c r="B28" s="37">
        <f t="shared" si="4"/>
        <v>45128</v>
      </c>
      <c r="C28" s="39">
        <f t="shared" si="1"/>
        <v>0</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45129</v>
      </c>
      <c r="B29" s="37">
        <f t="shared" si="4"/>
        <v>45129</v>
      </c>
      <c r="C29" s="39">
        <f t="shared" si="1"/>
        <v>1</v>
      </c>
      <c r="D29" s="23"/>
      <c r="E29" s="20"/>
      <c r="F29" s="31"/>
      <c r="G29" s="20"/>
      <c r="H29" s="24"/>
      <c r="I29" s="34"/>
      <c r="J29" s="57">
        <f t="shared" si="0"/>
        <v>0</v>
      </c>
      <c r="K29" s="61">
        <f t="shared" si="2"/>
        <v>0</v>
      </c>
      <c r="L29" s="25"/>
      <c r="M29" s="67"/>
      <c r="N29" s="68"/>
      <c r="O29" s="68"/>
      <c r="P29" s="69"/>
      <c r="Q29" s="25"/>
      <c r="V29" s="13"/>
    </row>
    <row r="30" spans="1:22" ht="18" customHeight="1" x14ac:dyDescent="0.2">
      <c r="A30" s="22">
        <f t="shared" si="3"/>
        <v>45130</v>
      </c>
      <c r="B30" s="37">
        <f t="shared" si="4"/>
        <v>45130</v>
      </c>
      <c r="C30" s="39">
        <f t="shared" si="1"/>
        <v>1</v>
      </c>
      <c r="D30" s="23"/>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45131</v>
      </c>
      <c r="B31" s="37">
        <f t="shared" si="4"/>
        <v>45131</v>
      </c>
      <c r="C31" s="39">
        <f t="shared" si="1"/>
        <v>0</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45132</v>
      </c>
      <c r="B32" s="37">
        <f t="shared" si="4"/>
        <v>45132</v>
      </c>
      <c r="C32" s="39">
        <f t="shared" si="1"/>
        <v>0</v>
      </c>
      <c r="D32" s="23"/>
      <c r="E32" s="20"/>
      <c r="F32" s="31"/>
      <c r="G32" s="20"/>
      <c r="H32" s="24"/>
      <c r="I32" s="34"/>
      <c r="J32" s="57">
        <f t="shared" si="0"/>
        <v>0</v>
      </c>
      <c r="K32" s="61">
        <f t="shared" si="2"/>
        <v>0</v>
      </c>
      <c r="L32" s="25"/>
      <c r="M32" s="67"/>
      <c r="N32" s="68"/>
      <c r="O32" s="68"/>
      <c r="P32" s="69"/>
      <c r="Q32" s="25"/>
      <c r="V32" s="13"/>
    </row>
    <row r="33" spans="1:22" ht="18" customHeight="1" x14ac:dyDescent="0.2">
      <c r="A33" s="22">
        <f t="shared" si="3"/>
        <v>45133</v>
      </c>
      <c r="B33" s="37">
        <f t="shared" si="4"/>
        <v>45133</v>
      </c>
      <c r="C33" s="39">
        <f t="shared" si="1"/>
        <v>0</v>
      </c>
      <c r="D33" s="23"/>
      <c r="E33" s="20"/>
      <c r="F33" s="31"/>
      <c r="G33" s="20"/>
      <c r="H33" s="24"/>
      <c r="I33" s="34"/>
      <c r="J33" s="57">
        <f t="shared" si="0"/>
        <v>0</v>
      </c>
      <c r="K33" s="61">
        <f t="shared" si="2"/>
        <v>0</v>
      </c>
      <c r="L33" s="25"/>
      <c r="M33" s="67"/>
      <c r="N33" s="68"/>
      <c r="O33" s="68"/>
      <c r="P33" s="69"/>
      <c r="Q33" s="25"/>
      <c r="V33" s="13"/>
    </row>
    <row r="34" spans="1:22" ht="18" customHeight="1" x14ac:dyDescent="0.2">
      <c r="A34" s="22">
        <f t="shared" si="3"/>
        <v>45134</v>
      </c>
      <c r="B34" s="37">
        <f t="shared" si="4"/>
        <v>45134</v>
      </c>
      <c r="C34" s="39">
        <f t="shared" si="1"/>
        <v>0</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45135</v>
      </c>
      <c r="B35" s="37">
        <f t="shared" si="4"/>
        <v>45135</v>
      </c>
      <c r="C35" s="39">
        <f t="shared" si="1"/>
        <v>0</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45136</v>
      </c>
      <c r="B36" s="37">
        <f t="shared" si="4"/>
        <v>45136</v>
      </c>
      <c r="C36" s="39">
        <f t="shared" si="1"/>
        <v>1</v>
      </c>
      <c r="D36" s="23"/>
      <c r="E36" s="20"/>
      <c r="F36" s="31"/>
      <c r="G36" s="20"/>
      <c r="H36" s="24"/>
      <c r="I36" s="34"/>
      <c r="J36" s="57">
        <f t="shared" si="0"/>
        <v>0</v>
      </c>
      <c r="K36" s="61">
        <f t="shared" si="2"/>
        <v>0</v>
      </c>
      <c r="L36" s="25"/>
      <c r="M36" s="67"/>
      <c r="N36" s="68"/>
      <c r="O36" s="68"/>
      <c r="P36" s="69"/>
      <c r="Q36" s="25"/>
    </row>
    <row r="37" spans="1:22" ht="18" customHeight="1" x14ac:dyDescent="0.2">
      <c r="A37" s="22">
        <f>IF($A$35="","",IF(NOT(MONTH($A$35)=MONTH($A$35+2)),"",$A$35+2))</f>
        <v>45137</v>
      </c>
      <c r="B37" s="37">
        <f t="shared" si="4"/>
        <v>45137</v>
      </c>
      <c r="C37" s="39">
        <f t="shared" si="1"/>
        <v>1</v>
      </c>
      <c r="D37" s="23"/>
      <c r="E37" s="20"/>
      <c r="F37" s="31"/>
      <c r="G37" s="20"/>
      <c r="H37" s="24"/>
      <c r="I37" s="34"/>
      <c r="J37" s="57">
        <f t="shared" si="0"/>
        <v>0</v>
      </c>
      <c r="K37" s="61">
        <f t="shared" si="2"/>
        <v>0</v>
      </c>
      <c r="L37" s="25"/>
      <c r="M37" s="67"/>
      <c r="N37" s="68"/>
      <c r="O37" s="68"/>
      <c r="P37" s="69"/>
      <c r="Q37" s="25"/>
    </row>
    <row r="38" spans="1:22" ht="18" customHeight="1" thickBot="1" x14ac:dyDescent="0.25">
      <c r="A38" s="26">
        <f>IF($A$35="","",IF(NOT(MONTH($A$35)=MONTH($A$35+3)),"",$A$35+3))</f>
        <v>45138</v>
      </c>
      <c r="B38" s="38">
        <f>A38</f>
        <v>45138</v>
      </c>
      <c r="C38" s="40">
        <f t="shared" si="1"/>
        <v>0</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21 D23:D38">
    <cfRule type="expression" dxfId="52" priority="5" stopIfTrue="1">
      <formula>$C8&gt;0</formula>
    </cfRule>
  </conditionalFormatting>
  <conditionalFormatting sqref="I25:I29">
    <cfRule type="expression" dxfId="51" priority="4" stopIfTrue="1">
      <formula>$C25&gt;0</formula>
    </cfRule>
  </conditionalFormatting>
  <conditionalFormatting sqref="I32:I36">
    <cfRule type="expression" dxfId="50" priority="3" stopIfTrue="1">
      <formula>$C32&gt;0</formula>
    </cfRule>
  </conditionalFormatting>
  <conditionalFormatting sqref="D22">
    <cfRule type="expression" dxfId="49" priority="2" stopIfTrue="1">
      <formula>$C22&gt;0</formula>
    </cfRule>
  </conditionalFormatting>
  <conditionalFormatting sqref="Q8:Q38">
    <cfRule type="expression" dxfId="48" priority="1" stopIfTrue="1">
      <formula>$C8&gt;0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32" activePane="bottomLeft" state="frozen"/>
      <selection activeCell="D1" sqref="D1"/>
      <selection pane="bottomLeft" activeCell="L4" sqref="L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8</v>
      </c>
      <c r="G1" s="1" t="s">
        <v>1</v>
      </c>
    </row>
    <row r="2" spans="1:22" ht="21.9" customHeight="1" thickBot="1" x14ac:dyDescent="0.25"/>
    <row r="3" spans="1:22" ht="21.9" customHeight="1" thickTop="1" thickBot="1" x14ac:dyDescent="0.25">
      <c r="A3" s="75" t="s">
        <v>15</v>
      </c>
      <c r="B3" s="76"/>
      <c r="C3" s="76"/>
      <c r="D3" s="77"/>
      <c r="E3" s="78"/>
      <c r="F3" s="79"/>
      <c r="G3" s="79"/>
      <c r="H3" s="79"/>
      <c r="I3" s="79"/>
      <c r="J3" s="80"/>
      <c r="K3" s="53"/>
    </row>
    <row r="4" spans="1:22" ht="21.9" customHeight="1" thickTop="1" thickBot="1" x14ac:dyDescent="0.25">
      <c r="A4" s="75" t="s">
        <v>8</v>
      </c>
      <c r="B4" s="76"/>
      <c r="C4" s="76"/>
      <c r="D4" s="77"/>
      <c r="E4" s="78"/>
      <c r="F4" s="79"/>
      <c r="G4" s="79"/>
      <c r="H4" s="79"/>
      <c r="I4" s="79"/>
      <c r="J4" s="80"/>
      <c r="K4" s="53"/>
    </row>
    <row r="5" spans="1:22" ht="21.9" customHeight="1" thickTop="1" thickBot="1" x14ac:dyDescent="0.25">
      <c r="A5" s="81" t="s">
        <v>2</v>
      </c>
      <c r="B5" s="82"/>
      <c r="C5" s="82"/>
      <c r="D5" s="83"/>
      <c r="E5" s="78"/>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45139</v>
      </c>
      <c r="B8" s="36">
        <f>A8</f>
        <v>45139</v>
      </c>
      <c r="C8" s="43">
        <f>IF(WEEKDAY(A8,2)&gt;5,1,0)+IF(D8&lt;&gt;"",1,0)</f>
        <v>0</v>
      </c>
      <c r="D8" s="44"/>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45140</v>
      </c>
      <c r="B9" s="37">
        <f>A9</f>
        <v>45140</v>
      </c>
      <c r="C9" s="39">
        <f t="shared" ref="C9:C38" si="1">IF(WEEKDAY(A9,2)&gt;5,1,0)+IF(D9&lt;&gt;"",1,0)</f>
        <v>0</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45141</v>
      </c>
      <c r="B10" s="37">
        <f t="shared" ref="B10:B37" si="4">A10</f>
        <v>45141</v>
      </c>
      <c r="C10" s="39">
        <f t="shared" si="1"/>
        <v>0</v>
      </c>
      <c r="D10" s="23"/>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45142</v>
      </c>
      <c r="B11" s="37">
        <f t="shared" si="4"/>
        <v>45142</v>
      </c>
      <c r="C11" s="39">
        <f t="shared" si="1"/>
        <v>0</v>
      </c>
      <c r="D11" s="23"/>
      <c r="E11" s="20"/>
      <c r="F11" s="31"/>
      <c r="G11" s="20"/>
      <c r="H11" s="24"/>
      <c r="I11" s="34"/>
      <c r="J11" s="57">
        <f t="shared" si="0"/>
        <v>0</v>
      </c>
      <c r="K11" s="61">
        <f t="shared" si="2"/>
        <v>0</v>
      </c>
      <c r="L11" s="25"/>
      <c r="M11" s="67"/>
      <c r="N11" s="68"/>
      <c r="O11" s="68"/>
      <c r="P11" s="69"/>
      <c r="Q11" s="25"/>
      <c r="S11" s="14"/>
      <c r="T11" s="11"/>
      <c r="U11" s="12"/>
      <c r="V11" s="13"/>
    </row>
    <row r="12" spans="1:22" ht="18" customHeight="1" x14ac:dyDescent="0.2">
      <c r="A12" s="22">
        <f t="shared" si="3"/>
        <v>45143</v>
      </c>
      <c r="B12" s="37">
        <f t="shared" si="4"/>
        <v>45143</v>
      </c>
      <c r="C12" s="39">
        <f t="shared" si="1"/>
        <v>1</v>
      </c>
      <c r="D12" s="23"/>
      <c r="E12" s="20"/>
      <c r="F12" s="31"/>
      <c r="G12" s="20"/>
      <c r="H12" s="24"/>
      <c r="I12" s="34"/>
      <c r="J12" s="57">
        <f t="shared" si="0"/>
        <v>0</v>
      </c>
      <c r="K12" s="61">
        <f t="shared" si="2"/>
        <v>0</v>
      </c>
      <c r="L12" s="25"/>
      <c r="M12" s="67"/>
      <c r="N12" s="68"/>
      <c r="O12" s="68"/>
      <c r="P12" s="69"/>
      <c r="Q12" s="25"/>
      <c r="S12" s="14"/>
      <c r="T12" s="11"/>
      <c r="U12" s="12"/>
      <c r="V12" s="13"/>
    </row>
    <row r="13" spans="1:22" ht="18" customHeight="1" x14ac:dyDescent="0.2">
      <c r="A13" s="22">
        <f t="shared" si="3"/>
        <v>45144</v>
      </c>
      <c r="B13" s="37">
        <f t="shared" si="4"/>
        <v>45144</v>
      </c>
      <c r="C13" s="39">
        <f t="shared" si="1"/>
        <v>1</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45145</v>
      </c>
      <c r="B14" s="37">
        <f t="shared" si="4"/>
        <v>45145</v>
      </c>
      <c r="C14" s="39">
        <f t="shared" si="1"/>
        <v>0</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45146</v>
      </c>
      <c r="B15" s="37">
        <f t="shared" si="4"/>
        <v>45146</v>
      </c>
      <c r="C15" s="39">
        <f t="shared" si="1"/>
        <v>0</v>
      </c>
      <c r="D15" s="23"/>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45147</v>
      </c>
      <c r="B16" s="37">
        <f t="shared" si="4"/>
        <v>45147</v>
      </c>
      <c r="C16" s="39">
        <f t="shared" si="1"/>
        <v>0</v>
      </c>
      <c r="D16" s="23"/>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45148</v>
      </c>
      <c r="B17" s="37">
        <f t="shared" si="4"/>
        <v>45148</v>
      </c>
      <c r="C17" s="39">
        <f t="shared" si="1"/>
        <v>0</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45149</v>
      </c>
      <c r="B18" s="37">
        <f t="shared" si="4"/>
        <v>45149</v>
      </c>
      <c r="C18" s="39">
        <f t="shared" si="1"/>
        <v>1</v>
      </c>
      <c r="D18" s="23" t="s">
        <v>37</v>
      </c>
      <c r="E18" s="20"/>
      <c r="F18" s="31"/>
      <c r="G18" s="20"/>
      <c r="H18" s="24"/>
      <c r="I18" s="34"/>
      <c r="J18" s="57">
        <f t="shared" si="0"/>
        <v>0</v>
      </c>
      <c r="K18" s="61">
        <f t="shared" si="2"/>
        <v>0</v>
      </c>
      <c r="L18" s="25"/>
      <c r="M18" s="67"/>
      <c r="N18" s="68"/>
      <c r="O18" s="68"/>
      <c r="P18" s="69"/>
      <c r="Q18" s="25"/>
      <c r="T18" s="11"/>
      <c r="U18" s="12"/>
      <c r="V18" s="13"/>
    </row>
    <row r="19" spans="1:22" ht="18" customHeight="1" x14ac:dyDescent="0.2">
      <c r="A19" s="22">
        <f t="shared" si="3"/>
        <v>45150</v>
      </c>
      <c r="B19" s="37">
        <f t="shared" si="4"/>
        <v>45150</v>
      </c>
      <c r="C19" s="39">
        <f t="shared" si="1"/>
        <v>1</v>
      </c>
      <c r="D19" s="23"/>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45151</v>
      </c>
      <c r="B20" s="37">
        <f t="shared" si="4"/>
        <v>45151</v>
      </c>
      <c r="C20" s="39">
        <f t="shared" si="1"/>
        <v>1</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45152</v>
      </c>
      <c r="B21" s="37">
        <f t="shared" si="4"/>
        <v>45152</v>
      </c>
      <c r="C21" s="39">
        <f t="shared" si="1"/>
        <v>0</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45153</v>
      </c>
      <c r="B22" s="37">
        <f t="shared" si="4"/>
        <v>45153</v>
      </c>
      <c r="C22" s="39">
        <f t="shared" si="1"/>
        <v>0</v>
      </c>
      <c r="D22" s="23"/>
      <c r="E22" s="20"/>
      <c r="F22" s="31"/>
      <c r="G22" s="20"/>
      <c r="H22" s="24"/>
      <c r="I22" s="34"/>
      <c r="J22" s="57">
        <f t="shared" si="0"/>
        <v>0</v>
      </c>
      <c r="K22" s="61">
        <f t="shared" si="2"/>
        <v>0</v>
      </c>
      <c r="L22" s="25"/>
      <c r="M22" s="67"/>
      <c r="N22" s="68"/>
      <c r="O22" s="68"/>
      <c r="P22" s="69"/>
      <c r="Q22" s="25"/>
      <c r="V22" s="13"/>
    </row>
    <row r="23" spans="1:22" ht="18" customHeight="1" x14ac:dyDescent="0.2">
      <c r="A23" s="22">
        <f t="shared" si="3"/>
        <v>45154</v>
      </c>
      <c r="B23" s="37">
        <f t="shared" si="4"/>
        <v>45154</v>
      </c>
      <c r="C23" s="39">
        <f t="shared" si="1"/>
        <v>0</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45155</v>
      </c>
      <c r="B24" s="37">
        <f t="shared" si="4"/>
        <v>45155</v>
      </c>
      <c r="C24" s="39">
        <f t="shared" si="1"/>
        <v>0</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45156</v>
      </c>
      <c r="B25" s="37">
        <f t="shared" si="4"/>
        <v>45156</v>
      </c>
      <c r="C25" s="39">
        <f t="shared" si="1"/>
        <v>0</v>
      </c>
      <c r="D25" s="23"/>
      <c r="E25" s="20"/>
      <c r="F25" s="31"/>
      <c r="G25" s="20"/>
      <c r="H25" s="24"/>
      <c r="I25" s="34"/>
      <c r="J25" s="57">
        <f t="shared" si="0"/>
        <v>0</v>
      </c>
      <c r="K25" s="61">
        <f t="shared" si="2"/>
        <v>0</v>
      </c>
      <c r="L25" s="25"/>
      <c r="M25" s="67"/>
      <c r="N25" s="68"/>
      <c r="O25" s="68"/>
      <c r="P25" s="69"/>
      <c r="Q25" s="25"/>
      <c r="V25" s="13"/>
    </row>
    <row r="26" spans="1:22" ht="18" customHeight="1" x14ac:dyDescent="0.2">
      <c r="A26" s="22">
        <f t="shared" si="3"/>
        <v>45157</v>
      </c>
      <c r="B26" s="37">
        <f t="shared" si="4"/>
        <v>45157</v>
      </c>
      <c r="C26" s="39">
        <f t="shared" si="1"/>
        <v>1</v>
      </c>
      <c r="D26" s="23"/>
      <c r="E26" s="20"/>
      <c r="F26" s="31"/>
      <c r="G26" s="20"/>
      <c r="H26" s="24"/>
      <c r="I26" s="34"/>
      <c r="J26" s="57">
        <f t="shared" si="0"/>
        <v>0</v>
      </c>
      <c r="K26" s="61">
        <f t="shared" si="2"/>
        <v>0</v>
      </c>
      <c r="L26" s="25"/>
      <c r="M26" s="67"/>
      <c r="N26" s="68"/>
      <c r="O26" s="68"/>
      <c r="P26" s="69"/>
      <c r="Q26" s="25"/>
      <c r="V26" s="13"/>
    </row>
    <row r="27" spans="1:22" ht="18" customHeight="1" x14ac:dyDescent="0.2">
      <c r="A27" s="22">
        <f t="shared" si="3"/>
        <v>45158</v>
      </c>
      <c r="B27" s="37">
        <f t="shared" si="4"/>
        <v>45158</v>
      </c>
      <c r="C27" s="39">
        <f t="shared" si="1"/>
        <v>1</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45159</v>
      </c>
      <c r="B28" s="37">
        <f t="shared" si="4"/>
        <v>45159</v>
      </c>
      <c r="C28" s="39">
        <f t="shared" si="1"/>
        <v>0</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45160</v>
      </c>
      <c r="B29" s="37">
        <f t="shared" si="4"/>
        <v>45160</v>
      </c>
      <c r="C29" s="39">
        <f t="shared" si="1"/>
        <v>0</v>
      </c>
      <c r="D29" s="23"/>
      <c r="E29" s="20"/>
      <c r="F29" s="31"/>
      <c r="G29" s="20"/>
      <c r="H29" s="24"/>
      <c r="I29" s="34"/>
      <c r="J29" s="57">
        <f t="shared" si="0"/>
        <v>0</v>
      </c>
      <c r="K29" s="61">
        <f t="shared" si="2"/>
        <v>0</v>
      </c>
      <c r="L29" s="25"/>
      <c r="M29" s="67"/>
      <c r="N29" s="68"/>
      <c r="O29" s="68"/>
      <c r="P29" s="69"/>
      <c r="Q29" s="25"/>
      <c r="V29" s="13"/>
    </row>
    <row r="30" spans="1:22" ht="18" customHeight="1" x14ac:dyDescent="0.2">
      <c r="A30" s="22">
        <f t="shared" si="3"/>
        <v>45161</v>
      </c>
      <c r="B30" s="37">
        <f t="shared" si="4"/>
        <v>45161</v>
      </c>
      <c r="C30" s="39">
        <f t="shared" si="1"/>
        <v>0</v>
      </c>
      <c r="D30" s="23"/>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45162</v>
      </c>
      <c r="B31" s="37">
        <f t="shared" si="4"/>
        <v>45162</v>
      </c>
      <c r="C31" s="39">
        <f t="shared" si="1"/>
        <v>0</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45163</v>
      </c>
      <c r="B32" s="37">
        <f t="shared" si="4"/>
        <v>45163</v>
      </c>
      <c r="C32" s="39">
        <f t="shared" si="1"/>
        <v>0</v>
      </c>
      <c r="D32" s="23"/>
      <c r="E32" s="20"/>
      <c r="F32" s="31"/>
      <c r="G32" s="20"/>
      <c r="H32" s="24"/>
      <c r="I32" s="34"/>
      <c r="J32" s="57">
        <f t="shared" si="0"/>
        <v>0</v>
      </c>
      <c r="K32" s="61">
        <f t="shared" si="2"/>
        <v>0</v>
      </c>
      <c r="L32" s="25"/>
      <c r="M32" s="67"/>
      <c r="N32" s="68"/>
      <c r="O32" s="68"/>
      <c r="P32" s="69"/>
      <c r="Q32" s="25"/>
      <c r="V32" s="13"/>
    </row>
    <row r="33" spans="1:22" ht="18" customHeight="1" x14ac:dyDescent="0.2">
      <c r="A33" s="22">
        <f t="shared" si="3"/>
        <v>45164</v>
      </c>
      <c r="B33" s="37">
        <f t="shared" si="4"/>
        <v>45164</v>
      </c>
      <c r="C33" s="39">
        <f t="shared" si="1"/>
        <v>1</v>
      </c>
      <c r="D33" s="23"/>
      <c r="E33" s="20"/>
      <c r="F33" s="31"/>
      <c r="G33" s="20"/>
      <c r="H33" s="24"/>
      <c r="I33" s="34"/>
      <c r="J33" s="57">
        <f t="shared" si="0"/>
        <v>0</v>
      </c>
      <c r="K33" s="61">
        <f t="shared" si="2"/>
        <v>0</v>
      </c>
      <c r="L33" s="25"/>
      <c r="M33" s="67"/>
      <c r="N33" s="68"/>
      <c r="O33" s="68"/>
      <c r="P33" s="69"/>
      <c r="Q33" s="25"/>
      <c r="V33" s="13"/>
    </row>
    <row r="34" spans="1:22" ht="18" customHeight="1" x14ac:dyDescent="0.2">
      <c r="A34" s="22">
        <f t="shared" si="3"/>
        <v>45165</v>
      </c>
      <c r="B34" s="37">
        <f t="shared" si="4"/>
        <v>45165</v>
      </c>
      <c r="C34" s="39">
        <f t="shared" si="1"/>
        <v>1</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45166</v>
      </c>
      <c r="B35" s="37">
        <f t="shared" si="4"/>
        <v>45166</v>
      </c>
      <c r="C35" s="39">
        <f t="shared" si="1"/>
        <v>0</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45167</v>
      </c>
      <c r="B36" s="37">
        <f t="shared" si="4"/>
        <v>45167</v>
      </c>
      <c r="C36" s="39">
        <f t="shared" si="1"/>
        <v>0</v>
      </c>
      <c r="D36" s="23"/>
      <c r="E36" s="20"/>
      <c r="F36" s="31"/>
      <c r="G36" s="20"/>
      <c r="H36" s="24"/>
      <c r="I36" s="34"/>
      <c r="J36" s="57">
        <f t="shared" si="0"/>
        <v>0</v>
      </c>
      <c r="K36" s="61">
        <f t="shared" si="2"/>
        <v>0</v>
      </c>
      <c r="L36" s="25"/>
      <c r="M36" s="67"/>
      <c r="N36" s="68"/>
      <c r="O36" s="68"/>
      <c r="P36" s="69"/>
      <c r="Q36" s="25"/>
    </row>
    <row r="37" spans="1:22" ht="18" customHeight="1" x14ac:dyDescent="0.2">
      <c r="A37" s="22">
        <f>IF($A$35="","",IF(NOT(MONTH($A$35)=MONTH($A$35+2)),"",$A$35+2))</f>
        <v>45168</v>
      </c>
      <c r="B37" s="37">
        <f t="shared" si="4"/>
        <v>45168</v>
      </c>
      <c r="C37" s="39">
        <f t="shared" si="1"/>
        <v>0</v>
      </c>
      <c r="D37" s="23"/>
      <c r="E37" s="20"/>
      <c r="F37" s="31"/>
      <c r="G37" s="20"/>
      <c r="H37" s="24"/>
      <c r="I37" s="34"/>
      <c r="J37" s="57">
        <f t="shared" si="0"/>
        <v>0</v>
      </c>
      <c r="K37" s="61">
        <f t="shared" si="2"/>
        <v>0</v>
      </c>
      <c r="L37" s="25"/>
      <c r="M37" s="67"/>
      <c r="N37" s="68"/>
      <c r="O37" s="68"/>
      <c r="P37" s="69"/>
      <c r="Q37" s="25"/>
    </row>
    <row r="38" spans="1:22" ht="18" customHeight="1" thickBot="1" x14ac:dyDescent="0.25">
      <c r="A38" s="26">
        <f>IF($A$35="","",IF(NOT(MONTH($A$35)=MONTH($A$35+3)),"",$A$35+3))</f>
        <v>45169</v>
      </c>
      <c r="B38" s="38">
        <f>A38</f>
        <v>45169</v>
      </c>
      <c r="C38" s="40">
        <f t="shared" si="1"/>
        <v>0</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D38">
    <cfRule type="expression" dxfId="47" priority="5" stopIfTrue="1">
      <formula>$C8&gt;0</formula>
    </cfRule>
  </conditionalFormatting>
  <conditionalFormatting sqref="I25:I29">
    <cfRule type="expression" dxfId="46" priority="4" stopIfTrue="1">
      <formula>$C25&gt;0</formula>
    </cfRule>
  </conditionalFormatting>
  <conditionalFormatting sqref="I32:I36">
    <cfRule type="expression" dxfId="45" priority="3" stopIfTrue="1">
      <formula>$C32&gt;0</formula>
    </cfRule>
  </conditionalFormatting>
  <conditionalFormatting sqref="D19">
    <cfRule type="expression" dxfId="44" priority="2" stopIfTrue="1">
      <formula>$C19&gt;0</formula>
    </cfRule>
  </conditionalFormatting>
  <conditionalFormatting sqref="Q8:Q38">
    <cfRule type="expression" dxfId="43"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29" activePane="bottomLeft" state="frozen"/>
      <selection activeCell="D1" sqref="D1"/>
      <selection pane="bottomLeft" activeCell="D26" sqref="D26"/>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9</v>
      </c>
      <c r="G1" s="1" t="s">
        <v>1</v>
      </c>
    </row>
    <row r="2" spans="1:22" ht="21.9" customHeight="1" thickBot="1" x14ac:dyDescent="0.25"/>
    <row r="3" spans="1:22" ht="21.9" customHeight="1" thickTop="1" thickBot="1" x14ac:dyDescent="0.25">
      <c r="A3" s="75" t="s">
        <v>15</v>
      </c>
      <c r="B3" s="76"/>
      <c r="C3" s="76"/>
      <c r="D3" s="77"/>
      <c r="E3" s="78"/>
      <c r="F3" s="79"/>
      <c r="G3" s="79"/>
      <c r="H3" s="79"/>
      <c r="I3" s="79"/>
      <c r="J3" s="80"/>
      <c r="K3" s="53"/>
    </row>
    <row r="4" spans="1:22" ht="21.9" customHeight="1" thickTop="1" thickBot="1" x14ac:dyDescent="0.25">
      <c r="A4" s="75" t="s">
        <v>8</v>
      </c>
      <c r="B4" s="76"/>
      <c r="C4" s="76"/>
      <c r="D4" s="77"/>
      <c r="E4" s="78"/>
      <c r="F4" s="79"/>
      <c r="G4" s="79"/>
      <c r="H4" s="79"/>
      <c r="I4" s="79"/>
      <c r="J4" s="80"/>
      <c r="K4" s="53"/>
    </row>
    <row r="5" spans="1:22" ht="21.9" customHeight="1" thickTop="1" thickBot="1" x14ac:dyDescent="0.25">
      <c r="A5" s="81" t="s">
        <v>2</v>
      </c>
      <c r="B5" s="82"/>
      <c r="C5" s="82"/>
      <c r="D5" s="83"/>
      <c r="E5" s="78"/>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45170</v>
      </c>
      <c r="B8" s="36">
        <f>A8</f>
        <v>45170</v>
      </c>
      <c r="C8" s="43">
        <f>IF(WEEKDAY(A8,2)&gt;5,1,0)+IF(D8&lt;&gt;"",1,0)</f>
        <v>0</v>
      </c>
      <c r="D8" s="44"/>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45171</v>
      </c>
      <c r="B9" s="37">
        <f>A9</f>
        <v>45171</v>
      </c>
      <c r="C9" s="39">
        <f t="shared" ref="C9:C38" si="1">IF(WEEKDAY(A9,2)&gt;5,1,0)+IF(D9&lt;&gt;"",1,0)</f>
        <v>1</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45172</v>
      </c>
      <c r="B10" s="37">
        <f t="shared" ref="B10:B37" si="4">A10</f>
        <v>45172</v>
      </c>
      <c r="C10" s="39">
        <f t="shared" si="1"/>
        <v>1</v>
      </c>
      <c r="D10" s="23"/>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45173</v>
      </c>
      <c r="B11" s="37">
        <f t="shared" si="4"/>
        <v>45173</v>
      </c>
      <c r="C11" s="39">
        <f t="shared" si="1"/>
        <v>0</v>
      </c>
      <c r="D11" s="23"/>
      <c r="E11" s="20"/>
      <c r="F11" s="31"/>
      <c r="G11" s="20"/>
      <c r="H11" s="24"/>
      <c r="I11" s="34"/>
      <c r="J11" s="57">
        <f t="shared" si="0"/>
        <v>0</v>
      </c>
      <c r="K11" s="61">
        <f t="shared" si="2"/>
        <v>0</v>
      </c>
      <c r="L11" s="25"/>
      <c r="M11" s="67"/>
      <c r="N11" s="68"/>
      <c r="O11" s="68"/>
      <c r="P11" s="69"/>
      <c r="Q11" s="25"/>
      <c r="S11" s="14"/>
      <c r="T11" s="11"/>
      <c r="U11" s="12"/>
      <c r="V11" s="13"/>
    </row>
    <row r="12" spans="1:22" ht="18" customHeight="1" x14ac:dyDescent="0.2">
      <c r="A12" s="22">
        <f t="shared" si="3"/>
        <v>45174</v>
      </c>
      <c r="B12" s="37">
        <f t="shared" si="4"/>
        <v>45174</v>
      </c>
      <c r="C12" s="39">
        <f t="shared" si="1"/>
        <v>0</v>
      </c>
      <c r="D12" s="23"/>
      <c r="E12" s="20"/>
      <c r="F12" s="31"/>
      <c r="G12" s="20"/>
      <c r="H12" s="24"/>
      <c r="I12" s="34"/>
      <c r="J12" s="57">
        <f t="shared" si="0"/>
        <v>0</v>
      </c>
      <c r="K12" s="61">
        <f t="shared" si="2"/>
        <v>0</v>
      </c>
      <c r="L12" s="25"/>
      <c r="M12" s="67"/>
      <c r="N12" s="68"/>
      <c r="O12" s="68"/>
      <c r="P12" s="69"/>
      <c r="Q12" s="25"/>
      <c r="S12" s="14"/>
      <c r="T12" s="11"/>
      <c r="U12" s="12"/>
      <c r="V12" s="13"/>
    </row>
    <row r="13" spans="1:22" ht="18" customHeight="1" x14ac:dyDescent="0.2">
      <c r="A13" s="22">
        <f t="shared" si="3"/>
        <v>45175</v>
      </c>
      <c r="B13" s="37">
        <f t="shared" si="4"/>
        <v>45175</v>
      </c>
      <c r="C13" s="39">
        <f t="shared" si="1"/>
        <v>0</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45176</v>
      </c>
      <c r="B14" s="37">
        <f t="shared" si="4"/>
        <v>45176</v>
      </c>
      <c r="C14" s="39">
        <f t="shared" si="1"/>
        <v>0</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45177</v>
      </c>
      <c r="B15" s="37">
        <f t="shared" si="4"/>
        <v>45177</v>
      </c>
      <c r="C15" s="39">
        <f t="shared" si="1"/>
        <v>0</v>
      </c>
      <c r="D15" s="23"/>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45178</v>
      </c>
      <c r="B16" s="37">
        <f t="shared" si="4"/>
        <v>45178</v>
      </c>
      <c r="C16" s="39">
        <f t="shared" si="1"/>
        <v>1</v>
      </c>
      <c r="D16" s="23"/>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45179</v>
      </c>
      <c r="B17" s="37">
        <f t="shared" si="4"/>
        <v>45179</v>
      </c>
      <c r="C17" s="39">
        <f t="shared" si="1"/>
        <v>1</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45180</v>
      </c>
      <c r="B18" s="37">
        <f t="shared" si="4"/>
        <v>45180</v>
      </c>
      <c r="C18" s="39">
        <f t="shared" si="1"/>
        <v>0</v>
      </c>
      <c r="D18" s="23"/>
      <c r="E18" s="20"/>
      <c r="F18" s="31"/>
      <c r="G18" s="20"/>
      <c r="H18" s="24"/>
      <c r="I18" s="34"/>
      <c r="J18" s="57">
        <f t="shared" si="0"/>
        <v>0</v>
      </c>
      <c r="K18" s="61">
        <f t="shared" si="2"/>
        <v>0</v>
      </c>
      <c r="L18" s="25"/>
      <c r="M18" s="67"/>
      <c r="N18" s="68"/>
      <c r="O18" s="68"/>
      <c r="P18" s="69"/>
      <c r="Q18" s="25"/>
      <c r="T18" s="11"/>
      <c r="U18" s="12"/>
      <c r="V18" s="13"/>
    </row>
    <row r="19" spans="1:22" ht="18" customHeight="1" x14ac:dyDescent="0.2">
      <c r="A19" s="22">
        <f t="shared" si="3"/>
        <v>45181</v>
      </c>
      <c r="B19" s="37">
        <f t="shared" si="4"/>
        <v>45181</v>
      </c>
      <c r="C19" s="39">
        <f t="shared" si="1"/>
        <v>0</v>
      </c>
      <c r="D19" s="23"/>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45182</v>
      </c>
      <c r="B20" s="37">
        <f t="shared" si="4"/>
        <v>45182</v>
      </c>
      <c r="C20" s="39">
        <f t="shared" si="1"/>
        <v>0</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45183</v>
      </c>
      <c r="B21" s="37">
        <f t="shared" si="4"/>
        <v>45183</v>
      </c>
      <c r="C21" s="39">
        <f t="shared" si="1"/>
        <v>0</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45184</v>
      </c>
      <c r="B22" s="37">
        <f t="shared" si="4"/>
        <v>45184</v>
      </c>
      <c r="C22" s="39">
        <f t="shared" si="1"/>
        <v>0</v>
      </c>
      <c r="D22" s="23"/>
      <c r="E22" s="20"/>
      <c r="F22" s="31"/>
      <c r="G22" s="20"/>
      <c r="H22" s="24"/>
      <c r="I22" s="34"/>
      <c r="J22" s="57">
        <f t="shared" si="0"/>
        <v>0</v>
      </c>
      <c r="K22" s="61">
        <f t="shared" si="2"/>
        <v>0</v>
      </c>
      <c r="L22" s="25"/>
      <c r="M22" s="67"/>
      <c r="N22" s="68"/>
      <c r="O22" s="68"/>
      <c r="P22" s="69"/>
      <c r="Q22" s="25"/>
      <c r="V22" s="13"/>
    </row>
    <row r="23" spans="1:22" ht="18" customHeight="1" x14ac:dyDescent="0.2">
      <c r="A23" s="22">
        <f t="shared" si="3"/>
        <v>45185</v>
      </c>
      <c r="B23" s="37">
        <f t="shared" si="4"/>
        <v>45185</v>
      </c>
      <c r="C23" s="39">
        <f t="shared" si="1"/>
        <v>1</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45186</v>
      </c>
      <c r="B24" s="37">
        <f t="shared" si="4"/>
        <v>45186</v>
      </c>
      <c r="C24" s="39">
        <f t="shared" si="1"/>
        <v>1</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45187</v>
      </c>
      <c r="B25" s="37">
        <f t="shared" si="4"/>
        <v>45187</v>
      </c>
      <c r="C25" s="39">
        <f t="shared" si="1"/>
        <v>1</v>
      </c>
      <c r="D25" s="23" t="s">
        <v>39</v>
      </c>
      <c r="E25" s="20"/>
      <c r="F25" s="31"/>
      <c r="G25" s="20"/>
      <c r="H25" s="24"/>
      <c r="I25" s="34"/>
      <c r="J25" s="57">
        <f t="shared" si="0"/>
        <v>0</v>
      </c>
      <c r="K25" s="61">
        <f t="shared" si="2"/>
        <v>0</v>
      </c>
      <c r="L25" s="25"/>
      <c r="M25" s="67"/>
      <c r="N25" s="68"/>
      <c r="O25" s="68"/>
      <c r="P25" s="69"/>
      <c r="Q25" s="25"/>
      <c r="V25" s="13"/>
    </row>
    <row r="26" spans="1:22" ht="18" customHeight="1" x14ac:dyDescent="0.2">
      <c r="A26" s="22">
        <f t="shared" si="3"/>
        <v>45188</v>
      </c>
      <c r="B26" s="37">
        <f t="shared" si="4"/>
        <v>45188</v>
      </c>
      <c r="C26" s="39">
        <f t="shared" si="1"/>
        <v>0</v>
      </c>
      <c r="D26" s="23"/>
      <c r="E26" s="20"/>
      <c r="F26" s="31"/>
      <c r="G26" s="20"/>
      <c r="H26" s="24"/>
      <c r="I26" s="34"/>
      <c r="J26" s="57">
        <f t="shared" si="0"/>
        <v>0</v>
      </c>
      <c r="K26" s="61">
        <f t="shared" si="2"/>
        <v>0</v>
      </c>
      <c r="L26" s="25"/>
      <c r="M26" s="67"/>
      <c r="N26" s="68"/>
      <c r="O26" s="68"/>
      <c r="P26" s="69"/>
      <c r="Q26" s="25"/>
      <c r="V26" s="13"/>
    </row>
    <row r="27" spans="1:22" ht="18" customHeight="1" x14ac:dyDescent="0.2">
      <c r="A27" s="22">
        <f t="shared" si="3"/>
        <v>45189</v>
      </c>
      <c r="B27" s="37">
        <f t="shared" si="4"/>
        <v>45189</v>
      </c>
      <c r="C27" s="39">
        <f t="shared" si="1"/>
        <v>0</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45190</v>
      </c>
      <c r="B28" s="37">
        <f t="shared" si="4"/>
        <v>45190</v>
      </c>
      <c r="C28" s="39">
        <f t="shared" si="1"/>
        <v>0</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45191</v>
      </c>
      <c r="B29" s="37">
        <f t="shared" si="4"/>
        <v>45191</v>
      </c>
      <c r="C29" s="39">
        <f t="shared" si="1"/>
        <v>0</v>
      </c>
      <c r="D29" s="23"/>
      <c r="E29" s="20"/>
      <c r="F29" s="31"/>
      <c r="G29" s="20"/>
      <c r="H29" s="24"/>
      <c r="I29" s="34"/>
      <c r="J29" s="57">
        <f t="shared" si="0"/>
        <v>0</v>
      </c>
      <c r="K29" s="61">
        <f t="shared" si="2"/>
        <v>0</v>
      </c>
      <c r="L29" s="25"/>
      <c r="M29" s="67"/>
      <c r="N29" s="68"/>
      <c r="O29" s="68"/>
      <c r="P29" s="69"/>
      <c r="Q29" s="25"/>
      <c r="V29" s="13"/>
    </row>
    <row r="30" spans="1:22" ht="18" customHeight="1" x14ac:dyDescent="0.2">
      <c r="A30" s="22">
        <f t="shared" si="3"/>
        <v>45192</v>
      </c>
      <c r="B30" s="37">
        <f t="shared" si="4"/>
        <v>45192</v>
      </c>
      <c r="C30" s="39">
        <f t="shared" si="1"/>
        <v>2</v>
      </c>
      <c r="D30" s="23" t="s">
        <v>35</v>
      </c>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45193</v>
      </c>
      <c r="B31" s="37">
        <f t="shared" si="4"/>
        <v>45193</v>
      </c>
      <c r="C31" s="39">
        <f t="shared" si="1"/>
        <v>1</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45194</v>
      </c>
      <c r="B32" s="37">
        <f t="shared" si="4"/>
        <v>45194</v>
      </c>
      <c r="C32" s="39">
        <f t="shared" si="1"/>
        <v>0</v>
      </c>
      <c r="D32" s="23"/>
      <c r="E32" s="20"/>
      <c r="F32" s="31"/>
      <c r="G32" s="20"/>
      <c r="H32" s="24"/>
      <c r="I32" s="34"/>
      <c r="J32" s="57">
        <f t="shared" si="0"/>
        <v>0</v>
      </c>
      <c r="K32" s="61">
        <f t="shared" si="2"/>
        <v>0</v>
      </c>
      <c r="L32" s="25"/>
      <c r="M32" s="67"/>
      <c r="N32" s="68"/>
      <c r="O32" s="68"/>
      <c r="P32" s="69"/>
      <c r="Q32" s="25"/>
      <c r="V32" s="13"/>
    </row>
    <row r="33" spans="1:22" ht="18" customHeight="1" x14ac:dyDescent="0.2">
      <c r="A33" s="22">
        <f t="shared" si="3"/>
        <v>45195</v>
      </c>
      <c r="B33" s="37">
        <f t="shared" si="4"/>
        <v>45195</v>
      </c>
      <c r="C33" s="39">
        <f t="shared" si="1"/>
        <v>0</v>
      </c>
      <c r="D33" s="23"/>
      <c r="E33" s="20"/>
      <c r="F33" s="31"/>
      <c r="G33" s="20"/>
      <c r="H33" s="24"/>
      <c r="I33" s="34"/>
      <c r="J33" s="57">
        <f t="shared" si="0"/>
        <v>0</v>
      </c>
      <c r="K33" s="61">
        <f t="shared" si="2"/>
        <v>0</v>
      </c>
      <c r="L33" s="25"/>
      <c r="M33" s="67"/>
      <c r="N33" s="68"/>
      <c r="O33" s="68"/>
      <c r="P33" s="69"/>
      <c r="Q33" s="25"/>
      <c r="V33" s="13"/>
    </row>
    <row r="34" spans="1:22" ht="18" customHeight="1" x14ac:dyDescent="0.2">
      <c r="A34" s="22">
        <f t="shared" si="3"/>
        <v>45196</v>
      </c>
      <c r="B34" s="37">
        <f t="shared" si="4"/>
        <v>45196</v>
      </c>
      <c r="C34" s="39">
        <f t="shared" si="1"/>
        <v>0</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45197</v>
      </c>
      <c r="B35" s="37">
        <f t="shared" si="4"/>
        <v>45197</v>
      </c>
      <c r="C35" s="39">
        <f t="shared" si="1"/>
        <v>0</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45198</v>
      </c>
      <c r="B36" s="37">
        <f t="shared" si="4"/>
        <v>45198</v>
      </c>
      <c r="C36" s="39">
        <f t="shared" si="1"/>
        <v>0</v>
      </c>
      <c r="D36" s="23"/>
      <c r="E36" s="20"/>
      <c r="F36" s="31"/>
      <c r="G36" s="20"/>
      <c r="H36" s="24"/>
      <c r="I36" s="34"/>
      <c r="J36" s="57">
        <f t="shared" si="0"/>
        <v>0</v>
      </c>
      <c r="K36" s="61">
        <f t="shared" si="2"/>
        <v>0</v>
      </c>
      <c r="L36" s="25"/>
      <c r="M36" s="67"/>
      <c r="N36" s="68"/>
      <c r="O36" s="68"/>
      <c r="P36" s="69"/>
      <c r="Q36" s="25"/>
    </row>
    <row r="37" spans="1:22" ht="18" customHeight="1" x14ac:dyDescent="0.2">
      <c r="A37" s="22">
        <f>IF($A$35="","",IF(NOT(MONTH($A$35)=MONTH($A$35+2)),"",$A$35+2))</f>
        <v>45199</v>
      </c>
      <c r="B37" s="37">
        <f t="shared" si="4"/>
        <v>45199</v>
      </c>
      <c r="C37" s="39">
        <f t="shared" si="1"/>
        <v>1</v>
      </c>
      <c r="D37" s="23"/>
      <c r="E37" s="20"/>
      <c r="F37" s="31"/>
      <c r="G37" s="20"/>
      <c r="H37" s="24"/>
      <c r="I37" s="34"/>
      <c r="J37" s="57">
        <f t="shared" si="0"/>
        <v>0</v>
      </c>
      <c r="K37" s="61">
        <f t="shared" si="2"/>
        <v>0</v>
      </c>
      <c r="L37" s="25"/>
      <c r="M37" s="67"/>
      <c r="N37" s="68"/>
      <c r="O37" s="68"/>
      <c r="P37" s="69"/>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24:D27 D8:D22 D31:D38">
    <cfRule type="expression" dxfId="42" priority="8" stopIfTrue="1">
      <formula>$C8&gt;0</formula>
    </cfRule>
  </conditionalFormatting>
  <conditionalFormatting sqref="I25:I29">
    <cfRule type="expression" dxfId="41" priority="7" stopIfTrue="1">
      <formula>$C25&gt;0</formula>
    </cfRule>
  </conditionalFormatting>
  <conditionalFormatting sqref="I32:I36">
    <cfRule type="expression" dxfId="40" priority="6" stopIfTrue="1">
      <formula>$C32&gt;0</formula>
    </cfRule>
  </conditionalFormatting>
  <conditionalFormatting sqref="D28">
    <cfRule type="expression" dxfId="39" priority="5" stopIfTrue="1">
      <formula>$C28&gt;0</formula>
    </cfRule>
  </conditionalFormatting>
  <conditionalFormatting sqref="D29">
    <cfRule type="expression" dxfId="38" priority="4" stopIfTrue="1">
      <formula>$C29&gt;0</formula>
    </cfRule>
  </conditionalFormatting>
  <conditionalFormatting sqref="D23">
    <cfRule type="expression" dxfId="37" priority="3" stopIfTrue="1">
      <formula>$C23&gt;0</formula>
    </cfRule>
  </conditionalFormatting>
  <conditionalFormatting sqref="D30">
    <cfRule type="expression" dxfId="36" priority="2" stopIfTrue="1">
      <formula>$C30&gt;0</formula>
    </cfRule>
  </conditionalFormatting>
  <conditionalFormatting sqref="Q8:Q38">
    <cfRule type="expression" dxfId="35"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29" activePane="bottomLeft" state="frozen"/>
      <selection activeCell="D1" sqref="D1"/>
      <selection pane="bottomLeft" activeCell="D17" sqref="D1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10</v>
      </c>
      <c r="G1" s="1" t="s">
        <v>1</v>
      </c>
    </row>
    <row r="2" spans="1:22" ht="21.9" customHeight="1" thickBot="1" x14ac:dyDescent="0.25"/>
    <row r="3" spans="1:22" ht="21.9" customHeight="1" thickTop="1" thickBot="1" x14ac:dyDescent="0.25">
      <c r="A3" s="75" t="s">
        <v>15</v>
      </c>
      <c r="B3" s="76"/>
      <c r="C3" s="76"/>
      <c r="D3" s="77"/>
      <c r="E3" s="78"/>
      <c r="F3" s="79"/>
      <c r="G3" s="79"/>
      <c r="H3" s="79"/>
      <c r="I3" s="79"/>
      <c r="J3" s="80"/>
      <c r="K3" s="53"/>
    </row>
    <row r="4" spans="1:22" ht="21.9" customHeight="1" thickTop="1" thickBot="1" x14ac:dyDescent="0.25">
      <c r="A4" s="75" t="s">
        <v>8</v>
      </c>
      <c r="B4" s="76"/>
      <c r="C4" s="76"/>
      <c r="D4" s="77"/>
      <c r="E4" s="78"/>
      <c r="F4" s="79"/>
      <c r="G4" s="79"/>
      <c r="H4" s="79"/>
      <c r="I4" s="79"/>
      <c r="J4" s="80"/>
      <c r="K4" s="53"/>
    </row>
    <row r="5" spans="1:22" ht="21.9" customHeight="1" thickTop="1" thickBot="1" x14ac:dyDescent="0.25">
      <c r="A5" s="81" t="s">
        <v>2</v>
      </c>
      <c r="B5" s="82"/>
      <c r="C5" s="82"/>
      <c r="D5" s="83"/>
      <c r="E5" s="78"/>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45200</v>
      </c>
      <c r="B8" s="36">
        <f>A8</f>
        <v>45200</v>
      </c>
      <c r="C8" s="43">
        <f>IF(WEEKDAY(A8,2)&gt;5,1,0)+IF(D8&lt;&gt;"",1,0)</f>
        <v>1</v>
      </c>
      <c r="D8" s="44"/>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45201</v>
      </c>
      <c r="B9" s="37">
        <f>A9</f>
        <v>45201</v>
      </c>
      <c r="C9" s="39">
        <f t="shared" ref="C9:C38" si="1">IF(WEEKDAY(A9,2)&gt;5,1,0)+IF(D9&lt;&gt;"",1,0)</f>
        <v>0</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45202</v>
      </c>
      <c r="B10" s="37">
        <f t="shared" ref="B10:B37" si="4">A10</f>
        <v>45202</v>
      </c>
      <c r="C10" s="39">
        <f t="shared" si="1"/>
        <v>0</v>
      </c>
      <c r="D10" s="23"/>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45203</v>
      </c>
      <c r="B11" s="37">
        <f t="shared" si="4"/>
        <v>45203</v>
      </c>
      <c r="C11" s="39">
        <f t="shared" si="1"/>
        <v>0</v>
      </c>
      <c r="D11" s="23"/>
      <c r="E11" s="20"/>
      <c r="F11" s="31"/>
      <c r="G11" s="20"/>
      <c r="H11" s="24"/>
      <c r="I11" s="34"/>
      <c r="J11" s="57">
        <f t="shared" si="0"/>
        <v>0</v>
      </c>
      <c r="K11" s="61">
        <f t="shared" si="2"/>
        <v>0</v>
      </c>
      <c r="L11" s="25"/>
      <c r="M11" s="67"/>
      <c r="N11" s="68"/>
      <c r="O11" s="68"/>
      <c r="P11" s="69"/>
      <c r="Q11" s="25"/>
      <c r="S11" s="14"/>
      <c r="T11" s="11"/>
      <c r="U11" s="12"/>
      <c r="V11" s="13"/>
    </row>
    <row r="12" spans="1:22" ht="18" customHeight="1" x14ac:dyDescent="0.2">
      <c r="A12" s="22">
        <f t="shared" si="3"/>
        <v>45204</v>
      </c>
      <c r="B12" s="37">
        <f t="shared" si="4"/>
        <v>45204</v>
      </c>
      <c r="C12" s="39">
        <f t="shared" si="1"/>
        <v>0</v>
      </c>
      <c r="D12" s="23"/>
      <c r="E12" s="20"/>
      <c r="F12" s="31"/>
      <c r="G12" s="20"/>
      <c r="H12" s="24"/>
      <c r="I12" s="34"/>
      <c r="J12" s="57">
        <f t="shared" si="0"/>
        <v>0</v>
      </c>
      <c r="K12" s="61">
        <f t="shared" si="2"/>
        <v>0</v>
      </c>
      <c r="L12" s="25"/>
      <c r="M12" s="67"/>
      <c r="N12" s="68"/>
      <c r="O12" s="68"/>
      <c r="P12" s="69"/>
      <c r="Q12" s="25"/>
      <c r="S12" s="14"/>
      <c r="T12" s="11"/>
      <c r="U12" s="12"/>
      <c r="V12" s="13"/>
    </row>
    <row r="13" spans="1:22" ht="18" customHeight="1" x14ac:dyDescent="0.2">
      <c r="A13" s="22">
        <f t="shared" si="3"/>
        <v>45205</v>
      </c>
      <c r="B13" s="37">
        <f t="shared" si="4"/>
        <v>45205</v>
      </c>
      <c r="C13" s="39">
        <f t="shared" si="1"/>
        <v>0</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45206</v>
      </c>
      <c r="B14" s="37">
        <f t="shared" si="4"/>
        <v>45206</v>
      </c>
      <c r="C14" s="39">
        <f t="shared" si="1"/>
        <v>1</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45207</v>
      </c>
      <c r="B15" s="37">
        <f t="shared" si="4"/>
        <v>45207</v>
      </c>
      <c r="C15" s="39">
        <f t="shared" si="1"/>
        <v>1</v>
      </c>
      <c r="D15" s="23"/>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45208</v>
      </c>
      <c r="B16" s="37">
        <f t="shared" si="4"/>
        <v>45208</v>
      </c>
      <c r="C16" s="39">
        <f t="shared" si="1"/>
        <v>1</v>
      </c>
      <c r="D16" s="23" t="s">
        <v>39</v>
      </c>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45209</v>
      </c>
      <c r="B17" s="37">
        <f t="shared" si="4"/>
        <v>45209</v>
      </c>
      <c r="C17" s="39">
        <f t="shared" si="1"/>
        <v>0</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45210</v>
      </c>
      <c r="B18" s="37">
        <f t="shared" si="4"/>
        <v>45210</v>
      </c>
      <c r="C18" s="39">
        <f t="shared" si="1"/>
        <v>0</v>
      </c>
      <c r="D18" s="23"/>
      <c r="E18" s="20"/>
      <c r="F18" s="31"/>
      <c r="G18" s="20"/>
      <c r="H18" s="24"/>
      <c r="I18" s="34"/>
      <c r="J18" s="57">
        <f t="shared" si="0"/>
        <v>0</v>
      </c>
      <c r="K18" s="61">
        <f t="shared" si="2"/>
        <v>0</v>
      </c>
      <c r="L18" s="25"/>
      <c r="M18" s="67"/>
      <c r="N18" s="68"/>
      <c r="O18" s="68"/>
      <c r="P18" s="69"/>
      <c r="Q18" s="25"/>
      <c r="T18" s="11"/>
      <c r="U18" s="12"/>
      <c r="V18" s="13"/>
    </row>
    <row r="19" spans="1:22" ht="18" customHeight="1" x14ac:dyDescent="0.2">
      <c r="A19" s="22">
        <f t="shared" si="3"/>
        <v>45211</v>
      </c>
      <c r="B19" s="37">
        <f t="shared" si="4"/>
        <v>45211</v>
      </c>
      <c r="C19" s="39">
        <f t="shared" si="1"/>
        <v>0</v>
      </c>
      <c r="D19" s="23"/>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45212</v>
      </c>
      <c r="B20" s="37">
        <f t="shared" si="4"/>
        <v>45212</v>
      </c>
      <c r="C20" s="39">
        <f t="shared" si="1"/>
        <v>0</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45213</v>
      </c>
      <c r="B21" s="37">
        <f t="shared" si="4"/>
        <v>45213</v>
      </c>
      <c r="C21" s="39">
        <f t="shared" si="1"/>
        <v>1</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45214</v>
      </c>
      <c r="B22" s="37">
        <f t="shared" si="4"/>
        <v>45214</v>
      </c>
      <c r="C22" s="39">
        <f t="shared" si="1"/>
        <v>1</v>
      </c>
      <c r="D22" s="23"/>
      <c r="E22" s="20"/>
      <c r="F22" s="31"/>
      <c r="G22" s="20"/>
      <c r="H22" s="24"/>
      <c r="I22" s="34"/>
      <c r="J22" s="57">
        <f t="shared" si="0"/>
        <v>0</v>
      </c>
      <c r="K22" s="61">
        <f t="shared" si="2"/>
        <v>0</v>
      </c>
      <c r="L22" s="25"/>
      <c r="M22" s="67"/>
      <c r="N22" s="68"/>
      <c r="O22" s="68"/>
      <c r="P22" s="69"/>
      <c r="Q22" s="25"/>
      <c r="V22" s="13"/>
    </row>
    <row r="23" spans="1:22" ht="18" customHeight="1" x14ac:dyDescent="0.2">
      <c r="A23" s="22">
        <f t="shared" si="3"/>
        <v>45215</v>
      </c>
      <c r="B23" s="37">
        <f t="shared" si="4"/>
        <v>45215</v>
      </c>
      <c r="C23" s="39">
        <f t="shared" si="1"/>
        <v>0</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45216</v>
      </c>
      <c r="B24" s="37">
        <f t="shared" si="4"/>
        <v>45216</v>
      </c>
      <c r="C24" s="39">
        <f t="shared" si="1"/>
        <v>0</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45217</v>
      </c>
      <c r="B25" s="37">
        <f t="shared" si="4"/>
        <v>45217</v>
      </c>
      <c r="C25" s="39">
        <f t="shared" si="1"/>
        <v>0</v>
      </c>
      <c r="D25" s="23"/>
      <c r="E25" s="20"/>
      <c r="F25" s="31"/>
      <c r="G25" s="20"/>
      <c r="H25" s="24"/>
      <c r="I25" s="34"/>
      <c r="J25" s="57">
        <f t="shared" si="0"/>
        <v>0</v>
      </c>
      <c r="K25" s="61">
        <f t="shared" si="2"/>
        <v>0</v>
      </c>
      <c r="L25" s="25"/>
      <c r="M25" s="67"/>
      <c r="N25" s="68"/>
      <c r="O25" s="68"/>
      <c r="P25" s="69"/>
      <c r="Q25" s="25"/>
      <c r="V25" s="13"/>
    </row>
    <row r="26" spans="1:22" ht="18" customHeight="1" x14ac:dyDescent="0.2">
      <c r="A26" s="22">
        <f t="shared" si="3"/>
        <v>45218</v>
      </c>
      <c r="B26" s="37">
        <f t="shared" si="4"/>
        <v>45218</v>
      </c>
      <c r="C26" s="39">
        <f t="shared" si="1"/>
        <v>0</v>
      </c>
      <c r="D26" s="23"/>
      <c r="E26" s="20"/>
      <c r="F26" s="31"/>
      <c r="G26" s="20"/>
      <c r="H26" s="24"/>
      <c r="I26" s="34"/>
      <c r="J26" s="57">
        <f t="shared" si="0"/>
        <v>0</v>
      </c>
      <c r="K26" s="61">
        <f t="shared" si="2"/>
        <v>0</v>
      </c>
      <c r="L26" s="25"/>
      <c r="M26" s="67"/>
      <c r="N26" s="68"/>
      <c r="O26" s="68"/>
      <c r="P26" s="69"/>
      <c r="Q26" s="25"/>
      <c r="V26" s="13"/>
    </row>
    <row r="27" spans="1:22" ht="18" customHeight="1" x14ac:dyDescent="0.2">
      <c r="A27" s="22">
        <f t="shared" si="3"/>
        <v>45219</v>
      </c>
      <c r="B27" s="37">
        <f t="shared" si="4"/>
        <v>45219</v>
      </c>
      <c r="C27" s="39">
        <f t="shared" si="1"/>
        <v>0</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45220</v>
      </c>
      <c r="B28" s="37">
        <f t="shared" si="4"/>
        <v>45220</v>
      </c>
      <c r="C28" s="39">
        <f t="shared" si="1"/>
        <v>1</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45221</v>
      </c>
      <c r="B29" s="37">
        <f t="shared" si="4"/>
        <v>45221</v>
      </c>
      <c r="C29" s="39">
        <f t="shared" si="1"/>
        <v>1</v>
      </c>
      <c r="D29" s="23"/>
      <c r="E29" s="20"/>
      <c r="F29" s="31"/>
      <c r="G29" s="20"/>
      <c r="H29" s="24"/>
      <c r="I29" s="34"/>
      <c r="J29" s="57">
        <f t="shared" si="0"/>
        <v>0</v>
      </c>
      <c r="K29" s="61">
        <f t="shared" si="2"/>
        <v>0</v>
      </c>
      <c r="L29" s="25"/>
      <c r="M29" s="67"/>
      <c r="N29" s="68"/>
      <c r="O29" s="68"/>
      <c r="P29" s="69"/>
      <c r="Q29" s="25"/>
      <c r="V29" s="13"/>
    </row>
    <row r="30" spans="1:22" ht="18" customHeight="1" x14ac:dyDescent="0.2">
      <c r="A30" s="22">
        <f t="shared" si="3"/>
        <v>45222</v>
      </c>
      <c r="B30" s="37">
        <f t="shared" si="4"/>
        <v>45222</v>
      </c>
      <c r="C30" s="39">
        <f t="shared" si="1"/>
        <v>0</v>
      </c>
      <c r="D30" s="23"/>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45223</v>
      </c>
      <c r="B31" s="37">
        <f t="shared" si="4"/>
        <v>45223</v>
      </c>
      <c r="C31" s="39">
        <f t="shared" si="1"/>
        <v>0</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45224</v>
      </c>
      <c r="B32" s="37">
        <f t="shared" si="4"/>
        <v>45224</v>
      </c>
      <c r="C32" s="39">
        <f t="shared" si="1"/>
        <v>0</v>
      </c>
      <c r="D32" s="23"/>
      <c r="E32" s="20"/>
      <c r="F32" s="31"/>
      <c r="G32" s="20"/>
      <c r="H32" s="24"/>
      <c r="I32" s="34"/>
      <c r="J32" s="57">
        <f t="shared" si="0"/>
        <v>0</v>
      </c>
      <c r="K32" s="61">
        <f t="shared" si="2"/>
        <v>0</v>
      </c>
      <c r="L32" s="25"/>
      <c r="M32" s="67"/>
      <c r="N32" s="68"/>
      <c r="O32" s="68"/>
      <c r="P32" s="69"/>
      <c r="Q32" s="25"/>
      <c r="V32" s="13"/>
    </row>
    <row r="33" spans="1:22" ht="18" customHeight="1" x14ac:dyDescent="0.2">
      <c r="A33" s="22">
        <f t="shared" si="3"/>
        <v>45225</v>
      </c>
      <c r="B33" s="37">
        <f t="shared" si="4"/>
        <v>45225</v>
      </c>
      <c r="C33" s="39">
        <f t="shared" si="1"/>
        <v>0</v>
      </c>
      <c r="D33" s="23"/>
      <c r="E33" s="20"/>
      <c r="F33" s="31"/>
      <c r="G33" s="20"/>
      <c r="H33" s="24"/>
      <c r="I33" s="34"/>
      <c r="J33" s="57">
        <f t="shared" si="0"/>
        <v>0</v>
      </c>
      <c r="K33" s="61">
        <f t="shared" si="2"/>
        <v>0</v>
      </c>
      <c r="L33" s="25"/>
      <c r="M33" s="67"/>
      <c r="N33" s="68"/>
      <c r="O33" s="68"/>
      <c r="P33" s="69"/>
      <c r="Q33" s="25"/>
      <c r="V33" s="13"/>
    </row>
    <row r="34" spans="1:22" ht="18" customHeight="1" x14ac:dyDescent="0.2">
      <c r="A34" s="22">
        <f t="shared" si="3"/>
        <v>45226</v>
      </c>
      <c r="B34" s="37">
        <f t="shared" si="4"/>
        <v>45226</v>
      </c>
      <c r="C34" s="39">
        <f t="shared" si="1"/>
        <v>0</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45227</v>
      </c>
      <c r="B35" s="37">
        <f t="shared" si="4"/>
        <v>45227</v>
      </c>
      <c r="C35" s="39">
        <f t="shared" si="1"/>
        <v>1</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45228</v>
      </c>
      <c r="B36" s="37">
        <f t="shared" si="4"/>
        <v>45228</v>
      </c>
      <c r="C36" s="39">
        <f t="shared" si="1"/>
        <v>1</v>
      </c>
      <c r="D36" s="23"/>
      <c r="E36" s="20"/>
      <c r="F36" s="31"/>
      <c r="G36" s="20"/>
      <c r="H36" s="24"/>
      <c r="I36" s="34"/>
      <c r="J36" s="57">
        <f t="shared" si="0"/>
        <v>0</v>
      </c>
      <c r="K36" s="61">
        <f t="shared" si="2"/>
        <v>0</v>
      </c>
      <c r="L36" s="25"/>
      <c r="M36" s="67"/>
      <c r="N36" s="68"/>
      <c r="O36" s="68"/>
      <c r="P36" s="69"/>
      <c r="Q36" s="25"/>
    </row>
    <row r="37" spans="1:22" ht="18" customHeight="1" x14ac:dyDescent="0.2">
      <c r="A37" s="22">
        <f>IF($A$35="","",IF(NOT(MONTH($A$35)=MONTH($A$35+2)),"",$A$35+2))</f>
        <v>45229</v>
      </c>
      <c r="B37" s="37">
        <f t="shared" si="4"/>
        <v>45229</v>
      </c>
      <c r="C37" s="39">
        <f t="shared" si="1"/>
        <v>0</v>
      </c>
      <c r="D37" s="23"/>
      <c r="E37" s="20"/>
      <c r="F37" s="31"/>
      <c r="G37" s="20"/>
      <c r="H37" s="24"/>
      <c r="I37" s="34"/>
      <c r="J37" s="57">
        <f t="shared" si="0"/>
        <v>0</v>
      </c>
      <c r="K37" s="61">
        <f t="shared" si="2"/>
        <v>0</v>
      </c>
      <c r="L37" s="25"/>
      <c r="M37" s="67"/>
      <c r="N37" s="68"/>
      <c r="O37" s="68"/>
      <c r="P37" s="69"/>
      <c r="Q37" s="25"/>
    </row>
    <row r="38" spans="1:22" ht="18" customHeight="1" thickBot="1" x14ac:dyDescent="0.25">
      <c r="A38" s="26">
        <f>IF($A$35="","",IF(NOT(MONTH($A$35)=MONTH($A$35+3)),"",$A$35+3))</f>
        <v>45230</v>
      </c>
      <c r="B38" s="38">
        <f>A38</f>
        <v>45230</v>
      </c>
      <c r="C38" s="40">
        <f t="shared" si="1"/>
        <v>0</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 D22:D38">
    <cfRule type="expression" dxfId="34" priority="6" stopIfTrue="1">
      <formula>$C8&gt;0</formula>
    </cfRule>
  </conditionalFormatting>
  <conditionalFormatting sqref="I25:I29">
    <cfRule type="expression" dxfId="33" priority="5" stopIfTrue="1">
      <formula>$C25&gt;0</formula>
    </cfRule>
  </conditionalFormatting>
  <conditionalFormatting sqref="I32:I36">
    <cfRule type="expression" dxfId="32" priority="4" stopIfTrue="1">
      <formula>$C32&gt;0</formula>
    </cfRule>
  </conditionalFormatting>
  <conditionalFormatting sqref="D19">
    <cfRule type="expression" dxfId="31" priority="3" stopIfTrue="1">
      <formula>$C19&gt;0</formula>
    </cfRule>
  </conditionalFormatting>
  <conditionalFormatting sqref="D21">
    <cfRule type="expression" dxfId="30" priority="2" stopIfTrue="1">
      <formula>$C21&gt;0</formula>
    </cfRule>
  </conditionalFormatting>
  <conditionalFormatting sqref="Q8:Q38">
    <cfRule type="expression" dxfId="29"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1" sqref="D1"/>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11</v>
      </c>
      <c r="G1" s="1" t="s">
        <v>1</v>
      </c>
    </row>
    <row r="2" spans="1:22" ht="21.9" customHeight="1" thickBot="1" x14ac:dyDescent="0.25"/>
    <row r="3" spans="1:22" ht="21.9" customHeight="1" thickTop="1" thickBot="1" x14ac:dyDescent="0.25">
      <c r="A3" s="75" t="s">
        <v>15</v>
      </c>
      <c r="B3" s="76"/>
      <c r="C3" s="76"/>
      <c r="D3" s="77"/>
      <c r="E3" s="78"/>
      <c r="F3" s="79"/>
      <c r="G3" s="79"/>
      <c r="H3" s="79"/>
      <c r="I3" s="79"/>
      <c r="J3" s="80"/>
      <c r="K3" s="53"/>
    </row>
    <row r="4" spans="1:22" ht="21.9" customHeight="1" thickTop="1" thickBot="1" x14ac:dyDescent="0.25">
      <c r="A4" s="75" t="s">
        <v>8</v>
      </c>
      <c r="B4" s="76"/>
      <c r="C4" s="76"/>
      <c r="D4" s="77"/>
      <c r="E4" s="78"/>
      <c r="F4" s="79"/>
      <c r="G4" s="79"/>
      <c r="H4" s="79"/>
      <c r="I4" s="79"/>
      <c r="J4" s="80"/>
      <c r="K4" s="53"/>
    </row>
    <row r="5" spans="1:22" ht="21.9" customHeight="1" thickTop="1" thickBot="1" x14ac:dyDescent="0.25">
      <c r="A5" s="81" t="s">
        <v>2</v>
      </c>
      <c r="B5" s="82"/>
      <c r="C5" s="82"/>
      <c r="D5" s="83"/>
      <c r="E5" s="78"/>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45231</v>
      </c>
      <c r="B8" s="36">
        <f>A8</f>
        <v>45231</v>
      </c>
      <c r="C8" s="43">
        <f>IF(WEEKDAY(A8,2)&gt;5,1,0)+IF(D8&lt;&gt;"",1,0)</f>
        <v>0</v>
      </c>
      <c r="D8" s="44"/>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45232</v>
      </c>
      <c r="B9" s="37">
        <f>A9</f>
        <v>45232</v>
      </c>
      <c r="C9" s="39">
        <f t="shared" ref="C9:C38" si="1">IF(WEEKDAY(A9,2)&gt;5,1,0)+IF(D9&lt;&gt;"",1,0)</f>
        <v>0</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45233</v>
      </c>
      <c r="B10" s="37">
        <f t="shared" ref="B10:B37" si="4">A10</f>
        <v>45233</v>
      </c>
      <c r="C10" s="39">
        <f t="shared" si="1"/>
        <v>1</v>
      </c>
      <c r="D10" s="23" t="s">
        <v>31</v>
      </c>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45234</v>
      </c>
      <c r="B11" s="37">
        <f t="shared" si="4"/>
        <v>45234</v>
      </c>
      <c r="C11" s="39">
        <f t="shared" si="1"/>
        <v>1</v>
      </c>
      <c r="D11" s="23"/>
      <c r="E11" s="20"/>
      <c r="F11" s="31"/>
      <c r="G11" s="20"/>
      <c r="H11" s="24"/>
      <c r="I11" s="34"/>
      <c r="J11" s="57">
        <f t="shared" si="0"/>
        <v>0</v>
      </c>
      <c r="K11" s="61">
        <f t="shared" si="2"/>
        <v>0</v>
      </c>
      <c r="L11" s="25"/>
      <c r="M11" s="67"/>
      <c r="N11" s="68"/>
      <c r="O11" s="68"/>
      <c r="P11" s="69"/>
      <c r="Q11" s="25"/>
      <c r="S11" s="14"/>
      <c r="T11" s="11"/>
      <c r="U11" s="12"/>
      <c r="V11" s="13"/>
    </row>
    <row r="12" spans="1:22" ht="18" customHeight="1" x14ac:dyDescent="0.2">
      <c r="A12" s="22">
        <f t="shared" si="3"/>
        <v>45235</v>
      </c>
      <c r="B12" s="37">
        <f t="shared" si="4"/>
        <v>45235</v>
      </c>
      <c r="C12" s="39">
        <f t="shared" si="1"/>
        <v>1</v>
      </c>
      <c r="D12" s="23"/>
      <c r="E12" s="20"/>
      <c r="F12" s="31"/>
      <c r="G12" s="20"/>
      <c r="H12" s="24"/>
      <c r="I12" s="34"/>
      <c r="J12" s="57">
        <f t="shared" si="0"/>
        <v>0</v>
      </c>
      <c r="K12" s="61">
        <f t="shared" si="2"/>
        <v>0</v>
      </c>
      <c r="L12" s="25"/>
      <c r="M12" s="67"/>
      <c r="N12" s="68"/>
      <c r="O12" s="68"/>
      <c r="P12" s="69"/>
      <c r="Q12" s="25"/>
      <c r="S12" s="14"/>
      <c r="T12" s="11"/>
      <c r="U12" s="12"/>
      <c r="V12" s="13"/>
    </row>
    <row r="13" spans="1:22" ht="18" customHeight="1" x14ac:dyDescent="0.2">
      <c r="A13" s="22">
        <f t="shared" si="3"/>
        <v>45236</v>
      </c>
      <c r="B13" s="37">
        <f t="shared" si="4"/>
        <v>45236</v>
      </c>
      <c r="C13" s="39">
        <f t="shared" si="1"/>
        <v>0</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45237</v>
      </c>
      <c r="B14" s="37">
        <f t="shared" si="4"/>
        <v>45237</v>
      </c>
      <c r="C14" s="39">
        <f t="shared" si="1"/>
        <v>0</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45238</v>
      </c>
      <c r="B15" s="37">
        <f t="shared" si="4"/>
        <v>45238</v>
      </c>
      <c r="C15" s="39">
        <f t="shared" si="1"/>
        <v>0</v>
      </c>
      <c r="D15" s="23"/>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45239</v>
      </c>
      <c r="B16" s="37">
        <f t="shared" si="4"/>
        <v>45239</v>
      </c>
      <c r="C16" s="39">
        <f t="shared" si="1"/>
        <v>0</v>
      </c>
      <c r="D16" s="23"/>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45240</v>
      </c>
      <c r="B17" s="37">
        <f t="shared" si="4"/>
        <v>45240</v>
      </c>
      <c r="C17" s="39">
        <f t="shared" si="1"/>
        <v>0</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45241</v>
      </c>
      <c r="B18" s="37">
        <f t="shared" si="4"/>
        <v>45241</v>
      </c>
      <c r="C18" s="39">
        <f t="shared" si="1"/>
        <v>1</v>
      </c>
      <c r="D18" s="23"/>
      <c r="E18" s="20"/>
      <c r="F18" s="31"/>
      <c r="G18" s="20"/>
      <c r="H18" s="24"/>
      <c r="I18" s="34"/>
      <c r="J18" s="57">
        <f t="shared" si="0"/>
        <v>0</v>
      </c>
      <c r="K18" s="61">
        <f t="shared" si="2"/>
        <v>0</v>
      </c>
      <c r="L18" s="25"/>
      <c r="M18" s="67"/>
      <c r="N18" s="68"/>
      <c r="O18" s="68"/>
      <c r="P18" s="69"/>
      <c r="Q18" s="25"/>
      <c r="T18" s="11"/>
      <c r="U18" s="12"/>
      <c r="V18" s="13"/>
    </row>
    <row r="19" spans="1:22" ht="18" customHeight="1" x14ac:dyDescent="0.2">
      <c r="A19" s="22">
        <f t="shared" si="3"/>
        <v>45242</v>
      </c>
      <c r="B19" s="37">
        <f t="shared" si="4"/>
        <v>45242</v>
      </c>
      <c r="C19" s="39">
        <f t="shared" si="1"/>
        <v>1</v>
      </c>
      <c r="D19" s="23"/>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45243</v>
      </c>
      <c r="B20" s="37">
        <f t="shared" si="4"/>
        <v>45243</v>
      </c>
      <c r="C20" s="39">
        <f t="shared" si="1"/>
        <v>0</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45244</v>
      </c>
      <c r="B21" s="37">
        <f t="shared" si="4"/>
        <v>45244</v>
      </c>
      <c r="C21" s="39">
        <f t="shared" si="1"/>
        <v>0</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45245</v>
      </c>
      <c r="B22" s="37">
        <f t="shared" si="4"/>
        <v>45245</v>
      </c>
      <c r="C22" s="39">
        <f t="shared" si="1"/>
        <v>0</v>
      </c>
      <c r="D22" s="23"/>
      <c r="E22" s="20"/>
      <c r="F22" s="31"/>
      <c r="G22" s="20"/>
      <c r="H22" s="24"/>
      <c r="I22" s="34"/>
      <c r="J22" s="57">
        <f t="shared" si="0"/>
        <v>0</v>
      </c>
      <c r="K22" s="61">
        <f t="shared" si="2"/>
        <v>0</v>
      </c>
      <c r="L22" s="25"/>
      <c r="M22" s="67"/>
      <c r="N22" s="68"/>
      <c r="O22" s="68"/>
      <c r="P22" s="69"/>
      <c r="Q22" s="25"/>
      <c r="V22" s="13"/>
    </row>
    <row r="23" spans="1:22" ht="18" customHeight="1" x14ac:dyDescent="0.2">
      <c r="A23" s="22">
        <f t="shared" si="3"/>
        <v>45246</v>
      </c>
      <c r="B23" s="37">
        <f t="shared" si="4"/>
        <v>45246</v>
      </c>
      <c r="C23" s="39">
        <f t="shared" si="1"/>
        <v>0</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45247</v>
      </c>
      <c r="B24" s="37">
        <f t="shared" si="4"/>
        <v>45247</v>
      </c>
      <c r="C24" s="39">
        <f t="shared" si="1"/>
        <v>0</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45248</v>
      </c>
      <c r="B25" s="37">
        <f t="shared" si="4"/>
        <v>45248</v>
      </c>
      <c r="C25" s="39">
        <f t="shared" si="1"/>
        <v>1</v>
      </c>
      <c r="D25" s="23"/>
      <c r="E25" s="20"/>
      <c r="F25" s="31"/>
      <c r="G25" s="20"/>
      <c r="H25" s="24"/>
      <c r="I25" s="34"/>
      <c r="J25" s="57">
        <f t="shared" si="0"/>
        <v>0</v>
      </c>
      <c r="K25" s="61">
        <f t="shared" si="2"/>
        <v>0</v>
      </c>
      <c r="L25" s="25"/>
      <c r="M25" s="67"/>
      <c r="N25" s="68"/>
      <c r="O25" s="68"/>
      <c r="P25" s="69"/>
      <c r="Q25" s="25"/>
      <c r="V25" s="13"/>
    </row>
    <row r="26" spans="1:22" ht="18" customHeight="1" x14ac:dyDescent="0.2">
      <c r="A26" s="22">
        <f t="shared" si="3"/>
        <v>45249</v>
      </c>
      <c r="B26" s="37">
        <f t="shared" si="4"/>
        <v>45249</v>
      </c>
      <c r="C26" s="39">
        <f t="shared" si="1"/>
        <v>1</v>
      </c>
      <c r="D26" s="23"/>
      <c r="E26" s="20"/>
      <c r="F26" s="31"/>
      <c r="G26" s="20"/>
      <c r="H26" s="24"/>
      <c r="I26" s="34"/>
      <c r="J26" s="57">
        <f t="shared" si="0"/>
        <v>0</v>
      </c>
      <c r="K26" s="61">
        <f t="shared" si="2"/>
        <v>0</v>
      </c>
      <c r="L26" s="25"/>
      <c r="M26" s="67"/>
      <c r="N26" s="68"/>
      <c r="O26" s="68"/>
      <c r="P26" s="69"/>
      <c r="Q26" s="25"/>
      <c r="V26" s="13"/>
    </row>
    <row r="27" spans="1:22" ht="18" customHeight="1" x14ac:dyDescent="0.2">
      <c r="A27" s="22">
        <f t="shared" si="3"/>
        <v>45250</v>
      </c>
      <c r="B27" s="37">
        <f t="shared" si="4"/>
        <v>45250</v>
      </c>
      <c r="C27" s="39">
        <f t="shared" si="1"/>
        <v>0</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45251</v>
      </c>
      <c r="B28" s="37">
        <f t="shared" si="4"/>
        <v>45251</v>
      </c>
      <c r="C28" s="39">
        <f t="shared" si="1"/>
        <v>0</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45252</v>
      </c>
      <c r="B29" s="37">
        <f t="shared" si="4"/>
        <v>45252</v>
      </c>
      <c r="C29" s="39">
        <f t="shared" si="1"/>
        <v>0</v>
      </c>
      <c r="D29" s="23"/>
      <c r="E29" s="20"/>
      <c r="F29" s="31"/>
      <c r="G29" s="20"/>
      <c r="H29" s="24"/>
      <c r="I29" s="34"/>
      <c r="J29" s="57">
        <f t="shared" si="0"/>
        <v>0</v>
      </c>
      <c r="K29" s="61">
        <f t="shared" si="2"/>
        <v>0</v>
      </c>
      <c r="L29" s="25"/>
      <c r="M29" s="67"/>
      <c r="N29" s="68"/>
      <c r="O29" s="68"/>
      <c r="P29" s="69"/>
      <c r="Q29" s="25"/>
      <c r="V29" s="13"/>
    </row>
    <row r="30" spans="1:22" ht="18" customHeight="1" x14ac:dyDescent="0.2">
      <c r="A30" s="22">
        <f t="shared" si="3"/>
        <v>45253</v>
      </c>
      <c r="B30" s="37">
        <f t="shared" si="4"/>
        <v>45253</v>
      </c>
      <c r="C30" s="39">
        <f t="shared" si="1"/>
        <v>1</v>
      </c>
      <c r="D30" s="23" t="s">
        <v>27</v>
      </c>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45254</v>
      </c>
      <c r="B31" s="37">
        <f t="shared" si="4"/>
        <v>45254</v>
      </c>
      <c r="C31" s="39">
        <f t="shared" si="1"/>
        <v>0</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45255</v>
      </c>
      <c r="B32" s="37">
        <f t="shared" si="4"/>
        <v>45255</v>
      </c>
      <c r="C32" s="39">
        <f t="shared" si="1"/>
        <v>1</v>
      </c>
      <c r="D32" s="23"/>
      <c r="E32" s="20"/>
      <c r="F32" s="31"/>
      <c r="G32" s="20"/>
      <c r="H32" s="24"/>
      <c r="I32" s="34"/>
      <c r="J32" s="57">
        <f t="shared" si="0"/>
        <v>0</v>
      </c>
      <c r="K32" s="61">
        <f t="shared" si="2"/>
        <v>0</v>
      </c>
      <c r="L32" s="25"/>
      <c r="M32" s="67"/>
      <c r="N32" s="68"/>
      <c r="O32" s="68"/>
      <c r="P32" s="69"/>
      <c r="Q32" s="25"/>
      <c r="V32" s="13"/>
    </row>
    <row r="33" spans="1:22" ht="18" customHeight="1" x14ac:dyDescent="0.2">
      <c r="A33" s="22">
        <f t="shared" si="3"/>
        <v>45256</v>
      </c>
      <c r="B33" s="37">
        <f t="shared" si="4"/>
        <v>45256</v>
      </c>
      <c r="C33" s="39">
        <f t="shared" si="1"/>
        <v>1</v>
      </c>
      <c r="D33" s="23"/>
      <c r="E33" s="20"/>
      <c r="F33" s="31"/>
      <c r="G33" s="20"/>
      <c r="H33" s="24"/>
      <c r="I33" s="34"/>
      <c r="J33" s="57">
        <f t="shared" si="0"/>
        <v>0</v>
      </c>
      <c r="K33" s="61">
        <f t="shared" si="2"/>
        <v>0</v>
      </c>
      <c r="L33" s="25"/>
      <c r="M33" s="67"/>
      <c r="N33" s="68"/>
      <c r="O33" s="68"/>
      <c r="P33" s="69"/>
      <c r="Q33" s="25"/>
      <c r="V33" s="13"/>
    </row>
    <row r="34" spans="1:22" ht="18" customHeight="1" x14ac:dyDescent="0.2">
      <c r="A34" s="22">
        <f t="shared" si="3"/>
        <v>45257</v>
      </c>
      <c r="B34" s="37">
        <f t="shared" si="4"/>
        <v>45257</v>
      </c>
      <c r="C34" s="39">
        <f t="shared" si="1"/>
        <v>0</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45258</v>
      </c>
      <c r="B35" s="37">
        <f t="shared" si="4"/>
        <v>45258</v>
      </c>
      <c r="C35" s="39">
        <f t="shared" si="1"/>
        <v>0</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45259</v>
      </c>
      <c r="B36" s="37">
        <f t="shared" si="4"/>
        <v>45259</v>
      </c>
      <c r="C36" s="39">
        <f t="shared" si="1"/>
        <v>0</v>
      </c>
      <c r="D36" s="23"/>
      <c r="E36" s="20"/>
      <c r="F36" s="31"/>
      <c r="G36" s="20"/>
      <c r="H36" s="24"/>
      <c r="I36" s="34"/>
      <c r="J36" s="57">
        <f t="shared" si="0"/>
        <v>0</v>
      </c>
      <c r="K36" s="61">
        <f t="shared" si="2"/>
        <v>0</v>
      </c>
      <c r="L36" s="25"/>
      <c r="M36" s="67"/>
      <c r="N36" s="68"/>
      <c r="O36" s="68"/>
      <c r="P36" s="69"/>
      <c r="Q36" s="25"/>
    </row>
    <row r="37" spans="1:22" ht="18" customHeight="1" x14ac:dyDescent="0.2">
      <c r="A37" s="22">
        <f>IF($A$35="","",IF(NOT(MONTH($A$35)=MONTH($A$35+2)),"",$A$35+2))</f>
        <v>45260</v>
      </c>
      <c r="B37" s="37">
        <f t="shared" si="4"/>
        <v>45260</v>
      </c>
      <c r="C37" s="39">
        <f t="shared" si="1"/>
        <v>0</v>
      </c>
      <c r="D37" s="23"/>
      <c r="E37" s="20"/>
      <c r="F37" s="31"/>
      <c r="G37" s="20"/>
      <c r="H37" s="24"/>
      <c r="I37" s="34"/>
      <c r="J37" s="57">
        <f t="shared" si="0"/>
        <v>0</v>
      </c>
      <c r="K37" s="61">
        <f t="shared" si="2"/>
        <v>0</v>
      </c>
      <c r="L37" s="25"/>
      <c r="M37" s="67"/>
      <c r="N37" s="68"/>
      <c r="O37" s="68"/>
      <c r="P37" s="69"/>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J8:P38 I8:I24 I30:I31 A8:C38 E8:H38 D31:D38 D8:D10 D12:D29">
    <cfRule type="expression" dxfId="28" priority="6" stopIfTrue="1">
      <formula>$C8&gt;0</formula>
    </cfRule>
  </conditionalFormatting>
  <conditionalFormatting sqref="I25:I29">
    <cfRule type="expression" dxfId="27" priority="5" stopIfTrue="1">
      <formula>$C25&gt;0</formula>
    </cfRule>
  </conditionalFormatting>
  <conditionalFormatting sqref="I32:I36">
    <cfRule type="expression" dxfId="26" priority="4" stopIfTrue="1">
      <formula>$C32&gt;0</formula>
    </cfRule>
  </conditionalFormatting>
  <conditionalFormatting sqref="D30">
    <cfRule type="expression" dxfId="25" priority="3" stopIfTrue="1">
      <formula>$C30&gt;0</formula>
    </cfRule>
  </conditionalFormatting>
  <conditionalFormatting sqref="D11">
    <cfRule type="expression" dxfId="24" priority="2" stopIfTrue="1">
      <formula>$C11&gt;0</formula>
    </cfRule>
  </conditionalFormatting>
  <conditionalFormatting sqref="Q8:Q38">
    <cfRule type="expression" dxfId="23"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26" activePane="bottomLeft" state="frozen"/>
      <selection activeCell="D1" sqref="D1"/>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12</v>
      </c>
      <c r="G1" s="1" t="s">
        <v>1</v>
      </c>
    </row>
    <row r="2" spans="1:22" ht="21.9" customHeight="1" thickBot="1" x14ac:dyDescent="0.25"/>
    <row r="3" spans="1:22" ht="21.9" customHeight="1" thickTop="1" thickBot="1" x14ac:dyDescent="0.25">
      <c r="A3" s="75" t="s">
        <v>15</v>
      </c>
      <c r="B3" s="76"/>
      <c r="C3" s="76"/>
      <c r="D3" s="77"/>
      <c r="E3" s="78"/>
      <c r="F3" s="79"/>
      <c r="G3" s="79"/>
      <c r="H3" s="79"/>
      <c r="I3" s="79"/>
      <c r="J3" s="80"/>
      <c r="K3" s="53"/>
    </row>
    <row r="4" spans="1:22" ht="21.9" customHeight="1" thickTop="1" thickBot="1" x14ac:dyDescent="0.25">
      <c r="A4" s="75" t="s">
        <v>8</v>
      </c>
      <c r="B4" s="76"/>
      <c r="C4" s="76"/>
      <c r="D4" s="77"/>
      <c r="E4" s="78"/>
      <c r="F4" s="79"/>
      <c r="G4" s="79"/>
      <c r="H4" s="79"/>
      <c r="I4" s="79"/>
      <c r="J4" s="80"/>
      <c r="K4" s="53"/>
    </row>
    <row r="5" spans="1:22" ht="21.9" customHeight="1" thickTop="1" thickBot="1" x14ac:dyDescent="0.25">
      <c r="A5" s="81" t="s">
        <v>2</v>
      </c>
      <c r="B5" s="82"/>
      <c r="C5" s="82"/>
      <c r="D5" s="83"/>
      <c r="E5" s="78"/>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45261</v>
      </c>
      <c r="B8" s="36">
        <f>A8</f>
        <v>45261</v>
      </c>
      <c r="C8" s="43">
        <f>IF(WEEKDAY(A8,2)&gt;5,1,0)+IF(D8&lt;&gt;"",1,0)</f>
        <v>0</v>
      </c>
      <c r="D8" s="44"/>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45262</v>
      </c>
      <c r="B9" s="37">
        <f>A9</f>
        <v>45262</v>
      </c>
      <c r="C9" s="39">
        <f t="shared" ref="C9:C38" si="1">IF(WEEKDAY(A9,2)&gt;5,1,0)+IF(D9&lt;&gt;"",1,0)</f>
        <v>1</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45263</v>
      </c>
      <c r="B10" s="37">
        <f t="shared" ref="B10:B37" si="4">A10</f>
        <v>45263</v>
      </c>
      <c r="C10" s="39">
        <f t="shared" si="1"/>
        <v>1</v>
      </c>
      <c r="D10" s="23"/>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45264</v>
      </c>
      <c r="B11" s="37">
        <f t="shared" si="4"/>
        <v>45264</v>
      </c>
      <c r="C11" s="39">
        <f t="shared" si="1"/>
        <v>0</v>
      </c>
      <c r="D11" s="23"/>
      <c r="E11" s="20"/>
      <c r="F11" s="31"/>
      <c r="G11" s="20"/>
      <c r="H11" s="24"/>
      <c r="I11" s="34"/>
      <c r="J11" s="57">
        <f t="shared" si="0"/>
        <v>0</v>
      </c>
      <c r="K11" s="61">
        <f t="shared" si="2"/>
        <v>0</v>
      </c>
      <c r="L11" s="25"/>
      <c r="M11" s="67"/>
      <c r="N11" s="68"/>
      <c r="O11" s="68"/>
      <c r="P11" s="69"/>
      <c r="Q11" s="25"/>
      <c r="S11" s="14"/>
      <c r="T11" s="11"/>
      <c r="U11" s="12"/>
      <c r="V11" s="13"/>
    </row>
    <row r="12" spans="1:22" ht="18" customHeight="1" x14ac:dyDescent="0.2">
      <c r="A12" s="22">
        <f t="shared" si="3"/>
        <v>45265</v>
      </c>
      <c r="B12" s="37">
        <f t="shared" si="4"/>
        <v>45265</v>
      </c>
      <c r="C12" s="39">
        <f t="shared" si="1"/>
        <v>0</v>
      </c>
      <c r="D12" s="23"/>
      <c r="E12" s="20"/>
      <c r="F12" s="31"/>
      <c r="G12" s="20"/>
      <c r="H12" s="24"/>
      <c r="I12" s="34"/>
      <c r="J12" s="57">
        <f t="shared" si="0"/>
        <v>0</v>
      </c>
      <c r="K12" s="61">
        <f t="shared" si="2"/>
        <v>0</v>
      </c>
      <c r="L12" s="25"/>
      <c r="M12" s="67"/>
      <c r="N12" s="68"/>
      <c r="O12" s="68"/>
      <c r="P12" s="69"/>
      <c r="Q12" s="25"/>
      <c r="S12" s="14"/>
      <c r="T12" s="11"/>
      <c r="U12" s="12"/>
      <c r="V12" s="13"/>
    </row>
    <row r="13" spans="1:22" ht="18" customHeight="1" x14ac:dyDescent="0.2">
      <c r="A13" s="22">
        <f t="shared" si="3"/>
        <v>45266</v>
      </c>
      <c r="B13" s="37">
        <f t="shared" si="4"/>
        <v>45266</v>
      </c>
      <c r="C13" s="39">
        <f t="shared" si="1"/>
        <v>0</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45267</v>
      </c>
      <c r="B14" s="37">
        <f t="shared" si="4"/>
        <v>45267</v>
      </c>
      <c r="C14" s="39">
        <f t="shared" si="1"/>
        <v>0</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45268</v>
      </c>
      <c r="B15" s="37">
        <f t="shared" si="4"/>
        <v>45268</v>
      </c>
      <c r="C15" s="39">
        <f t="shared" si="1"/>
        <v>0</v>
      </c>
      <c r="D15" s="23"/>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45269</v>
      </c>
      <c r="B16" s="37">
        <f t="shared" si="4"/>
        <v>45269</v>
      </c>
      <c r="C16" s="39">
        <f t="shared" si="1"/>
        <v>1</v>
      </c>
      <c r="D16" s="23"/>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45270</v>
      </c>
      <c r="B17" s="37">
        <f t="shared" si="4"/>
        <v>45270</v>
      </c>
      <c r="C17" s="39">
        <f t="shared" si="1"/>
        <v>1</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45271</v>
      </c>
      <c r="B18" s="37">
        <f t="shared" si="4"/>
        <v>45271</v>
      </c>
      <c r="C18" s="39">
        <f t="shared" si="1"/>
        <v>0</v>
      </c>
      <c r="D18" s="23"/>
      <c r="E18" s="20"/>
      <c r="F18" s="31"/>
      <c r="G18" s="20"/>
      <c r="H18" s="24"/>
      <c r="I18" s="34"/>
      <c r="J18" s="57">
        <f t="shared" si="0"/>
        <v>0</v>
      </c>
      <c r="K18" s="61">
        <f t="shared" si="2"/>
        <v>0</v>
      </c>
      <c r="L18" s="25"/>
      <c r="M18" s="67"/>
      <c r="N18" s="68"/>
      <c r="O18" s="68"/>
      <c r="P18" s="69"/>
      <c r="Q18" s="25"/>
      <c r="T18" s="11"/>
      <c r="U18" s="12"/>
      <c r="V18" s="13"/>
    </row>
    <row r="19" spans="1:22" ht="18" customHeight="1" x14ac:dyDescent="0.2">
      <c r="A19" s="22">
        <f t="shared" si="3"/>
        <v>45272</v>
      </c>
      <c r="B19" s="37">
        <f t="shared" si="4"/>
        <v>45272</v>
      </c>
      <c r="C19" s="39">
        <f t="shared" si="1"/>
        <v>0</v>
      </c>
      <c r="D19" s="23"/>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45273</v>
      </c>
      <c r="B20" s="37">
        <f t="shared" si="4"/>
        <v>45273</v>
      </c>
      <c r="C20" s="39">
        <f t="shared" si="1"/>
        <v>0</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45274</v>
      </c>
      <c r="B21" s="37">
        <f t="shared" si="4"/>
        <v>45274</v>
      </c>
      <c r="C21" s="39">
        <f t="shared" si="1"/>
        <v>0</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45275</v>
      </c>
      <c r="B22" s="37">
        <f t="shared" si="4"/>
        <v>45275</v>
      </c>
      <c r="C22" s="39">
        <f t="shared" si="1"/>
        <v>0</v>
      </c>
      <c r="D22" s="23"/>
      <c r="E22" s="20"/>
      <c r="F22" s="31"/>
      <c r="G22" s="20"/>
      <c r="H22" s="24"/>
      <c r="I22" s="34"/>
      <c r="J22" s="57">
        <f t="shared" si="0"/>
        <v>0</v>
      </c>
      <c r="K22" s="61">
        <f t="shared" si="2"/>
        <v>0</v>
      </c>
      <c r="L22" s="25"/>
      <c r="M22" s="67"/>
      <c r="N22" s="68"/>
      <c r="O22" s="68"/>
      <c r="P22" s="69"/>
      <c r="Q22" s="25"/>
      <c r="V22" s="13"/>
    </row>
    <row r="23" spans="1:22" ht="18" customHeight="1" x14ac:dyDescent="0.2">
      <c r="A23" s="22">
        <f t="shared" si="3"/>
        <v>45276</v>
      </c>
      <c r="B23" s="37">
        <f t="shared" si="4"/>
        <v>45276</v>
      </c>
      <c r="C23" s="39">
        <f t="shared" si="1"/>
        <v>1</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45277</v>
      </c>
      <c r="B24" s="37">
        <f t="shared" si="4"/>
        <v>45277</v>
      </c>
      <c r="C24" s="39">
        <f t="shared" si="1"/>
        <v>1</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45278</v>
      </c>
      <c r="B25" s="37">
        <f t="shared" si="4"/>
        <v>45278</v>
      </c>
      <c r="C25" s="39">
        <f t="shared" si="1"/>
        <v>0</v>
      </c>
      <c r="D25" s="23"/>
      <c r="E25" s="20"/>
      <c r="F25" s="31"/>
      <c r="G25" s="20"/>
      <c r="H25" s="24"/>
      <c r="I25" s="34"/>
      <c r="J25" s="57">
        <f t="shared" si="0"/>
        <v>0</v>
      </c>
      <c r="K25" s="61">
        <f t="shared" si="2"/>
        <v>0</v>
      </c>
      <c r="L25" s="25"/>
      <c r="M25" s="67"/>
      <c r="N25" s="68"/>
      <c r="O25" s="68"/>
      <c r="P25" s="69"/>
      <c r="Q25" s="25"/>
      <c r="V25" s="13"/>
    </row>
    <row r="26" spans="1:22" ht="18" customHeight="1" x14ac:dyDescent="0.2">
      <c r="A26" s="22">
        <f t="shared" si="3"/>
        <v>45279</v>
      </c>
      <c r="B26" s="37">
        <f t="shared" si="4"/>
        <v>45279</v>
      </c>
      <c r="C26" s="39">
        <f t="shared" si="1"/>
        <v>0</v>
      </c>
      <c r="D26" s="23"/>
      <c r="E26" s="20"/>
      <c r="F26" s="31"/>
      <c r="G26" s="20"/>
      <c r="H26" s="24"/>
      <c r="I26" s="34"/>
      <c r="J26" s="57">
        <f t="shared" si="0"/>
        <v>0</v>
      </c>
      <c r="K26" s="61">
        <f t="shared" si="2"/>
        <v>0</v>
      </c>
      <c r="L26" s="25"/>
      <c r="M26" s="67"/>
      <c r="N26" s="68"/>
      <c r="O26" s="68"/>
      <c r="P26" s="69"/>
      <c r="Q26" s="25"/>
      <c r="V26" s="13"/>
    </row>
    <row r="27" spans="1:22" ht="18" customHeight="1" x14ac:dyDescent="0.2">
      <c r="A27" s="22">
        <f t="shared" si="3"/>
        <v>45280</v>
      </c>
      <c r="B27" s="37">
        <f t="shared" si="4"/>
        <v>45280</v>
      </c>
      <c r="C27" s="39">
        <f t="shared" si="1"/>
        <v>0</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45281</v>
      </c>
      <c r="B28" s="37">
        <f t="shared" si="4"/>
        <v>45281</v>
      </c>
      <c r="C28" s="39">
        <f t="shared" si="1"/>
        <v>0</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45282</v>
      </c>
      <c r="B29" s="37">
        <f t="shared" si="4"/>
        <v>45282</v>
      </c>
      <c r="C29" s="39">
        <f t="shared" si="1"/>
        <v>0</v>
      </c>
      <c r="D29" s="23"/>
      <c r="E29" s="20"/>
      <c r="F29" s="31"/>
      <c r="G29" s="20"/>
      <c r="H29" s="24"/>
      <c r="I29" s="34"/>
      <c r="J29" s="57">
        <f t="shared" si="0"/>
        <v>0</v>
      </c>
      <c r="K29" s="61">
        <f t="shared" si="2"/>
        <v>0</v>
      </c>
      <c r="L29" s="25"/>
      <c r="M29" s="67"/>
      <c r="N29" s="68"/>
      <c r="O29" s="68"/>
      <c r="P29" s="69"/>
      <c r="Q29" s="25"/>
      <c r="V29" s="13"/>
    </row>
    <row r="30" spans="1:22" ht="18" customHeight="1" x14ac:dyDescent="0.2">
      <c r="A30" s="22">
        <f t="shared" si="3"/>
        <v>45283</v>
      </c>
      <c r="B30" s="37">
        <f t="shared" si="4"/>
        <v>45283</v>
      </c>
      <c r="C30" s="39">
        <f t="shared" si="1"/>
        <v>1</v>
      </c>
      <c r="D30" s="23"/>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45284</v>
      </c>
      <c r="B31" s="37">
        <f t="shared" si="4"/>
        <v>45284</v>
      </c>
      <c r="C31" s="39">
        <f t="shared" si="1"/>
        <v>1</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45285</v>
      </c>
      <c r="B32" s="37">
        <f t="shared" si="4"/>
        <v>45285</v>
      </c>
      <c r="C32" s="39">
        <f t="shared" si="1"/>
        <v>0</v>
      </c>
      <c r="D32" s="23"/>
      <c r="E32" s="20"/>
      <c r="F32" s="31"/>
      <c r="G32" s="20"/>
      <c r="H32" s="24"/>
      <c r="I32" s="34"/>
      <c r="J32" s="57">
        <f t="shared" si="0"/>
        <v>0</v>
      </c>
      <c r="K32" s="61">
        <f t="shared" si="2"/>
        <v>0</v>
      </c>
      <c r="L32" s="25"/>
      <c r="M32" s="67"/>
      <c r="N32" s="68"/>
      <c r="O32" s="68"/>
      <c r="P32" s="69"/>
      <c r="Q32" s="25"/>
      <c r="V32" s="13"/>
    </row>
    <row r="33" spans="1:22" ht="18" customHeight="1" x14ac:dyDescent="0.2">
      <c r="A33" s="22">
        <f t="shared" si="3"/>
        <v>45286</v>
      </c>
      <c r="B33" s="37">
        <f t="shared" si="4"/>
        <v>45286</v>
      </c>
      <c r="C33" s="39">
        <f t="shared" si="1"/>
        <v>0</v>
      </c>
      <c r="D33" s="23"/>
      <c r="E33" s="20"/>
      <c r="F33" s="31"/>
      <c r="G33" s="20"/>
      <c r="H33" s="24"/>
      <c r="I33" s="34"/>
      <c r="J33" s="57">
        <f t="shared" si="0"/>
        <v>0</v>
      </c>
      <c r="K33" s="61">
        <f t="shared" si="2"/>
        <v>0</v>
      </c>
      <c r="L33" s="25"/>
      <c r="M33" s="67"/>
      <c r="N33" s="68"/>
      <c r="O33" s="68"/>
      <c r="P33" s="69"/>
      <c r="Q33" s="25"/>
      <c r="V33" s="13"/>
    </row>
    <row r="34" spans="1:22" ht="18" customHeight="1" x14ac:dyDescent="0.2">
      <c r="A34" s="22">
        <f t="shared" si="3"/>
        <v>45287</v>
      </c>
      <c r="B34" s="37">
        <f t="shared" si="4"/>
        <v>45287</v>
      </c>
      <c r="C34" s="39">
        <f t="shared" si="1"/>
        <v>0</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45288</v>
      </c>
      <c r="B35" s="37">
        <f t="shared" si="4"/>
        <v>45288</v>
      </c>
      <c r="C35" s="39">
        <f t="shared" si="1"/>
        <v>0</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45289</v>
      </c>
      <c r="B36" s="37">
        <f t="shared" si="4"/>
        <v>45289</v>
      </c>
      <c r="C36" s="39">
        <f t="shared" si="1"/>
        <v>0</v>
      </c>
      <c r="D36" s="23"/>
      <c r="E36" s="20"/>
      <c r="F36" s="31"/>
      <c r="G36" s="20"/>
      <c r="H36" s="24"/>
      <c r="I36" s="34"/>
      <c r="J36" s="57">
        <f t="shared" si="0"/>
        <v>0</v>
      </c>
      <c r="K36" s="61">
        <f t="shared" si="2"/>
        <v>0</v>
      </c>
      <c r="L36" s="25"/>
      <c r="M36" s="67"/>
      <c r="N36" s="68"/>
      <c r="O36" s="68"/>
      <c r="P36" s="69"/>
      <c r="Q36" s="25"/>
    </row>
    <row r="37" spans="1:22" ht="18" customHeight="1" x14ac:dyDescent="0.2">
      <c r="A37" s="22">
        <f>IF($A$35="","",IF(NOT(MONTH($A$35)=MONTH($A$35+2)),"",$A$35+2))</f>
        <v>45290</v>
      </c>
      <c r="B37" s="37">
        <f t="shared" si="4"/>
        <v>45290</v>
      </c>
      <c r="C37" s="39">
        <f t="shared" si="1"/>
        <v>1</v>
      </c>
      <c r="D37" s="23"/>
      <c r="E37" s="20"/>
      <c r="F37" s="31"/>
      <c r="G37" s="20"/>
      <c r="H37" s="24"/>
      <c r="I37" s="34"/>
      <c r="J37" s="57">
        <f t="shared" si="0"/>
        <v>0</v>
      </c>
      <c r="K37" s="61">
        <f t="shared" si="2"/>
        <v>0</v>
      </c>
      <c r="L37" s="25"/>
      <c r="M37" s="67"/>
      <c r="N37" s="68"/>
      <c r="O37" s="68"/>
      <c r="P37" s="69"/>
      <c r="Q37" s="25"/>
    </row>
    <row r="38" spans="1:22" ht="18" customHeight="1" thickBot="1" x14ac:dyDescent="0.25">
      <c r="A38" s="26">
        <f>IF($A$35="","",IF(NOT(MONTH($A$35)=MONTH($A$35+3)),"",$A$35+3))</f>
        <v>45291</v>
      </c>
      <c r="B38" s="38">
        <f>A38</f>
        <v>45291</v>
      </c>
      <c r="C38" s="40">
        <f t="shared" si="1"/>
        <v>1</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2" priority="4" stopIfTrue="1">
      <formula>$C8&gt;0</formula>
    </cfRule>
  </conditionalFormatting>
  <conditionalFormatting sqref="I25:I29">
    <cfRule type="expression" dxfId="21" priority="3" stopIfTrue="1">
      <formula>$C25&gt;0</formula>
    </cfRule>
  </conditionalFormatting>
  <conditionalFormatting sqref="I32:I36">
    <cfRule type="expression" dxfId="20" priority="2" stopIfTrue="1">
      <formula>$C32&gt;0</formula>
    </cfRule>
  </conditionalFormatting>
  <conditionalFormatting sqref="Q8:Q38">
    <cfRule type="expression" dxfId="19"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7" activePane="bottomLeft" state="frozen"/>
      <selection activeCell="Q40" sqref="Q40"/>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v>
      </c>
      <c r="G1" s="1" t="s">
        <v>1</v>
      </c>
    </row>
    <row r="2" spans="1:22" ht="21.9" customHeight="1" thickBot="1" x14ac:dyDescent="0.25"/>
    <row r="3" spans="1:22" ht="21.9" customHeight="1" thickTop="1" thickBot="1" x14ac:dyDescent="0.25">
      <c r="A3" s="75" t="s">
        <v>15</v>
      </c>
      <c r="B3" s="76"/>
      <c r="C3" s="76"/>
      <c r="D3" s="77"/>
      <c r="E3" s="90" t="s">
        <v>41</v>
      </c>
      <c r="F3" s="91"/>
      <c r="G3" s="91"/>
      <c r="H3" s="91"/>
      <c r="I3" s="91"/>
      <c r="J3" s="92"/>
      <c r="K3" s="53"/>
    </row>
    <row r="4" spans="1:22" ht="21.9" customHeight="1" thickTop="1" thickBot="1" x14ac:dyDescent="0.25">
      <c r="A4" s="75" t="s">
        <v>8</v>
      </c>
      <c r="B4" s="76"/>
      <c r="C4" s="76"/>
      <c r="D4" s="77"/>
      <c r="E4" s="90" t="s">
        <v>42</v>
      </c>
      <c r="F4" s="91"/>
      <c r="G4" s="91"/>
      <c r="H4" s="91"/>
      <c r="I4" s="91"/>
      <c r="J4" s="92"/>
      <c r="K4" s="53"/>
    </row>
    <row r="5" spans="1:22" ht="21.9" customHeight="1" thickTop="1" thickBot="1" x14ac:dyDescent="0.25">
      <c r="A5" s="81" t="s">
        <v>2</v>
      </c>
      <c r="B5" s="82"/>
      <c r="C5" s="82"/>
      <c r="D5" s="83"/>
      <c r="E5" s="78" t="s">
        <v>43</v>
      </c>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45292</v>
      </c>
      <c r="B8" s="36">
        <f>A8</f>
        <v>45292</v>
      </c>
      <c r="C8" s="43">
        <f>IF(WEEKDAY(A8,2)&gt;5,1,0)+IF(D8&lt;&gt;"",1,0)</f>
        <v>1</v>
      </c>
      <c r="D8" s="44" t="s">
        <v>39</v>
      </c>
      <c r="E8" s="45"/>
      <c r="F8" s="46"/>
      <c r="G8" s="45"/>
      <c r="H8" s="47"/>
      <c r="I8" s="33"/>
      <c r="J8" s="56">
        <f t="shared" ref="J8:J38" si="0">IF((H8-F8)&lt;0,(G8-E8-1)*60+(60+H8-F8),(G8-E8)*60+H8-F8)-I8</f>
        <v>0</v>
      </c>
      <c r="K8" s="60">
        <f>J8/60</f>
        <v>0</v>
      </c>
      <c r="L8" s="21"/>
      <c r="M8" s="87"/>
      <c r="N8" s="88"/>
      <c r="O8" s="88"/>
      <c r="P8" s="89"/>
      <c r="Q8" s="21"/>
      <c r="S8" s="14"/>
      <c r="T8" s="6"/>
      <c r="U8" s="6"/>
      <c r="V8" s="6"/>
    </row>
    <row r="9" spans="1:22" ht="18" customHeight="1" x14ac:dyDescent="0.2">
      <c r="A9" s="22">
        <f>IF(A8="","",(A8+1))</f>
        <v>45293</v>
      </c>
      <c r="B9" s="37">
        <f>A9</f>
        <v>45293</v>
      </c>
      <c r="C9" s="39">
        <f t="shared" ref="C9:C38" si="1">IF(WEEKDAY(A9,2)&gt;5,1,0)+IF(D9&lt;&gt;"",1,0)</f>
        <v>1</v>
      </c>
      <c r="D9" s="23" t="s">
        <v>13</v>
      </c>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45294</v>
      </c>
      <c r="B10" s="37">
        <f t="shared" ref="B10:B37" si="4">A10</f>
        <v>45294</v>
      </c>
      <c r="C10" s="39">
        <f t="shared" si="1"/>
        <v>1</v>
      </c>
      <c r="D10" s="23" t="s">
        <v>36</v>
      </c>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45295</v>
      </c>
      <c r="B11" s="37">
        <f t="shared" si="4"/>
        <v>45295</v>
      </c>
      <c r="C11" s="39">
        <f t="shared" si="1"/>
        <v>0</v>
      </c>
      <c r="D11" s="23"/>
      <c r="E11" s="20">
        <v>9</v>
      </c>
      <c r="F11" s="31">
        <v>0</v>
      </c>
      <c r="G11" s="20">
        <v>19</v>
      </c>
      <c r="H11" s="24">
        <v>30</v>
      </c>
      <c r="I11" s="34">
        <v>60</v>
      </c>
      <c r="J11" s="57">
        <f t="shared" si="0"/>
        <v>570</v>
      </c>
      <c r="K11" s="61">
        <f t="shared" si="2"/>
        <v>9.5</v>
      </c>
      <c r="L11" s="25"/>
      <c r="M11" s="67"/>
      <c r="N11" s="68"/>
      <c r="O11" s="68"/>
      <c r="P11" s="69"/>
      <c r="Q11" s="25"/>
      <c r="S11" s="14"/>
      <c r="T11" s="11"/>
      <c r="U11" s="12"/>
      <c r="V11" s="13"/>
    </row>
    <row r="12" spans="1:22" ht="18" customHeight="1" x14ac:dyDescent="0.2">
      <c r="A12" s="22">
        <f t="shared" si="3"/>
        <v>45296</v>
      </c>
      <c r="B12" s="37">
        <f t="shared" si="4"/>
        <v>45296</v>
      </c>
      <c r="C12" s="39">
        <f t="shared" si="1"/>
        <v>0</v>
      </c>
      <c r="D12" s="23"/>
      <c r="E12" s="20">
        <v>9</v>
      </c>
      <c r="F12" s="31">
        <v>0</v>
      </c>
      <c r="G12" s="20">
        <v>19</v>
      </c>
      <c r="H12" s="24">
        <v>0</v>
      </c>
      <c r="I12" s="34">
        <v>60</v>
      </c>
      <c r="J12" s="57">
        <f t="shared" si="0"/>
        <v>540</v>
      </c>
      <c r="K12" s="61">
        <f t="shared" si="2"/>
        <v>9</v>
      </c>
      <c r="L12" s="25"/>
      <c r="M12" s="67"/>
      <c r="N12" s="68"/>
      <c r="O12" s="68"/>
      <c r="P12" s="69"/>
      <c r="Q12" s="25"/>
      <c r="S12" s="14"/>
      <c r="T12" s="11"/>
      <c r="U12" s="12"/>
      <c r="V12" s="13"/>
    </row>
    <row r="13" spans="1:22" ht="18" customHeight="1" x14ac:dyDescent="0.2">
      <c r="A13" s="22">
        <f t="shared" si="3"/>
        <v>45297</v>
      </c>
      <c r="B13" s="37">
        <f t="shared" si="4"/>
        <v>45297</v>
      </c>
      <c r="C13" s="39">
        <f t="shared" si="1"/>
        <v>1</v>
      </c>
      <c r="D13" s="23"/>
      <c r="E13" s="20"/>
      <c r="F13" s="31"/>
      <c r="G13" s="20"/>
      <c r="H13" s="24"/>
      <c r="I13" s="34"/>
      <c r="J13" s="57">
        <f t="shared" si="0"/>
        <v>0</v>
      </c>
      <c r="K13" s="61">
        <f t="shared" si="2"/>
        <v>0</v>
      </c>
      <c r="L13" s="25"/>
      <c r="M13" s="67"/>
      <c r="N13" s="68"/>
      <c r="O13" s="68"/>
      <c r="P13" s="69"/>
      <c r="Q13" s="25"/>
      <c r="S13" s="14"/>
      <c r="T13" s="11"/>
      <c r="U13" s="12"/>
      <c r="V13" s="13"/>
    </row>
    <row r="14" spans="1:22" ht="18" customHeight="1" x14ac:dyDescent="0.2">
      <c r="A14" s="22">
        <f t="shared" si="3"/>
        <v>45298</v>
      </c>
      <c r="B14" s="37">
        <f t="shared" si="4"/>
        <v>45298</v>
      </c>
      <c r="C14" s="39">
        <f t="shared" si="1"/>
        <v>1</v>
      </c>
      <c r="D14" s="23"/>
      <c r="E14" s="20"/>
      <c r="F14" s="31"/>
      <c r="G14" s="20"/>
      <c r="H14" s="24"/>
      <c r="I14" s="34"/>
      <c r="J14" s="57">
        <f t="shared" si="0"/>
        <v>0</v>
      </c>
      <c r="K14" s="61">
        <f t="shared" si="2"/>
        <v>0</v>
      </c>
      <c r="L14" s="25"/>
      <c r="M14" s="67"/>
      <c r="N14" s="68"/>
      <c r="O14" s="68"/>
      <c r="P14" s="69"/>
      <c r="Q14" s="25"/>
      <c r="S14" s="14"/>
      <c r="T14" s="11"/>
      <c r="U14" s="12"/>
      <c r="V14" s="13"/>
    </row>
    <row r="15" spans="1:22" ht="18" customHeight="1" x14ac:dyDescent="0.2">
      <c r="A15" s="22">
        <f t="shared" si="3"/>
        <v>45299</v>
      </c>
      <c r="B15" s="37">
        <f t="shared" si="4"/>
        <v>45299</v>
      </c>
      <c r="C15" s="39">
        <f t="shared" si="1"/>
        <v>1</v>
      </c>
      <c r="D15" s="23" t="s">
        <v>38</v>
      </c>
      <c r="E15" s="20"/>
      <c r="F15" s="31"/>
      <c r="G15" s="20"/>
      <c r="H15" s="24"/>
      <c r="I15" s="34"/>
      <c r="J15" s="57">
        <f t="shared" si="0"/>
        <v>0</v>
      </c>
      <c r="K15" s="61">
        <f t="shared" si="2"/>
        <v>0</v>
      </c>
      <c r="L15" s="25"/>
      <c r="M15" s="67"/>
      <c r="N15" s="68"/>
      <c r="O15" s="68"/>
      <c r="P15" s="69"/>
      <c r="Q15" s="25"/>
      <c r="S15" s="14"/>
      <c r="T15" s="11"/>
      <c r="U15" s="12"/>
      <c r="V15" s="13"/>
    </row>
    <row r="16" spans="1:22" ht="18" customHeight="1" x14ac:dyDescent="0.2">
      <c r="A16" s="22">
        <f t="shared" si="3"/>
        <v>45300</v>
      </c>
      <c r="B16" s="37">
        <f t="shared" si="4"/>
        <v>45300</v>
      </c>
      <c r="C16" s="39">
        <f t="shared" si="1"/>
        <v>0</v>
      </c>
      <c r="D16" s="23"/>
      <c r="E16" s="20">
        <v>9</v>
      </c>
      <c r="F16" s="31">
        <v>0</v>
      </c>
      <c r="G16" s="20">
        <v>21</v>
      </c>
      <c r="H16" s="24">
        <v>0</v>
      </c>
      <c r="I16" s="34">
        <v>60</v>
      </c>
      <c r="J16" s="57">
        <f t="shared" si="0"/>
        <v>660</v>
      </c>
      <c r="K16" s="61">
        <f t="shared" si="2"/>
        <v>11</v>
      </c>
      <c r="L16" s="25"/>
      <c r="M16" s="67"/>
      <c r="N16" s="68"/>
      <c r="O16" s="68"/>
      <c r="P16" s="69"/>
      <c r="Q16" s="25"/>
      <c r="S16" s="14"/>
      <c r="T16" s="11"/>
      <c r="U16" s="12"/>
      <c r="V16" s="13"/>
    </row>
    <row r="17" spans="1:22" ht="18" customHeight="1" x14ac:dyDescent="0.2">
      <c r="A17" s="22">
        <f t="shared" si="3"/>
        <v>45301</v>
      </c>
      <c r="B17" s="37">
        <f t="shared" si="4"/>
        <v>45301</v>
      </c>
      <c r="C17" s="39">
        <f t="shared" si="1"/>
        <v>0</v>
      </c>
      <c r="D17" s="23"/>
      <c r="E17" s="20">
        <v>9</v>
      </c>
      <c r="F17" s="31">
        <v>0</v>
      </c>
      <c r="G17" s="20">
        <v>21</v>
      </c>
      <c r="H17" s="24">
        <v>0</v>
      </c>
      <c r="I17" s="34">
        <v>60</v>
      </c>
      <c r="J17" s="57">
        <f t="shared" si="0"/>
        <v>660</v>
      </c>
      <c r="K17" s="61">
        <f t="shared" si="2"/>
        <v>11</v>
      </c>
      <c r="L17" s="25"/>
      <c r="M17" s="67"/>
      <c r="N17" s="68"/>
      <c r="O17" s="68"/>
      <c r="P17" s="69"/>
      <c r="Q17" s="25"/>
      <c r="T17" s="11"/>
      <c r="U17" s="12"/>
      <c r="V17" s="13"/>
    </row>
    <row r="18" spans="1:22" ht="18" customHeight="1" x14ac:dyDescent="0.2">
      <c r="A18" s="22">
        <f t="shared" si="3"/>
        <v>45302</v>
      </c>
      <c r="B18" s="37">
        <f t="shared" si="4"/>
        <v>45302</v>
      </c>
      <c r="C18" s="39">
        <f t="shared" si="1"/>
        <v>0</v>
      </c>
      <c r="D18" s="23"/>
      <c r="E18" s="20">
        <v>9</v>
      </c>
      <c r="F18" s="31">
        <v>0</v>
      </c>
      <c r="G18" s="20">
        <v>21</v>
      </c>
      <c r="H18" s="24">
        <v>0</v>
      </c>
      <c r="I18" s="34">
        <v>60</v>
      </c>
      <c r="J18" s="57">
        <f t="shared" si="0"/>
        <v>660</v>
      </c>
      <c r="K18" s="61">
        <f t="shared" si="2"/>
        <v>11</v>
      </c>
      <c r="L18" s="25"/>
      <c r="M18" s="67"/>
      <c r="N18" s="68"/>
      <c r="O18" s="68"/>
      <c r="P18" s="69"/>
      <c r="Q18" s="25"/>
      <c r="T18" s="11"/>
      <c r="U18" s="12"/>
      <c r="V18" s="13"/>
    </row>
    <row r="19" spans="1:22" ht="18" customHeight="1" x14ac:dyDescent="0.2">
      <c r="A19" s="22">
        <f t="shared" si="3"/>
        <v>45303</v>
      </c>
      <c r="B19" s="37">
        <f t="shared" si="4"/>
        <v>45303</v>
      </c>
      <c r="C19" s="39">
        <f t="shared" si="1"/>
        <v>0</v>
      </c>
      <c r="D19" s="23"/>
      <c r="E19" s="20">
        <v>9</v>
      </c>
      <c r="F19" s="31">
        <v>0</v>
      </c>
      <c r="G19" s="20">
        <v>20</v>
      </c>
      <c r="H19" s="24">
        <v>0</v>
      </c>
      <c r="I19" s="34">
        <v>60</v>
      </c>
      <c r="J19" s="57">
        <f t="shared" si="0"/>
        <v>600</v>
      </c>
      <c r="K19" s="61">
        <f t="shared" si="2"/>
        <v>10</v>
      </c>
      <c r="L19" s="25"/>
      <c r="M19" s="67"/>
      <c r="N19" s="68"/>
      <c r="O19" s="68"/>
      <c r="P19" s="69"/>
      <c r="Q19" s="25"/>
      <c r="V19" s="13"/>
    </row>
    <row r="20" spans="1:22" ht="18" customHeight="1" x14ac:dyDescent="0.2">
      <c r="A20" s="22">
        <f t="shared" si="3"/>
        <v>45304</v>
      </c>
      <c r="B20" s="37">
        <f t="shared" si="4"/>
        <v>45304</v>
      </c>
      <c r="C20" s="39">
        <f t="shared" si="1"/>
        <v>1</v>
      </c>
      <c r="D20" s="23"/>
      <c r="E20" s="20"/>
      <c r="F20" s="31"/>
      <c r="G20" s="20"/>
      <c r="H20" s="24"/>
      <c r="I20" s="34"/>
      <c r="J20" s="57">
        <f t="shared" si="0"/>
        <v>0</v>
      </c>
      <c r="K20" s="61">
        <f t="shared" si="2"/>
        <v>0</v>
      </c>
      <c r="L20" s="25"/>
      <c r="M20" s="67"/>
      <c r="N20" s="68"/>
      <c r="O20" s="68"/>
      <c r="P20" s="69"/>
      <c r="Q20" s="25"/>
      <c r="V20" s="13"/>
    </row>
    <row r="21" spans="1:22" ht="18" customHeight="1" x14ac:dyDescent="0.2">
      <c r="A21" s="22">
        <f t="shared" si="3"/>
        <v>45305</v>
      </c>
      <c r="B21" s="37">
        <f t="shared" si="4"/>
        <v>45305</v>
      </c>
      <c r="C21" s="39">
        <f t="shared" si="1"/>
        <v>1</v>
      </c>
      <c r="D21" s="23"/>
      <c r="E21" s="20"/>
      <c r="F21" s="31"/>
      <c r="G21" s="20"/>
      <c r="H21" s="24"/>
      <c r="I21" s="34"/>
      <c r="J21" s="57">
        <f t="shared" si="0"/>
        <v>0</v>
      </c>
      <c r="K21" s="61">
        <f t="shared" si="2"/>
        <v>0</v>
      </c>
      <c r="L21" s="25"/>
      <c r="M21" s="67"/>
      <c r="N21" s="68"/>
      <c r="O21" s="68"/>
      <c r="P21" s="69"/>
      <c r="Q21" s="25"/>
      <c r="V21" s="13"/>
    </row>
    <row r="22" spans="1:22" ht="18" customHeight="1" x14ac:dyDescent="0.2">
      <c r="A22" s="22">
        <f t="shared" si="3"/>
        <v>45306</v>
      </c>
      <c r="B22" s="37">
        <f t="shared" si="4"/>
        <v>45306</v>
      </c>
      <c r="C22" s="39">
        <f t="shared" si="1"/>
        <v>0</v>
      </c>
      <c r="D22" s="23"/>
      <c r="E22" s="20">
        <v>9</v>
      </c>
      <c r="F22" s="31">
        <v>0</v>
      </c>
      <c r="G22" s="20">
        <v>19</v>
      </c>
      <c r="H22" s="24">
        <v>30</v>
      </c>
      <c r="I22" s="34">
        <v>60</v>
      </c>
      <c r="J22" s="57">
        <f t="shared" si="0"/>
        <v>570</v>
      </c>
      <c r="K22" s="61">
        <f t="shared" si="2"/>
        <v>9.5</v>
      </c>
      <c r="L22" s="25"/>
      <c r="M22" s="67"/>
      <c r="N22" s="68"/>
      <c r="O22" s="68"/>
      <c r="P22" s="69"/>
      <c r="Q22" s="25"/>
      <c r="V22" s="13"/>
    </row>
    <row r="23" spans="1:22" ht="18" customHeight="1" x14ac:dyDescent="0.2">
      <c r="A23" s="22">
        <f t="shared" si="3"/>
        <v>45307</v>
      </c>
      <c r="B23" s="37">
        <f t="shared" si="4"/>
        <v>45307</v>
      </c>
      <c r="C23" s="39">
        <f t="shared" si="1"/>
        <v>0</v>
      </c>
      <c r="D23" s="23"/>
      <c r="E23" s="20">
        <v>9</v>
      </c>
      <c r="F23" s="31">
        <v>0</v>
      </c>
      <c r="G23" s="20">
        <v>19</v>
      </c>
      <c r="H23" s="24">
        <v>0</v>
      </c>
      <c r="I23" s="34">
        <v>60</v>
      </c>
      <c r="J23" s="57">
        <f t="shared" si="0"/>
        <v>540</v>
      </c>
      <c r="K23" s="61">
        <f t="shared" si="2"/>
        <v>9</v>
      </c>
      <c r="L23" s="25"/>
      <c r="M23" s="67"/>
      <c r="N23" s="68"/>
      <c r="O23" s="68"/>
      <c r="P23" s="69"/>
      <c r="Q23" s="25"/>
      <c r="V23" s="13"/>
    </row>
    <row r="24" spans="1:22" ht="18" customHeight="1" x14ac:dyDescent="0.2">
      <c r="A24" s="22">
        <f t="shared" si="3"/>
        <v>45308</v>
      </c>
      <c r="B24" s="37">
        <f t="shared" si="4"/>
        <v>45308</v>
      </c>
      <c r="C24" s="39">
        <f t="shared" si="1"/>
        <v>0</v>
      </c>
      <c r="D24" s="23"/>
      <c r="E24" s="20">
        <v>9</v>
      </c>
      <c r="F24" s="31">
        <v>0</v>
      </c>
      <c r="G24" s="20">
        <v>20</v>
      </c>
      <c r="H24" s="24">
        <v>0</v>
      </c>
      <c r="I24" s="34">
        <v>60</v>
      </c>
      <c r="J24" s="57">
        <f t="shared" si="0"/>
        <v>600</v>
      </c>
      <c r="K24" s="61">
        <f t="shared" si="2"/>
        <v>10</v>
      </c>
      <c r="L24" s="25"/>
      <c r="M24" s="67"/>
      <c r="N24" s="68"/>
      <c r="O24" s="68"/>
      <c r="P24" s="69"/>
      <c r="Q24" s="25"/>
      <c r="V24" s="13"/>
    </row>
    <row r="25" spans="1:22" ht="18" customHeight="1" x14ac:dyDescent="0.2">
      <c r="A25" s="22">
        <f t="shared" si="3"/>
        <v>45309</v>
      </c>
      <c r="B25" s="37">
        <f t="shared" si="4"/>
        <v>45309</v>
      </c>
      <c r="C25" s="39">
        <f t="shared" si="1"/>
        <v>0</v>
      </c>
      <c r="D25" s="23"/>
      <c r="E25" s="20">
        <v>9</v>
      </c>
      <c r="F25" s="31">
        <v>0</v>
      </c>
      <c r="G25" s="20">
        <v>20</v>
      </c>
      <c r="H25" s="24">
        <v>0</v>
      </c>
      <c r="I25" s="34">
        <v>60</v>
      </c>
      <c r="J25" s="57">
        <f t="shared" si="0"/>
        <v>600</v>
      </c>
      <c r="K25" s="61">
        <f t="shared" si="2"/>
        <v>10</v>
      </c>
      <c r="L25" s="25"/>
      <c r="M25" s="67"/>
      <c r="N25" s="68"/>
      <c r="O25" s="68"/>
      <c r="P25" s="69"/>
      <c r="Q25" s="25"/>
      <c r="V25" s="13"/>
    </row>
    <row r="26" spans="1:22" ht="18" customHeight="1" x14ac:dyDescent="0.2">
      <c r="A26" s="22">
        <f t="shared" si="3"/>
        <v>45310</v>
      </c>
      <c r="B26" s="37">
        <f t="shared" si="4"/>
        <v>45310</v>
      </c>
      <c r="C26" s="39">
        <f t="shared" si="1"/>
        <v>0</v>
      </c>
      <c r="D26" s="23"/>
      <c r="E26" s="20">
        <v>9</v>
      </c>
      <c r="F26" s="31">
        <v>0</v>
      </c>
      <c r="G26" s="20">
        <v>20</v>
      </c>
      <c r="H26" s="24">
        <v>0</v>
      </c>
      <c r="I26" s="34">
        <v>60</v>
      </c>
      <c r="J26" s="57">
        <f t="shared" si="0"/>
        <v>600</v>
      </c>
      <c r="K26" s="61">
        <f t="shared" si="2"/>
        <v>10</v>
      </c>
      <c r="L26" s="25"/>
      <c r="M26" s="67"/>
      <c r="N26" s="68"/>
      <c r="O26" s="68"/>
      <c r="P26" s="69"/>
      <c r="Q26" s="25"/>
      <c r="V26" s="13"/>
    </row>
    <row r="27" spans="1:22" ht="18" customHeight="1" x14ac:dyDescent="0.2">
      <c r="A27" s="22">
        <f t="shared" si="3"/>
        <v>45311</v>
      </c>
      <c r="B27" s="37">
        <f t="shared" si="4"/>
        <v>45311</v>
      </c>
      <c r="C27" s="39">
        <f t="shared" si="1"/>
        <v>1</v>
      </c>
      <c r="D27" s="23"/>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45312</v>
      </c>
      <c r="B28" s="37">
        <f t="shared" si="4"/>
        <v>45312</v>
      </c>
      <c r="C28" s="39">
        <f t="shared" si="1"/>
        <v>1</v>
      </c>
      <c r="D28" s="23"/>
      <c r="E28" s="20"/>
      <c r="F28" s="31"/>
      <c r="G28" s="20"/>
      <c r="H28" s="24"/>
      <c r="I28" s="34"/>
      <c r="J28" s="57">
        <f t="shared" si="0"/>
        <v>0</v>
      </c>
      <c r="K28" s="61">
        <f t="shared" si="2"/>
        <v>0</v>
      </c>
      <c r="L28" s="25"/>
      <c r="M28" s="67"/>
      <c r="N28" s="68"/>
      <c r="O28" s="68"/>
      <c r="P28" s="69"/>
      <c r="Q28" s="25"/>
      <c r="V28" s="13"/>
    </row>
    <row r="29" spans="1:22" ht="18" customHeight="1" x14ac:dyDescent="0.2">
      <c r="A29" s="22">
        <f t="shared" si="3"/>
        <v>45313</v>
      </c>
      <c r="B29" s="37">
        <f t="shared" si="4"/>
        <v>45313</v>
      </c>
      <c r="C29" s="39">
        <f t="shared" si="1"/>
        <v>0</v>
      </c>
      <c r="D29" s="23"/>
      <c r="E29" s="20"/>
      <c r="F29" s="31"/>
      <c r="G29" s="20"/>
      <c r="H29" s="24"/>
      <c r="I29" s="34"/>
      <c r="J29" s="57">
        <f t="shared" si="0"/>
        <v>0</v>
      </c>
      <c r="K29" s="61">
        <f t="shared" si="2"/>
        <v>0</v>
      </c>
      <c r="L29" s="25" t="s">
        <v>31</v>
      </c>
      <c r="M29" s="67"/>
      <c r="N29" s="68"/>
      <c r="O29" s="68"/>
      <c r="P29" s="69"/>
      <c r="Q29" s="25"/>
      <c r="V29" s="13"/>
    </row>
    <row r="30" spans="1:22" ht="18" customHeight="1" x14ac:dyDescent="0.2">
      <c r="A30" s="22">
        <f t="shared" si="3"/>
        <v>45314</v>
      </c>
      <c r="B30" s="37">
        <f t="shared" si="4"/>
        <v>45314</v>
      </c>
      <c r="C30" s="39">
        <f t="shared" si="1"/>
        <v>0</v>
      </c>
      <c r="D30" s="23"/>
      <c r="E30" s="20">
        <v>9</v>
      </c>
      <c r="F30" s="31">
        <v>0</v>
      </c>
      <c r="G30" s="20">
        <v>21</v>
      </c>
      <c r="H30" s="24">
        <v>0</v>
      </c>
      <c r="I30" s="34">
        <v>60</v>
      </c>
      <c r="J30" s="57">
        <f t="shared" si="0"/>
        <v>660</v>
      </c>
      <c r="K30" s="61">
        <f t="shared" si="2"/>
        <v>11</v>
      </c>
      <c r="L30" s="25"/>
      <c r="M30" s="67"/>
      <c r="N30" s="68"/>
      <c r="O30" s="68"/>
      <c r="P30" s="69"/>
      <c r="Q30" s="25"/>
      <c r="V30" s="13"/>
    </row>
    <row r="31" spans="1:22" ht="18" customHeight="1" x14ac:dyDescent="0.2">
      <c r="A31" s="22">
        <f t="shared" si="3"/>
        <v>45315</v>
      </c>
      <c r="B31" s="37">
        <f t="shared" si="4"/>
        <v>45315</v>
      </c>
      <c r="C31" s="39">
        <f t="shared" si="1"/>
        <v>0</v>
      </c>
      <c r="D31" s="23"/>
      <c r="E31" s="20">
        <v>9</v>
      </c>
      <c r="F31" s="31">
        <v>0</v>
      </c>
      <c r="G31" s="20">
        <v>19</v>
      </c>
      <c r="H31" s="24">
        <v>0</v>
      </c>
      <c r="I31" s="34">
        <v>60</v>
      </c>
      <c r="J31" s="57">
        <f t="shared" si="0"/>
        <v>540</v>
      </c>
      <c r="K31" s="61">
        <f t="shared" si="2"/>
        <v>9</v>
      </c>
      <c r="L31" s="25"/>
      <c r="M31" s="67"/>
      <c r="N31" s="68"/>
      <c r="O31" s="68"/>
      <c r="P31" s="69"/>
      <c r="Q31" s="25"/>
      <c r="V31" s="13"/>
    </row>
    <row r="32" spans="1:22" ht="18" customHeight="1" x14ac:dyDescent="0.2">
      <c r="A32" s="22">
        <f t="shared" si="3"/>
        <v>45316</v>
      </c>
      <c r="B32" s="37">
        <f t="shared" si="4"/>
        <v>45316</v>
      </c>
      <c r="C32" s="39">
        <f t="shared" si="1"/>
        <v>0</v>
      </c>
      <c r="D32" s="23"/>
      <c r="E32" s="20">
        <v>9</v>
      </c>
      <c r="F32" s="31">
        <v>0</v>
      </c>
      <c r="G32" s="20">
        <v>19</v>
      </c>
      <c r="H32" s="24">
        <v>0</v>
      </c>
      <c r="I32" s="34">
        <v>60</v>
      </c>
      <c r="J32" s="57">
        <f t="shared" si="0"/>
        <v>540</v>
      </c>
      <c r="K32" s="61">
        <f t="shared" si="2"/>
        <v>9</v>
      </c>
      <c r="L32" s="25"/>
      <c r="M32" s="67"/>
      <c r="N32" s="68"/>
      <c r="O32" s="68"/>
      <c r="P32" s="69"/>
      <c r="Q32" s="25"/>
      <c r="V32" s="13"/>
    </row>
    <row r="33" spans="1:22" ht="18" customHeight="1" x14ac:dyDescent="0.2">
      <c r="A33" s="22">
        <f t="shared" si="3"/>
        <v>45317</v>
      </c>
      <c r="B33" s="37">
        <f t="shared" si="4"/>
        <v>45317</v>
      </c>
      <c r="C33" s="39">
        <f t="shared" si="1"/>
        <v>0</v>
      </c>
      <c r="D33" s="23"/>
      <c r="E33" s="20">
        <v>9</v>
      </c>
      <c r="F33" s="31">
        <v>0</v>
      </c>
      <c r="G33" s="20">
        <v>19</v>
      </c>
      <c r="H33" s="24">
        <v>0</v>
      </c>
      <c r="I33" s="34">
        <v>60</v>
      </c>
      <c r="J33" s="57">
        <f t="shared" si="0"/>
        <v>540</v>
      </c>
      <c r="K33" s="61">
        <f t="shared" si="2"/>
        <v>9</v>
      </c>
      <c r="L33" s="25"/>
      <c r="M33" s="67"/>
      <c r="N33" s="68"/>
      <c r="O33" s="68"/>
      <c r="P33" s="69"/>
      <c r="Q33" s="25"/>
      <c r="V33" s="13"/>
    </row>
    <row r="34" spans="1:22" ht="18" customHeight="1" x14ac:dyDescent="0.2">
      <c r="A34" s="22">
        <f t="shared" si="3"/>
        <v>45318</v>
      </c>
      <c r="B34" s="37">
        <f t="shared" si="4"/>
        <v>45318</v>
      </c>
      <c r="C34" s="39">
        <f t="shared" si="1"/>
        <v>1</v>
      </c>
      <c r="D34" s="23"/>
      <c r="E34" s="20"/>
      <c r="F34" s="31"/>
      <c r="G34" s="20"/>
      <c r="H34" s="24"/>
      <c r="I34" s="34"/>
      <c r="J34" s="57">
        <f t="shared" si="0"/>
        <v>0</v>
      </c>
      <c r="K34" s="61">
        <f t="shared" si="2"/>
        <v>0</v>
      </c>
      <c r="L34" s="25"/>
      <c r="M34" s="67"/>
      <c r="N34" s="68"/>
      <c r="O34" s="68"/>
      <c r="P34" s="69"/>
      <c r="Q34" s="25"/>
    </row>
    <row r="35" spans="1:22" ht="18" customHeight="1" x14ac:dyDescent="0.2">
      <c r="A35" s="22">
        <f t="shared" si="3"/>
        <v>45319</v>
      </c>
      <c r="B35" s="37">
        <f t="shared" si="4"/>
        <v>45319</v>
      </c>
      <c r="C35" s="39">
        <f t="shared" si="1"/>
        <v>1</v>
      </c>
      <c r="D35" s="23"/>
      <c r="E35" s="20"/>
      <c r="F35" s="31"/>
      <c r="G35" s="20"/>
      <c r="H35" s="24"/>
      <c r="I35" s="34"/>
      <c r="J35" s="57">
        <f t="shared" si="0"/>
        <v>0</v>
      </c>
      <c r="K35" s="61">
        <f t="shared" si="2"/>
        <v>0</v>
      </c>
      <c r="L35" s="25"/>
      <c r="M35" s="67"/>
      <c r="N35" s="68"/>
      <c r="O35" s="68"/>
      <c r="P35" s="69"/>
      <c r="Q35" s="25"/>
    </row>
    <row r="36" spans="1:22" ht="18" customHeight="1" x14ac:dyDescent="0.2">
      <c r="A36" s="22">
        <f>IF($A$35="","",IF(NOT(MONTH($A$35)=MONTH($A$35+1)),"",$A$35+1))</f>
        <v>45320</v>
      </c>
      <c r="B36" s="37">
        <f t="shared" si="4"/>
        <v>45320</v>
      </c>
      <c r="C36" s="39">
        <f t="shared" si="1"/>
        <v>0</v>
      </c>
      <c r="D36" s="23"/>
      <c r="E36" s="20">
        <v>9</v>
      </c>
      <c r="F36" s="31">
        <v>0</v>
      </c>
      <c r="G36" s="20">
        <v>19</v>
      </c>
      <c r="H36" s="24">
        <v>0</v>
      </c>
      <c r="I36" s="34">
        <v>60</v>
      </c>
      <c r="J36" s="57">
        <f t="shared" si="0"/>
        <v>540</v>
      </c>
      <c r="K36" s="61">
        <f t="shared" si="2"/>
        <v>9</v>
      </c>
      <c r="L36" s="25"/>
      <c r="M36" s="67"/>
      <c r="N36" s="68"/>
      <c r="O36" s="68"/>
      <c r="P36" s="69"/>
      <c r="Q36" s="25"/>
    </row>
    <row r="37" spans="1:22" ht="18" customHeight="1" x14ac:dyDescent="0.2">
      <c r="A37" s="22">
        <f>IF($A$35="","",IF(NOT(MONTH($A$35)=MONTH($A$35+2)),"",$A$35+2))</f>
        <v>45321</v>
      </c>
      <c r="B37" s="37">
        <f t="shared" si="4"/>
        <v>45321</v>
      </c>
      <c r="C37" s="39">
        <f t="shared" si="1"/>
        <v>0</v>
      </c>
      <c r="D37" s="23"/>
      <c r="E37" s="20">
        <v>9</v>
      </c>
      <c r="F37" s="31">
        <v>0</v>
      </c>
      <c r="G37" s="20">
        <v>19</v>
      </c>
      <c r="H37" s="24">
        <v>0</v>
      </c>
      <c r="I37" s="34">
        <v>60</v>
      </c>
      <c r="J37" s="57">
        <f t="shared" si="0"/>
        <v>540</v>
      </c>
      <c r="K37" s="61">
        <f t="shared" si="2"/>
        <v>9</v>
      </c>
      <c r="L37" s="25"/>
      <c r="M37" s="67"/>
      <c r="N37" s="68"/>
      <c r="O37" s="68"/>
      <c r="P37" s="69"/>
      <c r="Q37" s="25"/>
    </row>
    <row r="38" spans="1:22" ht="18" customHeight="1" thickBot="1" x14ac:dyDescent="0.25">
      <c r="A38" s="26">
        <f>IF($A$35="","",IF(NOT(MONTH($A$35)=MONTH($A$35+3)),"",$A$35+3))</f>
        <v>45322</v>
      </c>
      <c r="B38" s="38">
        <f>A38</f>
        <v>45322</v>
      </c>
      <c r="C38" s="40">
        <f t="shared" si="1"/>
        <v>0</v>
      </c>
      <c r="D38" s="27"/>
      <c r="E38" s="20">
        <v>9</v>
      </c>
      <c r="F38" s="31">
        <v>0</v>
      </c>
      <c r="G38" s="20">
        <v>19</v>
      </c>
      <c r="H38" s="24">
        <v>0</v>
      </c>
      <c r="I38" s="34">
        <v>60</v>
      </c>
      <c r="J38" s="58">
        <f t="shared" si="0"/>
        <v>540</v>
      </c>
      <c r="K38" s="62">
        <f t="shared" si="2"/>
        <v>9</v>
      </c>
      <c r="L38" s="30"/>
      <c r="M38" s="70"/>
      <c r="N38" s="71"/>
      <c r="O38" s="71"/>
      <c r="P38" s="72"/>
      <c r="Q38" s="30"/>
    </row>
    <row r="39" spans="1:22" ht="18.75" customHeight="1" thickTop="1" thickBot="1" x14ac:dyDescent="0.25">
      <c r="A39" s="9"/>
      <c r="B39" s="9"/>
      <c r="C39" s="9"/>
      <c r="D39" s="10"/>
      <c r="E39" s="9"/>
      <c r="F39" s="9"/>
      <c r="G39" s="9"/>
      <c r="H39" s="73" t="s">
        <v>14</v>
      </c>
      <c r="I39" s="74"/>
      <c r="J39" s="54">
        <f>SUM(J8:J38)</f>
        <v>10500</v>
      </c>
      <c r="K39" s="63">
        <f>SUM(K8:K38)</f>
        <v>175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C38 D8:I17 E18:I18 D27:H29 D19:I26 D30:I30 D31:H38 I31:I33">
    <cfRule type="expression" dxfId="18" priority="5" stopIfTrue="1">
      <formula>$C8&gt;0</formula>
    </cfRule>
  </conditionalFormatting>
  <conditionalFormatting sqref="I27:I29">
    <cfRule type="expression" dxfId="17" priority="4" stopIfTrue="1">
      <formula>$C27&gt;0</formula>
    </cfRule>
  </conditionalFormatting>
  <conditionalFormatting sqref="I34:I38">
    <cfRule type="expression" dxfId="16" priority="3" stopIfTrue="1">
      <formula>$C34&gt;0</formula>
    </cfRule>
  </conditionalFormatting>
  <conditionalFormatting sqref="D18">
    <cfRule type="expression" dxfId="15" priority="2" stopIfTrue="1">
      <formula>$C18&gt;0</formula>
    </cfRule>
  </conditionalFormatting>
  <conditionalFormatting sqref="Q8:Q38">
    <cfRule type="expression" dxfId="14"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8" activePane="bottomLeft" state="frozen"/>
      <selection activeCell="D2" sqref="D2"/>
      <selection pane="bottomLeft" activeCell="E32" sqref="E32:I3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2</v>
      </c>
      <c r="G1" s="1" t="s">
        <v>1</v>
      </c>
    </row>
    <row r="2" spans="1:22" ht="21.9" customHeight="1" thickBot="1" x14ac:dyDescent="0.25"/>
    <row r="3" spans="1:22" ht="21.9" customHeight="1" thickTop="1" thickBot="1" x14ac:dyDescent="0.25">
      <c r="A3" s="75" t="s">
        <v>15</v>
      </c>
      <c r="B3" s="76"/>
      <c r="C3" s="76"/>
      <c r="D3" s="77"/>
      <c r="E3" s="90" t="s">
        <v>41</v>
      </c>
      <c r="F3" s="91"/>
      <c r="G3" s="91"/>
      <c r="H3" s="91"/>
      <c r="I3" s="91"/>
      <c r="J3" s="92"/>
      <c r="K3" s="53"/>
    </row>
    <row r="4" spans="1:22" ht="21.9" customHeight="1" thickTop="1" thickBot="1" x14ac:dyDescent="0.25">
      <c r="A4" s="75" t="s">
        <v>8</v>
      </c>
      <c r="B4" s="76"/>
      <c r="C4" s="76"/>
      <c r="D4" s="77"/>
      <c r="E4" s="90" t="s">
        <v>42</v>
      </c>
      <c r="F4" s="91"/>
      <c r="G4" s="91"/>
      <c r="H4" s="91"/>
      <c r="I4" s="91"/>
      <c r="J4" s="92"/>
      <c r="K4" s="53"/>
    </row>
    <row r="5" spans="1:22" ht="21.9" customHeight="1" thickTop="1" thickBot="1" x14ac:dyDescent="0.25">
      <c r="A5" s="81" t="s">
        <v>2</v>
      </c>
      <c r="B5" s="82"/>
      <c r="C5" s="82"/>
      <c r="D5" s="83"/>
      <c r="E5" s="78" t="s">
        <v>43</v>
      </c>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45323</v>
      </c>
      <c r="B8" s="36">
        <f>A8</f>
        <v>45323</v>
      </c>
      <c r="C8" s="43">
        <f>IF(WEEKDAY(A8,2)&gt;5,1,0)+IF(D8&lt;&gt;"",1,0)</f>
        <v>0</v>
      </c>
      <c r="D8" s="44"/>
      <c r="E8" s="45">
        <v>9</v>
      </c>
      <c r="F8" s="46">
        <v>0</v>
      </c>
      <c r="G8" s="45">
        <v>19</v>
      </c>
      <c r="H8" s="47">
        <v>0</v>
      </c>
      <c r="I8" s="33">
        <v>60</v>
      </c>
      <c r="J8" s="56">
        <f t="shared" ref="J8:J38" si="0">IF((H8-F8)&lt;0,(G8-E8-1)*60+(60+H8-F8),(G8-E8)*60+H8-F8)-I8</f>
        <v>540</v>
      </c>
      <c r="K8" s="60">
        <f>J8/60</f>
        <v>9</v>
      </c>
      <c r="L8" s="21"/>
      <c r="M8" s="87"/>
      <c r="N8" s="88"/>
      <c r="O8" s="88"/>
      <c r="P8" s="89"/>
      <c r="Q8" s="21"/>
      <c r="S8" s="14"/>
      <c r="T8" s="6"/>
      <c r="U8" s="6"/>
      <c r="V8" s="6"/>
    </row>
    <row r="9" spans="1:22" ht="18" customHeight="1" x14ac:dyDescent="0.2">
      <c r="A9" s="22">
        <f>IF(A8="","",(A8+1))</f>
        <v>45324</v>
      </c>
      <c r="B9" s="37">
        <f>A9</f>
        <v>45324</v>
      </c>
      <c r="C9" s="39">
        <f t="shared" ref="C9:C38" si="1">IF(WEEKDAY(A9,2)&gt;5,1,0)+IF(D9&lt;&gt;"",1,0)</f>
        <v>0</v>
      </c>
      <c r="D9" s="23"/>
      <c r="E9" s="45">
        <v>9</v>
      </c>
      <c r="F9" s="46">
        <v>0</v>
      </c>
      <c r="G9" s="45">
        <v>19</v>
      </c>
      <c r="H9" s="47">
        <v>0</v>
      </c>
      <c r="I9" s="33">
        <v>60</v>
      </c>
      <c r="J9" s="57">
        <f t="shared" si="0"/>
        <v>540</v>
      </c>
      <c r="K9" s="61">
        <f t="shared" ref="K9:K38" si="2">J9/60</f>
        <v>9</v>
      </c>
      <c r="L9" s="25"/>
      <c r="M9" s="67"/>
      <c r="N9" s="68"/>
      <c r="O9" s="68"/>
      <c r="P9" s="69"/>
      <c r="Q9" s="25"/>
      <c r="S9" s="14"/>
      <c r="T9" s="11"/>
      <c r="U9" s="12"/>
      <c r="V9" s="13"/>
    </row>
    <row r="10" spans="1:22" ht="18" customHeight="1" x14ac:dyDescent="0.2">
      <c r="A10" s="22">
        <f t="shared" ref="A10:A35" si="3">IF(A9="","",(A9+1))</f>
        <v>45325</v>
      </c>
      <c r="B10" s="37">
        <f t="shared" ref="B10:B37" si="4">A10</f>
        <v>45325</v>
      </c>
      <c r="C10" s="39">
        <f t="shared" si="1"/>
        <v>1</v>
      </c>
      <c r="D10" s="23"/>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45326</v>
      </c>
      <c r="B11" s="37">
        <f t="shared" si="4"/>
        <v>45326</v>
      </c>
      <c r="C11" s="39">
        <f t="shared" si="1"/>
        <v>1</v>
      </c>
      <c r="D11" s="23"/>
      <c r="E11" s="45"/>
      <c r="F11" s="46"/>
      <c r="G11" s="45"/>
      <c r="H11" s="47"/>
      <c r="I11" s="33"/>
      <c r="J11" s="56">
        <f t="shared" ref="J11" si="5">IF((H11-F11)&lt;0,(G11-E11-1)*60+(60+H11-F11),(G11-E11)*60+H11-F11)-I11</f>
        <v>0</v>
      </c>
      <c r="K11" s="60">
        <f>J11/60</f>
        <v>0</v>
      </c>
      <c r="L11" s="25"/>
      <c r="M11" s="67"/>
      <c r="N11" s="68"/>
      <c r="O11" s="68"/>
      <c r="P11" s="69"/>
      <c r="Q11" s="25"/>
      <c r="S11" s="14"/>
      <c r="T11" s="11"/>
      <c r="U11" s="12"/>
      <c r="V11" s="13"/>
    </row>
    <row r="12" spans="1:22" ht="18" customHeight="1" x14ac:dyDescent="0.2">
      <c r="A12" s="22">
        <f t="shared" si="3"/>
        <v>45327</v>
      </c>
      <c r="B12" s="37">
        <f t="shared" si="4"/>
        <v>45327</v>
      </c>
      <c r="C12" s="39">
        <f t="shared" si="1"/>
        <v>0</v>
      </c>
      <c r="D12" s="23"/>
      <c r="E12" s="45">
        <v>9</v>
      </c>
      <c r="F12" s="46">
        <v>0</v>
      </c>
      <c r="G12" s="45">
        <v>19</v>
      </c>
      <c r="H12" s="47">
        <v>0</v>
      </c>
      <c r="I12" s="33">
        <v>60</v>
      </c>
      <c r="J12" s="57">
        <f t="shared" si="0"/>
        <v>540</v>
      </c>
      <c r="K12" s="61">
        <f t="shared" si="2"/>
        <v>9</v>
      </c>
      <c r="L12" s="25"/>
      <c r="M12" s="67"/>
      <c r="N12" s="68"/>
      <c r="O12" s="68"/>
      <c r="P12" s="69"/>
      <c r="Q12" s="25"/>
      <c r="S12" s="14"/>
      <c r="T12" s="11"/>
      <c r="U12" s="12"/>
      <c r="V12" s="13"/>
    </row>
    <row r="13" spans="1:22" ht="18" customHeight="1" x14ac:dyDescent="0.2">
      <c r="A13" s="22">
        <f t="shared" si="3"/>
        <v>45328</v>
      </c>
      <c r="B13" s="37">
        <f t="shared" si="4"/>
        <v>45328</v>
      </c>
      <c r="C13" s="39">
        <f t="shared" si="1"/>
        <v>0</v>
      </c>
      <c r="D13" s="23"/>
      <c r="E13" s="45">
        <v>9</v>
      </c>
      <c r="F13" s="24">
        <v>0</v>
      </c>
      <c r="G13" s="45">
        <v>19</v>
      </c>
      <c r="H13" s="24">
        <v>0</v>
      </c>
      <c r="I13" s="66">
        <v>60</v>
      </c>
      <c r="J13" s="57">
        <f t="shared" si="0"/>
        <v>540</v>
      </c>
      <c r="K13" s="61">
        <f t="shared" si="2"/>
        <v>9</v>
      </c>
      <c r="L13" s="25"/>
      <c r="M13" s="67"/>
      <c r="N13" s="68"/>
      <c r="O13" s="68"/>
      <c r="P13" s="69"/>
      <c r="Q13" s="25"/>
      <c r="S13" s="14"/>
      <c r="T13" s="11"/>
      <c r="U13" s="12"/>
      <c r="V13" s="13"/>
    </row>
    <row r="14" spans="1:22" ht="18" customHeight="1" x14ac:dyDescent="0.2">
      <c r="A14" s="22">
        <f t="shared" si="3"/>
        <v>45329</v>
      </c>
      <c r="B14" s="37">
        <f t="shared" si="4"/>
        <v>45329</v>
      </c>
      <c r="C14" s="39">
        <f t="shared" si="1"/>
        <v>0</v>
      </c>
      <c r="D14" s="23"/>
      <c r="E14" s="45">
        <v>9</v>
      </c>
      <c r="F14" s="47">
        <v>0</v>
      </c>
      <c r="G14" s="45">
        <v>19</v>
      </c>
      <c r="H14" s="47">
        <v>0</v>
      </c>
      <c r="I14" s="66">
        <v>60</v>
      </c>
      <c r="J14" s="57">
        <f t="shared" si="0"/>
        <v>540</v>
      </c>
      <c r="K14" s="61">
        <f t="shared" si="2"/>
        <v>9</v>
      </c>
      <c r="L14" s="25"/>
      <c r="M14" s="67"/>
      <c r="N14" s="68"/>
      <c r="O14" s="68"/>
      <c r="P14" s="69"/>
      <c r="Q14" s="25"/>
      <c r="S14" s="14"/>
      <c r="T14" s="11"/>
      <c r="U14" s="12"/>
      <c r="V14" s="13"/>
    </row>
    <row r="15" spans="1:22" ht="18" customHeight="1" x14ac:dyDescent="0.2">
      <c r="A15" s="22">
        <f t="shared" si="3"/>
        <v>45330</v>
      </c>
      <c r="B15" s="37">
        <f t="shared" si="4"/>
        <v>45330</v>
      </c>
      <c r="C15" s="39">
        <f t="shared" si="1"/>
        <v>0</v>
      </c>
      <c r="D15" s="23"/>
      <c r="E15" s="45">
        <v>9</v>
      </c>
      <c r="F15" s="24">
        <v>0</v>
      </c>
      <c r="G15" s="45">
        <v>19</v>
      </c>
      <c r="H15" s="24">
        <v>0</v>
      </c>
      <c r="I15" s="66">
        <v>60</v>
      </c>
      <c r="J15" s="57">
        <f t="shared" si="0"/>
        <v>540</v>
      </c>
      <c r="K15" s="61">
        <f t="shared" si="2"/>
        <v>9</v>
      </c>
      <c r="L15" s="25"/>
      <c r="M15" s="67"/>
      <c r="N15" s="68"/>
      <c r="O15" s="68"/>
      <c r="P15" s="69"/>
      <c r="Q15" s="25"/>
      <c r="S15" s="14"/>
      <c r="T15" s="11"/>
      <c r="U15" s="12"/>
      <c r="V15" s="13"/>
    </row>
    <row r="16" spans="1:22" ht="18" customHeight="1" x14ac:dyDescent="0.2">
      <c r="A16" s="22">
        <f t="shared" si="3"/>
        <v>45331</v>
      </c>
      <c r="B16" s="37">
        <f t="shared" si="4"/>
        <v>45331</v>
      </c>
      <c r="C16" s="39">
        <f t="shared" si="1"/>
        <v>0</v>
      </c>
      <c r="D16" s="23"/>
      <c r="E16" s="45">
        <v>9</v>
      </c>
      <c r="F16" s="46">
        <v>0</v>
      </c>
      <c r="G16" s="45">
        <v>19</v>
      </c>
      <c r="H16" s="47">
        <v>0</v>
      </c>
      <c r="I16" s="33">
        <v>60</v>
      </c>
      <c r="J16" s="57">
        <f t="shared" si="0"/>
        <v>540</v>
      </c>
      <c r="K16" s="61">
        <f t="shared" si="2"/>
        <v>9</v>
      </c>
      <c r="L16" s="25"/>
      <c r="M16" s="67"/>
      <c r="N16" s="68"/>
      <c r="O16" s="68"/>
      <c r="P16" s="69"/>
      <c r="Q16" s="25"/>
      <c r="S16" s="14"/>
      <c r="T16" s="11"/>
      <c r="U16" s="12"/>
      <c r="V16" s="13"/>
    </row>
    <row r="17" spans="1:22" ht="18" customHeight="1" x14ac:dyDescent="0.2">
      <c r="A17" s="22">
        <f t="shared" si="3"/>
        <v>45332</v>
      </c>
      <c r="B17" s="37">
        <f t="shared" si="4"/>
        <v>45332</v>
      </c>
      <c r="C17" s="39">
        <f t="shared" si="1"/>
        <v>1</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45333</v>
      </c>
      <c r="B18" s="37">
        <f t="shared" si="4"/>
        <v>45333</v>
      </c>
      <c r="C18" s="39">
        <f t="shared" si="1"/>
        <v>1</v>
      </c>
      <c r="D18" s="23"/>
      <c r="E18" s="45"/>
      <c r="F18" s="24"/>
      <c r="G18" s="45"/>
      <c r="H18" s="24"/>
      <c r="I18" s="66"/>
      <c r="J18" s="57">
        <f t="shared" ref="J18" si="6">IF((H18-F18)&lt;0,(G18-E18-1)*60+(60+H18-F18),(G18-E18)*60+H18-F18)-I18</f>
        <v>0</v>
      </c>
      <c r="K18" s="61">
        <f t="shared" si="2"/>
        <v>0</v>
      </c>
      <c r="L18" s="25"/>
      <c r="M18" s="67"/>
      <c r="N18" s="68"/>
      <c r="O18" s="68"/>
      <c r="P18" s="69"/>
      <c r="Q18" s="25"/>
      <c r="T18" s="11"/>
      <c r="U18" s="12"/>
      <c r="V18" s="13"/>
    </row>
    <row r="19" spans="1:22" ht="18" customHeight="1" x14ac:dyDescent="0.2">
      <c r="A19" s="22">
        <f t="shared" si="3"/>
        <v>45334</v>
      </c>
      <c r="B19" s="37">
        <f t="shared" si="4"/>
        <v>45334</v>
      </c>
      <c r="C19" s="39">
        <f t="shared" si="1"/>
        <v>1</v>
      </c>
      <c r="D19" s="23" t="s">
        <v>40</v>
      </c>
      <c r="E19" s="20"/>
      <c r="F19" s="31"/>
      <c r="G19" s="20"/>
      <c r="H19" s="24"/>
      <c r="I19" s="34"/>
      <c r="J19" s="57">
        <f t="shared" si="0"/>
        <v>0</v>
      </c>
      <c r="K19" s="61">
        <f t="shared" si="2"/>
        <v>0</v>
      </c>
      <c r="L19" s="25"/>
      <c r="M19" s="67"/>
      <c r="N19" s="68"/>
      <c r="O19" s="68"/>
      <c r="P19" s="69"/>
      <c r="Q19" s="25"/>
      <c r="V19" s="13"/>
    </row>
    <row r="20" spans="1:22" ht="18" customHeight="1" x14ac:dyDescent="0.2">
      <c r="A20" s="22">
        <f t="shared" si="3"/>
        <v>45335</v>
      </c>
      <c r="B20" s="37">
        <f t="shared" si="4"/>
        <v>45335</v>
      </c>
      <c r="C20" s="39">
        <f t="shared" si="1"/>
        <v>0</v>
      </c>
      <c r="D20" s="23"/>
      <c r="E20" s="45">
        <v>9</v>
      </c>
      <c r="F20" s="24">
        <v>0</v>
      </c>
      <c r="G20" s="45">
        <v>19</v>
      </c>
      <c r="H20" s="24">
        <v>0</v>
      </c>
      <c r="I20" s="66">
        <v>60</v>
      </c>
      <c r="J20" s="57">
        <f t="shared" si="0"/>
        <v>540</v>
      </c>
      <c r="K20" s="61">
        <f t="shared" si="2"/>
        <v>9</v>
      </c>
      <c r="L20" s="25"/>
      <c r="M20" s="67"/>
      <c r="N20" s="68"/>
      <c r="O20" s="68"/>
      <c r="P20" s="69"/>
      <c r="Q20" s="25"/>
      <c r="V20" s="13"/>
    </row>
    <row r="21" spans="1:22" ht="18" customHeight="1" x14ac:dyDescent="0.2">
      <c r="A21" s="22">
        <f t="shared" si="3"/>
        <v>45336</v>
      </c>
      <c r="B21" s="37">
        <f t="shared" si="4"/>
        <v>45336</v>
      </c>
      <c r="C21" s="39">
        <f t="shared" si="1"/>
        <v>0</v>
      </c>
      <c r="D21" s="23"/>
      <c r="E21" s="45">
        <v>9</v>
      </c>
      <c r="F21" s="47">
        <v>0</v>
      </c>
      <c r="G21" s="45">
        <v>19</v>
      </c>
      <c r="H21" s="47">
        <v>0</v>
      </c>
      <c r="I21" s="66">
        <v>60</v>
      </c>
      <c r="J21" s="57">
        <f t="shared" si="0"/>
        <v>540</v>
      </c>
      <c r="K21" s="61">
        <f t="shared" si="2"/>
        <v>9</v>
      </c>
      <c r="L21" s="25"/>
      <c r="M21" s="67"/>
      <c r="N21" s="68"/>
      <c r="O21" s="68"/>
      <c r="P21" s="69"/>
      <c r="Q21" s="25"/>
      <c r="V21" s="13"/>
    </row>
    <row r="22" spans="1:22" ht="18" customHeight="1" x14ac:dyDescent="0.2">
      <c r="A22" s="22">
        <f t="shared" si="3"/>
        <v>45337</v>
      </c>
      <c r="B22" s="37">
        <f t="shared" si="4"/>
        <v>45337</v>
      </c>
      <c r="C22" s="39">
        <f t="shared" si="1"/>
        <v>0</v>
      </c>
      <c r="D22" s="23"/>
      <c r="E22" s="45">
        <v>9</v>
      </c>
      <c r="F22" s="24">
        <v>0</v>
      </c>
      <c r="G22" s="45">
        <v>19</v>
      </c>
      <c r="H22" s="24">
        <v>0</v>
      </c>
      <c r="I22" s="66">
        <v>60</v>
      </c>
      <c r="J22" s="57">
        <f t="shared" si="0"/>
        <v>540</v>
      </c>
      <c r="K22" s="61">
        <f t="shared" si="2"/>
        <v>9</v>
      </c>
      <c r="L22" s="25"/>
      <c r="M22" s="67"/>
      <c r="N22" s="68"/>
      <c r="O22" s="68"/>
      <c r="P22" s="69"/>
      <c r="Q22" s="25"/>
      <c r="V22" s="13"/>
    </row>
    <row r="23" spans="1:22" ht="18" customHeight="1" x14ac:dyDescent="0.2">
      <c r="A23" s="22">
        <f t="shared" si="3"/>
        <v>45338</v>
      </c>
      <c r="B23" s="37">
        <f t="shared" si="4"/>
        <v>45338</v>
      </c>
      <c r="C23" s="39">
        <f t="shared" si="1"/>
        <v>0</v>
      </c>
      <c r="D23" s="23"/>
      <c r="E23" s="45">
        <v>9</v>
      </c>
      <c r="F23" s="46">
        <v>0</v>
      </c>
      <c r="G23" s="45">
        <v>19</v>
      </c>
      <c r="H23" s="47">
        <v>0</v>
      </c>
      <c r="I23" s="33">
        <v>60</v>
      </c>
      <c r="J23" s="57">
        <f t="shared" si="0"/>
        <v>540</v>
      </c>
      <c r="K23" s="61">
        <f t="shared" si="2"/>
        <v>9</v>
      </c>
      <c r="L23" s="25"/>
      <c r="M23" s="67"/>
      <c r="N23" s="68"/>
      <c r="O23" s="68"/>
      <c r="P23" s="69"/>
      <c r="Q23" s="25"/>
      <c r="V23" s="13"/>
    </row>
    <row r="24" spans="1:22" ht="18" customHeight="1" x14ac:dyDescent="0.2">
      <c r="A24" s="22">
        <f t="shared" si="3"/>
        <v>45339</v>
      </c>
      <c r="B24" s="37">
        <f t="shared" si="4"/>
        <v>45339</v>
      </c>
      <c r="C24" s="39">
        <f t="shared" si="1"/>
        <v>1</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45340</v>
      </c>
      <c r="B25" s="37">
        <f t="shared" si="4"/>
        <v>45340</v>
      </c>
      <c r="C25" s="39">
        <f t="shared" si="1"/>
        <v>1</v>
      </c>
      <c r="D25" s="23"/>
      <c r="E25" s="45"/>
      <c r="F25" s="46"/>
      <c r="G25" s="45"/>
      <c r="H25" s="47"/>
      <c r="I25" s="33"/>
      <c r="J25" s="56">
        <f t="shared" ref="J25" si="7">IF((H25-F25)&lt;0,(G25-E25-1)*60+(60+H25-F25),(G25-E25)*60+H25-F25)-I25</f>
        <v>0</v>
      </c>
      <c r="K25" s="60">
        <f>J25/60</f>
        <v>0</v>
      </c>
      <c r="L25" s="25"/>
      <c r="M25" s="67"/>
      <c r="N25" s="68"/>
      <c r="O25" s="68"/>
      <c r="P25" s="69"/>
      <c r="Q25" s="25"/>
      <c r="V25" s="13"/>
    </row>
    <row r="26" spans="1:22" ht="18" customHeight="1" x14ac:dyDescent="0.2">
      <c r="A26" s="22">
        <f t="shared" si="3"/>
        <v>45341</v>
      </c>
      <c r="B26" s="37">
        <f t="shared" si="4"/>
        <v>45341</v>
      </c>
      <c r="C26" s="39">
        <f t="shared" si="1"/>
        <v>0</v>
      </c>
      <c r="D26" s="23"/>
      <c r="E26" s="45">
        <v>9</v>
      </c>
      <c r="F26" s="24">
        <v>0</v>
      </c>
      <c r="G26" s="45">
        <v>19</v>
      </c>
      <c r="H26" s="24">
        <v>0</v>
      </c>
      <c r="I26" s="66">
        <v>60</v>
      </c>
      <c r="J26" s="57">
        <f t="shared" si="0"/>
        <v>540</v>
      </c>
      <c r="K26" s="61">
        <f t="shared" si="2"/>
        <v>9</v>
      </c>
      <c r="L26" s="25"/>
      <c r="M26" s="67"/>
      <c r="N26" s="68"/>
      <c r="O26" s="68"/>
      <c r="P26" s="69"/>
      <c r="Q26" s="25"/>
      <c r="V26" s="13"/>
    </row>
    <row r="27" spans="1:22" ht="18" customHeight="1" x14ac:dyDescent="0.2">
      <c r="A27" s="22">
        <f t="shared" si="3"/>
        <v>45342</v>
      </c>
      <c r="B27" s="37">
        <f t="shared" si="4"/>
        <v>45342</v>
      </c>
      <c r="C27" s="39">
        <f t="shared" si="1"/>
        <v>0</v>
      </c>
      <c r="D27" s="23"/>
      <c r="E27" s="45">
        <v>9</v>
      </c>
      <c r="F27" s="47">
        <v>0</v>
      </c>
      <c r="G27" s="45">
        <v>19</v>
      </c>
      <c r="H27" s="47">
        <v>0</v>
      </c>
      <c r="I27" s="66">
        <v>60</v>
      </c>
      <c r="J27" s="57">
        <f t="shared" si="0"/>
        <v>540</v>
      </c>
      <c r="K27" s="61">
        <f t="shared" si="2"/>
        <v>9</v>
      </c>
      <c r="L27" s="25"/>
      <c r="M27" s="67"/>
      <c r="N27" s="68"/>
      <c r="O27" s="68"/>
      <c r="P27" s="69"/>
      <c r="Q27" s="25"/>
      <c r="V27" s="13"/>
    </row>
    <row r="28" spans="1:22" ht="18" customHeight="1" x14ac:dyDescent="0.2">
      <c r="A28" s="22">
        <f t="shared" si="3"/>
        <v>45343</v>
      </c>
      <c r="B28" s="37">
        <f t="shared" si="4"/>
        <v>45343</v>
      </c>
      <c r="C28" s="39">
        <f t="shared" si="1"/>
        <v>0</v>
      </c>
      <c r="D28" s="23"/>
      <c r="E28" s="45">
        <v>9</v>
      </c>
      <c r="F28" s="24">
        <v>0</v>
      </c>
      <c r="G28" s="45">
        <v>19</v>
      </c>
      <c r="H28" s="24">
        <v>0</v>
      </c>
      <c r="I28" s="66">
        <v>60</v>
      </c>
      <c r="J28" s="57">
        <f t="shared" si="0"/>
        <v>540</v>
      </c>
      <c r="K28" s="61">
        <f t="shared" si="2"/>
        <v>9</v>
      </c>
      <c r="L28" s="25"/>
      <c r="M28" s="67"/>
      <c r="N28" s="68"/>
      <c r="O28" s="68"/>
      <c r="P28" s="69"/>
      <c r="Q28" s="25"/>
      <c r="V28" s="13"/>
    </row>
    <row r="29" spans="1:22" ht="18" customHeight="1" x14ac:dyDescent="0.2">
      <c r="A29" s="22">
        <f t="shared" si="3"/>
        <v>45344</v>
      </c>
      <c r="B29" s="37">
        <f t="shared" si="4"/>
        <v>45344</v>
      </c>
      <c r="C29" s="39">
        <f t="shared" si="1"/>
        <v>0</v>
      </c>
      <c r="D29" s="23"/>
      <c r="E29" s="45">
        <v>9</v>
      </c>
      <c r="F29" s="24">
        <v>0</v>
      </c>
      <c r="G29" s="45">
        <v>19</v>
      </c>
      <c r="H29" s="24">
        <v>0</v>
      </c>
      <c r="I29" s="66">
        <v>60</v>
      </c>
      <c r="J29" s="57">
        <f t="shared" si="0"/>
        <v>540</v>
      </c>
      <c r="K29" s="61">
        <f t="shared" si="2"/>
        <v>9</v>
      </c>
      <c r="L29" s="25"/>
      <c r="M29" s="67"/>
      <c r="N29" s="68"/>
      <c r="O29" s="68"/>
      <c r="P29" s="69"/>
      <c r="Q29" s="25"/>
      <c r="V29" s="13"/>
    </row>
    <row r="30" spans="1:22" ht="18" customHeight="1" x14ac:dyDescent="0.2">
      <c r="A30" s="22">
        <f t="shared" si="3"/>
        <v>45345</v>
      </c>
      <c r="B30" s="37">
        <f t="shared" si="4"/>
        <v>45345</v>
      </c>
      <c r="C30" s="39">
        <f t="shared" si="1"/>
        <v>1</v>
      </c>
      <c r="D30" s="23" t="s">
        <v>32</v>
      </c>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45346</v>
      </c>
      <c r="B31" s="37">
        <f t="shared" si="4"/>
        <v>45346</v>
      </c>
      <c r="C31" s="39">
        <f t="shared" si="1"/>
        <v>1</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45347</v>
      </c>
      <c r="B32" s="37">
        <f t="shared" si="4"/>
        <v>45347</v>
      </c>
      <c r="C32" s="39">
        <f t="shared" si="1"/>
        <v>1</v>
      </c>
      <c r="D32" s="23"/>
      <c r="E32" s="45"/>
      <c r="F32" s="46"/>
      <c r="G32" s="45"/>
      <c r="H32" s="47"/>
      <c r="I32" s="33"/>
      <c r="J32" s="56">
        <f t="shared" ref="J32" si="8">IF((H32-F32)&lt;0,(G32-E32-1)*60+(60+H32-F32),(G32-E32)*60+H32-F32)-I32</f>
        <v>0</v>
      </c>
      <c r="K32" s="60">
        <f>J32/60</f>
        <v>0</v>
      </c>
      <c r="L32" s="25"/>
      <c r="M32" s="67"/>
      <c r="N32" s="68"/>
      <c r="O32" s="68"/>
      <c r="P32" s="69"/>
      <c r="Q32" s="25"/>
      <c r="V32" s="13"/>
    </row>
    <row r="33" spans="1:22" ht="18" customHeight="1" x14ac:dyDescent="0.2">
      <c r="A33" s="22">
        <f t="shared" si="3"/>
        <v>45348</v>
      </c>
      <c r="B33" s="37">
        <f t="shared" si="4"/>
        <v>45348</v>
      </c>
      <c r="C33" s="39">
        <f t="shared" si="1"/>
        <v>0</v>
      </c>
      <c r="D33" s="23"/>
      <c r="E33" s="45">
        <v>9</v>
      </c>
      <c r="F33" s="24">
        <v>0</v>
      </c>
      <c r="G33" s="45">
        <v>19</v>
      </c>
      <c r="H33" s="24">
        <v>0</v>
      </c>
      <c r="I33" s="66">
        <v>60</v>
      </c>
      <c r="J33" s="57">
        <f t="shared" si="0"/>
        <v>540</v>
      </c>
      <c r="K33" s="61">
        <f t="shared" si="2"/>
        <v>9</v>
      </c>
      <c r="L33" s="25"/>
      <c r="M33" s="67"/>
      <c r="N33" s="68"/>
      <c r="O33" s="68"/>
      <c r="P33" s="69"/>
      <c r="Q33" s="25"/>
      <c r="V33" s="13"/>
    </row>
    <row r="34" spans="1:22" ht="18" customHeight="1" x14ac:dyDescent="0.2">
      <c r="A34" s="22">
        <f t="shared" si="3"/>
        <v>45349</v>
      </c>
      <c r="B34" s="37">
        <f t="shared" si="4"/>
        <v>45349</v>
      </c>
      <c r="C34" s="39">
        <f t="shared" si="1"/>
        <v>0</v>
      </c>
      <c r="D34" s="23"/>
      <c r="E34" s="45">
        <v>9</v>
      </c>
      <c r="F34" s="47">
        <v>0</v>
      </c>
      <c r="G34" s="45">
        <v>19</v>
      </c>
      <c r="H34" s="47">
        <v>0</v>
      </c>
      <c r="I34" s="66">
        <v>60</v>
      </c>
      <c r="J34" s="57">
        <f t="shared" si="0"/>
        <v>540</v>
      </c>
      <c r="K34" s="61">
        <f t="shared" si="2"/>
        <v>9</v>
      </c>
      <c r="L34" s="25"/>
      <c r="M34" s="67"/>
      <c r="N34" s="68"/>
      <c r="O34" s="68"/>
      <c r="P34" s="69"/>
      <c r="Q34" s="25"/>
    </row>
    <row r="35" spans="1:22" ht="18" customHeight="1" x14ac:dyDescent="0.2">
      <c r="A35" s="22">
        <f t="shared" si="3"/>
        <v>45350</v>
      </c>
      <c r="B35" s="37">
        <f t="shared" si="4"/>
        <v>45350</v>
      </c>
      <c r="C35" s="39">
        <f t="shared" si="1"/>
        <v>0</v>
      </c>
      <c r="D35" s="23"/>
      <c r="E35" s="45">
        <v>9</v>
      </c>
      <c r="F35" s="24">
        <v>0</v>
      </c>
      <c r="G35" s="45">
        <v>19</v>
      </c>
      <c r="H35" s="24">
        <v>0</v>
      </c>
      <c r="I35" s="66">
        <v>60</v>
      </c>
      <c r="J35" s="57">
        <f t="shared" si="0"/>
        <v>540</v>
      </c>
      <c r="K35" s="61">
        <f t="shared" si="2"/>
        <v>9</v>
      </c>
      <c r="L35" s="25"/>
      <c r="M35" s="67"/>
      <c r="N35" s="68"/>
      <c r="O35" s="68"/>
      <c r="P35" s="69"/>
      <c r="Q35" s="25"/>
    </row>
    <row r="36" spans="1:22" ht="18" customHeight="1" x14ac:dyDescent="0.2">
      <c r="A36" s="22">
        <f>IF($A$35="","",IF(NOT(MONTH($A$35)=MONTH($A$35+1)),"",$A$35+1))</f>
        <v>45351</v>
      </c>
      <c r="B36" s="37">
        <f t="shared" si="4"/>
        <v>45351</v>
      </c>
      <c r="C36" s="39">
        <f t="shared" si="1"/>
        <v>0</v>
      </c>
      <c r="D36" s="23"/>
      <c r="E36" s="45">
        <v>9</v>
      </c>
      <c r="F36" s="24">
        <v>0</v>
      </c>
      <c r="G36" s="45">
        <v>19</v>
      </c>
      <c r="H36" s="24">
        <v>0</v>
      </c>
      <c r="I36" s="66">
        <v>60</v>
      </c>
      <c r="J36" s="57">
        <f t="shared" si="0"/>
        <v>540</v>
      </c>
      <c r="K36" s="61">
        <f t="shared" si="2"/>
        <v>9</v>
      </c>
      <c r="L36" s="25"/>
      <c r="M36" s="67"/>
      <c r="N36" s="68"/>
      <c r="O36" s="68"/>
      <c r="P36" s="69"/>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7"/>
      <c r="N37" s="68"/>
      <c r="O37" s="68"/>
      <c r="P37" s="69"/>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10260</v>
      </c>
      <c r="K39" s="63">
        <f>SUM(K8:K38)</f>
        <v>171</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P38">
    <cfRule type="expression" dxfId="13" priority="4" stopIfTrue="1">
      <formula>$C8&gt;0</formula>
    </cfRule>
  </conditionalFormatting>
  <conditionalFormatting sqref="Q8:Q38">
    <cfRule type="expression" dxfId="1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tabSelected="1" workbookViewId="0">
      <pane ySplit="7" topLeftCell="A8" activePane="bottomLeft" state="frozen"/>
      <selection activeCell="D2" sqref="D2"/>
      <selection pane="bottomLeft" activeCell="M30" sqref="M30:P3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3</v>
      </c>
      <c r="G1" s="1" t="s">
        <v>1</v>
      </c>
    </row>
    <row r="2" spans="1:22" ht="21.9" customHeight="1" thickBot="1" x14ac:dyDescent="0.25"/>
    <row r="3" spans="1:22" ht="21.9" customHeight="1" thickTop="1" thickBot="1" x14ac:dyDescent="0.25">
      <c r="A3" s="75" t="s">
        <v>15</v>
      </c>
      <c r="B3" s="76"/>
      <c r="C3" s="76"/>
      <c r="D3" s="77"/>
      <c r="E3" s="90" t="s">
        <v>41</v>
      </c>
      <c r="F3" s="91"/>
      <c r="G3" s="91"/>
      <c r="H3" s="91"/>
      <c r="I3" s="91"/>
      <c r="J3" s="92"/>
      <c r="K3" s="53"/>
    </row>
    <row r="4" spans="1:22" ht="21.9" customHeight="1" thickTop="1" thickBot="1" x14ac:dyDescent="0.25">
      <c r="A4" s="75" t="s">
        <v>8</v>
      </c>
      <c r="B4" s="76"/>
      <c r="C4" s="76"/>
      <c r="D4" s="77"/>
      <c r="E4" s="90" t="s">
        <v>42</v>
      </c>
      <c r="F4" s="91"/>
      <c r="G4" s="91"/>
      <c r="H4" s="91"/>
      <c r="I4" s="91"/>
      <c r="J4" s="92"/>
      <c r="K4" s="53"/>
    </row>
    <row r="5" spans="1:22" ht="21.9" customHeight="1" thickTop="1" thickBot="1" x14ac:dyDescent="0.25">
      <c r="A5" s="81" t="s">
        <v>2</v>
      </c>
      <c r="B5" s="82"/>
      <c r="C5" s="82"/>
      <c r="D5" s="83"/>
      <c r="E5" s="78" t="s">
        <v>43</v>
      </c>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Q7" s="64" t="s">
        <v>33</v>
      </c>
      <c r="R7" s="16"/>
      <c r="S7" s="17"/>
      <c r="T7" s="18"/>
      <c r="U7" s="19"/>
      <c r="V7" s="19"/>
    </row>
    <row r="8" spans="1:22" ht="18" customHeight="1" x14ac:dyDescent="0.2">
      <c r="A8" s="42">
        <f>IF(D1="","",DATE(D1,F1,1))</f>
        <v>45352</v>
      </c>
      <c r="B8" s="36">
        <f>A8</f>
        <v>45352</v>
      </c>
      <c r="C8" s="43">
        <f>IF(WEEKDAY(A8,2)&gt;5,1,0)+IF(D8&lt;&gt;"",1,0)</f>
        <v>0</v>
      </c>
      <c r="D8" s="44"/>
      <c r="E8" s="20">
        <v>9</v>
      </c>
      <c r="F8" s="31">
        <v>0</v>
      </c>
      <c r="G8" s="20">
        <v>19</v>
      </c>
      <c r="H8" s="24">
        <v>0</v>
      </c>
      <c r="I8" s="34">
        <v>60</v>
      </c>
      <c r="J8" s="57">
        <f t="shared" ref="J8:J38" si="0">IF((H8-F8)&lt;0,(G8-E8-1)*60+(60+H8-F8),(G8-E8)*60+H8-F8)-I8</f>
        <v>540</v>
      </c>
      <c r="K8" s="61">
        <f>J8/60</f>
        <v>9</v>
      </c>
      <c r="L8" s="25"/>
      <c r="M8" s="87"/>
      <c r="N8" s="88"/>
      <c r="O8" s="88"/>
      <c r="P8" s="89"/>
      <c r="Q8" s="21"/>
      <c r="S8" s="14"/>
      <c r="T8" s="6"/>
      <c r="U8" s="6"/>
      <c r="V8" s="6"/>
    </row>
    <row r="9" spans="1:22" ht="18" customHeight="1" x14ac:dyDescent="0.2">
      <c r="A9" s="22">
        <f>IF(A8="","",(A8+1))</f>
        <v>45353</v>
      </c>
      <c r="B9" s="37">
        <f>A9</f>
        <v>45353</v>
      </c>
      <c r="C9" s="39">
        <f t="shared" ref="C9:C38" si="1">IF(WEEKDAY(A9,2)&gt;5,1,0)+IF(D9&lt;&gt;"",1,0)</f>
        <v>1</v>
      </c>
      <c r="D9" s="23"/>
      <c r="E9" s="20"/>
      <c r="F9" s="31"/>
      <c r="G9" s="20"/>
      <c r="H9" s="24"/>
      <c r="I9" s="34"/>
      <c r="J9" s="57">
        <f t="shared" si="0"/>
        <v>0</v>
      </c>
      <c r="K9" s="61">
        <f t="shared" ref="K9:K38" si="2">J9/60</f>
        <v>0</v>
      </c>
      <c r="L9" s="25"/>
      <c r="M9" s="67"/>
      <c r="N9" s="68"/>
      <c r="O9" s="68"/>
      <c r="P9" s="69"/>
      <c r="Q9" s="25"/>
      <c r="S9" s="14"/>
      <c r="T9" s="11"/>
      <c r="U9" s="12"/>
      <c r="V9" s="13"/>
    </row>
    <row r="10" spans="1:22" ht="18" customHeight="1" x14ac:dyDescent="0.2">
      <c r="A10" s="22">
        <f t="shared" ref="A10:A35" si="3">IF(A9="","",(A9+1))</f>
        <v>45354</v>
      </c>
      <c r="B10" s="37">
        <f t="shared" ref="B10:B37" si="4">A10</f>
        <v>45354</v>
      </c>
      <c r="C10" s="39">
        <f t="shared" si="1"/>
        <v>1</v>
      </c>
      <c r="D10" s="23"/>
      <c r="E10" s="20"/>
      <c r="F10" s="31"/>
      <c r="G10" s="20"/>
      <c r="H10" s="24"/>
      <c r="I10" s="34"/>
      <c r="J10" s="57">
        <f t="shared" si="0"/>
        <v>0</v>
      </c>
      <c r="K10" s="61">
        <f t="shared" si="2"/>
        <v>0</v>
      </c>
      <c r="L10" s="25"/>
      <c r="M10" s="67"/>
      <c r="N10" s="68"/>
      <c r="O10" s="68"/>
      <c r="P10" s="69"/>
      <c r="Q10" s="25"/>
      <c r="S10" s="14"/>
      <c r="T10" s="11"/>
      <c r="U10" s="12"/>
      <c r="V10" s="13"/>
    </row>
    <row r="11" spans="1:22" ht="18" customHeight="1" x14ac:dyDescent="0.2">
      <c r="A11" s="22">
        <f t="shared" si="3"/>
        <v>45355</v>
      </c>
      <c r="B11" s="37">
        <f t="shared" si="4"/>
        <v>45355</v>
      </c>
      <c r="C11" s="39">
        <f t="shared" si="1"/>
        <v>0</v>
      </c>
      <c r="D11" s="23"/>
      <c r="E11" s="20">
        <v>9</v>
      </c>
      <c r="F11" s="31">
        <v>0</v>
      </c>
      <c r="G11" s="20">
        <v>19</v>
      </c>
      <c r="H11" s="24">
        <v>0</v>
      </c>
      <c r="I11" s="34">
        <v>60</v>
      </c>
      <c r="J11" s="57">
        <f t="shared" si="0"/>
        <v>540</v>
      </c>
      <c r="K11" s="61">
        <f t="shared" si="2"/>
        <v>9</v>
      </c>
      <c r="L11" s="25"/>
      <c r="M11" s="67"/>
      <c r="N11" s="68"/>
      <c r="O11" s="68"/>
      <c r="P11" s="69"/>
      <c r="Q11" s="25"/>
      <c r="S11" s="14"/>
      <c r="T11" s="11"/>
      <c r="U11" s="12"/>
      <c r="V11" s="13"/>
    </row>
    <row r="12" spans="1:22" ht="18" customHeight="1" x14ac:dyDescent="0.2">
      <c r="A12" s="22">
        <f t="shared" si="3"/>
        <v>45356</v>
      </c>
      <c r="B12" s="37">
        <f t="shared" si="4"/>
        <v>45356</v>
      </c>
      <c r="C12" s="39">
        <f t="shared" si="1"/>
        <v>0</v>
      </c>
      <c r="D12" s="23"/>
      <c r="E12" s="20"/>
      <c r="F12" s="31"/>
      <c r="G12" s="20"/>
      <c r="H12" s="24"/>
      <c r="I12" s="34"/>
      <c r="J12" s="57">
        <f t="shared" si="0"/>
        <v>0</v>
      </c>
      <c r="K12" s="61">
        <f t="shared" si="2"/>
        <v>0</v>
      </c>
      <c r="L12" s="25" t="s">
        <v>13</v>
      </c>
      <c r="M12" s="67"/>
      <c r="N12" s="68"/>
      <c r="O12" s="68"/>
      <c r="P12" s="69"/>
      <c r="Q12" s="25"/>
      <c r="S12" s="14"/>
      <c r="T12" s="11"/>
      <c r="U12" s="12"/>
      <c r="V12" s="13"/>
    </row>
    <row r="13" spans="1:22" ht="18" customHeight="1" x14ac:dyDescent="0.2">
      <c r="A13" s="22">
        <f t="shared" si="3"/>
        <v>45357</v>
      </c>
      <c r="B13" s="37">
        <f t="shared" si="4"/>
        <v>45357</v>
      </c>
      <c r="C13" s="39">
        <f t="shared" si="1"/>
        <v>0</v>
      </c>
      <c r="D13" s="23"/>
      <c r="E13" s="20">
        <v>9</v>
      </c>
      <c r="F13" s="31">
        <v>0</v>
      </c>
      <c r="G13" s="20">
        <v>19</v>
      </c>
      <c r="H13" s="24">
        <v>0</v>
      </c>
      <c r="I13" s="34">
        <v>60</v>
      </c>
      <c r="J13" s="57">
        <f t="shared" si="0"/>
        <v>540</v>
      </c>
      <c r="K13" s="61">
        <f t="shared" si="2"/>
        <v>9</v>
      </c>
      <c r="L13" s="25"/>
      <c r="M13" s="67"/>
      <c r="N13" s="68"/>
      <c r="O13" s="68"/>
      <c r="P13" s="69"/>
      <c r="Q13" s="25"/>
      <c r="S13" s="14"/>
      <c r="T13" s="11"/>
      <c r="U13" s="12"/>
      <c r="V13" s="13"/>
    </row>
    <row r="14" spans="1:22" ht="18" customHeight="1" x14ac:dyDescent="0.2">
      <c r="A14" s="22">
        <f t="shared" si="3"/>
        <v>45358</v>
      </c>
      <c r="B14" s="37">
        <f t="shared" si="4"/>
        <v>45358</v>
      </c>
      <c r="C14" s="39">
        <f t="shared" si="1"/>
        <v>0</v>
      </c>
      <c r="D14" s="23"/>
      <c r="E14" s="20">
        <v>9</v>
      </c>
      <c r="F14" s="31">
        <v>0</v>
      </c>
      <c r="G14" s="20">
        <v>19</v>
      </c>
      <c r="H14" s="24">
        <v>0</v>
      </c>
      <c r="I14" s="34">
        <v>60</v>
      </c>
      <c r="J14" s="57">
        <f t="shared" si="0"/>
        <v>540</v>
      </c>
      <c r="K14" s="61">
        <f t="shared" si="2"/>
        <v>9</v>
      </c>
      <c r="L14" s="25"/>
      <c r="M14" s="67"/>
      <c r="N14" s="68"/>
      <c r="O14" s="68"/>
      <c r="P14" s="69"/>
      <c r="Q14" s="25"/>
      <c r="S14" s="14"/>
      <c r="T14" s="11"/>
      <c r="U14" s="12"/>
      <c r="V14" s="13"/>
    </row>
    <row r="15" spans="1:22" ht="18" customHeight="1" x14ac:dyDescent="0.2">
      <c r="A15" s="22">
        <f t="shared" si="3"/>
        <v>45359</v>
      </c>
      <c r="B15" s="37">
        <f t="shared" si="4"/>
        <v>45359</v>
      </c>
      <c r="C15" s="39">
        <f t="shared" si="1"/>
        <v>0</v>
      </c>
      <c r="D15" s="23"/>
      <c r="E15" s="20">
        <v>9</v>
      </c>
      <c r="F15" s="31">
        <v>0</v>
      </c>
      <c r="G15" s="20">
        <v>19</v>
      </c>
      <c r="H15" s="24">
        <v>0</v>
      </c>
      <c r="I15" s="34">
        <v>60</v>
      </c>
      <c r="J15" s="57">
        <f t="shared" si="0"/>
        <v>540</v>
      </c>
      <c r="K15" s="61">
        <f t="shared" si="2"/>
        <v>9</v>
      </c>
      <c r="L15" s="25"/>
      <c r="M15" s="67"/>
      <c r="N15" s="68"/>
      <c r="O15" s="68"/>
      <c r="P15" s="69"/>
      <c r="Q15" s="25"/>
      <c r="S15" s="14"/>
      <c r="T15" s="11"/>
      <c r="U15" s="12"/>
      <c r="V15" s="13"/>
    </row>
    <row r="16" spans="1:22" ht="18" customHeight="1" x14ac:dyDescent="0.2">
      <c r="A16" s="22">
        <f t="shared" si="3"/>
        <v>45360</v>
      </c>
      <c r="B16" s="37">
        <f t="shared" si="4"/>
        <v>45360</v>
      </c>
      <c r="C16" s="39">
        <f t="shared" si="1"/>
        <v>1</v>
      </c>
      <c r="D16" s="23"/>
      <c r="E16" s="20"/>
      <c r="F16" s="31"/>
      <c r="G16" s="20"/>
      <c r="H16" s="24"/>
      <c r="I16" s="34"/>
      <c r="J16" s="57">
        <f t="shared" si="0"/>
        <v>0</v>
      </c>
      <c r="K16" s="61">
        <f t="shared" si="2"/>
        <v>0</v>
      </c>
      <c r="L16" s="25"/>
      <c r="M16" s="67"/>
      <c r="N16" s="68"/>
      <c r="O16" s="68"/>
      <c r="P16" s="69"/>
      <c r="Q16" s="25"/>
      <c r="S16" s="14"/>
      <c r="T16" s="11"/>
      <c r="U16" s="12"/>
      <c r="V16" s="13"/>
    </row>
    <row r="17" spans="1:22" ht="18" customHeight="1" x14ac:dyDescent="0.2">
      <c r="A17" s="22">
        <f t="shared" si="3"/>
        <v>45361</v>
      </c>
      <c r="B17" s="37">
        <f t="shared" si="4"/>
        <v>45361</v>
      </c>
      <c r="C17" s="39">
        <f t="shared" si="1"/>
        <v>1</v>
      </c>
      <c r="D17" s="23"/>
      <c r="E17" s="20"/>
      <c r="F17" s="31"/>
      <c r="G17" s="20"/>
      <c r="H17" s="24"/>
      <c r="I17" s="34"/>
      <c r="J17" s="57">
        <f t="shared" si="0"/>
        <v>0</v>
      </c>
      <c r="K17" s="61">
        <f t="shared" si="2"/>
        <v>0</v>
      </c>
      <c r="L17" s="25"/>
      <c r="M17" s="67"/>
      <c r="N17" s="68"/>
      <c r="O17" s="68"/>
      <c r="P17" s="69"/>
      <c r="Q17" s="25"/>
      <c r="T17" s="11"/>
      <c r="U17" s="12"/>
      <c r="V17" s="13"/>
    </row>
    <row r="18" spans="1:22" ht="18" customHeight="1" x14ac:dyDescent="0.2">
      <c r="A18" s="22">
        <f t="shared" si="3"/>
        <v>45362</v>
      </c>
      <c r="B18" s="37">
        <f t="shared" si="4"/>
        <v>45362</v>
      </c>
      <c r="C18" s="39">
        <f t="shared" si="1"/>
        <v>0</v>
      </c>
      <c r="D18" s="23"/>
      <c r="E18" s="20">
        <v>9</v>
      </c>
      <c r="F18" s="31">
        <v>0</v>
      </c>
      <c r="G18" s="20">
        <v>19</v>
      </c>
      <c r="H18" s="24">
        <v>0</v>
      </c>
      <c r="I18" s="34">
        <v>60</v>
      </c>
      <c r="J18" s="57">
        <f t="shared" si="0"/>
        <v>540</v>
      </c>
      <c r="K18" s="61">
        <f t="shared" si="2"/>
        <v>9</v>
      </c>
      <c r="L18" s="25"/>
      <c r="M18" s="67"/>
      <c r="N18" s="68"/>
      <c r="O18" s="68"/>
      <c r="P18" s="69"/>
      <c r="Q18" s="25"/>
      <c r="T18" s="11"/>
      <c r="U18" s="12"/>
      <c r="V18" s="13"/>
    </row>
    <row r="19" spans="1:22" ht="18" customHeight="1" x14ac:dyDescent="0.2">
      <c r="A19" s="22">
        <f t="shared" si="3"/>
        <v>45363</v>
      </c>
      <c r="B19" s="37">
        <f t="shared" si="4"/>
        <v>45363</v>
      </c>
      <c r="C19" s="39">
        <f t="shared" si="1"/>
        <v>0</v>
      </c>
      <c r="D19" s="23"/>
      <c r="E19" s="20">
        <v>9</v>
      </c>
      <c r="F19" s="31">
        <v>0</v>
      </c>
      <c r="G19" s="20">
        <v>19</v>
      </c>
      <c r="H19" s="24">
        <v>0</v>
      </c>
      <c r="I19" s="34">
        <v>60</v>
      </c>
      <c r="J19" s="57">
        <f t="shared" si="0"/>
        <v>540</v>
      </c>
      <c r="K19" s="61">
        <f t="shared" si="2"/>
        <v>9</v>
      </c>
      <c r="L19" s="25"/>
      <c r="M19" s="67"/>
      <c r="N19" s="68"/>
      <c r="O19" s="68"/>
      <c r="P19" s="69"/>
      <c r="Q19" s="25"/>
      <c r="V19" s="13"/>
    </row>
    <row r="20" spans="1:22" ht="18" customHeight="1" x14ac:dyDescent="0.2">
      <c r="A20" s="22">
        <f t="shared" si="3"/>
        <v>45364</v>
      </c>
      <c r="B20" s="37">
        <f t="shared" si="4"/>
        <v>45364</v>
      </c>
      <c r="C20" s="39">
        <f t="shared" si="1"/>
        <v>0</v>
      </c>
      <c r="D20" s="23"/>
      <c r="E20" s="20">
        <v>9</v>
      </c>
      <c r="F20" s="31">
        <v>0</v>
      </c>
      <c r="G20" s="20">
        <v>19</v>
      </c>
      <c r="H20" s="24">
        <v>0</v>
      </c>
      <c r="I20" s="34">
        <v>60</v>
      </c>
      <c r="J20" s="57">
        <f t="shared" si="0"/>
        <v>540</v>
      </c>
      <c r="K20" s="61">
        <f t="shared" si="2"/>
        <v>9</v>
      </c>
      <c r="L20" s="25"/>
      <c r="M20" s="67"/>
      <c r="N20" s="68"/>
      <c r="O20" s="68"/>
      <c r="P20" s="69"/>
      <c r="Q20" s="25"/>
      <c r="V20" s="13"/>
    </row>
    <row r="21" spans="1:22" ht="18" customHeight="1" x14ac:dyDescent="0.2">
      <c r="A21" s="22">
        <f t="shared" si="3"/>
        <v>45365</v>
      </c>
      <c r="B21" s="37">
        <f t="shared" si="4"/>
        <v>45365</v>
      </c>
      <c r="C21" s="39">
        <f t="shared" si="1"/>
        <v>0</v>
      </c>
      <c r="D21" s="23"/>
      <c r="E21" s="20">
        <v>9</v>
      </c>
      <c r="F21" s="31">
        <v>0</v>
      </c>
      <c r="G21" s="20">
        <v>19</v>
      </c>
      <c r="H21" s="24">
        <v>0</v>
      </c>
      <c r="I21" s="34">
        <v>60</v>
      </c>
      <c r="J21" s="57">
        <f t="shared" si="0"/>
        <v>540</v>
      </c>
      <c r="K21" s="61">
        <f t="shared" si="2"/>
        <v>9</v>
      </c>
      <c r="L21" s="25"/>
      <c r="M21" s="67"/>
      <c r="N21" s="68"/>
      <c r="O21" s="68"/>
      <c r="P21" s="69"/>
      <c r="Q21" s="25"/>
      <c r="V21" s="13"/>
    </row>
    <row r="22" spans="1:22" ht="18" customHeight="1" x14ac:dyDescent="0.2">
      <c r="A22" s="22">
        <f t="shared" si="3"/>
        <v>45366</v>
      </c>
      <c r="B22" s="37">
        <f t="shared" si="4"/>
        <v>45366</v>
      </c>
      <c r="C22" s="39">
        <f t="shared" si="1"/>
        <v>0</v>
      </c>
      <c r="D22" s="23"/>
      <c r="E22" s="20">
        <v>9</v>
      </c>
      <c r="F22" s="31">
        <v>0</v>
      </c>
      <c r="G22" s="20">
        <v>19</v>
      </c>
      <c r="H22" s="24">
        <v>0</v>
      </c>
      <c r="I22" s="34">
        <v>60</v>
      </c>
      <c r="J22" s="57">
        <f t="shared" si="0"/>
        <v>540</v>
      </c>
      <c r="K22" s="61">
        <f t="shared" si="2"/>
        <v>9</v>
      </c>
      <c r="L22" s="25"/>
      <c r="M22" s="67"/>
      <c r="N22" s="68"/>
      <c r="O22" s="68"/>
      <c r="P22" s="69"/>
      <c r="Q22" s="25"/>
      <c r="V22" s="13"/>
    </row>
    <row r="23" spans="1:22" ht="18" customHeight="1" x14ac:dyDescent="0.2">
      <c r="A23" s="22">
        <f t="shared" si="3"/>
        <v>45367</v>
      </c>
      <c r="B23" s="37">
        <f t="shared" si="4"/>
        <v>45367</v>
      </c>
      <c r="C23" s="39">
        <f t="shared" si="1"/>
        <v>1</v>
      </c>
      <c r="D23" s="23"/>
      <c r="E23" s="20"/>
      <c r="F23" s="31"/>
      <c r="G23" s="20"/>
      <c r="H23" s="24"/>
      <c r="I23" s="34"/>
      <c r="J23" s="57">
        <f t="shared" si="0"/>
        <v>0</v>
      </c>
      <c r="K23" s="61">
        <f t="shared" si="2"/>
        <v>0</v>
      </c>
      <c r="L23" s="25"/>
      <c r="M23" s="67"/>
      <c r="N23" s="68"/>
      <c r="O23" s="68"/>
      <c r="P23" s="69"/>
      <c r="Q23" s="25"/>
      <c r="V23" s="13"/>
    </row>
    <row r="24" spans="1:22" ht="18" customHeight="1" x14ac:dyDescent="0.2">
      <c r="A24" s="22">
        <f t="shared" si="3"/>
        <v>45368</v>
      </c>
      <c r="B24" s="37">
        <f t="shared" si="4"/>
        <v>45368</v>
      </c>
      <c r="C24" s="39">
        <f t="shared" si="1"/>
        <v>1</v>
      </c>
      <c r="D24" s="23"/>
      <c r="E24" s="20"/>
      <c r="F24" s="31"/>
      <c r="G24" s="20"/>
      <c r="H24" s="24"/>
      <c r="I24" s="34"/>
      <c r="J24" s="57">
        <f t="shared" si="0"/>
        <v>0</v>
      </c>
      <c r="K24" s="61">
        <f t="shared" si="2"/>
        <v>0</v>
      </c>
      <c r="L24" s="25"/>
      <c r="M24" s="67"/>
      <c r="N24" s="68"/>
      <c r="O24" s="68"/>
      <c r="P24" s="69"/>
      <c r="Q24" s="25"/>
      <c r="V24" s="13"/>
    </row>
    <row r="25" spans="1:22" ht="18" customHeight="1" x14ac:dyDescent="0.2">
      <c r="A25" s="22">
        <f t="shared" si="3"/>
        <v>45369</v>
      </c>
      <c r="B25" s="37">
        <f t="shared" si="4"/>
        <v>45369</v>
      </c>
      <c r="C25" s="39">
        <f t="shared" si="1"/>
        <v>0</v>
      </c>
      <c r="D25" s="23"/>
      <c r="E25" s="20">
        <v>9</v>
      </c>
      <c r="F25" s="31">
        <v>0</v>
      </c>
      <c r="G25" s="20">
        <v>19</v>
      </c>
      <c r="H25" s="24">
        <v>0</v>
      </c>
      <c r="I25" s="34">
        <v>60</v>
      </c>
      <c r="J25" s="57">
        <f t="shared" si="0"/>
        <v>540</v>
      </c>
      <c r="K25" s="61">
        <f t="shared" si="2"/>
        <v>9</v>
      </c>
      <c r="L25" s="25"/>
      <c r="M25" s="67"/>
      <c r="N25" s="68"/>
      <c r="O25" s="68"/>
      <c r="P25" s="69"/>
      <c r="Q25" s="25"/>
      <c r="V25" s="13"/>
    </row>
    <row r="26" spans="1:22" ht="18" customHeight="1" x14ac:dyDescent="0.2">
      <c r="A26" s="22">
        <f t="shared" si="3"/>
        <v>45370</v>
      </c>
      <c r="B26" s="37">
        <f t="shared" si="4"/>
        <v>45370</v>
      </c>
      <c r="C26" s="39">
        <f t="shared" si="1"/>
        <v>0</v>
      </c>
      <c r="D26" s="23"/>
      <c r="E26" s="20">
        <v>9</v>
      </c>
      <c r="F26" s="31">
        <v>0</v>
      </c>
      <c r="G26" s="20">
        <v>19</v>
      </c>
      <c r="H26" s="24">
        <v>0</v>
      </c>
      <c r="I26" s="34">
        <v>60</v>
      </c>
      <c r="J26" s="57">
        <f t="shared" si="0"/>
        <v>540</v>
      </c>
      <c r="K26" s="61">
        <f t="shared" si="2"/>
        <v>9</v>
      </c>
      <c r="L26" s="25"/>
      <c r="M26" s="67"/>
      <c r="N26" s="68"/>
      <c r="O26" s="68"/>
      <c r="P26" s="69"/>
      <c r="Q26" s="25"/>
      <c r="V26" s="13"/>
    </row>
    <row r="27" spans="1:22" ht="18" customHeight="1" x14ac:dyDescent="0.2">
      <c r="A27" s="22">
        <f t="shared" si="3"/>
        <v>45371</v>
      </c>
      <c r="B27" s="37">
        <f t="shared" si="4"/>
        <v>45371</v>
      </c>
      <c r="C27" s="39">
        <f t="shared" si="1"/>
        <v>1</v>
      </c>
      <c r="D27" s="23" t="s">
        <v>27</v>
      </c>
      <c r="E27" s="20"/>
      <c r="F27" s="31"/>
      <c r="G27" s="20"/>
      <c r="H27" s="24"/>
      <c r="I27" s="34"/>
      <c r="J27" s="57">
        <f t="shared" si="0"/>
        <v>0</v>
      </c>
      <c r="K27" s="61">
        <f t="shared" si="2"/>
        <v>0</v>
      </c>
      <c r="L27" s="25"/>
      <c r="M27" s="67"/>
      <c r="N27" s="68"/>
      <c r="O27" s="68"/>
      <c r="P27" s="69"/>
      <c r="Q27" s="25"/>
      <c r="V27" s="13"/>
    </row>
    <row r="28" spans="1:22" ht="18" customHeight="1" x14ac:dyDescent="0.2">
      <c r="A28" s="22">
        <f t="shared" si="3"/>
        <v>45372</v>
      </c>
      <c r="B28" s="37">
        <f t="shared" si="4"/>
        <v>45372</v>
      </c>
      <c r="C28" s="39">
        <f t="shared" si="1"/>
        <v>0</v>
      </c>
      <c r="D28" s="23"/>
      <c r="E28" s="20">
        <v>9</v>
      </c>
      <c r="F28" s="31">
        <v>0</v>
      </c>
      <c r="G28" s="20">
        <v>19</v>
      </c>
      <c r="H28" s="24">
        <v>0</v>
      </c>
      <c r="I28" s="34">
        <v>60</v>
      </c>
      <c r="J28" s="57">
        <f t="shared" si="0"/>
        <v>540</v>
      </c>
      <c r="K28" s="61">
        <f t="shared" si="2"/>
        <v>9</v>
      </c>
      <c r="L28" s="25"/>
      <c r="M28" s="67"/>
      <c r="N28" s="68"/>
      <c r="O28" s="68"/>
      <c r="P28" s="69"/>
      <c r="Q28" s="25"/>
      <c r="V28" s="13"/>
    </row>
    <row r="29" spans="1:22" ht="18" customHeight="1" x14ac:dyDescent="0.2">
      <c r="A29" s="22">
        <f t="shared" si="3"/>
        <v>45373</v>
      </c>
      <c r="B29" s="37">
        <f t="shared" si="4"/>
        <v>45373</v>
      </c>
      <c r="C29" s="39">
        <f t="shared" si="1"/>
        <v>0</v>
      </c>
      <c r="D29" s="23"/>
      <c r="E29" s="20">
        <v>9</v>
      </c>
      <c r="F29" s="31">
        <v>0</v>
      </c>
      <c r="G29" s="20">
        <v>19</v>
      </c>
      <c r="H29" s="24">
        <v>0</v>
      </c>
      <c r="I29" s="34">
        <v>60</v>
      </c>
      <c r="J29" s="57">
        <f t="shared" si="0"/>
        <v>540</v>
      </c>
      <c r="K29" s="61">
        <f t="shared" si="2"/>
        <v>9</v>
      </c>
      <c r="L29" s="25"/>
      <c r="M29" s="67"/>
      <c r="N29" s="68"/>
      <c r="O29" s="68"/>
      <c r="P29" s="69"/>
      <c r="Q29" s="25"/>
      <c r="V29" s="13"/>
    </row>
    <row r="30" spans="1:22" ht="18" customHeight="1" x14ac:dyDescent="0.2">
      <c r="A30" s="22">
        <f t="shared" si="3"/>
        <v>45374</v>
      </c>
      <c r="B30" s="37">
        <f t="shared" si="4"/>
        <v>45374</v>
      </c>
      <c r="C30" s="39">
        <f t="shared" si="1"/>
        <v>1</v>
      </c>
      <c r="D30" s="23"/>
      <c r="E30" s="20"/>
      <c r="F30" s="31"/>
      <c r="G30" s="20"/>
      <c r="H30" s="24"/>
      <c r="I30" s="34"/>
      <c r="J30" s="57">
        <f t="shared" si="0"/>
        <v>0</v>
      </c>
      <c r="K30" s="61">
        <f t="shared" si="2"/>
        <v>0</v>
      </c>
      <c r="L30" s="25"/>
      <c r="M30" s="67"/>
      <c r="N30" s="68"/>
      <c r="O30" s="68"/>
      <c r="P30" s="69"/>
      <c r="Q30" s="25"/>
      <c r="V30" s="13"/>
    </row>
    <row r="31" spans="1:22" ht="18" customHeight="1" x14ac:dyDescent="0.2">
      <c r="A31" s="22">
        <f t="shared" si="3"/>
        <v>45375</v>
      </c>
      <c r="B31" s="37">
        <f t="shared" si="4"/>
        <v>45375</v>
      </c>
      <c r="C31" s="39">
        <f t="shared" si="1"/>
        <v>1</v>
      </c>
      <c r="D31" s="23"/>
      <c r="E31" s="20"/>
      <c r="F31" s="31"/>
      <c r="G31" s="20"/>
      <c r="H31" s="24"/>
      <c r="I31" s="34"/>
      <c r="J31" s="57">
        <f t="shared" si="0"/>
        <v>0</v>
      </c>
      <c r="K31" s="61">
        <f t="shared" si="2"/>
        <v>0</v>
      </c>
      <c r="L31" s="25"/>
      <c r="M31" s="67"/>
      <c r="N31" s="68"/>
      <c r="O31" s="68"/>
      <c r="P31" s="69"/>
      <c r="Q31" s="25"/>
      <c r="V31" s="13"/>
    </row>
    <row r="32" spans="1:22" ht="18" customHeight="1" x14ac:dyDescent="0.2">
      <c r="A32" s="22">
        <f t="shared" si="3"/>
        <v>45376</v>
      </c>
      <c r="B32" s="37">
        <f t="shared" si="4"/>
        <v>45376</v>
      </c>
      <c r="C32" s="39">
        <f t="shared" si="1"/>
        <v>0</v>
      </c>
      <c r="D32" s="23"/>
      <c r="E32" s="20">
        <v>9</v>
      </c>
      <c r="F32" s="31">
        <v>0</v>
      </c>
      <c r="G32" s="20">
        <v>19</v>
      </c>
      <c r="H32" s="24">
        <v>0</v>
      </c>
      <c r="I32" s="34">
        <v>60</v>
      </c>
      <c r="J32" s="57">
        <f t="shared" si="0"/>
        <v>540</v>
      </c>
      <c r="K32" s="61">
        <f t="shared" si="2"/>
        <v>9</v>
      </c>
      <c r="L32" s="25"/>
      <c r="M32" s="67"/>
      <c r="N32" s="68"/>
      <c r="O32" s="68"/>
      <c r="P32" s="69"/>
      <c r="Q32" s="25"/>
      <c r="V32" s="13"/>
    </row>
    <row r="33" spans="1:22" ht="18" customHeight="1" x14ac:dyDescent="0.2">
      <c r="A33" s="22">
        <f t="shared" si="3"/>
        <v>45377</v>
      </c>
      <c r="B33" s="37">
        <f t="shared" si="4"/>
        <v>45377</v>
      </c>
      <c r="C33" s="39">
        <f t="shared" si="1"/>
        <v>0</v>
      </c>
      <c r="D33" s="23"/>
      <c r="E33" s="20">
        <v>9</v>
      </c>
      <c r="F33" s="31">
        <v>0</v>
      </c>
      <c r="G33" s="20">
        <v>19</v>
      </c>
      <c r="H33" s="24">
        <v>0</v>
      </c>
      <c r="I33" s="34">
        <v>60</v>
      </c>
      <c r="J33" s="57">
        <f t="shared" si="0"/>
        <v>540</v>
      </c>
      <c r="K33" s="61">
        <f t="shared" si="2"/>
        <v>9</v>
      </c>
      <c r="L33" s="25"/>
      <c r="M33" s="67"/>
      <c r="N33" s="68"/>
      <c r="O33" s="68"/>
      <c r="P33" s="69"/>
      <c r="Q33" s="25"/>
      <c r="V33" s="13"/>
    </row>
    <row r="34" spans="1:22" ht="18" customHeight="1" x14ac:dyDescent="0.2">
      <c r="A34" s="22">
        <f t="shared" si="3"/>
        <v>45378</v>
      </c>
      <c r="B34" s="37">
        <f t="shared" si="4"/>
        <v>45378</v>
      </c>
      <c r="C34" s="39">
        <f t="shared" si="1"/>
        <v>0</v>
      </c>
      <c r="D34" s="23"/>
      <c r="E34" s="20">
        <v>9</v>
      </c>
      <c r="F34" s="31">
        <v>0</v>
      </c>
      <c r="G34" s="20">
        <v>19</v>
      </c>
      <c r="H34" s="24">
        <v>0</v>
      </c>
      <c r="I34" s="34">
        <v>60</v>
      </c>
      <c r="J34" s="57">
        <f t="shared" si="0"/>
        <v>540</v>
      </c>
      <c r="K34" s="61">
        <f t="shared" si="2"/>
        <v>9</v>
      </c>
      <c r="L34" s="25"/>
      <c r="M34" s="67"/>
      <c r="N34" s="68"/>
      <c r="O34" s="68"/>
      <c r="P34" s="69"/>
      <c r="Q34" s="25"/>
    </row>
    <row r="35" spans="1:22" ht="18" customHeight="1" x14ac:dyDescent="0.2">
      <c r="A35" s="22">
        <f t="shared" si="3"/>
        <v>45379</v>
      </c>
      <c r="B35" s="37">
        <f t="shared" si="4"/>
        <v>45379</v>
      </c>
      <c r="C35" s="39">
        <f t="shared" si="1"/>
        <v>0</v>
      </c>
      <c r="D35" s="23"/>
      <c r="E35" s="20">
        <v>9</v>
      </c>
      <c r="F35" s="31">
        <v>0</v>
      </c>
      <c r="G35" s="20">
        <v>19</v>
      </c>
      <c r="H35" s="24">
        <v>0</v>
      </c>
      <c r="I35" s="34">
        <v>60</v>
      </c>
      <c r="J35" s="57">
        <f t="shared" si="0"/>
        <v>540</v>
      </c>
      <c r="K35" s="61">
        <f t="shared" si="2"/>
        <v>9</v>
      </c>
      <c r="L35" s="25"/>
      <c r="M35" s="67"/>
      <c r="N35" s="68"/>
      <c r="O35" s="68"/>
      <c r="P35" s="69"/>
      <c r="Q35" s="25"/>
    </row>
    <row r="36" spans="1:22" ht="18" customHeight="1" x14ac:dyDescent="0.2">
      <c r="A36" s="22">
        <f>IF($A$35="","",IF(NOT(MONTH($A$35)=MONTH($A$35+1)),"",$A$35+1))</f>
        <v>45380</v>
      </c>
      <c r="B36" s="37">
        <f t="shared" si="4"/>
        <v>45380</v>
      </c>
      <c r="C36" s="39">
        <f t="shared" si="1"/>
        <v>0</v>
      </c>
      <c r="D36" s="23"/>
      <c r="E36" s="20">
        <v>9</v>
      </c>
      <c r="F36" s="31">
        <v>0</v>
      </c>
      <c r="G36" s="20">
        <v>19</v>
      </c>
      <c r="H36" s="24">
        <v>0</v>
      </c>
      <c r="I36" s="34">
        <v>60</v>
      </c>
      <c r="J36" s="57">
        <f t="shared" si="0"/>
        <v>540</v>
      </c>
      <c r="K36" s="61">
        <f t="shared" si="2"/>
        <v>9</v>
      </c>
      <c r="L36" s="25"/>
      <c r="M36" s="67"/>
      <c r="N36" s="68"/>
      <c r="O36" s="68"/>
      <c r="P36" s="69"/>
      <c r="Q36" s="25"/>
    </row>
    <row r="37" spans="1:22" ht="18" customHeight="1" x14ac:dyDescent="0.2">
      <c r="A37" s="22">
        <f>IF($A$35="","",IF(NOT(MONTH($A$35)=MONTH($A$35+2)),"",$A$35+2))</f>
        <v>45381</v>
      </c>
      <c r="B37" s="37">
        <f t="shared" si="4"/>
        <v>45381</v>
      </c>
      <c r="C37" s="39">
        <f t="shared" si="1"/>
        <v>1</v>
      </c>
      <c r="D37" s="23"/>
      <c r="E37" s="20"/>
      <c r="F37" s="31"/>
      <c r="G37" s="20"/>
      <c r="H37" s="24"/>
      <c r="I37" s="34"/>
      <c r="J37" s="57">
        <f t="shared" si="0"/>
        <v>0</v>
      </c>
      <c r="K37" s="61">
        <f t="shared" si="2"/>
        <v>0</v>
      </c>
      <c r="L37" s="25"/>
      <c r="M37" s="67"/>
      <c r="N37" s="68"/>
      <c r="O37" s="68"/>
      <c r="P37" s="69"/>
      <c r="Q37" s="25"/>
    </row>
    <row r="38" spans="1:22" ht="18" customHeight="1" thickBot="1" x14ac:dyDescent="0.25">
      <c r="A38" s="26">
        <f>IF($A$35="","",IF(NOT(MONTH($A$35)=MONTH($A$35+3)),"",$A$35+3))</f>
        <v>45382</v>
      </c>
      <c r="B38" s="38">
        <f>A38</f>
        <v>45382</v>
      </c>
      <c r="C38" s="40">
        <f t="shared" si="1"/>
        <v>1</v>
      </c>
      <c r="D38" s="27"/>
      <c r="E38" s="28"/>
      <c r="F38" s="32"/>
      <c r="G38" s="28"/>
      <c r="H38" s="29"/>
      <c r="I38" s="35"/>
      <c r="J38" s="58">
        <f t="shared" si="0"/>
        <v>0</v>
      </c>
      <c r="K38" s="62">
        <f t="shared" si="2"/>
        <v>0</v>
      </c>
      <c r="L38" s="30"/>
      <c r="M38" s="70"/>
      <c r="N38" s="71"/>
      <c r="O38" s="71"/>
      <c r="P38" s="72"/>
      <c r="Q38" s="30"/>
    </row>
    <row r="39" spans="1:22" ht="18.75" customHeight="1" thickTop="1" thickBot="1" x14ac:dyDescent="0.25">
      <c r="A39" s="9"/>
      <c r="B39" s="9"/>
      <c r="C39" s="9"/>
      <c r="D39" s="10"/>
      <c r="E39" s="9"/>
      <c r="F39" s="9"/>
      <c r="G39" s="9"/>
      <c r="H39" s="73" t="s">
        <v>14</v>
      </c>
      <c r="I39" s="74"/>
      <c r="J39" s="54">
        <f>SUM(J8:J38)</f>
        <v>10260</v>
      </c>
      <c r="K39" s="63">
        <f>SUM(K8:K38)</f>
        <v>171</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9:I10 A8:D8 A16:I17 A11:D15 A18:D22 A23:I24 A27:H27 A25:D26 A30:I31 A28:D29 A37:I38 A32:D36">
    <cfRule type="expression" dxfId="11" priority="10" stopIfTrue="1">
      <formula>$C8&gt;0</formula>
    </cfRule>
  </conditionalFormatting>
  <conditionalFormatting sqref="I27">
    <cfRule type="expression" dxfId="10" priority="9" stopIfTrue="1">
      <formula>$C27&gt;0</formula>
    </cfRule>
  </conditionalFormatting>
  <conditionalFormatting sqref="Q8:Q38">
    <cfRule type="expression" dxfId="9" priority="7" stopIfTrue="1">
      <formula>$C8&gt;0</formula>
    </cfRule>
  </conditionalFormatting>
  <conditionalFormatting sqref="E8:I8">
    <cfRule type="expression" dxfId="8" priority="6" stopIfTrue="1">
      <formula>$C8&gt;0</formula>
    </cfRule>
  </conditionalFormatting>
  <conditionalFormatting sqref="E11:I15">
    <cfRule type="expression" dxfId="7" priority="5" stopIfTrue="1">
      <formula>$C11&gt;0</formula>
    </cfRule>
  </conditionalFormatting>
  <conditionalFormatting sqref="E18:I22">
    <cfRule type="expression" dxfId="6" priority="4" stopIfTrue="1">
      <formula>$C18&gt;0</formula>
    </cfRule>
  </conditionalFormatting>
  <conditionalFormatting sqref="E25:I26">
    <cfRule type="expression" dxfId="5" priority="3" stopIfTrue="1">
      <formula>$C25&gt;0</formula>
    </cfRule>
  </conditionalFormatting>
  <conditionalFormatting sqref="E28:I29">
    <cfRule type="expression" dxfId="4" priority="2" stopIfTrue="1">
      <formula>$C28&gt;0</formula>
    </cfRule>
  </conditionalFormatting>
  <conditionalFormatting sqref="E32:I36">
    <cfRule type="expression" dxfId="3" priority="1" stopIfTrue="1">
      <formula>$C32&gt;0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8"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75" t="s">
        <v>15</v>
      </c>
      <c r="B3" s="76"/>
      <c r="C3" s="76"/>
      <c r="D3" s="77"/>
      <c r="E3" s="78" t="s">
        <v>24</v>
      </c>
      <c r="F3" s="79"/>
      <c r="G3" s="79"/>
      <c r="H3" s="79"/>
      <c r="I3" s="79"/>
      <c r="J3" s="80"/>
      <c r="K3" s="53"/>
    </row>
    <row r="4" spans="1:22" ht="21.9" customHeight="1" thickTop="1" thickBot="1" x14ac:dyDescent="0.25">
      <c r="A4" s="75" t="s">
        <v>8</v>
      </c>
      <c r="B4" s="76"/>
      <c r="C4" s="76"/>
      <c r="D4" s="77"/>
      <c r="E4" s="78" t="s">
        <v>25</v>
      </c>
      <c r="F4" s="79"/>
      <c r="G4" s="79"/>
      <c r="H4" s="79"/>
      <c r="I4" s="79"/>
      <c r="J4" s="80"/>
      <c r="K4" s="53"/>
    </row>
    <row r="5" spans="1:22" ht="21.9" customHeight="1" thickTop="1" thickBot="1" x14ac:dyDescent="0.25">
      <c r="A5" s="81" t="s">
        <v>2</v>
      </c>
      <c r="B5" s="82"/>
      <c r="C5" s="82"/>
      <c r="D5" s="83"/>
      <c r="E5" s="78" t="s">
        <v>26</v>
      </c>
      <c r="F5" s="79"/>
      <c r="G5" s="79"/>
      <c r="H5" s="79"/>
      <c r="I5" s="79"/>
      <c r="J5" s="80"/>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4" t="s">
        <v>4</v>
      </c>
      <c r="F7" s="85"/>
      <c r="G7" s="84" t="s">
        <v>5</v>
      </c>
      <c r="H7" s="86"/>
      <c r="I7" s="51" t="s">
        <v>9</v>
      </c>
      <c r="J7" s="55" t="s">
        <v>10</v>
      </c>
      <c r="K7" s="59" t="s">
        <v>21</v>
      </c>
      <c r="L7" s="52" t="s">
        <v>6</v>
      </c>
      <c r="M7" s="84" t="s">
        <v>7</v>
      </c>
      <c r="N7" s="85"/>
      <c r="O7" s="85"/>
      <c r="P7" s="86"/>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7"/>
      <c r="N8" s="88"/>
      <c r="O8" s="88"/>
      <c r="P8" s="89"/>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7"/>
      <c r="N9" s="68"/>
      <c r="O9" s="68"/>
      <c r="P9" s="69"/>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7"/>
      <c r="N10" s="68"/>
      <c r="O10" s="68"/>
      <c r="P10" s="69"/>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7"/>
      <c r="N11" s="68"/>
      <c r="O11" s="68"/>
      <c r="P11" s="69"/>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7"/>
      <c r="N12" s="68"/>
      <c r="O12" s="68"/>
      <c r="P12" s="69"/>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7"/>
      <c r="N13" s="68"/>
      <c r="O13" s="68"/>
      <c r="P13" s="69"/>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7"/>
      <c r="N14" s="68"/>
      <c r="O14" s="68"/>
      <c r="P14" s="69"/>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7"/>
      <c r="N15" s="68"/>
      <c r="O15" s="68"/>
      <c r="P15" s="69"/>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7"/>
      <c r="N16" s="68"/>
      <c r="O16" s="68"/>
      <c r="P16" s="69"/>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7"/>
      <c r="N17" s="68"/>
      <c r="O17" s="68"/>
      <c r="P17" s="69"/>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7" t="s">
        <v>23</v>
      </c>
      <c r="N18" s="68"/>
      <c r="O18" s="68"/>
      <c r="P18" s="69"/>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7"/>
      <c r="N19" s="68"/>
      <c r="O19" s="68"/>
      <c r="P19" s="69"/>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7"/>
      <c r="N20" s="68"/>
      <c r="O20" s="68"/>
      <c r="P20" s="69"/>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7"/>
      <c r="N21" s="68"/>
      <c r="O21" s="68"/>
      <c r="P21" s="69"/>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7"/>
      <c r="N22" s="68"/>
      <c r="O22" s="68"/>
      <c r="P22" s="69"/>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7"/>
      <c r="N23" s="68"/>
      <c r="O23" s="68"/>
      <c r="P23" s="69"/>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7"/>
      <c r="N24" s="68"/>
      <c r="O24" s="68"/>
      <c r="P24" s="69"/>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7" t="s">
        <v>23</v>
      </c>
      <c r="N25" s="68"/>
      <c r="O25" s="68"/>
      <c r="P25" s="69"/>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7"/>
      <c r="N26" s="68"/>
      <c r="O26" s="68"/>
      <c r="P26" s="69"/>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7"/>
      <c r="N27" s="68"/>
      <c r="O27" s="68"/>
      <c r="P27" s="69"/>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7"/>
      <c r="N28" s="68"/>
      <c r="O28" s="68"/>
      <c r="P28" s="69"/>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7"/>
      <c r="N29" s="68"/>
      <c r="O29" s="68"/>
      <c r="P29" s="69"/>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7"/>
      <c r="N30" s="68"/>
      <c r="O30" s="68"/>
      <c r="P30" s="69"/>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7"/>
      <c r="N31" s="68"/>
      <c r="O31" s="68"/>
      <c r="P31" s="69"/>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7"/>
      <c r="N32" s="68"/>
      <c r="O32" s="68"/>
      <c r="P32" s="69"/>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7"/>
      <c r="N33" s="68"/>
      <c r="O33" s="68"/>
      <c r="P33" s="69"/>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7"/>
      <c r="N34" s="68"/>
      <c r="O34" s="68"/>
      <c r="P34" s="69"/>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7"/>
      <c r="N35" s="68"/>
      <c r="O35" s="68"/>
      <c r="P35" s="69"/>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7"/>
      <c r="N36" s="68"/>
      <c r="O36" s="68"/>
      <c r="P36" s="69"/>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7"/>
      <c r="N37" s="68"/>
      <c r="O37" s="68"/>
      <c r="P37" s="69"/>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70"/>
      <c r="N38" s="71"/>
      <c r="O38" s="71"/>
      <c r="P38" s="72"/>
    </row>
    <row r="39" spans="1:22" ht="18.75" customHeight="1" thickTop="1" thickBot="1" x14ac:dyDescent="0.25">
      <c r="A39" s="9"/>
      <c r="B39" s="9"/>
      <c r="C39" s="9"/>
      <c r="D39" s="10"/>
      <c r="E39" s="9"/>
      <c r="F39" s="9"/>
      <c r="G39" s="9"/>
      <c r="H39" s="73" t="s">
        <v>14</v>
      </c>
      <c r="I39" s="74"/>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福田 千秋</cp:lastModifiedBy>
  <cp:lastPrinted>2013-10-31T09:10:48Z</cp:lastPrinted>
  <dcterms:created xsi:type="dcterms:W3CDTF">2000-11-07T00:59:05Z</dcterms:created>
  <dcterms:modified xsi:type="dcterms:W3CDTF">2024-03-11T01:50:02Z</dcterms:modified>
</cp:coreProperties>
</file>