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B84FD60E-070D-47B0-924F-8B9B2E8C0C9F}" xr6:coauthVersionLast="47" xr6:coauthVersionMax="47" xr10:uidLastSave="{00000000-0000-0000-0000-000000000000}"/>
  <bookViews>
    <workbookView xWindow="-108" yWindow="-108" windowWidth="23256" windowHeight="12456" tabRatio="732" activeTab="8"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7" i="25" l="1"/>
  <c r="K37" i="25" s="1"/>
  <c r="J36" i="17"/>
  <c r="K36" i="17" s="1"/>
  <c r="J35" i="17"/>
  <c r="K35" i="17" s="1"/>
  <c r="J34" i="17"/>
  <c r="K34" i="17" s="1"/>
  <c r="J33" i="17"/>
  <c r="K33" i="17" s="1"/>
  <c r="J32" i="17"/>
  <c r="K32" i="17" s="1"/>
  <c r="J29" i="17"/>
  <c r="K29" i="17" s="1"/>
  <c r="K28" i="17"/>
  <c r="J28" i="17"/>
  <c r="J26" i="17"/>
  <c r="K26" i="17" s="1"/>
  <c r="J27" i="17"/>
  <c r="K27" i="17" s="1"/>
  <c r="J25" i="17"/>
  <c r="K25" i="17" s="1"/>
  <c r="J22" i="17"/>
  <c r="K22" i="17" s="1"/>
  <c r="J21" i="17"/>
  <c r="K21" i="17" s="1"/>
  <c r="J20" i="17"/>
  <c r="K20" i="17" s="1"/>
  <c r="J19" i="17"/>
  <c r="K19" i="17" s="1"/>
  <c r="J18" i="17"/>
  <c r="K18" i="17" s="1"/>
  <c r="J15" i="17"/>
  <c r="K15" i="17" s="1"/>
  <c r="J14" i="17"/>
  <c r="K14" i="17" s="1"/>
  <c r="J13" i="17"/>
  <c r="K13" i="17" s="1"/>
  <c r="J12" i="17"/>
  <c r="K12" i="17" s="1"/>
  <c r="J8" i="17"/>
  <c r="K8" i="17" s="1"/>
  <c r="J38" i="29"/>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J35" i="35"/>
  <c r="K35" i="35" s="1"/>
  <c r="J34" i="35"/>
  <c r="K34" i="35" s="1"/>
  <c r="K33" i="35"/>
  <c r="J33" i="35"/>
  <c r="J32" i="35"/>
  <c r="K32" i="35" s="1"/>
  <c r="J31" i="35"/>
  <c r="K31" i="35" s="1"/>
  <c r="J30" i="35"/>
  <c r="K30" i="35" s="1"/>
  <c r="J29" i="35"/>
  <c r="K29" i="35" s="1"/>
  <c r="J28" i="35"/>
  <c r="K28" i="35" s="1"/>
  <c r="K27" i="35"/>
  <c r="J27" i="35"/>
  <c r="J26" i="35"/>
  <c r="K26" i="35" s="1"/>
  <c r="J25" i="35"/>
  <c r="K25" i="35" s="1"/>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J27" i="34"/>
  <c r="K27" i="34" s="1"/>
  <c r="J26" i="34"/>
  <c r="K26" i="34" s="1"/>
  <c r="J25" i="34"/>
  <c r="K25" i="34" s="1"/>
  <c r="J24" i="34"/>
  <c r="K24" i="34" s="1"/>
  <c r="J23" i="34"/>
  <c r="K23" i="34" s="1"/>
  <c r="J22" i="34"/>
  <c r="K22" i="34" s="1"/>
  <c r="J21" i="34"/>
  <c r="K21" i="34" s="1"/>
  <c r="J20" i="34"/>
  <c r="K20" i="34" s="1"/>
  <c r="K19" i="34"/>
  <c r="J19" i="34"/>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25" l="1"/>
  <c r="J39" i="3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1" i="17"/>
  <c r="K31" i="17" s="1"/>
  <c r="J30" i="17"/>
  <c r="J24" i="17"/>
  <c r="K24" i="17" s="1"/>
  <c r="J23" i="17"/>
  <c r="K23" i="17" s="1"/>
  <c r="J17" i="17"/>
  <c r="K17" i="17" s="1"/>
  <c r="J16" i="17"/>
  <c r="K16" i="17" s="1"/>
  <c r="J11" i="17"/>
  <c r="K11" i="17" s="1"/>
  <c r="J10" i="17"/>
  <c r="K10" i="17" s="1"/>
  <c r="J9" i="17"/>
  <c r="K9"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<sst xmlns="http://schemas.openxmlformats.org/spreadsheetml/2006/main" count="325" uniqueCount="44">
  <si>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</si>
  <si>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</si>
  <si>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</si>
  <si>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</si>
  <si>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</si>
  <si>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</si>
  <si>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</si>
  <si>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</si>
  <si>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</si>
  <si>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</si>
  <si>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</si>
  <si>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</si>
  <si>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</si>
  <si>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</si>
  <si>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</si>
  <si>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</si>
  <si>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</si>
  <si>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</si>
  <si>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</si>
  <si>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</si>
  <si>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</si>
  <si>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</si>
  <si>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</si>
  <si>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</si>
  <si>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</si>
  <si>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</si>
  <si>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</si>
  <si>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</si>
  <si>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</si>
  <si>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</si>
  <si>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</si>
  <si>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</si>
  <si>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</si>
  <si>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</si>
  <si>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</si>
  <si>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</si>
  <si>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</si>
  <si>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</si>
  <si>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</si>
  <si>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</si>
  <si>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</si>
  <si>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</si>
  <si>
    <t>私事で休み</t>
    <rPh sb="0" eb="2">
      <t>シジ</t>
    </rPh>
    <rPh sb="3" eb="4">
      <t>ヤス</t>
    </rPh>
    <phoneticPr fontId="2"/>
  </si>
  <si>
    <t>私事があるので、休み</t>
    <rPh sb="0" eb="2">
      <t>シジ</t>
    </rPh>
    <rPh sb="8" eb="9">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</si>
</sst>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cellXfs>
  <cellStyles count="2">
    <cellStyle name="桁区切り" xfId="1" builtinId="6"/>
    <cellStyle name="標準" xfId="0" builtinId="0"/>
  </cellStyles>
  <dxfs count="31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38">
    <cfRule type="expression" dxfId="316" priority="4" stopIfTrue="1">
      <formula>$C8&gt;0</formula>
    </cfRule>
  </conditionalFormatting>
  <conditionalFormatting sqref="Q8:Q38">
    <cfRule type="expression" dxfId="315"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314" priority="7" stopIfTrue="1">
      <formula>$C8&gt;0</formula>
    </cfRule>
  </conditionalFormatting>
  <conditionalFormatting sqref="I25:I29">
    <cfRule type="expression" dxfId="313" priority="6" stopIfTrue="1">
      <formula>$C25&gt;0</formula>
    </cfRule>
  </conditionalFormatting>
  <conditionalFormatting sqref="I32:I36">
    <cfRule type="expression" dxfId="312" priority="5" stopIfTrue="1">
      <formula>$C32&gt;0</formula>
    </cfRule>
  </conditionalFormatting>
  <conditionalFormatting sqref="D8">
    <cfRule type="expression" dxfId="311" priority="4" stopIfTrue="1">
      <formula>$C8&gt;0</formula>
    </cfRule>
  </conditionalFormatting>
  <conditionalFormatting sqref="D9">
    <cfRule type="expression" dxfId="310" priority="3" stopIfTrue="1">
      <formula>$C9&gt;0</formula>
    </cfRule>
  </conditionalFormatting>
  <conditionalFormatting sqref="D13">
    <cfRule type="expression" dxfId="309" priority="2" stopIfTrue="1">
      <formula>$C13&gt;0</formula>
    </cfRule>
  </conditionalFormatting>
  <conditionalFormatting sqref="Q8:Q38">
    <cfRule type="expression" dxfId="308"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 I37:I38 A13:I13 A10:D12 A14:D14 A15:I16 A22:I23 A17:D21 A29:H30 A24:D28 A36:H38 A31:D35">
    <cfRule type="expression" dxfId="307" priority="44" stopIfTrue="1">
      <formula>$C8&gt;0</formula>
    </cfRule>
  </conditionalFormatting>
  <conditionalFormatting sqref="I29">
    <cfRule type="expression" dxfId="306" priority="43" stopIfTrue="1">
      <formula>$C29&gt;0</formula>
    </cfRule>
  </conditionalFormatting>
  <conditionalFormatting sqref="I36">
    <cfRule type="expression" dxfId="305" priority="42" stopIfTrue="1">
      <formula>$C36&gt;0</formula>
    </cfRule>
  </conditionalFormatting>
  <conditionalFormatting sqref="Q8:Q38">
    <cfRule type="expression" dxfId="304" priority="41" stopIfTrue="1">
      <formula>$C8&gt;0</formula>
    </cfRule>
  </conditionalFormatting>
  <conditionalFormatting sqref="E10:H10">
    <cfRule type="expression" dxfId="303" priority="40" stopIfTrue="1">
      <formula>$C10&gt;0</formula>
    </cfRule>
  </conditionalFormatting>
  <conditionalFormatting sqref="I10:I12">
    <cfRule type="expression" dxfId="302" priority="39" stopIfTrue="1">
      <formula>$C10&gt;0</formula>
    </cfRule>
  </conditionalFormatting>
  <conditionalFormatting sqref="E11:H11">
    <cfRule type="expression" dxfId="301" priority="38" stopIfTrue="1">
      <formula>$C11&gt;0</formula>
    </cfRule>
  </conditionalFormatting>
  <conditionalFormatting sqref="E12:H12">
    <cfRule type="expression" dxfId="300" priority="37" stopIfTrue="1">
      <formula>$C12&gt;0</formula>
    </cfRule>
  </conditionalFormatting>
  <conditionalFormatting sqref="I14">
    <cfRule type="expression" dxfId="299" priority="36" stopIfTrue="1">
      <formula>$C14&gt;0</formula>
    </cfRule>
  </conditionalFormatting>
  <conditionalFormatting sqref="E14:H14">
    <cfRule type="expression" dxfId="298" priority="35" stopIfTrue="1">
      <formula>$C14&gt;0</formula>
    </cfRule>
  </conditionalFormatting>
  <conditionalFormatting sqref="I17">
    <cfRule type="expression" dxfId="297" priority="34" stopIfTrue="1">
      <formula>$C17&gt;0</formula>
    </cfRule>
  </conditionalFormatting>
  <conditionalFormatting sqref="E17:H17">
    <cfRule type="expression" dxfId="296" priority="33" stopIfTrue="1">
      <formula>$C17&gt;0</formula>
    </cfRule>
  </conditionalFormatting>
  <conditionalFormatting sqref="I18">
    <cfRule type="expression" dxfId="295" priority="32" stopIfTrue="1">
      <formula>$C18&gt;0</formula>
    </cfRule>
  </conditionalFormatting>
  <conditionalFormatting sqref="E18:H18">
    <cfRule type="expression" dxfId="294" priority="31" stopIfTrue="1">
      <formula>$C18&gt;0</formula>
    </cfRule>
  </conditionalFormatting>
  <conditionalFormatting sqref="I19">
    <cfRule type="expression" dxfId="293" priority="30" stopIfTrue="1">
      <formula>$C19&gt;0</formula>
    </cfRule>
  </conditionalFormatting>
  <conditionalFormatting sqref="E19:H19">
    <cfRule type="expression" dxfId="292" priority="29" stopIfTrue="1">
      <formula>$C19&gt;0</formula>
    </cfRule>
  </conditionalFormatting>
  <conditionalFormatting sqref="I20">
    <cfRule type="expression" dxfId="291" priority="28" stopIfTrue="1">
      <formula>$C20&gt;0</formula>
    </cfRule>
  </conditionalFormatting>
  <conditionalFormatting sqref="E20:H20">
    <cfRule type="expression" dxfId="290" priority="27" stopIfTrue="1">
      <formula>$C20&gt;0</formula>
    </cfRule>
  </conditionalFormatting>
  <conditionalFormatting sqref="I21">
    <cfRule type="expression" dxfId="289" priority="26" stopIfTrue="1">
      <formula>$C21&gt;0</formula>
    </cfRule>
  </conditionalFormatting>
  <conditionalFormatting sqref="E21:H21">
    <cfRule type="expression" dxfId="288" priority="25" stopIfTrue="1">
      <formula>$C21&gt;0</formula>
    </cfRule>
  </conditionalFormatting>
  <conditionalFormatting sqref="I24">
    <cfRule type="expression" dxfId="287" priority="24" stopIfTrue="1">
      <formula>$C24&gt;0</formula>
    </cfRule>
  </conditionalFormatting>
  <conditionalFormatting sqref="E24:H24">
    <cfRule type="expression" dxfId="286" priority="23" stopIfTrue="1">
      <formula>$C24&gt;0</formula>
    </cfRule>
  </conditionalFormatting>
  <conditionalFormatting sqref="I25">
    <cfRule type="expression" dxfId="285" priority="22" stopIfTrue="1">
      <formula>$C25&gt;0</formula>
    </cfRule>
  </conditionalFormatting>
  <conditionalFormatting sqref="E25:H25">
    <cfRule type="expression" dxfId="284" priority="21" stopIfTrue="1">
      <formula>$C25&gt;0</formula>
    </cfRule>
  </conditionalFormatting>
  <conditionalFormatting sqref="I26">
    <cfRule type="expression" dxfId="283" priority="20" stopIfTrue="1">
      <formula>$C26&gt;0</formula>
    </cfRule>
  </conditionalFormatting>
  <conditionalFormatting sqref="E26:H26">
    <cfRule type="expression" dxfId="282" priority="19" stopIfTrue="1">
      <formula>$C26&gt;0</formula>
    </cfRule>
  </conditionalFormatting>
  <conditionalFormatting sqref="I27">
    <cfRule type="expression" dxfId="281" priority="16" stopIfTrue="1">
      <formula>$C27&gt;0</formula>
    </cfRule>
  </conditionalFormatting>
  <conditionalFormatting sqref="E27:H27">
    <cfRule type="expression" dxfId="280" priority="15" stopIfTrue="1">
      <formula>$C27&gt;0</formula>
    </cfRule>
  </conditionalFormatting>
  <conditionalFormatting sqref="I28">
    <cfRule type="expression" dxfId="279" priority="14" stopIfTrue="1">
      <formula>$C28&gt;0</formula>
    </cfRule>
  </conditionalFormatting>
  <conditionalFormatting sqref="E28:H28">
    <cfRule type="expression" dxfId="278" priority="13" stopIfTrue="1">
      <formula>$C28&gt;0</formula>
    </cfRule>
  </conditionalFormatting>
  <conditionalFormatting sqref="I31">
    <cfRule type="expression" dxfId="277" priority="12" stopIfTrue="1">
      <formula>$C31&gt;0</formula>
    </cfRule>
  </conditionalFormatting>
  <conditionalFormatting sqref="E31:H31">
    <cfRule type="expression" dxfId="276" priority="11" stopIfTrue="1">
      <formula>$C31&gt;0</formula>
    </cfRule>
  </conditionalFormatting>
  <conditionalFormatting sqref="I32">
    <cfRule type="expression" dxfId="275" priority="10" stopIfTrue="1">
      <formula>$C32&gt;0</formula>
    </cfRule>
  </conditionalFormatting>
  <conditionalFormatting sqref="E32:H32">
    <cfRule type="expression" dxfId="274" priority="9" stopIfTrue="1">
      <formula>$C32&gt;0</formula>
    </cfRule>
  </conditionalFormatting>
  <conditionalFormatting sqref="I33">
    <cfRule type="expression" dxfId="273" priority="8" stopIfTrue="1">
      <formula>$C33&gt;0</formula>
    </cfRule>
  </conditionalFormatting>
  <conditionalFormatting sqref="E33:H33">
    <cfRule type="expression" dxfId="272" priority="7" stopIfTrue="1">
      <formula>$C33&gt;0</formula>
    </cfRule>
  </conditionalFormatting>
  <conditionalFormatting sqref="I34">
    <cfRule type="expression" dxfId="271" priority="4" stopIfTrue="1">
      <formula>$C34&gt;0</formula>
    </cfRule>
  </conditionalFormatting>
  <conditionalFormatting sqref="E34:H34">
    <cfRule type="expression" dxfId="270" priority="3" stopIfTrue="1">
      <formula>$C34&gt;0</formula>
    </cfRule>
  </conditionalFormatting>
  <conditionalFormatting sqref="I35">
    <cfRule type="expression" dxfId="269" priority="2" stopIfTrue="1">
      <formula>$C35&gt;0</formula>
    </cfRule>
  </conditionalFormatting>
  <conditionalFormatting sqref="E35:H35">
    <cfRule type="expression" dxfId="268"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69"/>
      <c r="N38" s="70"/>
      <c r="O38" s="70"/>
      <c r="P38" s="71"/>
      <c r="Q38" s="21" t="s">
        <v>30</v>
      </c>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10:I10 D8:D21 D23:D38 E12:I14 E20:I22 E27:H28 E34:H36 J8:P38">
    <cfRule type="expression" dxfId="267" priority="19" stopIfTrue="1">
      <formula>$C8&gt;0</formula>
    </cfRule>
  </conditionalFormatting>
  <conditionalFormatting sqref="I27:I28">
    <cfRule type="expression" dxfId="266" priority="18" stopIfTrue="1">
      <formula>$C27&gt;0</formula>
    </cfRule>
  </conditionalFormatting>
  <conditionalFormatting sqref="I34:I36">
    <cfRule type="expression" dxfId="265" priority="17" stopIfTrue="1">
      <formula>$C34&gt;0</formula>
    </cfRule>
  </conditionalFormatting>
  <conditionalFormatting sqref="D22">
    <cfRule type="expression" dxfId="264" priority="16" stopIfTrue="1">
      <formula>$C22&gt;0</formula>
    </cfRule>
  </conditionalFormatting>
  <conditionalFormatting sqref="Q8:Q38">
    <cfRule type="expression" dxfId="263" priority="15" stopIfTrue="1">
      <formula>$C8&gt;0</formula>
    </cfRule>
  </conditionalFormatting>
  <conditionalFormatting sqref="E8:H9">
    <cfRule type="expression" dxfId="262" priority="14" stopIfTrue="1">
      <formula>$C8&gt;0</formula>
    </cfRule>
  </conditionalFormatting>
  <conditionalFormatting sqref="I8:I9">
    <cfRule type="expression" dxfId="261" priority="13" stopIfTrue="1">
      <formula>$C8&gt;0</formula>
    </cfRule>
  </conditionalFormatting>
  <conditionalFormatting sqref="E11:H11">
    <cfRule type="expression" dxfId="260" priority="12" stopIfTrue="1">
      <formula>$C11&gt;0</formula>
    </cfRule>
  </conditionalFormatting>
  <conditionalFormatting sqref="I11">
    <cfRule type="expression" dxfId="259" priority="11" stopIfTrue="1">
      <formula>$C11&gt;0</formula>
    </cfRule>
  </conditionalFormatting>
  <conditionalFormatting sqref="E15:H19">
    <cfRule type="expression" dxfId="258" priority="10" stopIfTrue="1">
      <formula>$C15&gt;0</formula>
    </cfRule>
  </conditionalFormatting>
  <conditionalFormatting sqref="I15:I19">
    <cfRule type="expression" dxfId="257" priority="9" stopIfTrue="1">
      <formula>$C15&gt;0</formula>
    </cfRule>
  </conditionalFormatting>
  <conditionalFormatting sqref="E23:H26">
    <cfRule type="expression" dxfId="256" priority="8" stopIfTrue="1">
      <formula>$C23&gt;0</formula>
    </cfRule>
  </conditionalFormatting>
  <conditionalFormatting sqref="I23:I26">
    <cfRule type="expression" dxfId="255" priority="7" stopIfTrue="1">
      <formula>$C23&gt;0</formula>
    </cfRule>
  </conditionalFormatting>
  <conditionalFormatting sqref="E29:H33">
    <cfRule type="expression" dxfId="254" priority="6" stopIfTrue="1">
      <formula>$C29&gt;0</formula>
    </cfRule>
  </conditionalFormatting>
  <conditionalFormatting sqref="I29:I33">
    <cfRule type="expression" dxfId="253" priority="5" stopIfTrue="1">
      <formula>$C29&gt;0</formula>
    </cfRule>
  </conditionalFormatting>
  <conditionalFormatting sqref="E37:H37">
    <cfRule type="expression" dxfId="252" priority="4" stopIfTrue="1">
      <formula>$C37&gt;0</formula>
    </cfRule>
  </conditionalFormatting>
  <conditionalFormatting sqref="I37">
    <cfRule type="expression" dxfId="251" priority="3" stopIfTrue="1">
      <formula>$C37&gt;0</formula>
    </cfRule>
  </conditionalFormatting>
  <conditionalFormatting sqref="E38:H38">
    <cfRule type="expression" dxfId="250" priority="2" stopIfTrue="1">
      <formula>$C38&gt;0</formula>
    </cfRule>
  </conditionalFormatting>
  <conditionalFormatting sqref="I38">
    <cfRule type="expression" dxfId="249"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1 D8:D18 D20:D38 E14:I14 E17:I19 E24:H25 I24 E31:H32 E38:I38">
    <cfRule type="expression" dxfId="248" priority="45" stopIfTrue="1">
      <formula>$C8&gt;0</formula>
    </cfRule>
  </conditionalFormatting>
  <conditionalFormatting sqref="I25">
    <cfRule type="expression" dxfId="247" priority="44" stopIfTrue="1">
      <formula>$C25&gt;0</formula>
    </cfRule>
  </conditionalFormatting>
  <conditionalFormatting sqref="I32">
    <cfRule type="expression" dxfId="246" priority="43" stopIfTrue="1">
      <formula>$C32&gt;0</formula>
    </cfRule>
  </conditionalFormatting>
  <conditionalFormatting sqref="D19">
    <cfRule type="expression" dxfId="245" priority="42" stopIfTrue="1">
      <formula>$C19&gt;0</formula>
    </cfRule>
  </conditionalFormatting>
  <conditionalFormatting sqref="Q8:Q38">
    <cfRule type="expression" dxfId="244" priority="41" stopIfTrue="1">
      <formula>$C8&gt;0</formula>
    </cfRule>
  </conditionalFormatting>
  <conditionalFormatting sqref="E12:H12">
    <cfRule type="expression" dxfId="243" priority="40" stopIfTrue="1">
      <formula>$C12&gt;0</formula>
    </cfRule>
  </conditionalFormatting>
  <conditionalFormatting sqref="I12">
    <cfRule type="expression" dxfId="242" priority="39" stopIfTrue="1">
      <formula>$C12&gt;0</formula>
    </cfRule>
  </conditionalFormatting>
  <conditionalFormatting sqref="E13:H13">
    <cfRule type="expression" dxfId="241" priority="38" stopIfTrue="1">
      <formula>$C13&gt;0</formula>
    </cfRule>
  </conditionalFormatting>
  <conditionalFormatting sqref="I13">
    <cfRule type="expression" dxfId="240" priority="37" stopIfTrue="1">
      <formula>$C13&gt;0</formula>
    </cfRule>
  </conditionalFormatting>
  <conditionalFormatting sqref="E15:H15">
    <cfRule type="expression" dxfId="239" priority="36" stopIfTrue="1">
      <formula>$C15&gt;0</formula>
    </cfRule>
  </conditionalFormatting>
  <conditionalFormatting sqref="I15">
    <cfRule type="expression" dxfId="238" priority="35" stopIfTrue="1">
      <formula>$C15&gt;0</formula>
    </cfRule>
  </conditionalFormatting>
  <conditionalFormatting sqref="E16:H16">
    <cfRule type="expression" dxfId="237" priority="34" stopIfTrue="1">
      <formula>$C16&gt;0</formula>
    </cfRule>
  </conditionalFormatting>
  <conditionalFormatting sqref="I16">
    <cfRule type="expression" dxfId="236" priority="33" stopIfTrue="1">
      <formula>$C16&gt;0</formula>
    </cfRule>
  </conditionalFormatting>
  <conditionalFormatting sqref="E20:H20">
    <cfRule type="expression" dxfId="235" priority="32" stopIfTrue="1">
      <formula>$C20&gt;0</formula>
    </cfRule>
  </conditionalFormatting>
  <conditionalFormatting sqref="I20">
    <cfRule type="expression" dxfId="234" priority="31" stopIfTrue="1">
      <formula>$C20&gt;0</formula>
    </cfRule>
  </conditionalFormatting>
  <conditionalFormatting sqref="E21:H21">
    <cfRule type="expression" dxfId="233" priority="30" stopIfTrue="1">
      <formula>$C21&gt;0</formula>
    </cfRule>
  </conditionalFormatting>
  <conditionalFormatting sqref="I21">
    <cfRule type="expression" dxfId="232" priority="29" stopIfTrue="1">
      <formula>$C21&gt;0</formula>
    </cfRule>
  </conditionalFormatting>
  <conditionalFormatting sqref="E22:H22">
    <cfRule type="expression" dxfId="231" priority="28" stopIfTrue="1">
      <formula>$C22&gt;0</formula>
    </cfRule>
  </conditionalFormatting>
  <conditionalFormatting sqref="I22">
    <cfRule type="expression" dxfId="230" priority="27" stopIfTrue="1">
      <formula>$C22&gt;0</formula>
    </cfRule>
  </conditionalFormatting>
  <conditionalFormatting sqref="E23:H23">
    <cfRule type="expression" dxfId="229" priority="26" stopIfTrue="1">
      <formula>$C23&gt;0</formula>
    </cfRule>
  </conditionalFormatting>
  <conditionalFormatting sqref="I23">
    <cfRule type="expression" dxfId="228" priority="25" stopIfTrue="1">
      <formula>$C23&gt;0</formula>
    </cfRule>
  </conditionalFormatting>
  <conditionalFormatting sqref="E26:H26">
    <cfRule type="expression" dxfId="227" priority="24" stopIfTrue="1">
      <formula>$C26&gt;0</formula>
    </cfRule>
  </conditionalFormatting>
  <conditionalFormatting sqref="I26">
    <cfRule type="expression" dxfId="226" priority="23" stopIfTrue="1">
      <formula>$C26&gt;0</formula>
    </cfRule>
  </conditionalFormatting>
  <conditionalFormatting sqref="E27:H27">
    <cfRule type="expression" dxfId="225" priority="22" stopIfTrue="1">
      <formula>$C27&gt;0</formula>
    </cfRule>
  </conditionalFormatting>
  <conditionalFormatting sqref="I27">
    <cfRule type="expression" dxfId="224" priority="21" stopIfTrue="1">
      <formula>$C27&gt;0</formula>
    </cfRule>
  </conditionalFormatting>
  <conditionalFormatting sqref="E28:H28">
    <cfRule type="expression" dxfId="223" priority="20" stopIfTrue="1">
      <formula>$C28&gt;0</formula>
    </cfRule>
  </conditionalFormatting>
  <conditionalFormatting sqref="I28">
    <cfRule type="expression" dxfId="222" priority="19" stopIfTrue="1">
      <formula>$C28&gt;0</formula>
    </cfRule>
  </conditionalFormatting>
  <conditionalFormatting sqref="E29:H29">
    <cfRule type="expression" dxfId="221" priority="18" stopIfTrue="1">
      <formula>$C29&gt;0</formula>
    </cfRule>
  </conditionalFormatting>
  <conditionalFormatting sqref="I29">
    <cfRule type="expression" dxfId="220" priority="17" stopIfTrue="1">
      <formula>$C29&gt;0</formula>
    </cfRule>
  </conditionalFormatting>
  <conditionalFormatting sqref="E30:H30">
    <cfRule type="expression" dxfId="219" priority="16" stopIfTrue="1">
      <formula>$C30&gt;0</formula>
    </cfRule>
  </conditionalFormatting>
  <conditionalFormatting sqref="I30">
    <cfRule type="expression" dxfId="218" priority="15" stopIfTrue="1">
      <formula>$C30&gt;0</formula>
    </cfRule>
  </conditionalFormatting>
  <conditionalFormatting sqref="E33:H33">
    <cfRule type="expression" dxfId="217" priority="14" stopIfTrue="1">
      <formula>$C33&gt;0</formula>
    </cfRule>
  </conditionalFormatting>
  <conditionalFormatting sqref="I33">
    <cfRule type="expression" dxfId="216" priority="13" stopIfTrue="1">
      <formula>$C33&gt;0</formula>
    </cfRule>
  </conditionalFormatting>
  <conditionalFormatting sqref="E34:H34">
    <cfRule type="expression" dxfId="215" priority="12" stopIfTrue="1">
      <formula>$C34&gt;0</formula>
    </cfRule>
  </conditionalFormatting>
  <conditionalFormatting sqref="I34">
    <cfRule type="expression" dxfId="214" priority="11" stopIfTrue="1">
      <formula>$C34&gt;0</formula>
    </cfRule>
  </conditionalFormatting>
  <conditionalFormatting sqref="E35:H35">
    <cfRule type="expression" dxfId="213" priority="10" stopIfTrue="1">
      <formula>$C35&gt;0</formula>
    </cfRule>
  </conditionalFormatting>
  <conditionalFormatting sqref="I35">
    <cfRule type="expression" dxfId="212" priority="9" stopIfTrue="1">
      <formula>$C35&gt;0</formula>
    </cfRule>
  </conditionalFormatting>
  <conditionalFormatting sqref="E36:H36">
    <cfRule type="expression" dxfId="211" priority="8" stopIfTrue="1">
      <formula>$C36&gt;0</formula>
    </cfRule>
  </conditionalFormatting>
  <conditionalFormatting sqref="I36">
    <cfRule type="expression" dxfId="210" priority="7" stopIfTrue="1">
      <formula>$C36&gt;0</formula>
    </cfRule>
  </conditionalFormatting>
  <conditionalFormatting sqref="E37:H37">
    <cfRule type="expression" dxfId="209" priority="6" stopIfTrue="1">
      <formula>$C37&gt;0</formula>
    </cfRule>
  </conditionalFormatting>
  <conditionalFormatting sqref="I37">
    <cfRule type="expression" dxfId="208" priority="5" stopIfTrue="1">
      <formula>$C37&gt;0</formula>
    </cfRule>
  </conditionalFormatting>
  <conditionalFormatting sqref="E8:H8">
    <cfRule type="expression" dxfId="207" priority="4" stopIfTrue="1">
      <formula>$C8&gt;0</formula>
    </cfRule>
  </conditionalFormatting>
  <conditionalFormatting sqref="I8">
    <cfRule type="expression" dxfId="206" priority="3" stopIfTrue="1">
      <formula>$C8&gt;0</formula>
    </cfRule>
  </conditionalFormatting>
  <conditionalFormatting sqref="E9:H9">
    <cfRule type="expression" dxfId="205" priority="2" stopIfTrue="1">
      <formula>$C9&gt;0</formula>
    </cfRule>
  </conditionalFormatting>
  <conditionalFormatting sqref="I9">
    <cfRule type="expression" dxfId="204"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4"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t="s">
        <v>41</v>
      </c>
      <c r="N11" s="67"/>
      <c r="O11" s="67"/>
      <c r="P11" s="68"/>
      <c r="Q11" s="25"/>
      <c r="S11" s="14"/>
      <c r="T11" s="11"/>
      <c r="U11" s="12"/>
      <c r="V11" s="13"/>
    </row>
    <row r="12" spans="1:22" ht="18" customHeight="1" x14ac:dyDescent="0.2">
      <c r="A12" s="22">
        <f t="shared" si="3"/>
        <v>45540</v>
      </c>
      <c r="B12" s="37">
        <f t="shared" si="4"/>
        <v>45540</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v>9</v>
      </c>
      <c r="F13" s="31">
        <v>0</v>
      </c>
      <c r="G13" s="20">
        <v>18</v>
      </c>
      <c r="H13" s="24">
        <v>30</v>
      </c>
      <c r="I13" s="34">
        <v>60</v>
      </c>
      <c r="J13" s="57">
        <f t="shared" si="0"/>
        <v>510</v>
      </c>
      <c r="K13" s="61">
        <f t="shared" si="2"/>
        <v>8.5</v>
      </c>
      <c r="L13" s="25"/>
      <c r="M13" s="66"/>
      <c r="N13" s="67"/>
      <c r="O13" s="67"/>
      <c r="P13" s="68"/>
      <c r="Q13" s="25" t="s">
        <v>30</v>
      </c>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v>9</v>
      </c>
      <c r="F18" s="31">
        <v>0</v>
      </c>
      <c r="G18" s="20">
        <v>18</v>
      </c>
      <c r="H18" s="24">
        <v>30</v>
      </c>
      <c r="I18" s="34">
        <v>60</v>
      </c>
      <c r="J18" s="57">
        <f t="shared" si="0"/>
        <v>510</v>
      </c>
      <c r="K18" s="61">
        <f t="shared" si="2"/>
        <v>8.5</v>
      </c>
      <c r="L18" s="25"/>
      <c r="M18" s="66"/>
      <c r="N18" s="67"/>
      <c r="O18" s="67"/>
      <c r="P18" s="68"/>
      <c r="Q18" s="25" t="s">
        <v>30</v>
      </c>
      <c r="T18" s="11"/>
      <c r="U18" s="12"/>
      <c r="V18" s="13"/>
    </row>
    <row r="19" spans="1:22" ht="18" customHeight="1" x14ac:dyDescent="0.2">
      <c r="A19" s="22">
        <f t="shared" si="3"/>
        <v>45547</v>
      </c>
      <c r="B19" s="37">
        <f t="shared" si="4"/>
        <v>45547</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45548</v>
      </c>
      <c r="B20" s="37">
        <f t="shared" si="4"/>
        <v>45548</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45553</v>
      </c>
      <c r="B25" s="37">
        <f t="shared" si="4"/>
        <v>45553</v>
      </c>
      <c r="C25" s="39">
        <f t="shared" si="1"/>
        <v>0</v>
      </c>
      <c r="D25" s="23"/>
      <c r="E25" s="20">
        <v>9</v>
      </c>
      <c r="F25" s="31">
        <v>0</v>
      </c>
      <c r="G25" s="20">
        <v>18</v>
      </c>
      <c r="H25" s="24">
        <v>30</v>
      </c>
      <c r="I25" s="34">
        <v>60</v>
      </c>
      <c r="J25" s="57">
        <f t="shared" si="0"/>
        <v>510</v>
      </c>
      <c r="K25" s="61">
        <f t="shared" si="2"/>
        <v>8.5</v>
      </c>
      <c r="L25" s="25"/>
      <c r="M25" s="66"/>
      <c r="N25" s="67"/>
      <c r="O25" s="67"/>
      <c r="P25" s="68"/>
      <c r="Q25" s="25" t="s">
        <v>30</v>
      </c>
      <c r="V25" s="13"/>
    </row>
    <row r="26" spans="1:22" ht="18" customHeight="1" x14ac:dyDescent="0.2">
      <c r="A26" s="22">
        <f t="shared" si="3"/>
        <v>45554</v>
      </c>
      <c r="B26" s="37">
        <f t="shared" si="4"/>
        <v>45554</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45555</v>
      </c>
      <c r="B27" s="37">
        <f t="shared" si="4"/>
        <v>45555</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45560</v>
      </c>
      <c r="B32" s="37">
        <f t="shared" si="4"/>
        <v>45560</v>
      </c>
      <c r="C32" s="39">
        <f t="shared" si="1"/>
        <v>0</v>
      </c>
      <c r="D32" s="23"/>
      <c r="E32" s="20">
        <v>9</v>
      </c>
      <c r="F32" s="31">
        <v>0</v>
      </c>
      <c r="G32" s="20">
        <v>18</v>
      </c>
      <c r="H32" s="24">
        <v>30</v>
      </c>
      <c r="I32" s="34">
        <v>60</v>
      </c>
      <c r="J32" s="57">
        <f t="shared" si="0"/>
        <v>510</v>
      </c>
      <c r="K32" s="61">
        <f t="shared" si="2"/>
        <v>8.5</v>
      </c>
      <c r="L32" s="25"/>
      <c r="M32" s="66"/>
      <c r="N32" s="67"/>
      <c r="O32" s="67"/>
      <c r="P32" s="68"/>
      <c r="Q32" s="25" t="s">
        <v>30</v>
      </c>
      <c r="V32" s="13"/>
    </row>
    <row r="33" spans="1:22" ht="18" customHeight="1" x14ac:dyDescent="0.2">
      <c r="A33" s="22">
        <f t="shared" si="3"/>
        <v>45561</v>
      </c>
      <c r="B33" s="37">
        <f t="shared" si="4"/>
        <v>45561</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45562</v>
      </c>
      <c r="B34" s="37">
        <f t="shared" si="4"/>
        <v>45562</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0 A8:C38 E8:I8 D24:D27 D8:D22 D31:D38 E11:I11 E14:I15 E21:I23 E28:H30 E35:H36 E38:I38">
    <cfRule type="expression" dxfId="203" priority="46" stopIfTrue="1">
      <formula>$C8&gt;0</formula>
    </cfRule>
  </conditionalFormatting>
  <conditionalFormatting sqref="I28:I29">
    <cfRule type="expression" dxfId="202" priority="45" stopIfTrue="1">
      <formula>$C28&gt;0</formula>
    </cfRule>
  </conditionalFormatting>
  <conditionalFormatting sqref="I35:I36">
    <cfRule type="expression" dxfId="201" priority="44" stopIfTrue="1">
      <formula>$C35&gt;0</formula>
    </cfRule>
  </conditionalFormatting>
  <conditionalFormatting sqref="D28">
    <cfRule type="expression" dxfId="200" priority="43" stopIfTrue="1">
      <formula>$C28&gt;0</formula>
    </cfRule>
  </conditionalFormatting>
  <conditionalFormatting sqref="D29">
    <cfRule type="expression" dxfId="199" priority="42" stopIfTrue="1">
      <formula>$C29&gt;0</formula>
    </cfRule>
  </conditionalFormatting>
  <conditionalFormatting sqref="D23">
    <cfRule type="expression" dxfId="198" priority="41" stopIfTrue="1">
      <formula>$C23&gt;0</formula>
    </cfRule>
  </conditionalFormatting>
  <conditionalFormatting sqref="D30">
    <cfRule type="expression" dxfId="197" priority="40" stopIfTrue="1">
      <formula>$C30&gt;0</formula>
    </cfRule>
  </conditionalFormatting>
  <conditionalFormatting sqref="Q8:Q38">
    <cfRule type="expression" dxfId="196" priority="39" stopIfTrue="1">
      <formula>$C8&gt;0</formula>
    </cfRule>
  </conditionalFormatting>
  <conditionalFormatting sqref="E9:H9">
    <cfRule type="expression" dxfId="195" priority="38" stopIfTrue="1">
      <formula>$C9&gt;0</formula>
    </cfRule>
  </conditionalFormatting>
  <conditionalFormatting sqref="I9">
    <cfRule type="expression" dxfId="194" priority="37" stopIfTrue="1">
      <formula>$C9&gt;0</formula>
    </cfRule>
  </conditionalFormatting>
  <conditionalFormatting sqref="E10:H10">
    <cfRule type="expression" dxfId="193" priority="36" stopIfTrue="1">
      <formula>$C10&gt;0</formula>
    </cfRule>
  </conditionalFormatting>
  <conditionalFormatting sqref="I10">
    <cfRule type="expression" dxfId="192" priority="35" stopIfTrue="1">
      <formula>$C10&gt;0</formula>
    </cfRule>
  </conditionalFormatting>
  <conditionalFormatting sqref="E12:H12">
    <cfRule type="expression" dxfId="191" priority="34" stopIfTrue="1">
      <formula>$C12&gt;0</formula>
    </cfRule>
  </conditionalFormatting>
  <conditionalFormatting sqref="I12">
    <cfRule type="expression" dxfId="190" priority="33" stopIfTrue="1">
      <formula>$C12&gt;0</formula>
    </cfRule>
  </conditionalFormatting>
  <conditionalFormatting sqref="E13:H13">
    <cfRule type="expression" dxfId="189" priority="32" stopIfTrue="1">
      <formula>$C13&gt;0</formula>
    </cfRule>
  </conditionalFormatting>
  <conditionalFormatting sqref="I13">
    <cfRule type="expression" dxfId="188" priority="31" stopIfTrue="1">
      <formula>$C13&gt;0</formula>
    </cfRule>
  </conditionalFormatting>
  <conditionalFormatting sqref="E16:H16">
    <cfRule type="expression" dxfId="187" priority="30" stopIfTrue="1">
      <formula>$C16&gt;0</formula>
    </cfRule>
  </conditionalFormatting>
  <conditionalFormatting sqref="I16">
    <cfRule type="expression" dxfId="186" priority="29" stopIfTrue="1">
      <formula>$C16&gt;0</formula>
    </cfRule>
  </conditionalFormatting>
  <conditionalFormatting sqref="E17:H17">
    <cfRule type="expression" dxfId="185" priority="28" stopIfTrue="1">
      <formula>$C17&gt;0</formula>
    </cfRule>
  </conditionalFormatting>
  <conditionalFormatting sqref="I17">
    <cfRule type="expression" dxfId="184" priority="27" stopIfTrue="1">
      <formula>$C17&gt;0</formula>
    </cfRule>
  </conditionalFormatting>
  <conditionalFormatting sqref="E18:H18">
    <cfRule type="expression" dxfId="183" priority="26" stopIfTrue="1">
      <formula>$C18&gt;0</formula>
    </cfRule>
  </conditionalFormatting>
  <conditionalFormatting sqref="I18">
    <cfRule type="expression" dxfId="182" priority="25" stopIfTrue="1">
      <formula>$C18&gt;0</formula>
    </cfRule>
  </conditionalFormatting>
  <conditionalFormatting sqref="E19:H19">
    <cfRule type="expression" dxfId="181" priority="22" stopIfTrue="1">
      <formula>$C19&gt;0</formula>
    </cfRule>
  </conditionalFormatting>
  <conditionalFormatting sqref="I19">
    <cfRule type="expression" dxfId="180" priority="21" stopIfTrue="1">
      <formula>$C19&gt;0</formula>
    </cfRule>
  </conditionalFormatting>
  <conditionalFormatting sqref="E20:H20">
    <cfRule type="expression" dxfId="179" priority="20" stopIfTrue="1">
      <formula>$C20&gt;0</formula>
    </cfRule>
  </conditionalFormatting>
  <conditionalFormatting sqref="I20">
    <cfRule type="expression" dxfId="178" priority="19" stopIfTrue="1">
      <formula>$C20&gt;0</formula>
    </cfRule>
  </conditionalFormatting>
  <conditionalFormatting sqref="E24:H24">
    <cfRule type="expression" dxfId="177" priority="18" stopIfTrue="1">
      <formula>$C24&gt;0</formula>
    </cfRule>
  </conditionalFormatting>
  <conditionalFormatting sqref="I24">
    <cfRule type="expression" dxfId="176" priority="17" stopIfTrue="1">
      <formula>$C24&gt;0</formula>
    </cfRule>
  </conditionalFormatting>
  <conditionalFormatting sqref="E25:H25">
    <cfRule type="expression" dxfId="175" priority="16" stopIfTrue="1">
      <formula>$C25&gt;0</formula>
    </cfRule>
  </conditionalFormatting>
  <conditionalFormatting sqref="I25">
    <cfRule type="expression" dxfId="174" priority="15" stopIfTrue="1">
      <formula>$C25&gt;0</formula>
    </cfRule>
  </conditionalFormatting>
  <conditionalFormatting sqref="E26:H26">
    <cfRule type="expression" dxfId="173" priority="14" stopIfTrue="1">
      <formula>$C26&gt;0</formula>
    </cfRule>
  </conditionalFormatting>
  <conditionalFormatting sqref="I26">
    <cfRule type="expression" dxfId="172" priority="13" stopIfTrue="1">
      <formula>$C26&gt;0</formula>
    </cfRule>
  </conditionalFormatting>
  <conditionalFormatting sqref="E27:H27">
    <cfRule type="expression" dxfId="171" priority="12" stopIfTrue="1">
      <formula>$C27&gt;0</formula>
    </cfRule>
  </conditionalFormatting>
  <conditionalFormatting sqref="I27">
    <cfRule type="expression" dxfId="170" priority="11" stopIfTrue="1">
      <formula>$C27&gt;0</formula>
    </cfRule>
  </conditionalFormatting>
  <conditionalFormatting sqref="E31:H31">
    <cfRule type="expression" dxfId="169" priority="10" stopIfTrue="1">
      <formula>$C31&gt;0</formula>
    </cfRule>
  </conditionalFormatting>
  <conditionalFormatting sqref="I31">
    <cfRule type="expression" dxfId="168" priority="9" stopIfTrue="1">
      <formula>$C31&gt;0</formula>
    </cfRule>
  </conditionalFormatting>
  <conditionalFormatting sqref="E32:H32">
    <cfRule type="expression" dxfId="167" priority="8" stopIfTrue="1">
      <formula>$C32&gt;0</formula>
    </cfRule>
  </conditionalFormatting>
  <conditionalFormatting sqref="I32">
    <cfRule type="expression" dxfId="166" priority="7" stopIfTrue="1">
      <formula>$C32&gt;0</formula>
    </cfRule>
  </conditionalFormatting>
  <conditionalFormatting sqref="E33:H33">
    <cfRule type="expression" dxfId="165" priority="6" stopIfTrue="1">
      <formula>$C33&gt;0</formula>
    </cfRule>
  </conditionalFormatting>
  <conditionalFormatting sqref="I33">
    <cfRule type="expression" dxfId="164" priority="5" stopIfTrue="1">
      <formula>$C33&gt;0</formula>
    </cfRule>
  </conditionalFormatting>
  <conditionalFormatting sqref="E34:H34">
    <cfRule type="expression" dxfId="163" priority="4" stopIfTrue="1">
      <formula>$C34&gt;0</formula>
    </cfRule>
  </conditionalFormatting>
  <conditionalFormatting sqref="I34">
    <cfRule type="expression" dxfId="162" priority="3" stopIfTrue="1">
      <formula>$C34&gt;0</formula>
    </cfRule>
  </conditionalFormatting>
  <conditionalFormatting sqref="E37:H37">
    <cfRule type="expression" dxfId="161" priority="2" stopIfTrue="1">
      <formula>$C37&gt;0</formula>
    </cfRule>
  </conditionalFormatting>
  <conditionalFormatting sqref="I37">
    <cfRule type="expression" dxfId="16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6"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45566</v>
      </c>
      <c r="B8" s="36">
        <f>A8</f>
        <v>45566</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45568</v>
      </c>
      <c r="B10" s="37">
        <f t="shared" ref="B10:B37" si="4">A10</f>
        <v>45568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45575</v>
      </c>
      <c r="B17" s="37">
        <f t="shared" si="4"/>
        <v>45575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t="s">
        <v>42</v>
      </c>
      <c r="N23" s="67"/>
      <c r="O23" s="67"/>
      <c r="P23" s="68"/>
      <c r="Q23" s="25"/>
      <c r="V23" s="13"/>
    </row>
    <row r="24" spans="1:22" ht="18" customHeight="1" x14ac:dyDescent="0.2">
      <c r="A24" s="22">
        <f t="shared" si="3"/>
        <v>45582</v>
      </c>
      <c r="B24" s="37">
        <f t="shared" si="4"/>
        <v>45582</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45583</v>
      </c>
      <c r="B25" s="37">
        <f t="shared" si="4"/>
        <v>45583</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45587</v>
      </c>
      <c r="B29" s="37">
        <f t="shared" si="4"/>
        <v>45587</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45588</v>
      </c>
      <c r="B30" s="37">
        <f t="shared" si="4"/>
        <v>45588</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45589</v>
      </c>
      <c r="B31" s="37">
        <f t="shared" si="4"/>
        <v>45589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45590</v>
      </c>
      <c r="B32" s="37">
        <f t="shared" si="4"/>
        <v>45590</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45594</v>
      </c>
      <c r="B36" s="37">
        <f t="shared" si="4"/>
        <v>45594</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45595</v>
      </c>
      <c r="B37" s="37">
        <f t="shared" si="4"/>
        <v>45595</v>
      </c>
      <c r="C37" s="39">
        <f t="shared" si="1"/>
        <v>0</v>
      </c>
      <c r="D37" s="23"/>
      <c r="E37" s="20">
        <v>9</v>
      </c>
      <c r="F37" s="31">
        <v>0</v>
      </c>
      <c r="G37" s="20">
        <v>18</v>
      </c>
      <c r="H37" s="24">
        <v>30</v>
      </c>
      <c r="I37" s="34">
        <v>60</v>
      </c>
      <c r="J37" s="57">
        <f t="shared" si="0"/>
        <v>510</v>
      </c>
      <c r="K37" s="61">
        <f t="shared" si="2"/>
        <v>8.5</v>
      </c>
      <c r="L37" s="25"/>
      <c r="M37" s="66"/>
      <c r="N37" s="67"/>
      <c r="O37" s="67"/>
      <c r="P37" s="68"/>
      <c r="Q37" s="25" t="s">
        <v>30</v>
      </c>
    </row>
    <row r="38" spans="1:22" ht="18" customHeight="1" thickBot="1" x14ac:dyDescent="0.25">
      <c r="A38" s="26">
        <f>IF($A$35="","",IF(NOT(MONTH($A$35)=MONTH($A$35+3)),"",$A$35+3))</f>
        <v>45596</v>
      </c>
      <c r="B38" s="38">
        <f>A38</f>
        <v>45596</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12:I13 D8:D18 D20 D22:D38 E19:I21 E26:H27 E33:H34">
    <cfRule type="expression" dxfId="159" priority="50" stopIfTrue="1">
      <formula>$C8&gt;0</formula>
    </cfRule>
  </conditionalFormatting>
  <conditionalFormatting sqref="I26:I27">
    <cfRule type="expression" dxfId="158" priority="49" stopIfTrue="1">
      <formula>$C26&gt;0</formula>
    </cfRule>
  </conditionalFormatting>
  <conditionalFormatting sqref="I33:I34">
    <cfRule type="expression" dxfId="157" priority="48" stopIfTrue="1">
      <formula>$C33&gt;0</formula>
    </cfRule>
  </conditionalFormatting>
  <conditionalFormatting sqref="D19">
    <cfRule type="expression" dxfId="156" priority="47" stopIfTrue="1">
      <formula>$C19&gt;0</formula>
    </cfRule>
  </conditionalFormatting>
  <conditionalFormatting sqref="D21">
    <cfRule type="expression" dxfId="155" priority="46" stopIfTrue="1">
      <formula>$C21&gt;0</formula>
    </cfRule>
  </conditionalFormatting>
  <conditionalFormatting sqref="Q8:Q38">
    <cfRule type="expression" dxfId="154" priority="45" stopIfTrue="1">
      <formula>$C8&gt;0</formula>
    </cfRule>
  </conditionalFormatting>
  <conditionalFormatting sqref="E8:H8">
    <cfRule type="expression" dxfId="153" priority="44" stopIfTrue="1">
      <formula>$C8&gt;0</formula>
    </cfRule>
  </conditionalFormatting>
  <conditionalFormatting sqref="I8">
    <cfRule type="expression" dxfId="152" priority="43" stopIfTrue="1">
      <formula>$C8&gt;0</formula>
    </cfRule>
  </conditionalFormatting>
  <conditionalFormatting sqref="E9:H9">
    <cfRule type="expression" dxfId="151" priority="42" stopIfTrue="1">
      <formula>$C9&gt;0</formula>
    </cfRule>
  </conditionalFormatting>
  <conditionalFormatting sqref="I9">
    <cfRule type="expression" dxfId="150" priority="41" stopIfTrue="1">
      <formula>$C9&gt;0</formula>
    </cfRule>
  </conditionalFormatting>
  <conditionalFormatting sqref="E10:H10">
    <cfRule type="expression" dxfId="149" priority="40" stopIfTrue="1">
      <formula>$C10&gt;0</formula>
    </cfRule>
  </conditionalFormatting>
  <conditionalFormatting sqref="I10">
    <cfRule type="expression" dxfId="148" priority="39" stopIfTrue="1">
      <formula>$C10&gt;0</formula>
    </cfRule>
  </conditionalFormatting>
  <conditionalFormatting sqref="E11:H11">
    <cfRule type="expression" dxfId="147" priority="38" stopIfTrue="1">
      <formula>$C11&gt;0</formula>
    </cfRule>
  </conditionalFormatting>
  <conditionalFormatting sqref="I11">
    <cfRule type="expression" dxfId="146" priority="37" stopIfTrue="1">
      <formula>$C11&gt;0</formula>
    </cfRule>
  </conditionalFormatting>
  <conditionalFormatting sqref="E14:H14">
    <cfRule type="expression" dxfId="145" priority="36" stopIfTrue="1">
      <formula>$C14&gt;0</formula>
    </cfRule>
  </conditionalFormatting>
  <conditionalFormatting sqref="I14">
    <cfRule type="expression" dxfId="144" priority="35" stopIfTrue="1">
      <formula>$C14&gt;0</formula>
    </cfRule>
  </conditionalFormatting>
  <conditionalFormatting sqref="E15:H15">
    <cfRule type="expression" dxfId="143" priority="34" stopIfTrue="1">
      <formula>$C15&gt;0</formula>
    </cfRule>
  </conditionalFormatting>
  <conditionalFormatting sqref="I15">
    <cfRule type="expression" dxfId="142" priority="33" stopIfTrue="1">
      <formula>$C15&gt;0</formula>
    </cfRule>
  </conditionalFormatting>
  <conditionalFormatting sqref="E16:H16">
    <cfRule type="expression" dxfId="141" priority="32" stopIfTrue="1">
      <formula>$C16&gt;0</formula>
    </cfRule>
  </conditionalFormatting>
  <conditionalFormatting sqref="I16">
    <cfRule type="expression" dxfId="140" priority="31" stopIfTrue="1">
      <formula>$C16&gt;0</formula>
    </cfRule>
  </conditionalFormatting>
  <conditionalFormatting sqref="E17:H17">
    <cfRule type="expression" dxfId="139" priority="30" stopIfTrue="1">
      <formula>$C17&gt;0</formula>
    </cfRule>
  </conditionalFormatting>
  <conditionalFormatting sqref="I17">
    <cfRule type="expression" dxfId="138" priority="29" stopIfTrue="1">
      <formula>$C17&gt;0</formula>
    </cfRule>
  </conditionalFormatting>
  <conditionalFormatting sqref="E18:H18">
    <cfRule type="expression" dxfId="137" priority="28" stopIfTrue="1">
      <formula>$C18&gt;0</formula>
    </cfRule>
  </conditionalFormatting>
  <conditionalFormatting sqref="I18">
    <cfRule type="expression" dxfId="136" priority="27" stopIfTrue="1">
      <formula>$C18&gt;0</formula>
    </cfRule>
  </conditionalFormatting>
  <conditionalFormatting sqref="E22:H22">
    <cfRule type="expression" dxfId="135" priority="26" stopIfTrue="1">
      <formula>$C22&gt;0</formula>
    </cfRule>
  </conditionalFormatting>
  <conditionalFormatting sqref="I22">
    <cfRule type="expression" dxfId="134" priority="25" stopIfTrue="1">
      <formula>$C22&gt;0</formula>
    </cfRule>
  </conditionalFormatting>
  <conditionalFormatting sqref="E23:H23">
    <cfRule type="expression" dxfId="133" priority="24" stopIfTrue="1">
      <formula>$C23&gt;0</formula>
    </cfRule>
  </conditionalFormatting>
  <conditionalFormatting sqref="I23">
    <cfRule type="expression" dxfId="132" priority="23" stopIfTrue="1">
      <formula>$C23&gt;0</formula>
    </cfRule>
  </conditionalFormatting>
  <conditionalFormatting sqref="E24:H24">
    <cfRule type="expression" dxfId="131" priority="22" stopIfTrue="1">
      <formula>$C24&gt;0</formula>
    </cfRule>
  </conditionalFormatting>
  <conditionalFormatting sqref="I24">
    <cfRule type="expression" dxfId="130" priority="21" stopIfTrue="1">
      <formula>$C24&gt;0</formula>
    </cfRule>
  </conditionalFormatting>
  <conditionalFormatting sqref="E25:H25">
    <cfRule type="expression" dxfId="129" priority="20" stopIfTrue="1">
      <formula>$C25&gt;0</formula>
    </cfRule>
  </conditionalFormatting>
  <conditionalFormatting sqref="I25">
    <cfRule type="expression" dxfId="128" priority="19" stopIfTrue="1">
      <formula>$C25&gt;0</formula>
    </cfRule>
  </conditionalFormatting>
  <conditionalFormatting sqref="E28:H28">
    <cfRule type="expression" dxfId="127" priority="18" stopIfTrue="1">
      <formula>$C28&gt;0</formula>
    </cfRule>
  </conditionalFormatting>
  <conditionalFormatting sqref="I28">
    <cfRule type="expression" dxfId="126" priority="17" stopIfTrue="1">
      <formula>$C28&gt;0</formula>
    </cfRule>
  </conditionalFormatting>
  <conditionalFormatting sqref="E29:H29">
    <cfRule type="expression" dxfId="125" priority="16" stopIfTrue="1">
      <formula>$C29&gt;0</formula>
    </cfRule>
  </conditionalFormatting>
  <conditionalFormatting sqref="I29">
    <cfRule type="expression" dxfId="124" priority="15" stopIfTrue="1">
      <formula>$C29&gt;0</formula>
    </cfRule>
  </conditionalFormatting>
  <conditionalFormatting sqref="E30:H30">
    <cfRule type="expression" dxfId="123" priority="14" stopIfTrue="1">
      <formula>$C30&gt;0</formula>
    </cfRule>
  </conditionalFormatting>
  <conditionalFormatting sqref="I30">
    <cfRule type="expression" dxfId="122" priority="13" stopIfTrue="1">
      <formula>$C30&gt;0</formula>
    </cfRule>
  </conditionalFormatting>
  <conditionalFormatting sqref="E31:H31">
    <cfRule type="expression" dxfId="121" priority="12" stopIfTrue="1">
      <formula>$C31&gt;0</formula>
    </cfRule>
  </conditionalFormatting>
  <conditionalFormatting sqref="I31">
    <cfRule type="expression" dxfId="120" priority="11" stopIfTrue="1">
      <formula>$C31&gt;0</formula>
    </cfRule>
  </conditionalFormatting>
  <conditionalFormatting sqref="E32:H32">
    <cfRule type="expression" dxfId="119" priority="10" stopIfTrue="1">
      <formula>$C32&gt;0</formula>
    </cfRule>
  </conditionalFormatting>
  <conditionalFormatting sqref="I32">
    <cfRule type="expression" dxfId="118" priority="9" stopIfTrue="1">
      <formula>$C32&gt;0</formula>
    </cfRule>
  </conditionalFormatting>
  <conditionalFormatting sqref="E35:H35">
    <cfRule type="expression" dxfId="117" priority="8" stopIfTrue="1">
      <formula>$C35&gt;0</formula>
    </cfRule>
  </conditionalFormatting>
  <conditionalFormatting sqref="I35">
    <cfRule type="expression" dxfId="116" priority="7" stopIfTrue="1">
      <formula>$C35&gt;0</formula>
    </cfRule>
  </conditionalFormatting>
  <conditionalFormatting sqref="E36:H36">
    <cfRule type="expression" dxfId="115" priority="6" stopIfTrue="1">
      <formula>$C36&gt;0</formula>
    </cfRule>
  </conditionalFormatting>
  <conditionalFormatting sqref="I36">
    <cfRule type="expression" dxfId="114" priority="5" stopIfTrue="1">
      <formula>$C36&gt;0</formula>
    </cfRule>
  </conditionalFormatting>
  <conditionalFormatting sqref="E37:H37">
    <cfRule type="expression" dxfId="113" priority="4" stopIfTrue="1">
      <formula>$C37&gt;0</formula>
    </cfRule>
  </conditionalFormatting>
  <conditionalFormatting sqref="I37">
    <cfRule type="expression" dxfId="112" priority="3" stopIfTrue="1">
      <formula>$C37&gt;0</formula>
    </cfRule>
  </conditionalFormatting>
  <conditionalFormatting sqref="E38:H38">
    <cfRule type="expression" dxfId="111" priority="2" stopIfTrue="1">
      <formula>$C38&gt;0</formula>
    </cfRule>
  </conditionalFormatting>
  <conditionalFormatting sqref="I38">
    <cfRule type="expression" dxfId="110" priority="1" stopIfTrue="1">
      <formula>$C38&gt;0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activeCell="E12" sqref="E12:I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45597</v>
      </c>
      <c r="B8" s="36">
        <f>A8</f>
        <v>45597</v>
      </c>
      <c r="C8" s="43">
        <f>IF(WEEKDAY(A8,2)&gt;5,1,0)+IF(D8&lt;&gt;"",1,0)</f>
        <v>0</v>
      </c>
      <c r="D8" s="44"/>
      <c r="E8" s="20">
        <v>9</v>
      </c>
      <c r="F8" s="31">
        <v>0</v>
      </c>
      <c r="G8" s="20">
        <v>18</v>
      </c>
      <c r="H8" s="24">
        <v>30</v>
      </c>
      <c r="I8" s="34">
        <v>60</v>
      </c>
      <c r="J8" s="57">
        <f t="shared" ref="J8" si="0">IF((H8-F8)&lt;0,(G8-E8-1)*60+(60+H8-F8),(G8-E8)*60+H8-F8)-I8</f>
        <v>510</v>
      </c>
      <c r="K8" s="61">
        <f t="shared" ref="K8" si="1">J8/60</f>
        <v>8.5</v>
      </c>
      <c r="L8" s="21"/>
      <c r="M8" s="89"/>
      <c r="N8" s="90"/>
      <c r="O8" s="90"/>
      <c r="P8" s="91"/>
      <c r="Q8" s="21"/>
      <c r="S8" s="14"/>
      <c r="T8" s="6"/>
      <c r="U8" s="6"/>
      <c r="V8" s="6"/>
    </row>
    <row r="9" spans="1:22" ht="18" customHeight="1" x14ac:dyDescent="0.2">
      <c r="A9" s="22">
        <f>IF(A8="","",(A8+1))</f>
        <v>45598</v>
      </c>
      <c r="B9" s="37">
        <f>A9</f>
        <v>45598</v>
      </c>
      <c r="C9" s="39">
        <f t="shared" ref="C9:C38" si="2">IF(WEEKDAY(A9,2)&gt;5,1,0)+IF(D9&lt;&gt;"",1,0)</f>
        <v>1</v>
      </c>
      <c r="D9" s="23"/>
      <c r="E9" s="20"/>
      <c r="F9" s="31"/>
      <c r="G9" s="20"/>
      <c r="H9" s="24"/>
      <c r="I9" s="34"/>
      <c r="J9" s="57">
        <f t="shared" ref="J9:J38" si="3">IF((H9-F9)&lt;0,(G9-E9-1)*60+(60+H9-F9),(G9-E9)*60+H9-F9)-I9</f>
        <v>0</v>
      </c>
      <c r="K9" s="61">
        <f t="shared" ref="K9:K38" si="4">J9/60</f>
        <v>0</v>
      </c>
      <c r="L9" s="25"/>
      <c r="M9" s="66"/>
      <c r="N9" s="67"/>
      <c r="O9" s="67"/>
      <c r="P9" s="68"/>
      <c r="Q9" s="25"/>
      <c r="S9" s="14"/>
      <c r="T9" s="11"/>
      <c r="U9" s="12"/>
      <c r="V9" s="13"/>
    </row>
    <row r="10" spans="1:22" ht="18" customHeight="1" x14ac:dyDescent="0.2">
      <c r="A10" s="22">
        <f t="shared" ref="A10:A35" si="5">IF(A9="","",(A9+1))</f>
        <v>45599</v>
      </c>
      <c r="B10" s="37">
        <f t="shared" ref="B10:B37" si="6">A10</f>
        <v>45599</v>
      </c>
      <c r="C10" s="39">
        <f t="shared" si="2"/>
        <v>1</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45600</v>
      </c>
      <c r="B11" s="37">
        <f t="shared" si="6"/>
        <v>45600</v>
      </c>
      <c r="C11" s="39">
        <f t="shared" si="2"/>
        <v>1</v>
      </c>
      <c r="D11" s="23" t="s">
        <v>13</v>
      </c>
      <c r="E11" s="20"/>
      <c r="F11" s="31"/>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45601</v>
      </c>
      <c r="B12" s="37">
        <f t="shared" si="6"/>
        <v>45601</v>
      </c>
      <c r="C12" s="39">
        <f t="shared" si="2"/>
        <v>0</v>
      </c>
      <c r="D12" s="23"/>
      <c r="E12" s="20">
        <v>9</v>
      </c>
      <c r="F12" s="31">
        <v>0</v>
      </c>
      <c r="G12" s="20">
        <v>18</v>
      </c>
      <c r="H12" s="24">
        <v>30</v>
      </c>
      <c r="I12" s="34">
        <v>60</v>
      </c>
      <c r="J12" s="57">
        <f t="shared" si="3"/>
        <v>510</v>
      </c>
      <c r="K12" s="61">
        <f t="shared" si="4"/>
        <v>8.5</v>
      </c>
      <c r="L12" s="25"/>
      <c r="M12" s="66"/>
      <c r="N12" s="67"/>
      <c r="O12" s="67"/>
      <c r="P12" s="68"/>
      <c r="Q12" s="25" t="s">
        <v>30</v>
      </c>
      <c r="S12" s="14"/>
      <c r="T12" s="11"/>
      <c r="U12" s="12"/>
      <c r="V12" s="13"/>
    </row>
    <row r="13" spans="1:22" ht="18" customHeight="1" x14ac:dyDescent="0.2">
      <c r="A13" s="22">
        <f t="shared" si="5"/>
        <v>45602</v>
      </c>
      <c r="B13" s="37">
        <f t="shared" si="6"/>
        <v>45602</v>
      </c>
      <c r="C13" s="39">
        <f t="shared" si="2"/>
        <v>0</v>
      </c>
      <c r="D13" s="23"/>
      <c r="E13" s="20">
        <v>9</v>
      </c>
      <c r="F13" s="31">
        <v>0</v>
      </c>
      <c r="G13" s="20">
        <v>18</v>
      </c>
      <c r="H13" s="24">
        <v>30</v>
      </c>
      <c r="I13" s="34">
        <v>60</v>
      </c>
      <c r="J13" s="57">
        <f t="shared" si="3"/>
        <v>510</v>
      </c>
      <c r="K13" s="61">
        <f t="shared" si="4"/>
        <v>8.5</v>
      </c>
      <c r="L13" s="25"/>
      <c r="M13" s="66"/>
      <c r="N13" s="67"/>
      <c r="O13" s="67"/>
      <c r="P13" s="68"/>
      <c r="Q13" s="25"/>
      <c r="S13" s="14"/>
      <c r="T13" s="11"/>
      <c r="U13" s="12"/>
      <c r="V13" s="13"/>
    </row>
    <row r="14" spans="1:22" ht="18" customHeight="1" x14ac:dyDescent="0.2">
      <c r="A14" s="22">
        <f t="shared" si="5"/>
        <v>45603</v>
      </c>
      <c r="B14" s="37">
        <f t="shared" si="6"/>
        <v>45603</v>
      </c>
      <c r="C14" s="39">
        <f t="shared" si="2"/>
        <v>0</v>
      </c>
      <c r="D14" s="23"/>
      <c r="E14" s="20">
        <v>9</v>
      </c>
      <c r="F14" s="31">
        <v>0</v>
      </c>
      <c r="G14" s="20">
        <v>18</v>
      </c>
      <c r="H14" s="24">
        <v>30</v>
      </c>
      <c r="I14" s="34">
        <v>60</v>
      </c>
      <c r="J14" s="57">
        <f t="shared" si="3"/>
        <v>510</v>
      </c>
      <c r="K14" s="61">
        <f t="shared" si="4"/>
        <v>8.5</v>
      </c>
      <c r="L14" s="25"/>
      <c r="M14" s="66"/>
      <c r="N14" s="67"/>
      <c r="O14" s="67"/>
      <c r="P14" s="68"/>
      <c r="Q14" s="25"/>
      <c r="S14" s="14"/>
      <c r="T14" s="11"/>
      <c r="U14" s="12"/>
      <c r="V14" s="13"/>
    </row>
    <row r="15" spans="1:22" ht="18" customHeight="1" x14ac:dyDescent="0.2">
      <c r="A15" s="22">
        <f t="shared" si="5"/>
        <v>45604</v>
      </c>
      <c r="B15" s="37">
        <f t="shared" si="6"/>
        <v>45604</v>
      </c>
      <c r="C15" s="39">
        <f t="shared" si="2"/>
        <v>0</v>
      </c>
      <c r="D15" s="23"/>
      <c r="E15" s="20">
        <v>9</v>
      </c>
      <c r="F15" s="31">
        <v>0</v>
      </c>
      <c r="G15" s="20">
        <v>18</v>
      </c>
      <c r="H15" s="24">
        <v>30</v>
      </c>
      <c r="I15" s="34">
        <v>60</v>
      </c>
      <c r="J15" s="57">
        <f t="shared" si="3"/>
        <v>510</v>
      </c>
      <c r="K15" s="61">
        <f t="shared" si="4"/>
        <v>8.5</v>
      </c>
      <c r="L15" s="25"/>
      <c r="M15" s="66"/>
      <c r="N15" s="67"/>
      <c r="O15" s="67"/>
      <c r="P15" s="68"/>
      <c r="Q15" s="25"/>
      <c r="S15" s="14"/>
      <c r="T15" s="11"/>
      <c r="U15" s="12"/>
      <c r="V15" s="13"/>
    </row>
    <row r="16" spans="1:22" ht="18" customHeight="1" x14ac:dyDescent="0.2">
      <c r="A16" s="22">
        <f t="shared" si="5"/>
        <v>45605</v>
      </c>
      <c r="B16" s="37">
        <f t="shared" si="6"/>
        <v>45605</v>
      </c>
      <c r="C16" s="39">
        <f t="shared" si="2"/>
        <v>1</v>
      </c>
      <c r="D16" s="23"/>
      <c r="E16" s="20"/>
      <c r="F16" s="31"/>
      <c r="G16" s="20"/>
      <c r="H16" s="24"/>
      <c r="I16" s="34"/>
      <c r="J16" s="57">
        <f t="shared" si="3"/>
        <v>0</v>
      </c>
      <c r="K16" s="61">
        <f t="shared" si="4"/>
        <v>0</v>
      </c>
      <c r="L16" s="25"/>
      <c r="M16" s="66"/>
      <c r="N16" s="67"/>
      <c r="O16" s="67"/>
      <c r="P16" s="68"/>
      <c r="Q16" s="25"/>
      <c r="S16" s="14"/>
      <c r="T16" s="11"/>
      <c r="U16" s="12"/>
      <c r="V16" s="13"/>
    </row>
    <row r="17" spans="1:22" ht="18" customHeight="1" x14ac:dyDescent="0.2">
      <c r="A17" s="22">
        <f t="shared" si="5"/>
        <v>45606</v>
      </c>
      <c r="B17" s="37">
        <f t="shared" si="6"/>
        <v>45606</v>
      </c>
      <c r="C17" s="39">
        <f t="shared" si="2"/>
        <v>1</v>
      </c>
      <c r="D17" s="23"/>
      <c r="E17" s="20"/>
      <c r="F17" s="31"/>
      <c r="G17" s="20"/>
      <c r="H17" s="24"/>
      <c r="I17" s="34"/>
      <c r="J17" s="57">
        <f t="shared" si="3"/>
        <v>0</v>
      </c>
      <c r="K17" s="61">
        <f t="shared" si="4"/>
        <v>0</v>
      </c>
      <c r="L17" s="25"/>
      <c r="M17" s="66"/>
      <c r="N17" s="67"/>
      <c r="O17" s="67"/>
      <c r="P17" s="68"/>
      <c r="Q17" s="25"/>
      <c r="T17" s="11"/>
      <c r="U17" s="12"/>
      <c r="V17" s="13"/>
    </row>
    <row r="18" spans="1:22" ht="18" customHeight="1" x14ac:dyDescent="0.2">
      <c r="A18" s="22">
        <f t="shared" si="5"/>
        <v>45607</v>
      </c>
      <c r="B18" s="37">
        <f t="shared" si="6"/>
        <v>45607</v>
      </c>
      <c r="C18" s="39">
        <f t="shared" si="2"/>
        <v>0</v>
      </c>
      <c r="D18" s="23"/>
      <c r="E18" s="20">
        <v>9</v>
      </c>
      <c r="F18" s="31">
        <v>0</v>
      </c>
      <c r="G18" s="20">
        <v>18</v>
      </c>
      <c r="H18" s="24">
        <v>30</v>
      </c>
      <c r="I18" s="34">
        <v>60</v>
      </c>
      <c r="J18" s="57">
        <f t="shared" si="3"/>
        <v>510</v>
      </c>
      <c r="K18" s="61">
        <f t="shared" si="4"/>
        <v>8.5</v>
      </c>
      <c r="L18" s="25"/>
      <c r="M18" s="66"/>
      <c r="N18" s="67"/>
      <c r="O18" s="67"/>
      <c r="P18" s="68"/>
      <c r="Q18" s="25" t="s">
        <v>30</v>
      </c>
      <c r="T18" s="11"/>
      <c r="U18" s="12"/>
      <c r="V18" s="13"/>
    </row>
    <row r="19" spans="1:22" ht="18" customHeight="1" x14ac:dyDescent="0.2">
      <c r="A19" s="22">
        <f t="shared" si="5"/>
        <v>45608</v>
      </c>
      <c r="B19" s="37">
        <f t="shared" si="6"/>
        <v>45608</v>
      </c>
      <c r="C19" s="39">
        <f t="shared" si="2"/>
        <v>0</v>
      </c>
      <c r="D19" s="23"/>
      <c r="E19" s="20">
        <v>9</v>
      </c>
      <c r="F19" s="31">
        <v>0</v>
      </c>
      <c r="G19" s="20">
        <v>18</v>
      </c>
      <c r="H19" s="24">
        <v>30</v>
      </c>
      <c r="I19" s="34">
        <v>60</v>
      </c>
      <c r="J19" s="57">
        <f t="shared" si="3"/>
        <v>510</v>
      </c>
      <c r="K19" s="61">
        <f t="shared" si="4"/>
        <v>8.5</v>
      </c>
      <c r="L19" s="25"/>
      <c r="M19" s="66"/>
      <c r="N19" s="67"/>
      <c r="O19" s="67"/>
      <c r="P19" s="68"/>
      <c r="Q19" s="25"/>
      <c r="V19" s="13"/>
    </row>
    <row r="20" spans="1:22" ht="18" customHeight="1" x14ac:dyDescent="0.2">
      <c r="A20" s="22">
        <f t="shared" si="5"/>
        <v>45609</v>
      </c>
      <c r="B20" s="37">
        <f t="shared" si="6"/>
        <v>45609</v>
      </c>
      <c r="C20" s="39">
        <f t="shared" si="2"/>
        <v>0</v>
      </c>
      <c r="D20" s="23"/>
      <c r="E20" s="20">
        <v>9</v>
      </c>
      <c r="F20" s="31">
        <v>0</v>
      </c>
      <c r="G20" s="20">
        <v>18</v>
      </c>
      <c r="H20" s="24">
        <v>30</v>
      </c>
      <c r="I20" s="34">
        <v>60</v>
      </c>
      <c r="J20" s="57">
        <f t="shared" si="3"/>
        <v>510</v>
      </c>
      <c r="K20" s="61">
        <f t="shared" si="4"/>
        <v>8.5</v>
      </c>
      <c r="L20" s="25"/>
      <c r="M20" s="66"/>
      <c r="N20" s="67"/>
      <c r="O20" s="67"/>
      <c r="P20" s="68"/>
      <c r="Q20" s="25"/>
      <c r="V20" s="13"/>
    </row>
    <row r="21" spans="1:22" ht="18" customHeight="1" x14ac:dyDescent="0.2">
      <c r="A21" s="22">
        <f t="shared" si="5"/>
        <v>45610</v>
      </c>
      <c r="B21" s="37">
        <f t="shared" si="6"/>
        <v>45610</v>
      </c>
      <c r="C21" s="39">
        <f t="shared" si="2"/>
        <v>0</v>
      </c>
      <c r="D21" s="23"/>
      <c r="E21" s="20">
        <v>9</v>
      </c>
      <c r="F21" s="31">
        <v>0</v>
      </c>
      <c r="G21" s="20">
        <v>18</v>
      </c>
      <c r="H21" s="24">
        <v>30</v>
      </c>
      <c r="I21" s="34">
        <v>60</v>
      </c>
      <c r="J21" s="57">
        <f t="shared" si="3"/>
        <v>510</v>
      </c>
      <c r="K21" s="61">
        <f t="shared" si="4"/>
        <v>8.5</v>
      </c>
      <c r="L21" s="25"/>
      <c r="M21" s="66"/>
      <c r="N21" s="67"/>
      <c r="O21" s="67"/>
      <c r="P21" s="68"/>
      <c r="Q21" s="25"/>
      <c r="V21" s="13"/>
    </row>
    <row r="22" spans="1:22" ht="18" customHeight="1" x14ac:dyDescent="0.2">
      <c r="A22" s="22">
        <f t="shared" si="5"/>
        <v>45611</v>
      </c>
      <c r="B22" s="37">
        <f t="shared" si="6"/>
        <v>45611</v>
      </c>
      <c r="C22" s="39">
        <f t="shared" si="2"/>
        <v>0</v>
      </c>
      <c r="D22" s="23"/>
      <c r="E22" s="20">
        <v>9</v>
      </c>
      <c r="F22" s="31">
        <v>0</v>
      </c>
      <c r="G22" s="20">
        <v>18</v>
      </c>
      <c r="H22" s="24">
        <v>30</v>
      </c>
      <c r="I22" s="34">
        <v>60</v>
      </c>
      <c r="J22" s="57">
        <f t="shared" si="3"/>
        <v>510</v>
      </c>
      <c r="K22" s="61">
        <f t="shared" si="4"/>
        <v>8.5</v>
      </c>
      <c r="L22" s="25"/>
      <c r="M22" s="66"/>
      <c r="N22" s="67"/>
      <c r="O22" s="67"/>
      <c r="P22" s="68"/>
      <c r="Q22" s="25"/>
      <c r="V22" s="13"/>
    </row>
    <row r="23" spans="1:22" ht="18" customHeight="1" x14ac:dyDescent="0.2">
      <c r="A23" s="22">
        <f t="shared" si="5"/>
        <v>45612</v>
      </c>
      <c r="B23" s="37">
        <f t="shared" si="6"/>
        <v>45612</v>
      </c>
      <c r="C23" s="39">
        <f t="shared" si="2"/>
        <v>1</v>
      </c>
      <c r="D23" s="23"/>
      <c r="E23" s="20"/>
      <c r="F23" s="31"/>
      <c r="G23" s="20"/>
      <c r="H23" s="24"/>
      <c r="I23" s="34"/>
      <c r="J23" s="57">
        <f t="shared" si="3"/>
        <v>0</v>
      </c>
      <c r="K23" s="61">
        <f t="shared" si="4"/>
        <v>0</v>
      </c>
      <c r="L23" s="25"/>
      <c r="M23" s="66"/>
      <c r="N23" s="67"/>
      <c r="O23" s="67"/>
      <c r="P23" s="68"/>
      <c r="Q23" s="25"/>
      <c r="V23" s="13"/>
    </row>
    <row r="24" spans="1:22" ht="18" customHeight="1" x14ac:dyDescent="0.2">
      <c r="A24" s="22">
        <f t="shared" si="5"/>
        <v>45613</v>
      </c>
      <c r="B24" s="37">
        <f t="shared" si="6"/>
        <v>45613</v>
      </c>
      <c r="C24" s="39">
        <f t="shared" si="2"/>
        <v>1</v>
      </c>
      <c r="D24" s="23"/>
      <c r="E24" s="20"/>
      <c r="F24" s="31"/>
      <c r="G24" s="20"/>
      <c r="H24" s="24"/>
      <c r="I24" s="34"/>
      <c r="J24" s="57">
        <f t="shared" si="3"/>
        <v>0</v>
      </c>
      <c r="K24" s="61">
        <f t="shared" si="4"/>
        <v>0</v>
      </c>
      <c r="L24" s="25"/>
      <c r="M24" s="66"/>
      <c r="N24" s="67"/>
      <c r="O24" s="67"/>
      <c r="P24" s="68"/>
      <c r="Q24" s="25"/>
      <c r="V24" s="13"/>
    </row>
    <row r="25" spans="1:22" ht="18" customHeight="1" x14ac:dyDescent="0.2">
      <c r="A25" s="22">
        <f t="shared" si="5"/>
        <v>45614</v>
      </c>
      <c r="B25" s="37">
        <f t="shared" si="6"/>
        <v>45614</v>
      </c>
      <c r="C25" s="39">
        <f t="shared" si="2"/>
        <v>0</v>
      </c>
      <c r="D25" s="23"/>
      <c r="E25" s="20">
        <v>9</v>
      </c>
      <c r="F25" s="31">
        <v>0</v>
      </c>
      <c r="G25" s="20">
        <v>18</v>
      </c>
      <c r="H25" s="24">
        <v>30</v>
      </c>
      <c r="I25" s="34">
        <v>60</v>
      </c>
      <c r="J25" s="57">
        <f t="shared" si="3"/>
        <v>510</v>
      </c>
      <c r="K25" s="61">
        <f t="shared" si="4"/>
        <v>8.5</v>
      </c>
      <c r="L25" s="25"/>
      <c r="M25" s="66"/>
      <c r="N25" s="67"/>
      <c r="O25" s="67"/>
      <c r="P25" s="68"/>
      <c r="Q25" s="25" t="s">
        <v>30</v>
      </c>
      <c r="V25" s="13"/>
    </row>
    <row r="26" spans="1:22" ht="18" customHeight="1" x14ac:dyDescent="0.2">
      <c r="A26" s="22">
        <f t="shared" si="5"/>
        <v>45615</v>
      </c>
      <c r="B26" s="37">
        <f t="shared" si="6"/>
        <v>45615</v>
      </c>
      <c r="C26" s="39">
        <f t="shared" si="2"/>
        <v>0</v>
      </c>
      <c r="D26" s="23"/>
      <c r="E26" s="20">
        <v>9</v>
      </c>
      <c r="F26" s="31">
        <v>0</v>
      </c>
      <c r="G26" s="20">
        <v>18</v>
      </c>
      <c r="H26" s="24">
        <v>30</v>
      </c>
      <c r="I26" s="34">
        <v>60</v>
      </c>
      <c r="J26" s="57">
        <f t="shared" si="3"/>
        <v>510</v>
      </c>
      <c r="K26" s="61">
        <f t="shared" si="4"/>
        <v>8.5</v>
      </c>
      <c r="L26" s="25"/>
      <c r="M26" s="66"/>
      <c r="N26" s="67"/>
      <c r="O26" s="67"/>
      <c r="P26" s="68"/>
      <c r="Q26" s="25"/>
      <c r="V26" s="13"/>
    </row>
    <row r="27" spans="1:22" ht="18" customHeight="1" x14ac:dyDescent="0.2">
      <c r="A27" s="22">
        <f t="shared" si="5"/>
        <v>45616</v>
      </c>
      <c r="B27" s="37">
        <f t="shared" si="6"/>
        <v>45616</v>
      </c>
      <c r="C27" s="39">
        <f t="shared" si="2"/>
        <v>0</v>
      </c>
      <c r="D27" s="23"/>
      <c r="E27" s="20">
        <v>9</v>
      </c>
      <c r="F27" s="31">
        <v>0</v>
      </c>
      <c r="G27" s="20">
        <v>18</v>
      </c>
      <c r="H27" s="24">
        <v>30</v>
      </c>
      <c r="I27" s="34">
        <v>60</v>
      </c>
      <c r="J27" s="57">
        <f t="shared" si="3"/>
        <v>510</v>
      </c>
      <c r="K27" s="61">
        <f t="shared" si="4"/>
        <v>8.5</v>
      </c>
      <c r="L27" s="25"/>
      <c r="M27" s="66"/>
      <c r="N27" s="67"/>
      <c r="O27" s="67"/>
      <c r="P27" s="68"/>
      <c r="Q27" s="25"/>
      <c r="V27" s="13"/>
    </row>
    <row r="28" spans="1:22" ht="18" customHeight="1" x14ac:dyDescent="0.2">
      <c r="A28" s="22">
        <f t="shared" si="5"/>
        <v>45617</v>
      </c>
      <c r="B28" s="37">
        <f t="shared" si="6"/>
        <v>45617</v>
      </c>
      <c r="C28" s="39">
        <f t="shared" si="2"/>
        <v>0</v>
      </c>
      <c r="D28" s="23"/>
      <c r="E28" s="20">
        <v>9</v>
      </c>
      <c r="F28" s="31">
        <v>0</v>
      </c>
      <c r="G28" s="20">
        <v>18</v>
      </c>
      <c r="H28" s="24">
        <v>30</v>
      </c>
      <c r="I28" s="34">
        <v>60</v>
      </c>
      <c r="J28" s="57">
        <f t="shared" si="3"/>
        <v>510</v>
      </c>
      <c r="K28" s="61">
        <f t="shared" si="4"/>
        <v>8.5</v>
      </c>
      <c r="L28" s="25"/>
      <c r="M28" s="66"/>
      <c r="N28" s="67"/>
      <c r="O28" s="67"/>
      <c r="P28" s="68"/>
      <c r="Q28" s="25"/>
      <c r="V28" s="13"/>
    </row>
    <row r="29" spans="1:22" ht="18" customHeight="1" x14ac:dyDescent="0.2">
      <c r="A29" s="22">
        <f t="shared" si="5"/>
        <v>45618</v>
      </c>
      <c r="B29" s="37">
        <f t="shared" si="6"/>
        <v>45618</v>
      </c>
      <c r="C29" s="39">
        <f t="shared" si="2"/>
        <v>0</v>
      </c>
      <c r="D29" s="23"/>
      <c r="E29" s="20">
        <v>9</v>
      </c>
      <c r="F29" s="31">
        <v>0</v>
      </c>
      <c r="G29" s="20">
        <v>18</v>
      </c>
      <c r="H29" s="24">
        <v>30</v>
      </c>
      <c r="I29" s="34">
        <v>60</v>
      </c>
      <c r="J29" s="57">
        <f t="shared" si="3"/>
        <v>510</v>
      </c>
      <c r="K29" s="61">
        <f t="shared" si="4"/>
        <v>8.5</v>
      </c>
      <c r="L29" s="25"/>
      <c r="M29" s="66"/>
      <c r="N29" s="67"/>
      <c r="O29" s="67"/>
      <c r="P29" s="68"/>
      <c r="Q29" s="25"/>
      <c r="V29" s="13"/>
    </row>
    <row r="30" spans="1:22" ht="18" customHeight="1" x14ac:dyDescent="0.2">
      <c r="A30" s="22">
        <f t="shared" si="5"/>
        <v>45619</v>
      </c>
      <c r="B30" s="37">
        <f t="shared" si="6"/>
        <v>45619</v>
      </c>
      <c r="C30" s="39">
        <f t="shared" si="2"/>
        <v>2</v>
      </c>
      <c r="D30" s="23" t="s">
        <v>27</v>
      </c>
      <c r="E30" s="20"/>
      <c r="F30" s="31"/>
      <c r="G30" s="20"/>
      <c r="H30" s="24"/>
      <c r="I30" s="34"/>
      <c r="J30" s="57">
        <f t="shared" si="3"/>
        <v>0</v>
      </c>
      <c r="K30" s="61">
        <f t="shared" si="4"/>
        <v>0</v>
      </c>
      <c r="L30" s="25"/>
      <c r="M30" s="66"/>
      <c r="N30" s="67"/>
      <c r="O30" s="67"/>
      <c r="P30" s="68"/>
      <c r="Q30" s="25"/>
      <c r="V30" s="13"/>
    </row>
    <row r="31" spans="1:22" ht="18" customHeight="1" x14ac:dyDescent="0.2">
      <c r="A31" s="22">
        <f t="shared" si="5"/>
        <v>45620</v>
      </c>
      <c r="B31" s="37">
        <f t="shared" si="6"/>
        <v>45620</v>
      </c>
      <c r="C31" s="39">
        <f t="shared" si="2"/>
        <v>1</v>
      </c>
      <c r="D31" s="23"/>
      <c r="E31" s="20"/>
      <c r="F31" s="31"/>
      <c r="G31" s="20"/>
      <c r="H31" s="24"/>
      <c r="I31" s="34"/>
      <c r="J31" s="57">
        <f t="shared" si="3"/>
        <v>0</v>
      </c>
      <c r="K31" s="61">
        <f t="shared" si="4"/>
        <v>0</v>
      </c>
      <c r="L31" s="25"/>
      <c r="M31" s="66"/>
      <c r="N31" s="67"/>
      <c r="O31" s="67"/>
      <c r="P31" s="68"/>
      <c r="Q31" s="25"/>
      <c r="V31" s="13"/>
    </row>
    <row r="32" spans="1:22" ht="18" customHeight="1" x14ac:dyDescent="0.2">
      <c r="A32" s="22">
        <f t="shared" si="5"/>
        <v>45621</v>
      </c>
      <c r="B32" s="37">
        <f t="shared" si="6"/>
        <v>45621</v>
      </c>
      <c r="C32" s="39">
        <f t="shared" si="2"/>
        <v>0</v>
      </c>
      <c r="D32" s="23"/>
      <c r="E32" s="20">
        <v>9</v>
      </c>
      <c r="F32" s="31">
        <v>0</v>
      </c>
      <c r="G32" s="20">
        <v>18</v>
      </c>
      <c r="H32" s="24">
        <v>30</v>
      </c>
      <c r="I32" s="34">
        <v>60</v>
      </c>
      <c r="J32" s="57">
        <f t="shared" si="3"/>
        <v>510</v>
      </c>
      <c r="K32" s="61">
        <f t="shared" si="4"/>
        <v>8.5</v>
      </c>
      <c r="L32" s="25"/>
      <c r="M32" s="66"/>
      <c r="N32" s="67"/>
      <c r="O32" s="67"/>
      <c r="P32" s="68"/>
      <c r="Q32" s="25" t="s">
        <v>30</v>
      </c>
      <c r="V32" s="13"/>
    </row>
    <row r="33" spans="1:22" ht="18" customHeight="1" x14ac:dyDescent="0.2">
      <c r="A33" s="22">
        <f t="shared" si="5"/>
        <v>45622</v>
      </c>
      <c r="B33" s="37">
        <f t="shared" si="6"/>
        <v>45622</v>
      </c>
      <c r="C33" s="39">
        <f t="shared" si="2"/>
        <v>0</v>
      </c>
      <c r="D33" s="23"/>
      <c r="E33" s="20">
        <v>9</v>
      </c>
      <c r="F33" s="31">
        <v>0</v>
      </c>
      <c r="G33" s="20">
        <v>18</v>
      </c>
      <c r="H33" s="24">
        <v>30</v>
      </c>
      <c r="I33" s="34">
        <v>60</v>
      </c>
      <c r="J33" s="57">
        <f t="shared" si="3"/>
        <v>510</v>
      </c>
      <c r="K33" s="61">
        <f t="shared" si="4"/>
        <v>8.5</v>
      </c>
      <c r="L33" s="25"/>
      <c r="M33" s="66"/>
      <c r="N33" s="67"/>
      <c r="O33" s="67"/>
      <c r="P33" s="68"/>
      <c r="Q33" s="25"/>
      <c r="V33" s="13"/>
    </row>
    <row r="34" spans="1:22" ht="18" customHeight="1" x14ac:dyDescent="0.2">
      <c r="A34" s="22">
        <f t="shared" si="5"/>
        <v>45623</v>
      </c>
      <c r="B34" s="37">
        <f t="shared" si="6"/>
        <v>45623</v>
      </c>
      <c r="C34" s="39">
        <f t="shared" si="2"/>
        <v>0</v>
      </c>
      <c r="D34" s="23"/>
      <c r="E34" s="20">
        <v>9</v>
      </c>
      <c r="F34" s="31">
        <v>0</v>
      </c>
      <c r="G34" s="20">
        <v>18</v>
      </c>
      <c r="H34" s="24">
        <v>30</v>
      </c>
      <c r="I34" s="34">
        <v>60</v>
      </c>
      <c r="J34" s="57">
        <f t="shared" si="3"/>
        <v>510</v>
      </c>
      <c r="K34" s="61">
        <f t="shared" si="4"/>
        <v>8.5</v>
      </c>
      <c r="L34" s="25"/>
      <c r="M34" s="66"/>
      <c r="N34" s="67"/>
      <c r="O34" s="67"/>
      <c r="P34" s="68"/>
      <c r="Q34" s="25"/>
    </row>
    <row r="35" spans="1:22" ht="18" customHeight="1" x14ac:dyDescent="0.2">
      <c r="A35" s="22">
        <f t="shared" si="5"/>
        <v>45624</v>
      </c>
      <c r="B35" s="37">
        <f t="shared" si="6"/>
        <v>45624</v>
      </c>
      <c r="C35" s="39">
        <f t="shared" si="2"/>
        <v>0</v>
      </c>
      <c r="D35" s="23"/>
      <c r="E35" s="20">
        <v>9</v>
      </c>
      <c r="F35" s="31">
        <v>0</v>
      </c>
      <c r="G35" s="20">
        <v>18</v>
      </c>
      <c r="H35" s="24">
        <v>30</v>
      </c>
      <c r="I35" s="34">
        <v>60</v>
      </c>
      <c r="J35" s="57">
        <f t="shared" si="3"/>
        <v>510</v>
      </c>
      <c r="K35" s="61">
        <f t="shared" si="4"/>
        <v>8.5</v>
      </c>
      <c r="L35" s="25"/>
      <c r="M35" s="66"/>
      <c r="N35" s="67"/>
      <c r="O35" s="67"/>
      <c r="P35" s="68"/>
      <c r="Q35" s="25"/>
    </row>
    <row r="36" spans="1:22" ht="18" customHeight="1" x14ac:dyDescent="0.2">
      <c r="A36" s="22">
        <f>IF($A$35="","",IF(NOT(MONTH($A$35)=MONTH($A$35+1)),"",$A$35+1))</f>
        <v>45625</v>
      </c>
      <c r="B36" s="37">
        <f t="shared" si="6"/>
        <v>45625</v>
      </c>
      <c r="C36" s="39">
        <f t="shared" si="2"/>
        <v>0</v>
      </c>
      <c r="D36" s="23"/>
      <c r="E36" s="20">
        <v>9</v>
      </c>
      <c r="F36" s="31">
        <v>0</v>
      </c>
      <c r="G36" s="20">
        <v>18</v>
      </c>
      <c r="H36" s="24">
        <v>30</v>
      </c>
      <c r="I36" s="34">
        <v>60</v>
      </c>
      <c r="J36" s="57">
        <f t="shared" si="3"/>
        <v>510</v>
      </c>
      <c r="K36" s="61">
        <f t="shared" si="4"/>
        <v>8.5</v>
      </c>
      <c r="L36" s="25"/>
      <c r="M36" s="66"/>
      <c r="N36" s="67"/>
      <c r="O36" s="67"/>
      <c r="P36" s="68"/>
      <c r="Q36" s="25"/>
    </row>
    <row r="37" spans="1:22" ht="18" customHeight="1" x14ac:dyDescent="0.2">
      <c r="A37" s="22">
        <f>IF($A$35="","",IF(NOT(MONTH($A$35)=MONTH($A$35+2)),"",$A$35+2))</f>
        <v>45626</v>
      </c>
      <c r="B37" s="37">
        <f t="shared" si="6"/>
        <v>45626</v>
      </c>
      <c r="C37" s="39">
        <f t="shared" si="2"/>
        <v>1</v>
      </c>
      <c r="D37" s="23"/>
      <c r="E37" s="20"/>
      <c r="F37" s="31"/>
      <c r="G37" s="20"/>
      <c r="H37" s="24"/>
      <c r="I37" s="34"/>
      <c r="J37" s="57">
        <f t="shared" si="3"/>
        <v>0</v>
      </c>
      <c r="K37" s="61">
        <f t="shared" si="4"/>
        <v>0</v>
      </c>
      <c r="L37" s="25"/>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3"/>
        <v>0</v>
      </c>
      <c r="K38" s="62">
        <f t="shared" si="4"/>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A8:C38 E9:P11 D31:D38 D8:D10 D12:D29 L8:P8 E16:P17 L12:P15 E23:P24 L18:P22 E30:P31 L25:P29 E37:P38 L32:P36">
    <cfRule type="expression" dxfId="109" priority="66" stopIfTrue="1">
      <formula>$C8&gt;0</formula>
    </cfRule>
  </conditionalFormatting>
  <conditionalFormatting sqref="D30">
    <cfRule type="expression" dxfId="108" priority="63" stopIfTrue="1">
      <formula>$C30&gt;0</formula>
    </cfRule>
  </conditionalFormatting>
  <conditionalFormatting sqref="D11">
    <cfRule type="expression" dxfId="107" priority="62" stopIfTrue="1">
      <formula>$C11&gt;0</formula>
    </cfRule>
  </conditionalFormatting>
  <conditionalFormatting sqref="Q8:Q38">
    <cfRule type="expression" dxfId="106" priority="61" stopIfTrue="1">
      <formula>$C8&gt;0</formula>
    </cfRule>
  </conditionalFormatting>
  <conditionalFormatting sqref="J8:K8">
    <cfRule type="expression" dxfId="105" priority="60" stopIfTrue="1">
      <formula>$C8&gt;0</formula>
    </cfRule>
  </conditionalFormatting>
  <conditionalFormatting sqref="E8:H8">
    <cfRule type="expression" dxfId="104" priority="59" stopIfTrue="1">
      <formula>$C8&gt;0</formula>
    </cfRule>
  </conditionalFormatting>
  <conditionalFormatting sqref="I8">
    <cfRule type="expression" dxfId="103" priority="58" stopIfTrue="1">
      <formula>$C8&gt;0</formula>
    </cfRule>
  </conditionalFormatting>
  <conditionalFormatting sqref="J12:K12">
    <cfRule type="expression" dxfId="102" priority="57" stopIfTrue="1">
      <formula>$C12&gt;0</formula>
    </cfRule>
  </conditionalFormatting>
  <conditionalFormatting sqref="E12:H12">
    <cfRule type="expression" dxfId="101" priority="56" stopIfTrue="1">
      <formula>$C12&gt;0</formula>
    </cfRule>
  </conditionalFormatting>
  <conditionalFormatting sqref="I12">
    <cfRule type="expression" dxfId="100" priority="55" stopIfTrue="1">
      <formula>$C12&gt;0</formula>
    </cfRule>
  </conditionalFormatting>
  <conditionalFormatting sqref="J13:K13">
    <cfRule type="expression" dxfId="99" priority="54" stopIfTrue="1">
      <formula>$C13&gt;0</formula>
    </cfRule>
  </conditionalFormatting>
  <conditionalFormatting sqref="E13:H13">
    <cfRule type="expression" dxfId="98" priority="53" stopIfTrue="1">
      <formula>$C13&gt;0</formula>
    </cfRule>
  </conditionalFormatting>
  <conditionalFormatting sqref="I13">
    <cfRule type="expression" dxfId="97" priority="52" stopIfTrue="1">
      <formula>$C13&gt;0</formula>
    </cfRule>
  </conditionalFormatting>
  <conditionalFormatting sqref="J14:K14">
    <cfRule type="expression" dxfId="96" priority="51" stopIfTrue="1">
      <formula>$C14&gt;0</formula>
    </cfRule>
  </conditionalFormatting>
  <conditionalFormatting sqref="E14:H14">
    <cfRule type="expression" dxfId="95" priority="50" stopIfTrue="1">
      <formula>$C14&gt;0</formula>
    </cfRule>
  </conditionalFormatting>
  <conditionalFormatting sqref="I14">
    <cfRule type="expression" dxfId="94" priority="49" stopIfTrue="1">
      <formula>$C14&gt;0</formula>
    </cfRule>
  </conditionalFormatting>
  <conditionalFormatting sqref="J15:K15">
    <cfRule type="expression" dxfId="93" priority="48" stopIfTrue="1">
      <formula>$C15&gt;0</formula>
    </cfRule>
  </conditionalFormatting>
  <conditionalFormatting sqref="E15:H15">
    <cfRule type="expression" dxfId="92" priority="47" stopIfTrue="1">
      <formula>$C15&gt;0</formula>
    </cfRule>
  </conditionalFormatting>
  <conditionalFormatting sqref="I15">
    <cfRule type="expression" dxfId="91" priority="46" stopIfTrue="1">
      <formula>$C15&gt;0</formula>
    </cfRule>
  </conditionalFormatting>
  <conditionalFormatting sqref="J18:K18">
    <cfRule type="expression" dxfId="90" priority="45" stopIfTrue="1">
      <formula>$C18&gt;0</formula>
    </cfRule>
  </conditionalFormatting>
  <conditionalFormatting sqref="E18:H18">
    <cfRule type="expression" dxfId="89" priority="44" stopIfTrue="1">
      <formula>$C18&gt;0</formula>
    </cfRule>
  </conditionalFormatting>
  <conditionalFormatting sqref="I18">
    <cfRule type="expression" dxfId="88" priority="43" stopIfTrue="1">
      <formula>$C18&gt;0</formula>
    </cfRule>
  </conditionalFormatting>
  <conditionalFormatting sqref="J19:K19">
    <cfRule type="expression" dxfId="87" priority="42" stopIfTrue="1">
      <formula>$C19&gt;0</formula>
    </cfRule>
  </conditionalFormatting>
  <conditionalFormatting sqref="E19:H19">
    <cfRule type="expression" dxfId="86" priority="41" stopIfTrue="1">
      <formula>$C19&gt;0</formula>
    </cfRule>
  </conditionalFormatting>
  <conditionalFormatting sqref="I19">
    <cfRule type="expression" dxfId="85" priority="40" stopIfTrue="1">
      <formula>$C19&gt;0</formula>
    </cfRule>
  </conditionalFormatting>
  <conditionalFormatting sqref="J20:K20">
    <cfRule type="expression" dxfId="84" priority="39" stopIfTrue="1">
      <formula>$C20&gt;0</formula>
    </cfRule>
  </conditionalFormatting>
  <conditionalFormatting sqref="E20:H20">
    <cfRule type="expression" dxfId="83" priority="38" stopIfTrue="1">
      <formula>$C20&gt;0</formula>
    </cfRule>
  </conditionalFormatting>
  <conditionalFormatting sqref="I20">
    <cfRule type="expression" dxfId="82" priority="37" stopIfTrue="1">
      <formula>$C20&gt;0</formula>
    </cfRule>
  </conditionalFormatting>
  <conditionalFormatting sqref="J21:K21">
    <cfRule type="expression" dxfId="81" priority="36" stopIfTrue="1">
      <formula>$C21&gt;0</formula>
    </cfRule>
  </conditionalFormatting>
  <conditionalFormatting sqref="E21:H21">
    <cfRule type="expression" dxfId="80" priority="35" stopIfTrue="1">
      <formula>$C21&gt;0</formula>
    </cfRule>
  </conditionalFormatting>
  <conditionalFormatting sqref="I21">
    <cfRule type="expression" dxfId="79" priority="34" stopIfTrue="1">
      <formula>$C21&gt;0</formula>
    </cfRule>
  </conditionalFormatting>
  <conditionalFormatting sqref="J22:K22">
    <cfRule type="expression" dxfId="78" priority="33" stopIfTrue="1">
      <formula>$C22&gt;0</formula>
    </cfRule>
  </conditionalFormatting>
  <conditionalFormatting sqref="E22:H22">
    <cfRule type="expression" dxfId="77" priority="32" stopIfTrue="1">
      <formula>$C22&gt;0</formula>
    </cfRule>
  </conditionalFormatting>
  <conditionalFormatting sqref="I22">
    <cfRule type="expression" dxfId="76" priority="31" stopIfTrue="1">
      <formula>$C22&gt;0</formula>
    </cfRule>
  </conditionalFormatting>
  <conditionalFormatting sqref="J25:K25">
    <cfRule type="expression" dxfId="75" priority="30" stopIfTrue="1">
      <formula>$C25&gt;0</formula>
    </cfRule>
  </conditionalFormatting>
  <conditionalFormatting sqref="E25:H25">
    <cfRule type="expression" dxfId="74" priority="29" stopIfTrue="1">
      <formula>$C25&gt;0</formula>
    </cfRule>
  </conditionalFormatting>
  <conditionalFormatting sqref="I25">
    <cfRule type="expression" dxfId="73" priority="28" stopIfTrue="1">
      <formula>$C25&gt;0</formula>
    </cfRule>
  </conditionalFormatting>
  <conditionalFormatting sqref="J27:K27">
    <cfRule type="expression" dxfId="72" priority="27" stopIfTrue="1">
      <formula>$C27&gt;0</formula>
    </cfRule>
  </conditionalFormatting>
  <conditionalFormatting sqref="E27:H27">
    <cfRule type="expression" dxfId="71" priority="26" stopIfTrue="1">
      <formula>$C27&gt;0</formula>
    </cfRule>
  </conditionalFormatting>
  <conditionalFormatting sqref="I27">
    <cfRule type="expression" dxfId="70" priority="25" stopIfTrue="1">
      <formula>$C27&gt;0</formula>
    </cfRule>
  </conditionalFormatting>
  <conditionalFormatting sqref="J26:K26">
    <cfRule type="expression" dxfId="69" priority="24" stopIfTrue="1">
      <formula>$C26&gt;0</formula>
    </cfRule>
  </conditionalFormatting>
  <conditionalFormatting sqref="E26:H26">
    <cfRule type="expression" dxfId="68" priority="23" stopIfTrue="1">
      <formula>$C26&gt;0</formula>
    </cfRule>
  </conditionalFormatting>
  <conditionalFormatting sqref="I26">
    <cfRule type="expression" dxfId="67" priority="22" stopIfTrue="1">
      <formula>$C26&gt;0</formula>
    </cfRule>
  </conditionalFormatting>
  <conditionalFormatting sqref="J28:K28">
    <cfRule type="expression" dxfId="66" priority="21" stopIfTrue="1">
      <formula>$C28&gt;0</formula>
    </cfRule>
  </conditionalFormatting>
  <conditionalFormatting sqref="E28:H28">
    <cfRule type="expression" dxfId="65" priority="20" stopIfTrue="1">
      <formula>$C28&gt;0</formula>
    </cfRule>
  </conditionalFormatting>
  <conditionalFormatting sqref="I28">
    <cfRule type="expression" dxfId="64" priority="19" stopIfTrue="1">
      <formula>$C28&gt;0</formula>
    </cfRule>
  </conditionalFormatting>
  <conditionalFormatting sqref="J29:K29">
    <cfRule type="expression" dxfId="63" priority="18" stopIfTrue="1">
      <formula>$C29&gt;0</formula>
    </cfRule>
  </conditionalFormatting>
  <conditionalFormatting sqref="E29:H29">
    <cfRule type="expression" dxfId="62" priority="17" stopIfTrue="1">
      <formula>$C29&gt;0</formula>
    </cfRule>
  </conditionalFormatting>
  <conditionalFormatting sqref="I29">
    <cfRule type="expression" dxfId="61" priority="16" stopIfTrue="1">
      <formula>$C29&gt;0</formula>
    </cfRule>
  </conditionalFormatting>
  <conditionalFormatting sqref="J32:K32">
    <cfRule type="expression" dxfId="60" priority="15" stopIfTrue="1">
      <formula>$C32&gt;0</formula>
    </cfRule>
  </conditionalFormatting>
  <conditionalFormatting sqref="E32:H32">
    <cfRule type="expression" dxfId="59" priority="14" stopIfTrue="1">
      <formula>$C32&gt;0</formula>
    </cfRule>
  </conditionalFormatting>
  <conditionalFormatting sqref="I32">
    <cfRule type="expression" dxfId="58" priority="13" stopIfTrue="1">
      <formula>$C32&gt;0</formula>
    </cfRule>
  </conditionalFormatting>
  <conditionalFormatting sqref="J33:K33">
    <cfRule type="expression" dxfId="57" priority="12" stopIfTrue="1">
      <formula>$C33&gt;0</formula>
    </cfRule>
  </conditionalFormatting>
  <conditionalFormatting sqref="E33:H33">
    <cfRule type="expression" dxfId="56" priority="11" stopIfTrue="1">
      <formula>$C33&gt;0</formula>
    </cfRule>
  </conditionalFormatting>
  <conditionalFormatting sqref="I33">
    <cfRule type="expression" dxfId="55" priority="10" stopIfTrue="1">
      <formula>$C33&gt;0</formula>
    </cfRule>
  </conditionalFormatting>
  <conditionalFormatting sqref="J34:K34">
    <cfRule type="expression" dxfId="54" priority="9" stopIfTrue="1">
      <formula>$C34&gt;0</formula>
    </cfRule>
  </conditionalFormatting>
  <conditionalFormatting sqref="E34:H34">
    <cfRule type="expression" dxfId="53" priority="8" stopIfTrue="1">
      <formula>$C34&gt;0</formula>
    </cfRule>
  </conditionalFormatting>
  <conditionalFormatting sqref="I34">
    <cfRule type="expression" dxfId="52" priority="7" stopIfTrue="1">
      <formula>$C34&gt;0</formula>
    </cfRule>
  </conditionalFormatting>
  <conditionalFormatting sqref="J35:K35">
    <cfRule type="expression" dxfId="51" priority="6" stopIfTrue="1">
      <formula>$C35&gt;0</formula>
    </cfRule>
  </conditionalFormatting>
  <conditionalFormatting sqref="E35:H35">
    <cfRule type="expression" dxfId="50" priority="5" stopIfTrue="1">
      <formula>$C35&gt;0</formula>
    </cfRule>
  </conditionalFormatting>
  <conditionalFormatting sqref="I35">
    <cfRule type="expression" dxfId="49" priority="4" stopIfTrue="1">
      <formula>$C35&gt;0</formula>
    </cfRule>
  </conditionalFormatting>
  <conditionalFormatting sqref="J36:K36">
    <cfRule type="expression" dxfId="48" priority="3" stopIfTrue="1">
      <formula>$C36&gt;0</formula>
    </cfRule>
  </conditionalFormatting>
  <conditionalFormatting sqref="E36:H36">
    <cfRule type="expression" dxfId="47" priority="2" stopIfTrue="1">
      <formula>$C36&gt;0</formula>
    </cfRule>
  </conditionalFormatting>
  <conditionalFormatting sqref="I36">
    <cfRule type="expression" dxfId="46" priority="1" stopIfTrue="1">
      <formula>$C36&gt;0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tabSelected="1" workbookViewId="0">
      <pane ySplit="7" topLeftCell="A29" activePane="bottomLeft" state="frozen"/>
      <selection activeCell="D2" sqref="D2"/>
      <selection pane="bottomLeft" activeCell="E37" sqref="E37:K3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45629</v>
      </c>
      <c r="B10" s="37">
        <f t="shared" ref="B10:B37" si="4">A10</f>
        <v>45629</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45636</v>
      </c>
      <c r="B17" s="37">
        <f t="shared" si="4"/>
        <v>45636</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45639</v>
      </c>
      <c r="B20" s="37">
        <f t="shared" si="4"/>
        <v>45639</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v>9</v>
      </c>
      <c r="F23" s="31">
        <v>0</v>
      </c>
      <c r="G23" s="20">
        <v>18</v>
      </c>
      <c r="H23" s="24">
        <v>30</v>
      </c>
      <c r="I23" s="34">
        <v>60</v>
      </c>
      <c r="J23" s="57">
        <f t="shared" si="0"/>
        <v>510</v>
      </c>
      <c r="K23" s="61">
        <f t="shared" si="2"/>
        <v>8.5</v>
      </c>
      <c r="L23" s="25"/>
      <c r="M23" s="66"/>
      <c r="N23" s="67"/>
      <c r="O23" s="67"/>
      <c r="P23" s="68"/>
      <c r="Q23" s="25" t="s">
        <v>30</v>
      </c>
      <c r="V23" s="13"/>
    </row>
    <row r="24" spans="1:22" ht="18" customHeight="1" x14ac:dyDescent="0.2">
      <c r="A24" s="22">
        <f t="shared" si="3"/>
        <v>45643</v>
      </c>
      <c r="B24" s="37">
        <f t="shared" si="4"/>
        <v>45643</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45644</v>
      </c>
      <c r="B25" s="37">
        <f t="shared" si="4"/>
        <v>45644</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45645</v>
      </c>
      <c r="B26" s="37">
        <f t="shared" si="4"/>
        <v>45645</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45646</v>
      </c>
      <c r="B27" s="37">
        <f t="shared" si="4"/>
        <v>45646</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45650</v>
      </c>
      <c r="B31" s="37">
        <f t="shared" si="4"/>
        <v>45650</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45651</v>
      </c>
      <c r="B32" s="37">
        <f t="shared" si="4"/>
        <v>45651</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45652</v>
      </c>
      <c r="B33" s="37">
        <f t="shared" si="4"/>
        <v>45652</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t="s">
        <v>43</v>
      </c>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v>9</v>
      </c>
      <c r="F37" s="31">
        <v>0</v>
      </c>
      <c r="G37" s="20">
        <v>18</v>
      </c>
      <c r="H37" s="24">
        <v>30</v>
      </c>
      <c r="I37" s="34">
        <v>60</v>
      </c>
      <c r="J37" s="57">
        <f t="shared" ref="J37" si="5">IF((H37-F37)&lt;0,(G37-E37-1)*60+(60+H37-F37),(G37-E37)*60+H37-F37)-I37</f>
        <v>510</v>
      </c>
      <c r="K37" s="61">
        <f t="shared" ref="K37" si="6">J37/60</f>
        <v>8.5</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I8 A14:I15 A9:D13 A21:I22 A16:D20 A28:H29 A23:D27 A35:H36 A30:D34 A37:D37 A38:P38 J8:P37">
    <cfRule type="expression" dxfId="45" priority="33" stopIfTrue="1">
      <formula>$C8&gt;0</formula>
    </cfRule>
  </conditionalFormatting>
  <conditionalFormatting sqref="I28:I29">
    <cfRule type="expression" dxfId="44" priority="32" stopIfTrue="1">
      <formula>$C28&gt;0</formula>
    </cfRule>
  </conditionalFormatting>
  <conditionalFormatting sqref="I35:I36">
    <cfRule type="expression" dxfId="43" priority="31" stopIfTrue="1">
      <formula>$C35&gt;0</formula>
    </cfRule>
  </conditionalFormatting>
  <conditionalFormatting sqref="Q8:Q38">
    <cfRule type="expression" dxfId="42" priority="30" stopIfTrue="1">
      <formula>$C8&gt;0</formula>
    </cfRule>
  </conditionalFormatting>
  <conditionalFormatting sqref="E9:H9">
    <cfRule type="expression" dxfId="41" priority="29" stopIfTrue="1">
      <formula>$C9&gt;0</formula>
    </cfRule>
  </conditionalFormatting>
  <conditionalFormatting sqref="I9:I13">
    <cfRule type="expression" dxfId="40" priority="28" stopIfTrue="1">
      <formula>$C9&gt;0</formula>
    </cfRule>
  </conditionalFormatting>
  <conditionalFormatting sqref="E10:H10">
    <cfRule type="expression" dxfId="39" priority="27" stopIfTrue="1">
      <formula>$C10&gt;0</formula>
    </cfRule>
  </conditionalFormatting>
  <conditionalFormatting sqref="E11:H11">
    <cfRule type="expression" dxfId="38" priority="26" stopIfTrue="1">
      <formula>$C11&gt;0</formula>
    </cfRule>
  </conditionalFormatting>
  <conditionalFormatting sqref="E12:H12">
    <cfRule type="expression" dxfId="37" priority="25" stopIfTrue="1">
      <formula>$C12&gt;0</formula>
    </cfRule>
  </conditionalFormatting>
  <conditionalFormatting sqref="E13:H13">
    <cfRule type="expression" dxfId="36" priority="24" stopIfTrue="1">
      <formula>$C13&gt;0</formula>
    </cfRule>
  </conditionalFormatting>
  <conditionalFormatting sqref="E16:H16">
    <cfRule type="expression" dxfId="35" priority="21" stopIfTrue="1">
      <formula>$C16&gt;0</formula>
    </cfRule>
  </conditionalFormatting>
  <conditionalFormatting sqref="I16:I20">
    <cfRule type="expression" dxfId="34" priority="20" stopIfTrue="1">
      <formula>$C16&gt;0</formula>
    </cfRule>
  </conditionalFormatting>
  <conditionalFormatting sqref="E17:H17">
    <cfRule type="expression" dxfId="33" priority="19" stopIfTrue="1">
      <formula>$C17&gt;0</formula>
    </cfRule>
  </conditionalFormatting>
  <conditionalFormatting sqref="E18:H18">
    <cfRule type="expression" dxfId="32" priority="18" stopIfTrue="1">
      <formula>$C18&gt;0</formula>
    </cfRule>
  </conditionalFormatting>
  <conditionalFormatting sqref="E19:H19">
    <cfRule type="expression" dxfId="31" priority="17" stopIfTrue="1">
      <formula>$C19&gt;0</formula>
    </cfRule>
  </conditionalFormatting>
  <conditionalFormatting sqref="E20:H20">
    <cfRule type="expression" dxfId="30" priority="16" stopIfTrue="1">
      <formula>$C20&gt;0</formula>
    </cfRule>
  </conditionalFormatting>
  <conditionalFormatting sqref="E23:H23">
    <cfRule type="expression" dxfId="29" priority="15" stopIfTrue="1">
      <formula>$C23&gt;0</formula>
    </cfRule>
  </conditionalFormatting>
  <conditionalFormatting sqref="I23:I27">
    <cfRule type="expression" dxfId="28" priority="14" stopIfTrue="1">
      <formula>$C23&gt;0</formula>
    </cfRule>
  </conditionalFormatting>
  <conditionalFormatting sqref="E24:H24">
    <cfRule type="expression" dxfId="27" priority="13" stopIfTrue="1">
      <formula>$C24&gt;0</formula>
    </cfRule>
  </conditionalFormatting>
  <conditionalFormatting sqref="E25:H25">
    <cfRule type="expression" dxfId="26" priority="12" stopIfTrue="1">
      <formula>$C25&gt;0</formula>
    </cfRule>
  </conditionalFormatting>
  <conditionalFormatting sqref="E26:H26">
    <cfRule type="expression" dxfId="25" priority="11" stopIfTrue="1">
      <formula>$C26&gt;0</formula>
    </cfRule>
  </conditionalFormatting>
  <conditionalFormatting sqref="E27:H27">
    <cfRule type="expression" dxfId="24" priority="10" stopIfTrue="1">
      <formula>$C27&gt;0</formula>
    </cfRule>
  </conditionalFormatting>
  <conditionalFormatting sqref="E30:H30">
    <cfRule type="expression" dxfId="23" priority="9" stopIfTrue="1">
      <formula>$C30&gt;0</formula>
    </cfRule>
  </conditionalFormatting>
  <conditionalFormatting sqref="I30:I33">
    <cfRule type="expression" dxfId="22" priority="8" stopIfTrue="1">
      <formula>$C30&gt;0</formula>
    </cfRule>
  </conditionalFormatting>
  <conditionalFormatting sqref="E31:H31">
    <cfRule type="expression" dxfId="21" priority="7" stopIfTrue="1">
      <formula>$C31&gt;0</formula>
    </cfRule>
  </conditionalFormatting>
  <conditionalFormatting sqref="E32:H32">
    <cfRule type="expression" dxfId="20" priority="6" stopIfTrue="1">
      <formula>$C32&gt;0</formula>
    </cfRule>
  </conditionalFormatting>
  <conditionalFormatting sqref="E33:H33">
    <cfRule type="expression" dxfId="19" priority="5" stopIfTrue="1">
      <formula>$C33&gt;0</formula>
    </cfRule>
  </conditionalFormatting>
  <conditionalFormatting sqref="E34:I34">
    <cfRule type="expression" dxfId="18" priority="3" stopIfTrue="1">
      <formula>$C34&gt;0</formula>
    </cfRule>
  </conditionalFormatting>
  <conditionalFormatting sqref="I37">
    <cfRule type="expression" dxfId="1" priority="2" stopIfTrue="1">
      <formula>$C37&gt;0</formula>
    </cfRule>
  </conditionalFormatting>
  <conditionalFormatting sqref="E37:H37">
    <cfRule type="expression" dxfId="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7" priority="5" stopIfTrue="1">
      <formula>$C8&gt;0</formula>
    </cfRule>
  </conditionalFormatting>
  <conditionalFormatting sqref="I25:I29">
    <cfRule type="expression" dxfId="16" priority="4" stopIfTrue="1">
      <formula>$C25&gt;0</formula>
    </cfRule>
  </conditionalFormatting>
  <conditionalFormatting sqref="I32:I36">
    <cfRule type="expression" dxfId="15" priority="3" stopIfTrue="1">
      <formula>$C32&gt;0</formula>
    </cfRule>
  </conditionalFormatting>
  <conditionalFormatting sqref="D18">
    <cfRule type="expression" dxfId="14" priority="2" stopIfTrue="1">
      <formula>$C18&gt;0</formula>
    </cfRule>
  </conditionalFormatting>
  <conditionalFormatting sqref="Q8:Q38">
    <cfRule type="expression" dxfId="13"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2" priority="4" stopIfTrue="1">
      <formula>$C8&gt;0</formula>
    </cfRule>
  </conditionalFormatting>
  <conditionalFormatting sqref="I25:I29">
    <cfRule type="expression" dxfId="11" priority="3" stopIfTrue="1">
      <formula>$C25&gt;0</formula>
    </cfRule>
  </conditionalFormatting>
  <conditionalFormatting sqref="I32:I36">
    <cfRule type="expression" dxfId="10" priority="2" stopIfTrue="1">
      <formula>$C32&gt;0</formula>
    </cfRule>
  </conditionalFormatting>
  <conditionalFormatting sqref="Q8:Q38">
    <cfRule type="expression" dxfId="9"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8" priority="4" stopIfTrue="1">
      <formula>$C8&gt;0</formula>
    </cfRule>
  </conditionalFormatting>
  <conditionalFormatting sqref="I25:I29">
    <cfRule type="expression" dxfId="7" priority="3" stopIfTrue="1">
      <formula>$C25&gt;0</formula>
    </cfRule>
  </conditionalFormatting>
  <conditionalFormatting sqref="I32:I36">
    <cfRule type="expression" dxfId="6" priority="2" stopIfTrue="1">
      <formula>$C32&gt;0</formula>
    </cfRule>
  </conditionalFormatting>
  <conditionalFormatting sqref="Q8:Q38">
    <cfRule type="expression" dxfId="5"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74" t="s">
        <v>15</v>
      </c>
      <c r="B3" s="75"/>
      <c r="C3" s="75"/>
      <c r="D3" s="76"/>
      <c r="E3" s="80" t="s">
        <v>24</v>
      </c>
      <c r="F3" s="81"/>
      <c r="G3" s="81"/>
      <c r="H3" s="81"/>
      <c r="I3" s="81"/>
      <c r="J3" s="82"/>
      <c r="K3" s="53"/>
    </row>
    <row r="4" spans="1:22" ht="22.05" customHeight="1" thickTop="1" thickBot="1" x14ac:dyDescent="0.25">
      <c r="A4" s="74" t="s">
        <v>8</v>
      </c>
      <c r="B4" s="75"/>
      <c r="C4" s="75"/>
      <c r="D4" s="76"/>
      <c r="E4" s="80" t="s">
        <v>25</v>
      </c>
      <c r="F4" s="81"/>
      <c r="G4" s="81"/>
      <c r="H4" s="81"/>
      <c r="I4" s="81"/>
      <c r="J4" s="82"/>
      <c r="K4" s="53"/>
    </row>
    <row r="5" spans="1:22" ht="22.05" customHeight="1" thickTop="1" thickBot="1" x14ac:dyDescent="0.25">
      <c r="A5" s="83" t="s">
        <v>2</v>
      </c>
      <c r="B5" s="84"/>
      <c r="C5" s="84"/>
      <c r="D5" s="85"/>
      <c r="E5" s="80" t="s">
        <v>26</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 priority="3" stopIfTrue="1">
      <formula>$C8&gt;0</formula>
    </cfRule>
  </conditionalFormatting>
  <conditionalFormatting sqref="I25:I29">
    <cfRule type="expression" dxfId="3" priority="2" stopIfTrue="1">
      <formula>$C25&gt;0</formula>
    </cfRule>
  </conditionalFormatting>
  <conditionalFormatting sqref="I32:I36">
    <cfRule type="expression" dxfId="2"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2024-12-20T07:27:31Z</dcterms:modified>
</cp:coreProperties>
</file>