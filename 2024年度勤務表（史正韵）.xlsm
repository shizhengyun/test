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1200527D-7D35-44F7-8CAD-C100AAEC511A}" xr6:coauthVersionLast="47" xr6:coauthVersionMax="47" xr10:uidLastSave="{00000000-0000-0000-0000-000000000000}"/>
  <bookViews>
    <workbookView xWindow="0" yWindow="1716" windowWidth="23136" windowHeight="11244" tabRatio="732"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9" i="30" l="1"/>
  <c r="Q39" i="31"/>
  <c r="Q39" i="32"/>
  <c r="Q39" i="33"/>
  <c r="Q39" i="34"/>
  <c r="Q39" i="35"/>
  <c r="Q39" i="17"/>
  <c r="Q39" i="25"/>
  <c r="Q39" i="26"/>
  <c r="Q39" i="27"/>
  <c r="Q39" i="28"/>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K19" i="31"/>
  <c r="J19" i="31"/>
  <c r="J18" i="31"/>
  <c r="K18" i="31" s="1"/>
  <c r="J17" i="31"/>
  <c r="K17" i="31" s="1"/>
  <c r="J16" i="31"/>
  <c r="K16" i="31" s="1"/>
  <c r="J15" i="31"/>
  <c r="K15" i="31" s="1"/>
  <c r="J14" i="31"/>
  <c r="K14" i="31" s="1"/>
  <c r="J13" i="31"/>
  <c r="K13" i="31" s="1"/>
  <c r="J12" i="31"/>
  <c r="K12" i="31" s="1"/>
  <c r="K11" i="31"/>
  <c r="J11" i="31"/>
  <c r="J10" i="31"/>
  <c r="K10" i="31" s="1"/>
  <c r="J9" i="31"/>
  <c r="J39" i="31" s="1"/>
  <c r="J8" i="31"/>
  <c r="K8" i="31" s="1"/>
  <c r="A8" i="31"/>
  <c r="C8" i="31" s="1"/>
  <c r="K38" i="30"/>
  <c r="J38" i="30"/>
  <c r="J37" i="30"/>
  <c r="K37" i="30" s="1"/>
  <c r="J36" i="30"/>
  <c r="K36" i="30" s="1"/>
  <c r="J35" i="30"/>
  <c r="K35" i="30" s="1"/>
  <c r="J34" i="30"/>
  <c r="K34" i="30" s="1"/>
  <c r="J33" i="30"/>
  <c r="K33" i="30" s="1"/>
  <c r="J32" i="30"/>
  <c r="K32" i="30" s="1"/>
  <c r="J31" i="30"/>
  <c r="K31" i="30" s="1"/>
  <c r="K30" i="30"/>
  <c r="J30" i="30"/>
  <c r="J29" i="30"/>
  <c r="K29" i="30" s="1"/>
  <c r="J28" i="30"/>
  <c r="K28" i="30" s="1"/>
  <c r="J27" i="30"/>
  <c r="K27" i="30" s="1"/>
  <c r="J26" i="30"/>
  <c r="K26" i="30" s="1"/>
  <c r="J25" i="30"/>
  <c r="K25" i="30" s="1"/>
  <c r="J24" i="30"/>
  <c r="K24" i="30" s="1"/>
  <c r="J23" i="30"/>
  <c r="K23" i="30" s="1"/>
  <c r="K22" i="30"/>
  <c r="J22" i="30"/>
  <c r="J21" i="30"/>
  <c r="K21" i="30" s="1"/>
  <c r="J20" i="30"/>
  <c r="K20" i="30" s="1"/>
  <c r="J19" i="30"/>
  <c r="K19" i="30" s="1"/>
  <c r="J18" i="30"/>
  <c r="K18" i="30" s="1"/>
  <c r="J17" i="30"/>
  <c r="K17" i="30" s="1"/>
  <c r="K16" i="30"/>
  <c r="J16" i="30"/>
  <c r="J15" i="30"/>
  <c r="K15" i="30" s="1"/>
  <c r="K14" i="30"/>
  <c r="J14" i="30"/>
  <c r="J13" i="30"/>
  <c r="K13" i="30" s="1"/>
  <c r="J12" i="30"/>
  <c r="K12" i="30" s="1"/>
  <c r="J11" i="30"/>
  <c r="K11" i="30" s="1"/>
  <c r="K10" i="30"/>
  <c r="J10" i="30"/>
  <c r="J9" i="30"/>
  <c r="K9" i="30" s="1"/>
  <c r="K8" i="30"/>
  <c r="J8" i="30"/>
  <c r="A8" i="30"/>
  <c r="J38" i="29"/>
  <c r="K38" i="29" s="1"/>
  <c r="K37" i="29"/>
  <c r="J37" i="29"/>
  <c r="J36" i="29"/>
  <c r="K36" i="29" s="1"/>
  <c r="K35" i="29"/>
  <c r="J35" i="29"/>
  <c r="J34" i="29"/>
  <c r="K34" i="29" s="1"/>
  <c r="J33" i="29"/>
  <c r="K33" i="29" s="1"/>
  <c r="J32" i="29"/>
  <c r="K32" i="29" s="1"/>
  <c r="J31" i="29"/>
  <c r="K31" i="29" s="1"/>
  <c r="J30" i="29"/>
  <c r="K30" i="29" s="1"/>
  <c r="K29" i="29"/>
  <c r="J29" i="29"/>
  <c r="J28" i="29"/>
  <c r="K28" i="29" s="1"/>
  <c r="K27" i="29"/>
  <c r="J27" i="29"/>
  <c r="J26" i="29"/>
  <c r="K26" i="29" s="1"/>
  <c r="J25" i="29"/>
  <c r="K25" i="29" s="1"/>
  <c r="J24" i="29"/>
  <c r="K24" i="29" s="1"/>
  <c r="J23" i="29"/>
  <c r="K23" i="29" s="1"/>
  <c r="J22" i="29"/>
  <c r="K22" i="29" s="1"/>
  <c r="K21" i="29"/>
  <c r="J21" i="29"/>
  <c r="J20" i="29"/>
  <c r="K20" i="29" s="1"/>
  <c r="J19" i="29"/>
  <c r="K19" i="29" s="1"/>
  <c r="J18" i="29"/>
  <c r="K18" i="29" s="1"/>
  <c r="J17" i="29"/>
  <c r="K17" i="29" s="1"/>
  <c r="J16" i="29"/>
  <c r="K16" i="29" s="1"/>
  <c r="J15" i="29"/>
  <c r="K15" i="29" s="1"/>
  <c r="J14" i="29"/>
  <c r="K14" i="29" s="1"/>
  <c r="K13" i="29"/>
  <c r="J13" i="29"/>
  <c r="J12" i="29"/>
  <c r="K12" i="29" s="1"/>
  <c r="J11" i="29"/>
  <c r="K11" i="29" s="1"/>
  <c r="J10" i="29"/>
  <c r="K10" i="29" s="1"/>
  <c r="J9" i="29"/>
  <c r="K9" i="29" s="1"/>
  <c r="J8"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Q39" i="29"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K8" i="29"/>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<sst xmlns="http://schemas.openxmlformats.org/spreadsheetml/2006/main" count="270" uniqueCount="41">
  <si>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</si>
  <si>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</si>
  <si>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</si>
  <si>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</si>
  <si>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</si>
  <si>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</si>
  <si>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</si>
  <si>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</si>
  <si>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</si>
  <si>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</si>
  <si>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</si>
  <si>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</si>
  <si>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</si>
  <si>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</si>
  <si>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</si>
  <si>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</si>
  <si>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</si>
  <si>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</si>
  <si>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</si>
  <si>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</si>
  <si>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</si>
  <si>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</si>
  <si>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</si>
  <si>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</si>
  <si>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</si>
  <si>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</si>
  <si>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</si>
  <si>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</si>
  <si>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</si>
  <si>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</si>
  <si>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</si>
  <si>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</si>
  <si>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</si>
  <si>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</si>
  <si>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</si>
  <si>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</si>
  <si>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</si>
  <si>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</si>
  <si>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</si>
  <si>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</si>
  <si>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午後休み</t>
    <rPh sb="0" eb="2">
      <t>ゴゴ</t>
    </rPh>
    <rPh sb="2" eb="3">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</si>
</sst>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cellXfs>
  <cellStyles count="2">
    <cellStyle name="桁区切り" xfId="1" builtinId="6"/>
    <cellStyle name="標準" xfId="0" builtinId="0"/>
  </cellStyles>
  <dxfs count="6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tabSelected="1" workbookViewId="0">
      <pane ySplit="7" topLeftCell="A8" activePane="bottomLeft" state="frozen"/>
      <selection activeCell="Q34" sqref="Q34"/>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4</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t="s">
        <v>38</v>
      </c>
      <c r="F4" s="81"/>
      <c r="G4" s="81"/>
      <c r="H4" s="81"/>
      <c r="I4" s="81"/>
      <c r="J4" s="82"/>
      <c r="K4" s="53"/>
    </row>
    <row r="5" spans="1:22" ht="22.05" customHeight="1" thickTop="1" thickBot="1" x14ac:dyDescent="0.25">
      <c r="A5" s="83" t="s">
        <v>2</v>
      </c>
      <c r="B5" s="84"/>
      <c r="C5" s="84"/>
      <c r="D5" s="85"/>
      <c r="E5" s="80" t="s">
        <v>39</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45383</v>
      </c>
      <c r="B8" s="36">
        <f>A8</f>
        <v>45383</v>
      </c>
      <c r="C8" s="43">
        <f>IF(WEEKDAY(A8,2)&gt;5,1,0)+IF(D8&lt;&gt;"",1,0)</f>
        <v>0</v>
      </c>
      <c r="D8" s="44"/>
      <c r="E8" s="45">
        <v>9</v>
      </c>
      <c r="F8" s="46">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45384</v>
      </c>
      <c r="B9" s="37">
        <f>A9</f>
        <v>45384</v>
      </c>
      <c r="C9" s="39">
        <f t="shared" ref="C9:C38" si="1">IF(WEEKDAY(A9,2)&gt;5,1,0)+IF(D9&lt;&gt;"",1,0)</f>
        <v>0</v>
      </c>
      <c r="D9" s="23"/>
      <c r="E9" s="45">
        <v>9</v>
      </c>
      <c r="F9" s="46">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45385</v>
      </c>
      <c r="B10" s="37">
        <f t="shared" ref="B10:B37" si="4">A10</f>
        <v>45385</v>
      </c>
      <c r="C10" s="39">
        <f t="shared" si="1"/>
        <v>0</v>
      </c>
      <c r="D10" s="23"/>
      <c r="E10" s="45">
        <v>9</v>
      </c>
      <c r="F10" s="31">
        <v>0</v>
      </c>
      <c r="G10" s="20">
        <v>12</v>
      </c>
      <c r="H10" s="24">
        <v>0</v>
      </c>
      <c r="I10" s="34"/>
      <c r="J10" s="57">
        <f t="shared" si="0"/>
        <v>180</v>
      </c>
      <c r="K10" s="61">
        <f t="shared" si="2"/>
        <v>3</v>
      </c>
      <c r="L10" s="25"/>
      <c r="M10" s="66" t="s">
        <v>40</v>
      </c>
      <c r="N10" s="67"/>
      <c r="O10" s="67"/>
      <c r="P10" s="68"/>
      <c r="Q10" s="25"/>
      <c r="S10" s="14"/>
      <c r="T10" s="11"/>
      <c r="U10" s="12"/>
      <c r="V10" s="13"/>
    </row>
    <row r="11" spans="1:22" ht="18" customHeight="1" x14ac:dyDescent="0.2">
      <c r="A11" s="22">
        <f t="shared" si="3"/>
        <v>45386</v>
      </c>
      <c r="B11" s="37">
        <f t="shared" si="4"/>
        <v>45386</v>
      </c>
      <c r="C11" s="39">
        <f t="shared" si="1"/>
        <v>0</v>
      </c>
      <c r="D11" s="23"/>
      <c r="E11" s="45">
        <v>9</v>
      </c>
      <c r="F11" s="46">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45387</v>
      </c>
      <c r="B12" s="37">
        <f t="shared" si="4"/>
        <v>45387</v>
      </c>
      <c r="C12" s="39">
        <f t="shared" si="1"/>
        <v>0</v>
      </c>
      <c r="D12" s="23"/>
      <c r="E12" s="45">
        <v>9</v>
      </c>
      <c r="F12" s="46">
        <v>0</v>
      </c>
      <c r="G12" s="20">
        <v>18</v>
      </c>
      <c r="H12" s="24">
        <v>30</v>
      </c>
      <c r="I12" s="34">
        <v>60</v>
      </c>
      <c r="J12" s="57">
        <f t="shared" si="0"/>
        <v>510</v>
      </c>
      <c r="K12" s="61">
        <f t="shared" si="2"/>
        <v>8.5</v>
      </c>
      <c r="L12" s="25"/>
      <c r="M12" s="66"/>
      <c r="N12" s="67"/>
      <c r="O12" s="67"/>
      <c r="P12" s="68"/>
      <c r="Q12" s="25" t="s">
        <v>31</v>
      </c>
      <c r="S12" s="14"/>
      <c r="T12" s="11"/>
      <c r="U12" s="12"/>
      <c r="V12" s="13"/>
    </row>
    <row r="13" spans="1:22" ht="18" customHeight="1" x14ac:dyDescent="0.2">
      <c r="A13" s="22">
        <f t="shared" si="3"/>
        <v>45388</v>
      </c>
      <c r="B13" s="37">
        <f t="shared" si="4"/>
        <v>45388</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45389</v>
      </c>
      <c r="B14" s="37">
        <f t="shared" si="4"/>
        <v>45389</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45390</v>
      </c>
      <c r="B15" s="37">
        <f t="shared" si="4"/>
        <v>45390</v>
      </c>
      <c r="C15" s="39">
        <f t="shared" si="1"/>
        <v>0</v>
      </c>
      <c r="D15" s="23"/>
      <c r="E15" s="45">
        <v>9</v>
      </c>
      <c r="F15" s="46">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45391</v>
      </c>
      <c r="B16" s="37">
        <f t="shared" si="4"/>
        <v>45391</v>
      </c>
      <c r="C16" s="39">
        <f t="shared" si="1"/>
        <v>0</v>
      </c>
      <c r="D16" s="23"/>
      <c r="E16" s="45">
        <v>9</v>
      </c>
      <c r="F16" s="46">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45392</v>
      </c>
      <c r="B17" s="37">
        <f t="shared" si="4"/>
        <v>45392</v>
      </c>
      <c r="C17" s="39">
        <f t="shared" si="1"/>
        <v>0</v>
      </c>
      <c r="D17" s="23"/>
      <c r="E17" s="45">
        <v>9</v>
      </c>
      <c r="F17" s="46">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45393</v>
      </c>
      <c r="B18" s="37">
        <f t="shared" si="4"/>
        <v>45393</v>
      </c>
      <c r="C18" s="39">
        <f t="shared" si="1"/>
        <v>0</v>
      </c>
      <c r="D18" s="23"/>
      <c r="E18" s="45">
        <v>9</v>
      </c>
      <c r="F18" s="46">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45394</v>
      </c>
      <c r="B19" s="37">
        <f t="shared" si="4"/>
        <v>45394</v>
      </c>
      <c r="C19" s="39">
        <f t="shared" si="1"/>
        <v>0</v>
      </c>
      <c r="D19" s="23"/>
      <c r="E19" s="45">
        <v>9</v>
      </c>
      <c r="F19" s="46">
        <v>0</v>
      </c>
      <c r="G19" s="20">
        <v>18</v>
      </c>
      <c r="H19" s="24">
        <v>30</v>
      </c>
      <c r="I19" s="34"/>
      <c r="J19" s="57">
        <f t="shared" si="0"/>
        <v>570</v>
      </c>
      <c r="K19" s="61">
        <f t="shared" si="2"/>
        <v>9.5</v>
      </c>
      <c r="L19" s="25"/>
      <c r="M19" s="66"/>
      <c r="N19" s="67"/>
      <c r="O19" s="67"/>
      <c r="P19" s="68"/>
      <c r="Q19" s="25"/>
      <c r="V19" s="13"/>
    </row>
    <row r="20" spans="1:22" ht="18" customHeight="1" x14ac:dyDescent="0.2">
      <c r="A20" s="22">
        <f t="shared" si="3"/>
        <v>45395</v>
      </c>
      <c r="B20" s="37">
        <f t="shared" si="4"/>
        <v>45395</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45396</v>
      </c>
      <c r="B21" s="37">
        <f t="shared" si="4"/>
        <v>45396</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45397</v>
      </c>
      <c r="B22" s="37">
        <f t="shared" si="4"/>
        <v>45397</v>
      </c>
      <c r="C22" s="39">
        <f t="shared" si="1"/>
        <v>0</v>
      </c>
      <c r="D22" s="23"/>
      <c r="E22" s="45">
        <v>9</v>
      </c>
      <c r="F22" s="46">
        <v>0</v>
      </c>
      <c r="G22" s="20">
        <v>18</v>
      </c>
      <c r="H22" s="24">
        <v>30</v>
      </c>
      <c r="I22" s="34"/>
      <c r="J22" s="57">
        <f t="shared" si="0"/>
        <v>570</v>
      </c>
      <c r="K22" s="61">
        <f t="shared" si="2"/>
        <v>9.5</v>
      </c>
      <c r="L22" s="25"/>
      <c r="M22" s="66"/>
      <c r="N22" s="67"/>
      <c r="O22" s="67"/>
      <c r="P22" s="68"/>
      <c r="Q22" s="25"/>
      <c r="V22" s="13"/>
    </row>
    <row r="23" spans="1:22" ht="18" customHeight="1" x14ac:dyDescent="0.2">
      <c r="A23" s="22">
        <f t="shared" si="3"/>
        <v>45398</v>
      </c>
      <c r="B23" s="37">
        <f t="shared" si="4"/>
        <v>45398</v>
      </c>
      <c r="C23" s="39">
        <f t="shared" si="1"/>
        <v>0</v>
      </c>
      <c r="D23" s="23"/>
      <c r="E23" s="45">
        <v>9</v>
      </c>
      <c r="F23" s="46">
        <v>0</v>
      </c>
      <c r="G23" s="20">
        <v>18</v>
      </c>
      <c r="H23" s="24">
        <v>30</v>
      </c>
      <c r="I23" s="34"/>
      <c r="J23" s="57">
        <f t="shared" si="0"/>
        <v>570</v>
      </c>
      <c r="K23" s="61">
        <f t="shared" si="2"/>
        <v>9.5</v>
      </c>
      <c r="L23" s="25"/>
      <c r="M23" s="66"/>
      <c r="N23" s="67"/>
      <c r="O23" s="67"/>
      <c r="P23" s="68"/>
      <c r="Q23" s="25"/>
      <c r="V23" s="13"/>
    </row>
    <row r="24" spans="1:22" ht="18" customHeight="1" x14ac:dyDescent="0.2">
      <c r="A24" s="22">
        <f t="shared" si="3"/>
        <v>45399</v>
      </c>
      <c r="B24" s="37">
        <f t="shared" si="4"/>
        <v>45399</v>
      </c>
      <c r="C24" s="39">
        <f t="shared" si="1"/>
        <v>0</v>
      </c>
      <c r="D24" s="23"/>
      <c r="E24" s="45">
        <v>9</v>
      </c>
      <c r="F24" s="46">
        <v>0</v>
      </c>
      <c r="G24" s="20">
        <v>18</v>
      </c>
      <c r="H24" s="24">
        <v>30</v>
      </c>
      <c r="I24" s="34"/>
      <c r="J24" s="57">
        <f t="shared" si="0"/>
        <v>570</v>
      </c>
      <c r="K24" s="61">
        <f t="shared" si="2"/>
        <v>9.5</v>
      </c>
      <c r="L24" s="25"/>
      <c r="M24" s="66"/>
      <c r="N24" s="67"/>
      <c r="O24" s="67"/>
      <c r="P24" s="68"/>
      <c r="Q24" s="25"/>
      <c r="V24" s="13"/>
    </row>
    <row r="25" spans="1:22" ht="18" customHeight="1" x14ac:dyDescent="0.2">
      <c r="A25" s="22">
        <f t="shared" si="3"/>
        <v>45400</v>
      </c>
      <c r="B25" s="37">
        <f t="shared" si="4"/>
        <v>45400</v>
      </c>
      <c r="C25" s="39">
        <f t="shared" si="1"/>
        <v>0</v>
      </c>
      <c r="D25" s="23"/>
      <c r="E25" s="45">
        <v>9</v>
      </c>
      <c r="F25" s="46">
        <v>0</v>
      </c>
      <c r="G25" s="20">
        <v>18</v>
      </c>
      <c r="H25" s="24">
        <v>30</v>
      </c>
      <c r="I25" s="34"/>
      <c r="J25" s="57">
        <f t="shared" si="0"/>
        <v>570</v>
      </c>
      <c r="K25" s="61">
        <f t="shared" si="2"/>
        <v>9.5</v>
      </c>
      <c r="L25" s="25"/>
      <c r="M25" s="66"/>
      <c r="N25" s="67"/>
      <c r="O25" s="67"/>
      <c r="P25" s="68"/>
      <c r="Q25" s="25"/>
      <c r="V25" s="13"/>
    </row>
    <row r="26" spans="1:22" ht="18" customHeight="1" x14ac:dyDescent="0.2">
      <c r="A26" s="22">
        <f t="shared" si="3"/>
        <v>45401</v>
      </c>
      <c r="B26" s="37">
        <f t="shared" si="4"/>
        <v>45401</v>
      </c>
      <c r="C26" s="39">
        <f t="shared" si="1"/>
        <v>0</v>
      </c>
      <c r="D26" s="23"/>
      <c r="E26" s="45">
        <v>9</v>
      </c>
      <c r="F26" s="46">
        <v>0</v>
      </c>
      <c r="G26" s="20">
        <v>18</v>
      </c>
      <c r="H26" s="24">
        <v>30</v>
      </c>
      <c r="I26" s="34"/>
      <c r="J26" s="57">
        <f t="shared" si="0"/>
        <v>570</v>
      </c>
      <c r="K26" s="61">
        <f t="shared" si="2"/>
        <v>9.5</v>
      </c>
      <c r="L26" s="25"/>
      <c r="M26" s="66"/>
      <c r="N26" s="67"/>
      <c r="O26" s="67"/>
      <c r="P26" s="68"/>
      <c r="Q26" s="25" t="s">
        <v>31</v>
      </c>
      <c r="V26" s="13"/>
    </row>
    <row r="27" spans="1:22" ht="18" customHeight="1" x14ac:dyDescent="0.2">
      <c r="A27" s="22">
        <f t="shared" si="3"/>
        <v>45402</v>
      </c>
      <c r="B27" s="37">
        <f t="shared" si="4"/>
        <v>45402</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45403</v>
      </c>
      <c r="B28" s="37">
        <f t="shared" si="4"/>
        <v>45403</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45404</v>
      </c>
      <c r="B29" s="37">
        <f t="shared" si="4"/>
        <v>45404</v>
      </c>
      <c r="C29" s="39">
        <f t="shared" si="1"/>
        <v>0</v>
      </c>
      <c r="D29" s="23"/>
      <c r="E29" s="45">
        <v>9</v>
      </c>
      <c r="F29" s="46">
        <v>0</v>
      </c>
      <c r="G29" s="20">
        <v>18</v>
      </c>
      <c r="H29" s="24">
        <v>30</v>
      </c>
      <c r="I29" s="34"/>
      <c r="J29" s="57">
        <f t="shared" si="0"/>
        <v>570</v>
      </c>
      <c r="K29" s="61">
        <f t="shared" si="2"/>
        <v>9.5</v>
      </c>
      <c r="L29" s="25"/>
      <c r="M29" s="66"/>
      <c r="N29" s="67"/>
      <c r="O29" s="67"/>
      <c r="P29" s="68"/>
      <c r="Q29" s="25"/>
      <c r="V29" s="13"/>
    </row>
    <row r="30" spans="1:22" ht="18" customHeight="1" x14ac:dyDescent="0.2">
      <c r="A30" s="22">
        <f t="shared" si="3"/>
        <v>45405</v>
      </c>
      <c r="B30" s="37">
        <f t="shared" si="4"/>
        <v>45405</v>
      </c>
      <c r="C30" s="39">
        <f t="shared" si="1"/>
        <v>0</v>
      </c>
      <c r="D30" s="23"/>
      <c r="E30" s="45">
        <v>9</v>
      </c>
      <c r="F30" s="46">
        <v>0</v>
      </c>
      <c r="G30" s="20">
        <v>18</v>
      </c>
      <c r="H30" s="24">
        <v>30</v>
      </c>
      <c r="I30" s="34"/>
      <c r="J30" s="57">
        <f t="shared" si="0"/>
        <v>570</v>
      </c>
      <c r="K30" s="61">
        <f t="shared" si="2"/>
        <v>9.5</v>
      </c>
      <c r="L30" s="25"/>
      <c r="M30" s="66"/>
      <c r="N30" s="67"/>
      <c r="O30" s="67"/>
      <c r="P30" s="68"/>
      <c r="Q30" s="25"/>
      <c r="V30" s="13"/>
    </row>
    <row r="31" spans="1:22" ht="18" customHeight="1" x14ac:dyDescent="0.2">
      <c r="A31" s="22">
        <f t="shared" si="3"/>
        <v>45406</v>
      </c>
      <c r="B31" s="37">
        <f t="shared" si="4"/>
        <v>45406</v>
      </c>
      <c r="C31" s="39">
        <f t="shared" si="1"/>
        <v>0</v>
      </c>
      <c r="D31" s="23"/>
      <c r="E31" s="45">
        <v>9</v>
      </c>
      <c r="F31" s="46">
        <v>0</v>
      </c>
      <c r="G31" s="20">
        <v>18</v>
      </c>
      <c r="H31" s="24">
        <v>30</v>
      </c>
      <c r="I31" s="34"/>
      <c r="J31" s="57">
        <f t="shared" si="0"/>
        <v>570</v>
      </c>
      <c r="K31" s="61">
        <f t="shared" si="2"/>
        <v>9.5</v>
      </c>
      <c r="L31" s="25"/>
      <c r="M31" s="66"/>
      <c r="N31" s="67"/>
      <c r="O31" s="67"/>
      <c r="P31" s="68"/>
      <c r="Q31" s="25" t="s">
        <v>31</v>
      </c>
      <c r="V31" s="13"/>
    </row>
    <row r="32" spans="1:22" ht="18" customHeight="1" x14ac:dyDescent="0.2">
      <c r="A32" s="22">
        <f t="shared" si="3"/>
        <v>45407</v>
      </c>
      <c r="B32" s="37">
        <f t="shared" si="4"/>
        <v>45407</v>
      </c>
      <c r="C32" s="39">
        <f t="shared" si="1"/>
        <v>0</v>
      </c>
      <c r="D32" s="23"/>
      <c r="E32" s="45">
        <v>9</v>
      </c>
      <c r="F32" s="46">
        <v>0</v>
      </c>
      <c r="G32" s="20">
        <v>18</v>
      </c>
      <c r="H32" s="24">
        <v>30</v>
      </c>
      <c r="I32" s="34"/>
      <c r="J32" s="57">
        <f t="shared" si="0"/>
        <v>570</v>
      </c>
      <c r="K32" s="61">
        <f t="shared" si="2"/>
        <v>9.5</v>
      </c>
      <c r="L32" s="25"/>
      <c r="M32" s="66"/>
      <c r="N32" s="67"/>
      <c r="O32" s="67"/>
      <c r="P32" s="68"/>
      <c r="Q32" s="25"/>
      <c r="V32" s="13"/>
    </row>
    <row r="33" spans="1:22" ht="18" customHeight="1" x14ac:dyDescent="0.2">
      <c r="A33" s="22">
        <f t="shared" si="3"/>
        <v>45408</v>
      </c>
      <c r="B33" s="37">
        <f t="shared" si="4"/>
        <v>45408</v>
      </c>
      <c r="C33" s="39">
        <f t="shared" si="1"/>
        <v>0</v>
      </c>
      <c r="D33" s="23"/>
      <c r="E33" s="45">
        <v>9</v>
      </c>
      <c r="F33" s="46">
        <v>0</v>
      </c>
      <c r="G33" s="20">
        <v>18</v>
      </c>
      <c r="H33" s="24">
        <v>30</v>
      </c>
      <c r="I33" s="34"/>
      <c r="J33" s="57">
        <f t="shared" si="0"/>
        <v>570</v>
      </c>
      <c r="K33" s="61">
        <f t="shared" si="2"/>
        <v>9.5</v>
      </c>
      <c r="L33" s="25"/>
      <c r="M33" s="66"/>
      <c r="N33" s="67"/>
      <c r="O33" s="67"/>
      <c r="P33" s="68"/>
      <c r="Q33" s="25"/>
      <c r="V33" s="13"/>
    </row>
    <row r="34" spans="1:22" ht="18" customHeight="1" x14ac:dyDescent="0.2">
      <c r="A34" s="22">
        <f t="shared" si="3"/>
        <v>45409</v>
      </c>
      <c r="B34" s="37">
        <f t="shared" si="4"/>
        <v>45409</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45410</v>
      </c>
      <c r="B35" s="37">
        <f t="shared" si="4"/>
        <v>45410</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45411</v>
      </c>
      <c r="B36" s="37">
        <f t="shared" si="4"/>
        <v>45411</v>
      </c>
      <c r="C36" s="39">
        <f t="shared" si="1"/>
        <v>1</v>
      </c>
      <c r="D36" s="23" t="s">
        <v>28</v>
      </c>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45412</v>
      </c>
      <c r="B37" s="37">
        <f t="shared" si="4"/>
        <v>45412</v>
      </c>
      <c r="C37" s="39">
        <f t="shared" si="1"/>
        <v>0</v>
      </c>
      <c r="D37" s="23"/>
      <c r="E37" s="20"/>
      <c r="F37" s="31"/>
      <c r="G37" s="20"/>
      <c r="H37" s="24"/>
      <c r="I37" s="34"/>
      <c r="J37" s="57">
        <f t="shared" si="0"/>
        <v>0</v>
      </c>
      <c r="K37" s="61">
        <f t="shared" si="2"/>
        <v>0</v>
      </c>
      <c r="L37" s="25"/>
      <c r="M37" s="66"/>
      <c r="N37" s="67"/>
      <c r="O37" s="67"/>
      <c r="P37" s="68"/>
      <c r="Q37" s="25" t="s">
        <v>31</v>
      </c>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10530</v>
      </c>
      <c r="K39" s="63">
        <f>SUM(K8:K38)</f>
        <v>175.5</v>
      </c>
      <c r="L39" s="9"/>
      <c r="M39" s="9"/>
      <c r="N39" s="9"/>
      <c r="O39" s="9"/>
      <c r="P39" s="9"/>
      <c r="Q39" s="65">
        <f>SUMIF(Q8:Q38,"○",K8:K38)+SUMIF(Q8:Q38,"〇",K8:K38)</f>
        <v>27.5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0:I31 I37:I38 I18:I24 A8:I17 A18:H38">
    <cfRule type="expression" dxfId="64" priority="4" stopIfTrue="1">
      <formula>$C8&gt;0</formula>
    </cfRule>
  </conditionalFormatting>
  <conditionalFormatting sqref="I25:I29">
    <cfRule type="expression" dxfId="63" priority="3" stopIfTrue="1">
      <formula>$C25&gt;0</formula>
    </cfRule>
  </conditionalFormatting>
  <conditionalFormatting sqref="I32:I36">
    <cfRule type="expression" dxfId="62" priority="2" stopIfTrue="1">
      <formula>$C32&gt;0</formula>
    </cfRule>
  </conditionalFormatting>
  <conditionalFormatting sqref="Q8:Q38">
    <cfRule type="expression" dxfId="6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33</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31</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45421</v>
      </c>
      <c r="B16" s="37">
        <f t="shared" si="4"/>
        <v>45421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45426</v>
      </c>
      <c r="B21" s="37">
        <f t="shared" si="4"/>
        <v>45426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45427</v>
      </c>
      <c r="B22" s="37">
        <f t="shared" si="4"/>
        <v>45427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45428</v>
      </c>
      <c r="B23" s="37">
        <f t="shared" si="4"/>
        <v>45428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45429</v>
      </c>
      <c r="B24" s="37">
        <f t="shared" si="4"/>
        <v>45429</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45433</v>
      </c>
      <c r="B28" s="37">
        <f t="shared" si="4"/>
        <v>45433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45434</v>
      </c>
      <c r="B29" s="37">
        <f t="shared" si="4"/>
        <v>45434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45435</v>
      </c>
      <c r="B30" s="37">
        <f t="shared" si="4"/>
        <v>45435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45436</v>
      </c>
      <c r="B31" s="37">
        <f t="shared" si="4"/>
        <v>45436</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45440</v>
      </c>
      <c r="B35" s="37">
        <f t="shared" si="4"/>
        <v>45440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45441</v>
      </c>
      <c r="B36" s="37">
        <f t="shared" si="4"/>
        <v>45441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45442</v>
      </c>
      <c r="B37" s="37">
        <f t="shared" si="4"/>
        <v>45442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45443</v>
      </c>
      <c r="B38" s="38">
        <f>A38</f>
        <v>45443</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60" priority="7" stopIfTrue="1">
      <formula>$C8&gt;0</formula>
    </cfRule>
  </conditionalFormatting>
  <conditionalFormatting sqref="I25:I29">
    <cfRule type="expression" dxfId="59" priority="6" stopIfTrue="1">
      <formula>$C25&gt;0</formula>
    </cfRule>
  </conditionalFormatting>
  <conditionalFormatting sqref="I32:I36">
    <cfRule type="expression" dxfId="58" priority="5" stopIfTrue="1">
      <formula>$C32&gt;0</formula>
    </cfRule>
  </conditionalFormatting>
  <conditionalFormatting sqref="D8">
    <cfRule type="expression" dxfId="57" priority="4" stopIfTrue="1">
      <formula>$C8&gt;0</formula>
    </cfRule>
  </conditionalFormatting>
  <conditionalFormatting sqref="D9">
    <cfRule type="expression" dxfId="56" priority="3" stopIfTrue="1">
      <formula>$C9&gt;0</formula>
    </cfRule>
  </conditionalFormatting>
  <conditionalFormatting sqref="D13">
    <cfRule type="expression" dxfId="55" priority="2" stopIfTrue="1">
      <formula>$C13&gt;0</formula>
    </cfRule>
  </conditionalFormatting>
  <conditionalFormatting sqref="Q8:Q38">
    <cfRule type="expression" dxfId="54"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45456</v>
      </c>
      <c r="B20" s="37">
        <f t="shared" si="4"/>
        <v>45456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45457</v>
      </c>
      <c r="B21" s="37">
        <f t="shared" si="4"/>
        <v>45457</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45461</v>
      </c>
      <c r="B25" s="37">
        <f t="shared" si="4"/>
        <v>45461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45462</v>
      </c>
      <c r="B26" s="37">
        <f t="shared" si="4"/>
        <v>45462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45463</v>
      </c>
      <c r="B27" s="37">
        <f t="shared" si="4"/>
        <v>45463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45464</v>
      </c>
      <c r="B28" s="37">
        <f t="shared" si="4"/>
        <v>45464</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45468</v>
      </c>
      <c r="B32" s="37">
        <f t="shared" si="4"/>
        <v>45468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45469</v>
      </c>
      <c r="B33" s="37">
        <f t="shared" si="4"/>
        <v>45469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45470</v>
      </c>
      <c r="B34" s="37">
        <f t="shared" si="4"/>
        <v>45470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45471</v>
      </c>
      <c r="B35" s="37">
        <f t="shared" si="4"/>
        <v>45471</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53" priority="4" stopIfTrue="1">
      <formula>$C8&gt;0</formula>
    </cfRule>
  </conditionalFormatting>
  <conditionalFormatting sqref="I25:I29">
    <cfRule type="expression" dxfId="52" priority="3" stopIfTrue="1">
      <formula>$C25&gt;0</formula>
    </cfRule>
  </conditionalFormatting>
  <conditionalFormatting sqref="I32:I36">
    <cfRule type="expression" dxfId="51" priority="2" stopIfTrue="1">
      <formula>$C32&gt;0</formula>
    </cfRule>
  </conditionalFormatting>
  <conditionalFormatting sqref="Q8:Q38">
    <cfRule type="expression" dxfId="5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45474</v>
      </c>
      <c r="B8" s="36">
        <f>A8</f>
        <v>45474</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45475</v>
      </c>
      <c r="B9" s="37">
        <f>A9</f>
        <v>45475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45477</v>
      </c>
      <c r="B11" s="37">
        <f t="shared" si="4"/>
        <v>45477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45484</v>
      </c>
      <c r="B18" s="37">
        <f t="shared" si="4"/>
        <v>45484</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31</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45490</v>
      </c>
      <c r="B24" s="37">
        <f t="shared" si="4"/>
        <v>45490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45491</v>
      </c>
      <c r="B25" s="37">
        <f t="shared" si="4"/>
        <v>45491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45492</v>
      </c>
      <c r="B26" s="37">
        <f t="shared" si="4"/>
        <v>45492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45496</v>
      </c>
      <c r="B30" s="37">
        <f t="shared" si="4"/>
        <v>45496</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45497</v>
      </c>
      <c r="B31" s="37">
        <f t="shared" si="4"/>
        <v>45497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45498</v>
      </c>
      <c r="B32" s="37">
        <f t="shared" si="4"/>
        <v>45498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45499</v>
      </c>
      <c r="B33" s="37">
        <f t="shared" si="4"/>
        <v>45499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45503</v>
      </c>
      <c r="B37" s="37">
        <f t="shared" si="4"/>
        <v>45503</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45504</v>
      </c>
      <c r="B38" s="38">
        <f>A38</f>
        <v>45504</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21 D23:D38">
    <cfRule type="expression" dxfId="49" priority="5" stopIfTrue="1">
      <formula>$C8&gt;0</formula>
    </cfRule>
  </conditionalFormatting>
  <conditionalFormatting sqref="I25:I29">
    <cfRule type="expression" dxfId="48" priority="4" stopIfTrue="1">
      <formula>$C25&gt;0</formula>
    </cfRule>
  </conditionalFormatting>
  <conditionalFormatting sqref="I32:I36">
    <cfRule type="expression" dxfId="47" priority="3" stopIfTrue="1">
      <formula>$C32&gt;0</formula>
    </cfRule>
  </conditionalFormatting>
  <conditionalFormatting sqref="D22">
    <cfRule type="expression" dxfId="46" priority="2" stopIfTrue="1">
      <formula>$C22&gt;0</formula>
    </cfRule>
  </conditionalFormatting>
  <conditionalFormatting sqref="Q8:Q38">
    <cfRule type="expression" dxfId="45"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45505</v>
      </c>
      <c r="B8" s="36">
        <f>A8</f>
        <v>45505</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45510</v>
      </c>
      <c r="B13" s="37">
        <f t="shared" si="4"/>
        <v>45510</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45512</v>
      </c>
      <c r="B15" s="37">
        <f t="shared" si="4"/>
        <v>45512</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45518</v>
      </c>
      <c r="B21" s="37">
        <f t="shared" si="4"/>
        <v>45518</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45519</v>
      </c>
      <c r="B22" s="37">
        <f t="shared" si="4"/>
        <v>45519</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45520</v>
      </c>
      <c r="B23" s="37">
        <f t="shared" si="4"/>
        <v>45520</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45524</v>
      </c>
      <c r="B27" s="37">
        <f t="shared" si="4"/>
        <v>45524</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45525</v>
      </c>
      <c r="B28" s="37">
        <f t="shared" si="4"/>
        <v>45525</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45526</v>
      </c>
      <c r="B29" s="37">
        <f t="shared" si="4"/>
        <v>45526</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45527</v>
      </c>
      <c r="B30" s="37">
        <f t="shared" si="4"/>
        <v>45527</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45531</v>
      </c>
      <c r="B34" s="37">
        <f t="shared" si="4"/>
        <v>45531</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45532</v>
      </c>
      <c r="B35" s="37">
        <f t="shared" si="4"/>
        <v>45532</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45533</v>
      </c>
      <c r="B36" s="37">
        <f t="shared" si="4"/>
        <v>45533</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45534</v>
      </c>
      <c r="B37" s="37">
        <f t="shared" si="4"/>
        <v>45534</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D38">
    <cfRule type="expression" dxfId="44" priority="5" stopIfTrue="1">
      <formula>$C8&gt;0</formula>
    </cfRule>
  </conditionalFormatting>
  <conditionalFormatting sqref="I25:I29">
    <cfRule type="expression" dxfId="43" priority="4" stopIfTrue="1">
      <formula>$C25&gt;0</formula>
    </cfRule>
  </conditionalFormatting>
  <conditionalFormatting sqref="I32:I36">
    <cfRule type="expression" dxfId="42" priority="3" stopIfTrue="1">
      <formula>$C32&gt;0</formula>
    </cfRule>
  </conditionalFormatting>
  <conditionalFormatting sqref="D19">
    <cfRule type="expression" dxfId="41" priority="2" stopIfTrue="1">
      <formula>$C19&gt;0</formula>
    </cfRule>
  </conditionalFormatting>
  <conditionalFormatting sqref="Q8:Q38">
    <cfRule type="expression" dxfId="4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45540</v>
      </c>
      <c r="B12" s="37">
        <f t="shared" si="4"/>
        <v>45540</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45547</v>
      </c>
      <c r="B19" s="37">
        <f t="shared" si="4"/>
        <v>45547</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45548</v>
      </c>
      <c r="B20" s="37">
        <f t="shared" si="4"/>
        <v>45548</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45553</v>
      </c>
      <c r="B25" s="37">
        <f t="shared" si="4"/>
        <v>45553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45554</v>
      </c>
      <c r="B26" s="37">
        <f t="shared" si="4"/>
        <v>45554</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45555</v>
      </c>
      <c r="B27" s="37">
        <f t="shared" si="4"/>
        <v>45555</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34</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45560</v>
      </c>
      <c r="B32" s="37">
        <f t="shared" si="4"/>
        <v>45560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45561</v>
      </c>
      <c r="B33" s="37">
        <f t="shared" si="4"/>
        <v>45561</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45562</v>
      </c>
      <c r="B34" s="37">
        <f t="shared" si="4"/>
        <v>45562</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24:D27 D8:D22 D31:D38">
    <cfRule type="expression" dxfId="39" priority="8" stopIfTrue="1">
      <formula>$C8&gt;0</formula>
    </cfRule>
  </conditionalFormatting>
  <conditionalFormatting sqref="I25:I29">
    <cfRule type="expression" dxfId="38" priority="7" stopIfTrue="1">
      <formula>$C25&gt;0</formula>
    </cfRule>
  </conditionalFormatting>
  <conditionalFormatting sqref="I32:I36">
    <cfRule type="expression" dxfId="37" priority="6" stopIfTrue="1">
      <formula>$C32&gt;0</formula>
    </cfRule>
  </conditionalFormatting>
  <conditionalFormatting sqref="D28">
    <cfRule type="expression" dxfId="36" priority="5" stopIfTrue="1">
      <formula>$C28&gt;0</formula>
    </cfRule>
  </conditionalFormatting>
  <conditionalFormatting sqref="D29">
    <cfRule type="expression" dxfId="35" priority="4" stopIfTrue="1">
      <formula>$C29&gt;0</formula>
    </cfRule>
  </conditionalFormatting>
  <conditionalFormatting sqref="D23">
    <cfRule type="expression" dxfId="34" priority="3" stopIfTrue="1">
      <formula>$C23&gt;0</formula>
    </cfRule>
  </conditionalFormatting>
  <conditionalFormatting sqref="D30">
    <cfRule type="expression" dxfId="33" priority="2" stopIfTrue="1">
      <formula>$C30&gt;0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45566</v>
      </c>
      <c r="B8" s="36">
        <f>A8</f>
        <v>45566</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45568</v>
      </c>
      <c r="B10" s="37">
        <f t="shared" ref="B10:B37" si="4">A10</f>
        <v>45568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45575</v>
      </c>
      <c r="B17" s="37">
        <f t="shared" si="4"/>
        <v>45575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45582</v>
      </c>
      <c r="B24" s="37">
        <f t="shared" si="4"/>
        <v>45582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45583</v>
      </c>
      <c r="B25" s="37">
        <f t="shared" si="4"/>
        <v>45583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45587</v>
      </c>
      <c r="B29" s="37">
        <f t="shared" si="4"/>
        <v>45587</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45588</v>
      </c>
      <c r="B30" s="37">
        <f t="shared" si="4"/>
        <v>45588</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45589</v>
      </c>
      <c r="B31" s="37">
        <f t="shared" si="4"/>
        <v>45589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45590</v>
      </c>
      <c r="B32" s="37">
        <f t="shared" si="4"/>
        <v>45590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45594</v>
      </c>
      <c r="B36" s="37">
        <f t="shared" si="4"/>
        <v>45594</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45595</v>
      </c>
      <c r="B37" s="37">
        <f t="shared" si="4"/>
        <v>45595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45596</v>
      </c>
      <c r="B38" s="38">
        <f>A38</f>
        <v>45596</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31" priority="6" stopIfTrue="1">
      <formula>$C8&gt;0</formula>
    </cfRule>
  </conditionalFormatting>
  <conditionalFormatting sqref="I25:I29">
    <cfRule type="expression" dxfId="30" priority="5" stopIfTrue="1">
      <formula>$C25&gt;0</formula>
    </cfRule>
  </conditionalFormatting>
  <conditionalFormatting sqref="I32:I36">
    <cfRule type="expression" dxfId="29" priority="4" stopIfTrue="1">
      <formula>$C32&gt;0</formula>
    </cfRule>
  </conditionalFormatting>
  <conditionalFormatting sqref="D19">
    <cfRule type="expression" dxfId="28" priority="3" stopIfTrue="1">
      <formula>$C19&gt;0</formula>
    </cfRule>
  </conditionalFormatting>
  <conditionalFormatting sqref="D21">
    <cfRule type="expression" dxfId="27" priority="2" stopIfTrue="1">
      <formula>$C21&gt;0</formula>
    </cfRule>
  </conditionalFormatting>
  <conditionalFormatting sqref="Q8:Q38">
    <cfRule type="expression" dxfId="2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45597</v>
      </c>
      <c r="B8" s="36">
        <f>A8</f>
        <v>45597</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45598</v>
      </c>
      <c r="B9" s="37">
        <f>A9</f>
        <v>45598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45599</v>
      </c>
      <c r="B10" s="37">
        <f t="shared" ref="B10:B37" si="4">A10</f>
        <v>45599</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45600</v>
      </c>
      <c r="B11" s="37">
        <f t="shared" si="4"/>
        <v>45600</v>
      </c>
      <c r="C11" s="39">
        <f t="shared" si="1"/>
        <v>1</v>
      </c>
      <c r="D11" s="23" t="s">
        <v>13</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45601</v>
      </c>
      <c r="B12" s="37">
        <f t="shared" si="4"/>
        <v>45601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45602</v>
      </c>
      <c r="B13" s="37">
        <f t="shared" si="4"/>
        <v>45602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45603</v>
      </c>
      <c r="B14" s="37">
        <f t="shared" si="4"/>
        <v>45603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45604</v>
      </c>
      <c r="B15" s="37">
        <f t="shared" si="4"/>
        <v>45604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45605</v>
      </c>
      <c r="B16" s="37">
        <f t="shared" si="4"/>
        <v>45605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45606</v>
      </c>
      <c r="B17" s="37">
        <f t="shared" si="4"/>
        <v>45606</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45607</v>
      </c>
      <c r="B18" s="37">
        <f t="shared" si="4"/>
        <v>45607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45608</v>
      </c>
      <c r="B19" s="37">
        <f t="shared" si="4"/>
        <v>45608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45609</v>
      </c>
      <c r="B20" s="37">
        <f t="shared" si="4"/>
        <v>45609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45610</v>
      </c>
      <c r="B21" s="37">
        <f t="shared" si="4"/>
        <v>45610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45611</v>
      </c>
      <c r="B22" s="37">
        <f t="shared" si="4"/>
        <v>45611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45612</v>
      </c>
      <c r="B23" s="37">
        <f t="shared" si="4"/>
        <v>45612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45613</v>
      </c>
      <c r="B24" s="37">
        <f t="shared" si="4"/>
        <v>45613</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45614</v>
      </c>
      <c r="B25" s="37">
        <f t="shared" si="4"/>
        <v>45614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45615</v>
      </c>
      <c r="B26" s="37">
        <f t="shared" si="4"/>
        <v>45615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45616</v>
      </c>
      <c r="B27" s="37">
        <f t="shared" si="4"/>
        <v>45616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45617</v>
      </c>
      <c r="B28" s="37">
        <f t="shared" si="4"/>
        <v>45617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45618</v>
      </c>
      <c r="B29" s="37">
        <f t="shared" si="4"/>
        <v>45618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45619</v>
      </c>
      <c r="B30" s="37">
        <f t="shared" si="4"/>
        <v>45619</v>
      </c>
      <c r="C30" s="39">
        <f t="shared" si="1"/>
        <v>2</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45620</v>
      </c>
      <c r="B31" s="37">
        <f t="shared" si="4"/>
        <v>45620</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45621</v>
      </c>
      <c r="B32" s="37">
        <f t="shared" si="4"/>
        <v>45621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45622</v>
      </c>
      <c r="B33" s="37">
        <f t="shared" si="4"/>
        <v>45622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45623</v>
      </c>
      <c r="B34" s="37">
        <f t="shared" si="4"/>
        <v>45623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45624</v>
      </c>
      <c r="B35" s="37">
        <f t="shared" si="4"/>
        <v>45624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45625</v>
      </c>
      <c r="B36" s="37">
        <f t="shared" si="4"/>
        <v>45625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45626</v>
      </c>
      <c r="B37" s="37">
        <f t="shared" si="4"/>
        <v>45626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45629</v>
      </c>
      <c r="B10" s="37">
        <f t="shared" ref="B10:B37" si="4">A10</f>
        <v>45629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45636</v>
      </c>
      <c r="B17" s="37">
        <f t="shared" si="4"/>
        <v>45636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45639</v>
      </c>
      <c r="B20" s="37">
        <f t="shared" si="4"/>
        <v>45639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45643</v>
      </c>
      <c r="B24" s="37">
        <f t="shared" si="4"/>
        <v>45643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45644</v>
      </c>
      <c r="B25" s="37">
        <f t="shared" si="4"/>
        <v>45644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45645</v>
      </c>
      <c r="B26" s="37">
        <f t="shared" si="4"/>
        <v>45645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45646</v>
      </c>
      <c r="B27" s="37">
        <f t="shared" si="4"/>
        <v>45646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45650</v>
      </c>
      <c r="B31" s="37">
        <f t="shared" si="4"/>
        <v>45650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45651</v>
      </c>
      <c r="B32" s="37">
        <f t="shared" si="4"/>
        <v>45651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45652</v>
      </c>
      <c r="B33" s="37">
        <f t="shared" si="4"/>
        <v>45652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45658</v>
      </c>
      <c r="B8" s="36">
        <f>A8</f>
        <v>45658</v>
      </c>
      <c r="C8" s="43">
        <f>IF(WEEKDAY(A8,2)&gt;5,1,0)+IF(D8&lt;&gt;"",1,0)</f>
        <v>1</v>
      </c>
      <c r="D8" s="44" t="s">
        <v>36</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35</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45672</v>
      </c>
      <c r="B22" s="37">
        <f t="shared" si="4"/>
        <v>45672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45673</v>
      </c>
      <c r="B23" s="37">
        <f t="shared" si="4"/>
        <v>45673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45674</v>
      </c>
      <c r="B24" s="37">
        <f t="shared" si="4"/>
        <v>45674</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45678</v>
      </c>
      <c r="B28" s="37">
        <f t="shared" si="4"/>
        <v>45678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45679</v>
      </c>
      <c r="B29" s="37">
        <f t="shared" si="4"/>
        <v>45679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45680</v>
      </c>
      <c r="B30" s="37">
        <f t="shared" si="4"/>
        <v>45680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45685</v>
      </c>
      <c r="B35" s="37">
        <f t="shared" si="4"/>
        <v>45685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45686</v>
      </c>
      <c r="B36" s="37">
        <f t="shared" si="4"/>
        <v>45686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45687</v>
      </c>
      <c r="B37" s="37">
        <f t="shared" si="4"/>
        <v>45687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45688</v>
      </c>
      <c r="B38" s="38">
        <f>A38</f>
        <v>45688</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45692</v>
      </c>
      <c r="B11" s="37">
        <f t="shared" si="4"/>
        <v>45692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45701</v>
      </c>
      <c r="B20" s="37">
        <f t="shared" si="4"/>
        <v>45701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45702</v>
      </c>
      <c r="B21" s="37">
        <f t="shared" si="4"/>
        <v>45702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45706</v>
      </c>
      <c r="B25" s="37">
        <f t="shared" si="4"/>
        <v>45706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45707</v>
      </c>
      <c r="B26" s="37">
        <f t="shared" si="4"/>
        <v>45707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45708</v>
      </c>
      <c r="B27" s="37">
        <f t="shared" si="4"/>
        <v>45708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45709</v>
      </c>
      <c r="B28" s="37">
        <f t="shared" si="4"/>
        <v>45709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45714</v>
      </c>
      <c r="B33" s="37">
        <f t="shared" si="4"/>
        <v>45714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45715</v>
      </c>
      <c r="B34" s="37">
        <f t="shared" si="4"/>
        <v>45715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45716</v>
      </c>
      <c r="B35" s="37">
        <f t="shared" si="4"/>
        <v>45716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74" t="s">
        <v>15</v>
      </c>
      <c r="B3" s="75"/>
      <c r="C3" s="75"/>
      <c r="D3" s="76"/>
      <c r="E3" s="77" t="s">
        <v>37</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32</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74" t="s">
        <v>15</v>
      </c>
      <c r="B3" s="75"/>
      <c r="C3" s="75"/>
      <c r="D3" s="76"/>
      <c r="E3" s="80" t="s">
        <v>24</v>
      </c>
      <c r="F3" s="81"/>
      <c r="G3" s="81"/>
      <c r="H3" s="81"/>
      <c r="I3" s="81"/>
      <c r="J3" s="82"/>
      <c r="K3" s="53"/>
    </row>
    <row r="4" spans="1:22" ht="22.05" customHeight="1" thickTop="1" thickBot="1" x14ac:dyDescent="0.25">
      <c r="A4" s="74" t="s">
        <v>8</v>
      </c>
      <c r="B4" s="75"/>
      <c r="C4" s="75"/>
      <c r="D4" s="76"/>
      <c r="E4" s="80" t="s">
        <v>25</v>
      </c>
      <c r="F4" s="81"/>
      <c r="G4" s="81"/>
      <c r="H4" s="81"/>
      <c r="I4" s="81"/>
      <c r="J4" s="82"/>
      <c r="K4" s="53"/>
    </row>
    <row r="5" spans="1:22" ht="22.05" customHeight="1" thickTop="1" thickBot="1" x14ac:dyDescent="0.25">
      <c r="A5" s="83" t="s">
        <v>2</v>
      </c>
      <c r="B5" s="84"/>
      <c r="C5" s="84"/>
      <c r="D5" s="85"/>
      <c r="E5" s="80" t="s">
        <v>26</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2024-04-24T04:45:14Z</dcterms:modified>
</cp:coreProperties>
</file>