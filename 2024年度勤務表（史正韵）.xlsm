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2CFBF27A-CE35-44EA-BCFE-5E5BA8EA2FEF}" xr6:coauthVersionLast="47" xr6:coauthVersionMax="47" xr10:uidLastSave="{00000000-0000-0000-0000-000000000000}"/>
  <bookViews>
    <workbookView xWindow="-108" yWindow="-108" windowWidth="23256" windowHeight="12456" tabRatio="732" activeTab="3"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8" i="29" l="1"/>
  <c r="K38" i="29" s="1"/>
  <c r="J37" i="29"/>
  <c r="K37" i="29" s="1"/>
  <c r="J36" i="29"/>
  <c r="K36" i="29" s="1"/>
  <c r="K35" i="29"/>
  <c r="J35" i="29"/>
  <c r="K34" i="29"/>
  <c r="J34" i="29"/>
  <c r="A36" i="29"/>
  <c r="C36" i="29" s="1"/>
  <c r="J13" i="29"/>
  <c r="J12" i="29"/>
  <c r="K12" i="29" s="1"/>
  <c r="J11" i="29"/>
  <c r="K11" i="29" s="1"/>
  <c r="J33" i="29"/>
  <c r="K33" i="29" s="1"/>
  <c r="J32" i="29"/>
  <c r="K32" i="29" s="1"/>
  <c r="K28" i="29"/>
  <c r="J28" i="29"/>
  <c r="K27" i="29"/>
  <c r="J27" i="29"/>
  <c r="J26" i="29"/>
  <c r="K26" i="29" s="1"/>
  <c r="J25" i="29"/>
  <c r="K25" i="29" s="1"/>
  <c r="J21" i="29"/>
  <c r="K21" i="29" s="1"/>
  <c r="J14" i="29"/>
  <c r="K14" i="29" s="1"/>
  <c r="J9" i="29"/>
  <c r="K9" i="29"/>
  <c r="J10" i="29"/>
  <c r="K10" i="29"/>
  <c r="J8" i="29"/>
  <c r="K8" i="29" s="1"/>
  <c r="Q39" i="30"/>
  <c r="Q39" i="31"/>
  <c r="Q39" i="32"/>
  <c r="Q39" i="33"/>
  <c r="Q39" i="34"/>
  <c r="Q39" i="35"/>
  <c r="Q39" i="17"/>
  <c r="Q39" i="25"/>
  <c r="Q39" i="26"/>
  <c r="Q39" i="27"/>
  <c r="Q39" i="28"/>
  <c r="B36" i="29" l="1"/>
  <c r="J38" i="35"/>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K33" i="34"/>
  <c r="J33" i="34"/>
  <c r="J32" i="34"/>
  <c r="K32" i="34" s="1"/>
  <c r="J31" i="34"/>
  <c r="K31" i="34" s="1"/>
  <c r="J30" i="34"/>
  <c r="K30" i="34" s="1"/>
  <c r="J29" i="34"/>
  <c r="K29" i="34" s="1"/>
  <c r="J28" i="34"/>
  <c r="K28" i="34" s="1"/>
  <c r="K27" i="34"/>
  <c r="J27" i="34"/>
  <c r="J26" i="34"/>
  <c r="K26" i="34" s="1"/>
  <c r="K25" i="34"/>
  <c r="J25" i="34"/>
  <c r="J24" i="34"/>
  <c r="K24" i="34" s="1"/>
  <c r="J23" i="34"/>
  <c r="K23" i="34" s="1"/>
  <c r="J22" i="34"/>
  <c r="K22" i="34" s="1"/>
  <c r="J21" i="34"/>
  <c r="K21" i="34" s="1"/>
  <c r="J20" i="34"/>
  <c r="K20" i="34" s="1"/>
  <c r="K19" i="34"/>
  <c r="J19" i="34"/>
  <c r="J18" i="34"/>
  <c r="K18" i="34" s="1"/>
  <c r="K17" i="34"/>
  <c r="J17" i="34"/>
  <c r="J16" i="34"/>
  <c r="K16" i="34" s="1"/>
  <c r="J15" i="34"/>
  <c r="K15" i="34" s="1"/>
  <c r="J14" i="34"/>
  <c r="K14" i="34" s="1"/>
  <c r="J13" i="34"/>
  <c r="K13" i="34" s="1"/>
  <c r="J12" i="34"/>
  <c r="K12" i="34" s="1"/>
  <c r="K11" i="34"/>
  <c r="J11" i="34"/>
  <c r="J10" i="34"/>
  <c r="K10" i="34" s="1"/>
  <c r="K9" i="34"/>
  <c r="J9" i="34"/>
  <c r="J8" i="34"/>
  <c r="K8" i="34" s="1"/>
  <c r="A8" i="34"/>
  <c r="C8" i="34" s="1"/>
  <c r="J38" i="33"/>
  <c r="K38" i="33" s="1"/>
  <c r="J37" i="33"/>
  <c r="K37" i="33" s="1"/>
  <c r="J36" i="33"/>
  <c r="K36" i="33" s="1"/>
  <c r="J35" i="33"/>
  <c r="K35" i="33" s="1"/>
  <c r="J34" i="33"/>
  <c r="K34" i="33" s="1"/>
  <c r="J33" i="33"/>
  <c r="K33" i="33" s="1"/>
  <c r="J32" i="33"/>
  <c r="K32" i="33" s="1"/>
  <c r="J31" i="33"/>
  <c r="K31" i="33" s="1"/>
  <c r="J30" i="33"/>
  <c r="K30" i="33" s="1"/>
  <c r="J29" i="33"/>
  <c r="K29" i="33" s="1"/>
  <c r="J28" i="33"/>
  <c r="K28" i="33" s="1"/>
  <c r="J27" i="33"/>
  <c r="K27" i="33" s="1"/>
  <c r="J26" i="33"/>
  <c r="K26" i="33" s="1"/>
  <c r="J25" i="33"/>
  <c r="K25" i="33" s="1"/>
  <c r="J24" i="33"/>
  <c r="K24" i="33" s="1"/>
  <c r="J23" i="33"/>
  <c r="K23" i="33" s="1"/>
  <c r="J22" i="33"/>
  <c r="K22" i="33" s="1"/>
  <c r="J21" i="33"/>
  <c r="K21" i="33" s="1"/>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J8" i="32"/>
  <c r="K8" i="32" s="1"/>
  <c r="A8" i="32"/>
  <c r="C8" i="32" s="1"/>
  <c r="J38" i="31"/>
  <c r="K38" i="31" s="1"/>
  <c r="J37" i="31"/>
  <c r="K37" i="31" s="1"/>
  <c r="J36" i="31"/>
  <c r="K36" i="31" s="1"/>
  <c r="J35" i="31"/>
  <c r="K35" i="31" s="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J19" i="31"/>
  <c r="K19" i="31" s="1"/>
  <c r="J18" i="31"/>
  <c r="K18" i="31" s="1"/>
  <c r="J17" i="31"/>
  <c r="K17" i="31" s="1"/>
  <c r="J16" i="31"/>
  <c r="K16" i="31" s="1"/>
  <c r="J15" i="31"/>
  <c r="K15" i="31" s="1"/>
  <c r="J14" i="31"/>
  <c r="K14" i="31" s="1"/>
  <c r="J13" i="31"/>
  <c r="K13" i="31" s="1"/>
  <c r="J12" i="31"/>
  <c r="K12" i="31" s="1"/>
  <c r="J11" i="31"/>
  <c r="K11" i="31" s="1"/>
  <c r="J10" i="31"/>
  <c r="K10" i="31" s="1"/>
  <c r="J9"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K16" i="30"/>
  <c r="J16" i="30"/>
  <c r="J15" i="30"/>
  <c r="K15" i="30" s="1"/>
  <c r="J14" i="30"/>
  <c r="K14" i="30" s="1"/>
  <c r="J13" i="30"/>
  <c r="K13" i="30" s="1"/>
  <c r="J12" i="30"/>
  <c r="K12" i="30" s="1"/>
  <c r="J11" i="30"/>
  <c r="K11" i="30" s="1"/>
  <c r="K10" i="30"/>
  <c r="J10" i="30"/>
  <c r="J9" i="30"/>
  <c r="K9" i="30" s="1"/>
  <c r="J8" i="30"/>
  <c r="K8" i="30" s="1"/>
  <c r="A8" i="30"/>
  <c r="J31" i="29"/>
  <c r="K31" i="29" s="1"/>
  <c r="J30" i="29"/>
  <c r="K30" i="29" s="1"/>
  <c r="J29" i="29"/>
  <c r="K29" i="29" s="1"/>
  <c r="J24" i="29"/>
  <c r="K24" i="29" s="1"/>
  <c r="J23" i="29"/>
  <c r="K23" i="29" s="1"/>
  <c r="J22" i="29"/>
  <c r="K22" i="29" s="1"/>
  <c r="J20" i="29"/>
  <c r="K20" i="29" s="1"/>
  <c r="J19" i="29"/>
  <c r="K19" i="29" s="1"/>
  <c r="J18" i="29"/>
  <c r="K18" i="29" s="1"/>
  <c r="J17" i="29"/>
  <c r="K17" i="29" s="1"/>
  <c r="J16" i="29"/>
  <c r="K16" i="29" s="1"/>
  <c r="J15" i="29"/>
  <c r="K15" i="29" s="1"/>
  <c r="K13" i="29"/>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31" l="1"/>
  <c r="Q39" i="29"/>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<sst xmlns="http://schemas.openxmlformats.org/spreadsheetml/2006/main" count="298" uniqueCount="42">
  <si>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</si>
  <si>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</si>
  <si>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</si>
  <si>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</si>
  <si>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</si>
  <si>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</si>
  <si>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</si>
  <si>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</si>
  <si>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</si>
  <si>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</si>
  <si>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</si>
  <si>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</si>
  <si>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</si>
  <si>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</si>
  <si>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</si>
  <si>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</si>
  <si>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</si>
  <si>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</si>
  <si>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</si>
  <si>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</si>
  <si>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</si>
  <si>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</si>
  <si>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</si>
  <si>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</si>
  <si>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</si>
  <si>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</si>
  <si>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</si>
  <si>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</si>
  <si>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</si>
  <si>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</si>
  <si>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〇</t>
    <phoneticPr fontId="2"/>
  </si>
  <si>
    <t>在宅勤務</t>
    <rPh sb="0" eb="2">
      <t>ザイタク</t>
    </rPh>
    <rPh sb="2" eb="4">
      <t>キンム</t>
    </rPh>
    <phoneticPr fontId="2"/>
  </si>
  <si>
    <t>○</t>
    <phoneticPr fontId="2"/>
  </si>
  <si>
    <t>〇</t>
  </si>
  <si>
    <t>○</t>
    <phoneticPr fontId="2"/>
  </si>
  <si>
    <t>○</t>
    <phoneticPr fontId="2"/>
  </si>
  <si>
    <t>株式会社SNSソフト</t>
    <rPh sb="0" eb="4">
      <t>カブシキガイシャ</t>
    </rPh>
    <phoneticPr fontId="2"/>
  </si>
  <si>
    <t>事務デジG</t>
    <rPh sb="0" eb="2">
      <t>ジム</t>
    </rPh>
    <phoneticPr fontId="2"/>
  </si>
  <si>
    <t>史正韵</t>
    <phoneticPr fontId="2"/>
  </si>
  <si>
    <t>休み</t>
    <rPh sb="0" eb="1">
      <t>ヤス</t>
    </rPh>
    <phoneticPr fontId="2"/>
  </si>
  <si>
    <t>夏休み</t>
    <rPh sb="0" eb="2">
      <t>ナツヤス</t>
    </rPh>
    <phoneticPr fontId="2"/>
  </si>
  <si>
    <t>夏休</t>
    <rPh sb="0" eb="2">
      <t>ナツヤス</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</si>
</sst>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1"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
      <sz val="11"/>
      <name val="Microsoft YaHei"/>
      <family val="3"/>
      <charset val="134"/>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3">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10" fillId="0" borderId="2" xfId="0" applyFont="1" applyBorder="1" applyAlignment="1" applyProtection="1">
      <protection locked="0"/>
    </xf>
  </cellXfs>
  <cellStyles count="2">
    <cellStyle name="桁区切り" xfId="1" builtinId="6"/>
    <cellStyle name="標準" xfId="0" builtinId="0"/>
  </cellStyles>
  <dxfs count="15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zoomScale="85" zoomScaleNormal="85" workbookViewId="0">
      <pane ySplit="7" topLeftCell="A18" activePane="bottomLeft" state="frozen"/>
      <selection activeCell="Q34" sqref="Q34"/>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25">
      <c r="A5" s="78" t="s">
        <v>2</v>
      </c>
      <c r="B5" s="79"/>
      <c r="C5" s="79"/>
      <c r="D5" s="80"/>
      <c r="E5" s="75"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45413</v>
      </c>
      <c r="B8" s="36">
        <f>A8</f>
        <v>45413</v>
      </c>
      <c r="C8" s="43">
        <f>IF(WEEKDAY(A8,2)&gt;5,1,0)+IF(D8&lt;&gt;"",1,0)</f>
        <v>0</v>
      </c>
      <c r="D8" s="44"/>
      <c r="E8" s="20"/>
      <c r="F8" s="31"/>
      <c r="G8" s="20"/>
      <c r="H8" s="24"/>
      <c r="I8" s="34"/>
      <c r="J8" s="57">
        <f t="shared" ref="J8" si="0">IF((H8-F8)&lt;0,(G8-E8-1)*60+(60+H8-F8),(G8-E8)*60+H8-F8)-I8</f>
        <v>0</v>
      </c>
      <c r="K8" s="61">
        <f t="shared" ref="K8" si="1">J8/60</f>
        <v>0</v>
      </c>
      <c r="L8" s="21" t="s">
        <v>30</v>
      </c>
      <c r="M8" s="66" t="s">
        <v>39</v>
      </c>
      <c r="N8" s="67"/>
      <c r="O8" s="67"/>
      <c r="P8" s="68"/>
      <c r="Q8" s="21"/>
      <c r="S8" s="14"/>
      <c r="T8" s="6"/>
      <c r="U8" s="6"/>
      <c r="V8" s="6"/>
    </row>
    <row r="9" spans="1:22" ht="18" customHeight="1" x14ac:dyDescent="0.2">
      <c r="A9" s="22">
        <f>IF(A8="","",(A8+1))</f>
        <v>45414</v>
      </c>
      <c r="B9" s="37">
        <f>A9</f>
        <v>45414</v>
      </c>
      <c r="C9" s="39">
        <f t="shared" ref="C9:C38" si="2">IF(WEEKDAY(A9,2)&gt;5,1,0)+IF(D9&lt;&gt;"",1,0)</f>
        <v>0</v>
      </c>
      <c r="D9" s="23"/>
      <c r="E9" s="20"/>
      <c r="F9" s="31"/>
      <c r="G9" s="20"/>
      <c r="H9" s="24"/>
      <c r="I9" s="34"/>
      <c r="J9" s="57">
        <f t="shared" ref="J9:J12" si="3">IF((H9-F9)&lt;0,(G9-E9-1)*60+(60+H9-F9),(G9-E9)*60+H9-F9)-I9</f>
        <v>0</v>
      </c>
      <c r="K9" s="61">
        <f t="shared" ref="K9:K12" si="4">J9/60</f>
        <v>0</v>
      </c>
      <c r="L9" s="25" t="s">
        <v>30</v>
      </c>
      <c r="M9" s="66" t="s">
        <v>39</v>
      </c>
      <c r="N9" s="67"/>
      <c r="O9" s="67"/>
      <c r="P9" s="68"/>
      <c r="Q9" s="25"/>
      <c r="S9" s="14"/>
      <c r="T9" s="11"/>
      <c r="U9" s="12"/>
      <c r="V9" s="13"/>
    </row>
    <row r="10" spans="1:22" ht="18" customHeight="1" x14ac:dyDescent="0.2">
      <c r="A10" s="22">
        <f t="shared" ref="A10:A36" si="5">IF(A9="","",(A9+1))</f>
        <v>45415</v>
      </c>
      <c r="B10" s="37">
        <f t="shared" ref="B10:B37" si="6">A10</f>
        <v>45415</v>
      </c>
      <c r="C10" s="39">
        <f t="shared" si="2"/>
        <v>0</v>
      </c>
      <c r="D10" s="23"/>
      <c r="E10" s="20"/>
      <c r="F10" s="31"/>
      <c r="G10" s="20"/>
      <c r="H10" s="24"/>
      <c r="I10" s="34"/>
      <c r="J10" s="57">
        <f t="shared" si="3"/>
        <v>0</v>
      </c>
      <c r="K10" s="61">
        <f t="shared" si="4"/>
        <v>0</v>
      </c>
      <c r="L10" s="25"/>
      <c r="M10" s="66"/>
      <c r="N10" s="67"/>
      <c r="O10" s="67"/>
      <c r="P10" s="68"/>
      <c r="Q10" s="25"/>
      <c r="S10" s="14"/>
      <c r="T10" s="11"/>
      <c r="U10" s="12"/>
      <c r="V10" s="13"/>
    </row>
    <row r="11" spans="1:22" ht="18" customHeight="1" x14ac:dyDescent="0.2">
      <c r="A11" s="22">
        <f t="shared" si="5"/>
        <v>45416</v>
      </c>
      <c r="B11" s="37">
        <f t="shared" si="6"/>
        <v>45416</v>
      </c>
      <c r="C11" s="39">
        <f t="shared" si="2"/>
        <v>1</v>
      </c>
      <c r="D11" s="23"/>
      <c r="E11" s="45"/>
      <c r="F11" s="46"/>
      <c r="G11" s="20"/>
      <c r="H11" s="24"/>
      <c r="I11" s="34"/>
      <c r="J11" s="57">
        <f t="shared" si="3"/>
        <v>0</v>
      </c>
      <c r="K11" s="61">
        <f t="shared" si="4"/>
        <v>0</v>
      </c>
      <c r="L11" s="25"/>
      <c r="M11" s="66"/>
      <c r="N11" s="67"/>
      <c r="O11" s="67"/>
      <c r="P11" s="68"/>
      <c r="Q11" s="25"/>
      <c r="S11" s="14"/>
      <c r="T11" s="11"/>
      <c r="U11" s="12"/>
      <c r="V11" s="13"/>
    </row>
    <row r="12" spans="1:22" ht="18" customHeight="1" x14ac:dyDescent="0.2">
      <c r="A12" s="22">
        <f t="shared" si="5"/>
        <v>45417</v>
      </c>
      <c r="B12" s="37">
        <f t="shared" si="6"/>
        <v>45417</v>
      </c>
      <c r="C12" s="39">
        <f t="shared" si="2"/>
        <v>1</v>
      </c>
      <c r="D12" s="23"/>
      <c r="E12" s="45"/>
      <c r="F12" s="46"/>
      <c r="G12" s="20"/>
      <c r="H12" s="24"/>
      <c r="I12" s="34"/>
      <c r="J12" s="57">
        <f t="shared" si="3"/>
        <v>0</v>
      </c>
      <c r="K12" s="61">
        <f t="shared" si="4"/>
        <v>0</v>
      </c>
      <c r="L12" s="25"/>
      <c r="M12" s="66"/>
      <c r="N12" s="67"/>
      <c r="O12" s="67"/>
      <c r="P12" s="68"/>
      <c r="Q12" s="25"/>
      <c r="S12" s="14"/>
      <c r="T12" s="11"/>
      <c r="U12" s="12"/>
      <c r="V12" s="13"/>
    </row>
    <row r="13" spans="1:22" ht="18" customHeight="1" x14ac:dyDescent="0.2">
      <c r="A13" s="22">
        <f t="shared" si="5"/>
        <v>45418</v>
      </c>
      <c r="B13" s="37">
        <f t="shared" si="6"/>
        <v>45418</v>
      </c>
      <c r="C13" s="39">
        <f t="shared" si="2"/>
        <v>0</v>
      </c>
      <c r="D13" s="23"/>
      <c r="E13" s="20"/>
      <c r="F13" s="31"/>
      <c r="G13" s="20"/>
      <c r="H13" s="24"/>
      <c r="I13" s="34"/>
      <c r="J13" s="57">
        <f>IF((H13-F13)&lt;0,(G13-E13-1)*60+(60+H13-F13),(G13-E13)*60+H13-F13)-I13</f>
        <v>0</v>
      </c>
      <c r="K13" s="61">
        <f t="shared" ref="K13:K35" si="7">J13/60</f>
        <v>0</v>
      </c>
      <c r="L13" s="25"/>
      <c r="M13" s="66"/>
      <c r="N13" s="67"/>
      <c r="O13" s="67"/>
      <c r="P13" s="68"/>
      <c r="Q13" s="25"/>
      <c r="S13" s="14"/>
      <c r="T13" s="11"/>
      <c r="U13" s="12"/>
      <c r="V13" s="13"/>
    </row>
    <row r="14" spans="1:22" ht="18" customHeight="1" x14ac:dyDescent="0.2">
      <c r="A14" s="22">
        <f t="shared" si="5"/>
        <v>45419</v>
      </c>
      <c r="B14" s="37">
        <f t="shared" si="6"/>
        <v>45419</v>
      </c>
      <c r="C14" s="39">
        <f t="shared" si="2"/>
        <v>0</v>
      </c>
      <c r="D14" s="23"/>
      <c r="E14" s="45">
        <v>9</v>
      </c>
      <c r="F14" s="46">
        <v>0</v>
      </c>
      <c r="G14" s="20">
        <v>18</v>
      </c>
      <c r="H14" s="24">
        <v>30</v>
      </c>
      <c r="I14" s="34">
        <v>60</v>
      </c>
      <c r="J14" s="57">
        <f t="shared" ref="J14" si="8">IF((H14-F14)&lt;0,(G14-E14-1)*60+(60+H14-F14),(G14-E14)*60+H14-F14)-I14</f>
        <v>510</v>
      </c>
      <c r="K14" s="61">
        <f t="shared" ref="K14" si="9">J14/60</f>
        <v>8.5</v>
      </c>
      <c r="L14" s="25"/>
      <c r="M14" s="66"/>
      <c r="N14" s="67"/>
      <c r="O14" s="67"/>
      <c r="P14" s="68"/>
      <c r="Q14" s="25"/>
      <c r="S14" s="14"/>
      <c r="T14" s="11"/>
      <c r="U14" s="12"/>
      <c r="V14" s="13"/>
    </row>
    <row r="15" spans="1:22" ht="18" customHeight="1" x14ac:dyDescent="0.2">
      <c r="A15" s="22">
        <f t="shared" si="5"/>
        <v>45420</v>
      </c>
      <c r="B15" s="37">
        <f t="shared" si="6"/>
        <v>45420</v>
      </c>
      <c r="C15" s="39">
        <f t="shared" si="2"/>
        <v>0</v>
      </c>
      <c r="D15" s="23"/>
      <c r="E15" s="45">
        <v>9</v>
      </c>
      <c r="F15" s="46">
        <v>0</v>
      </c>
      <c r="G15" s="20">
        <v>18</v>
      </c>
      <c r="H15" s="24">
        <v>30</v>
      </c>
      <c r="I15" s="34">
        <v>60</v>
      </c>
      <c r="J15" s="57">
        <f t="shared" ref="J15:J35" si="10">IF((H15-F15)&lt;0,(G15-E15-1)*60+(60+H15-F15),(G15-E15)*60+H15-F15)-I15</f>
        <v>510</v>
      </c>
      <c r="K15" s="61">
        <f t="shared" si="7"/>
        <v>8.5</v>
      </c>
      <c r="L15" s="25"/>
      <c r="M15" s="66"/>
      <c r="N15" s="67"/>
      <c r="O15" s="67"/>
      <c r="P15" s="68"/>
      <c r="Q15" s="25" t="s">
        <v>30</v>
      </c>
      <c r="S15" s="14"/>
      <c r="T15" s="11"/>
      <c r="U15" s="12"/>
      <c r="V15" s="13"/>
    </row>
    <row r="16" spans="1:22" ht="18" customHeight="1" x14ac:dyDescent="0.2">
      <c r="A16" s="22">
        <f t="shared" si="5"/>
        <v>45421</v>
      </c>
      <c r="B16" s="37">
        <f t="shared" si="6"/>
        <v>45421</v>
      </c>
      <c r="C16" s="39">
        <f t="shared" si="2"/>
        <v>0</v>
      </c>
      <c r="D16" s="23"/>
      <c r="E16" s="45">
        <v>9</v>
      </c>
      <c r="F16" s="46">
        <v>0</v>
      </c>
      <c r="G16" s="20">
        <v>18</v>
      </c>
      <c r="H16" s="24">
        <v>30</v>
      </c>
      <c r="I16" s="34">
        <v>60</v>
      </c>
      <c r="J16" s="57">
        <f t="shared" si="10"/>
        <v>510</v>
      </c>
      <c r="K16" s="61">
        <f t="shared" si="7"/>
        <v>8.5</v>
      </c>
      <c r="L16" s="25"/>
      <c r="M16" s="66"/>
      <c r="N16" s="67"/>
      <c r="O16" s="67"/>
      <c r="P16" s="68"/>
      <c r="Q16" s="25"/>
      <c r="S16" s="14"/>
      <c r="T16" s="11"/>
      <c r="U16" s="12"/>
      <c r="V16" s="13"/>
    </row>
    <row r="17" spans="1:22" ht="18" customHeight="1" x14ac:dyDescent="0.2">
      <c r="A17" s="22">
        <f t="shared" si="5"/>
        <v>45422</v>
      </c>
      <c r="B17" s="37">
        <f t="shared" si="6"/>
        <v>45422</v>
      </c>
      <c r="C17" s="39">
        <f t="shared" si="2"/>
        <v>0</v>
      </c>
      <c r="D17" s="23"/>
      <c r="E17" s="45">
        <v>9</v>
      </c>
      <c r="F17" s="46">
        <v>0</v>
      </c>
      <c r="G17" s="20">
        <v>18</v>
      </c>
      <c r="H17" s="24">
        <v>30</v>
      </c>
      <c r="I17" s="34">
        <v>60</v>
      </c>
      <c r="J17" s="57">
        <f t="shared" si="10"/>
        <v>510</v>
      </c>
      <c r="K17" s="61">
        <f t="shared" si="7"/>
        <v>8.5</v>
      </c>
      <c r="L17" s="25"/>
      <c r="M17" s="66"/>
      <c r="N17" s="67"/>
      <c r="O17" s="67"/>
      <c r="P17" s="68"/>
      <c r="Q17" s="25"/>
      <c r="T17" s="11"/>
      <c r="U17" s="12"/>
      <c r="V17" s="13"/>
    </row>
    <row r="18" spans="1:22" ht="18" customHeight="1" x14ac:dyDescent="0.2">
      <c r="A18" s="22">
        <f t="shared" si="5"/>
        <v>45423</v>
      </c>
      <c r="B18" s="37">
        <f t="shared" si="6"/>
        <v>45423</v>
      </c>
      <c r="C18" s="39">
        <f t="shared" si="2"/>
        <v>1</v>
      </c>
      <c r="D18" s="23"/>
      <c r="E18" s="45"/>
      <c r="F18" s="46"/>
      <c r="G18" s="20"/>
      <c r="H18" s="24"/>
      <c r="I18" s="34"/>
      <c r="J18" s="57">
        <f t="shared" si="10"/>
        <v>0</v>
      </c>
      <c r="K18" s="61">
        <f t="shared" si="7"/>
        <v>0</v>
      </c>
      <c r="L18" s="25"/>
      <c r="M18" s="66"/>
      <c r="N18" s="67"/>
      <c r="O18" s="67"/>
      <c r="P18" s="68"/>
      <c r="Q18" s="25"/>
      <c r="T18" s="11"/>
      <c r="U18" s="12"/>
      <c r="V18" s="13"/>
    </row>
    <row r="19" spans="1:22" ht="18" customHeight="1" x14ac:dyDescent="0.2">
      <c r="A19" s="22">
        <f t="shared" si="5"/>
        <v>45424</v>
      </c>
      <c r="B19" s="37">
        <f t="shared" si="6"/>
        <v>45424</v>
      </c>
      <c r="C19" s="39">
        <f t="shared" si="2"/>
        <v>1</v>
      </c>
      <c r="D19" s="23"/>
      <c r="E19" s="45"/>
      <c r="F19" s="46"/>
      <c r="G19" s="20"/>
      <c r="H19" s="24"/>
      <c r="I19" s="34"/>
      <c r="J19" s="57">
        <f t="shared" si="10"/>
        <v>0</v>
      </c>
      <c r="K19" s="61">
        <f t="shared" si="7"/>
        <v>0</v>
      </c>
      <c r="L19" s="25"/>
      <c r="M19" s="66"/>
      <c r="N19" s="67"/>
      <c r="O19" s="67"/>
      <c r="P19" s="68"/>
      <c r="Q19" s="25"/>
      <c r="V19" s="13"/>
    </row>
    <row r="20" spans="1:22" ht="18" customHeight="1" x14ac:dyDescent="0.2">
      <c r="A20" s="22">
        <f t="shared" si="5"/>
        <v>45425</v>
      </c>
      <c r="B20" s="37">
        <f t="shared" si="6"/>
        <v>45425</v>
      </c>
      <c r="C20" s="39">
        <f t="shared" si="2"/>
        <v>0</v>
      </c>
      <c r="D20" s="23"/>
      <c r="E20" s="20"/>
      <c r="F20" s="31"/>
      <c r="G20" s="20"/>
      <c r="H20" s="24"/>
      <c r="I20" s="34"/>
      <c r="J20" s="57">
        <f t="shared" si="10"/>
        <v>0</v>
      </c>
      <c r="K20" s="61">
        <f t="shared" si="7"/>
        <v>0</v>
      </c>
      <c r="L20" s="25" t="s">
        <v>30</v>
      </c>
      <c r="M20" s="66" t="s">
        <v>39</v>
      </c>
      <c r="N20" s="67"/>
      <c r="O20" s="67"/>
      <c r="P20" s="68"/>
      <c r="Q20" s="25"/>
      <c r="V20" s="13"/>
    </row>
    <row r="21" spans="1:22" ht="18" customHeight="1" x14ac:dyDescent="0.2">
      <c r="A21" s="22">
        <f t="shared" si="5"/>
        <v>45426</v>
      </c>
      <c r="B21" s="37">
        <f t="shared" si="6"/>
        <v>45426</v>
      </c>
      <c r="C21" s="39">
        <f t="shared" si="2"/>
        <v>0</v>
      </c>
      <c r="D21" s="23"/>
      <c r="E21" s="45">
        <v>9</v>
      </c>
      <c r="F21" s="46">
        <v>0</v>
      </c>
      <c r="G21" s="20">
        <v>18</v>
      </c>
      <c r="H21" s="24">
        <v>30</v>
      </c>
      <c r="I21" s="34">
        <v>60</v>
      </c>
      <c r="J21" s="57">
        <f t="shared" ref="J21" si="11">IF((H21-F21)&lt;0,(G21-E21-1)*60+(60+H21-F21),(G21-E21)*60+H21-F21)-I21</f>
        <v>510</v>
      </c>
      <c r="K21" s="61">
        <f t="shared" ref="K21" si="12">J21/60</f>
        <v>8.5</v>
      </c>
      <c r="L21" s="25"/>
      <c r="M21" s="66"/>
      <c r="N21" s="67"/>
      <c r="O21" s="67"/>
      <c r="P21" s="68"/>
      <c r="Q21" s="25"/>
      <c r="V21" s="13"/>
    </row>
    <row r="22" spans="1:22" ht="18" customHeight="1" x14ac:dyDescent="0.2">
      <c r="A22" s="22">
        <f t="shared" si="5"/>
        <v>45427</v>
      </c>
      <c r="B22" s="37">
        <f t="shared" si="6"/>
        <v>45427</v>
      </c>
      <c r="C22" s="39">
        <f t="shared" si="2"/>
        <v>0</v>
      </c>
      <c r="D22" s="23"/>
      <c r="E22" s="45">
        <v>9</v>
      </c>
      <c r="F22" s="46">
        <v>0</v>
      </c>
      <c r="G22" s="20">
        <v>18</v>
      </c>
      <c r="H22" s="24">
        <v>30</v>
      </c>
      <c r="I22" s="34">
        <v>60</v>
      </c>
      <c r="J22" s="57">
        <f t="shared" si="10"/>
        <v>510</v>
      </c>
      <c r="K22" s="61">
        <f t="shared" si="7"/>
        <v>8.5</v>
      </c>
      <c r="L22" s="25"/>
      <c r="M22" s="66"/>
      <c r="N22" s="67"/>
      <c r="O22" s="67"/>
      <c r="P22" s="68"/>
      <c r="Q22" s="25" t="s">
        <v>30</v>
      </c>
      <c r="V22" s="13"/>
    </row>
    <row r="23" spans="1:22" ht="18" customHeight="1" x14ac:dyDescent="0.2">
      <c r="A23" s="22">
        <f t="shared" si="5"/>
        <v>45428</v>
      </c>
      <c r="B23" s="37">
        <f t="shared" si="6"/>
        <v>45428</v>
      </c>
      <c r="C23" s="39">
        <f t="shared" si="2"/>
        <v>0</v>
      </c>
      <c r="D23" s="23"/>
      <c r="E23" s="45">
        <v>9</v>
      </c>
      <c r="F23" s="46">
        <v>0</v>
      </c>
      <c r="G23" s="20">
        <v>18</v>
      </c>
      <c r="H23" s="24">
        <v>30</v>
      </c>
      <c r="I23" s="34">
        <v>60</v>
      </c>
      <c r="J23" s="57">
        <f t="shared" si="10"/>
        <v>510</v>
      </c>
      <c r="K23" s="61">
        <f t="shared" si="7"/>
        <v>8.5</v>
      </c>
      <c r="L23" s="25"/>
      <c r="M23" s="66"/>
      <c r="N23" s="67"/>
      <c r="O23" s="67"/>
      <c r="P23" s="68"/>
      <c r="Q23" s="25"/>
      <c r="V23" s="13"/>
    </row>
    <row r="24" spans="1:22" ht="18" customHeight="1" x14ac:dyDescent="0.2">
      <c r="A24" s="22">
        <f t="shared" si="5"/>
        <v>45429</v>
      </c>
      <c r="B24" s="37">
        <f t="shared" si="6"/>
        <v>45429</v>
      </c>
      <c r="C24" s="39">
        <f t="shared" si="2"/>
        <v>0</v>
      </c>
      <c r="D24" s="23"/>
      <c r="E24" s="45">
        <v>9</v>
      </c>
      <c r="F24" s="46">
        <v>0</v>
      </c>
      <c r="G24" s="20">
        <v>18</v>
      </c>
      <c r="H24" s="24">
        <v>30</v>
      </c>
      <c r="I24" s="34">
        <v>60</v>
      </c>
      <c r="J24" s="57">
        <f t="shared" si="10"/>
        <v>510</v>
      </c>
      <c r="K24" s="61">
        <f t="shared" si="7"/>
        <v>8.5</v>
      </c>
      <c r="L24" s="25"/>
      <c r="M24" s="66"/>
      <c r="N24" s="67"/>
      <c r="O24" s="67"/>
      <c r="P24" s="68"/>
      <c r="Q24" s="25"/>
      <c r="V24" s="13"/>
    </row>
    <row r="25" spans="1:22" ht="18" customHeight="1" x14ac:dyDescent="0.2">
      <c r="A25" s="22">
        <f t="shared" si="5"/>
        <v>45430</v>
      </c>
      <c r="B25" s="37">
        <f t="shared" si="6"/>
        <v>45430</v>
      </c>
      <c r="C25" s="39">
        <f t="shared" si="2"/>
        <v>1</v>
      </c>
      <c r="D25" s="23"/>
      <c r="E25" s="45"/>
      <c r="F25" s="46"/>
      <c r="G25" s="20"/>
      <c r="H25" s="24"/>
      <c r="I25" s="34"/>
      <c r="J25" s="57">
        <f t="shared" ref="J25:J28" si="13">IF((H25-F25)&lt;0,(G25-E25-1)*60+(60+H25-F25),(G25-E25)*60+H25-F25)-I25</f>
        <v>0</v>
      </c>
      <c r="K25" s="61">
        <f t="shared" ref="K25:K28" si="14">J25/60</f>
        <v>0</v>
      </c>
      <c r="L25" s="25"/>
      <c r="M25" s="66"/>
      <c r="N25" s="67"/>
      <c r="O25" s="67"/>
      <c r="P25" s="68"/>
      <c r="Q25" s="25"/>
      <c r="V25" s="13"/>
    </row>
    <row r="26" spans="1:22" ht="18" customHeight="1" x14ac:dyDescent="0.2">
      <c r="A26" s="22">
        <f t="shared" si="5"/>
        <v>45431</v>
      </c>
      <c r="B26" s="37">
        <f t="shared" si="6"/>
        <v>45431</v>
      </c>
      <c r="C26" s="39">
        <f t="shared" si="2"/>
        <v>1</v>
      </c>
      <c r="D26" s="23"/>
      <c r="E26" s="45"/>
      <c r="F26" s="46"/>
      <c r="G26" s="20"/>
      <c r="H26" s="24"/>
      <c r="I26" s="34"/>
      <c r="J26" s="57">
        <f t="shared" si="13"/>
        <v>0</v>
      </c>
      <c r="K26" s="61">
        <f t="shared" si="14"/>
        <v>0</v>
      </c>
      <c r="L26" s="25"/>
      <c r="M26" s="66"/>
      <c r="N26" s="67"/>
      <c r="O26" s="67"/>
      <c r="P26" s="68"/>
      <c r="Q26" s="25"/>
      <c r="V26" s="13"/>
    </row>
    <row r="27" spans="1:22" ht="18" customHeight="1" x14ac:dyDescent="0.2">
      <c r="A27" s="22">
        <f t="shared" si="5"/>
        <v>45432</v>
      </c>
      <c r="B27" s="37">
        <f t="shared" si="6"/>
        <v>45432</v>
      </c>
      <c r="C27" s="39">
        <f t="shared" si="2"/>
        <v>0</v>
      </c>
      <c r="D27" s="23"/>
      <c r="E27" s="45">
        <v>9</v>
      </c>
      <c r="F27" s="46">
        <v>0</v>
      </c>
      <c r="G27" s="20">
        <v>18</v>
      </c>
      <c r="H27" s="24">
        <v>30</v>
      </c>
      <c r="I27" s="34">
        <v>60</v>
      </c>
      <c r="J27" s="57">
        <f t="shared" si="13"/>
        <v>510</v>
      </c>
      <c r="K27" s="61">
        <f t="shared" si="14"/>
        <v>8.5</v>
      </c>
      <c r="L27" s="25"/>
      <c r="M27" s="66"/>
      <c r="N27" s="67"/>
      <c r="O27" s="67"/>
      <c r="P27" s="68"/>
      <c r="Q27" s="25"/>
      <c r="V27" s="13"/>
    </row>
    <row r="28" spans="1:22" ht="18" customHeight="1" x14ac:dyDescent="0.2">
      <c r="A28" s="22">
        <f t="shared" si="5"/>
        <v>45433</v>
      </c>
      <c r="B28" s="37">
        <f t="shared" si="6"/>
        <v>45433</v>
      </c>
      <c r="C28" s="39">
        <f t="shared" si="2"/>
        <v>0</v>
      </c>
      <c r="D28" s="23"/>
      <c r="E28" s="45">
        <v>9</v>
      </c>
      <c r="F28" s="46">
        <v>0</v>
      </c>
      <c r="G28" s="20">
        <v>18</v>
      </c>
      <c r="H28" s="24">
        <v>30</v>
      </c>
      <c r="I28" s="34">
        <v>60</v>
      </c>
      <c r="J28" s="57">
        <f t="shared" si="13"/>
        <v>510</v>
      </c>
      <c r="K28" s="61">
        <f t="shared" si="14"/>
        <v>8.5</v>
      </c>
      <c r="L28" s="25"/>
      <c r="M28" s="66"/>
      <c r="N28" s="67"/>
      <c r="O28" s="67"/>
      <c r="P28" s="68"/>
      <c r="Q28" s="25"/>
      <c r="V28" s="13"/>
    </row>
    <row r="29" spans="1:22" ht="18" customHeight="1" x14ac:dyDescent="0.2">
      <c r="A29" s="22">
        <f t="shared" si="5"/>
        <v>45434</v>
      </c>
      <c r="B29" s="37">
        <f t="shared" si="6"/>
        <v>45434</v>
      </c>
      <c r="C29" s="39">
        <f t="shared" si="2"/>
        <v>0</v>
      </c>
      <c r="D29" s="23"/>
      <c r="E29" s="45">
        <v>9</v>
      </c>
      <c r="F29" s="46">
        <v>0</v>
      </c>
      <c r="G29" s="20">
        <v>18</v>
      </c>
      <c r="H29" s="24">
        <v>30</v>
      </c>
      <c r="I29" s="34">
        <v>60</v>
      </c>
      <c r="J29" s="57">
        <f t="shared" si="10"/>
        <v>510</v>
      </c>
      <c r="K29" s="61">
        <f t="shared" si="7"/>
        <v>8.5</v>
      </c>
      <c r="L29" s="25"/>
      <c r="M29" s="66"/>
      <c r="N29" s="67"/>
      <c r="O29" s="67"/>
      <c r="P29" s="68"/>
      <c r="Q29" s="25" t="s">
        <v>30</v>
      </c>
      <c r="V29" s="13"/>
    </row>
    <row r="30" spans="1:22" ht="18" customHeight="1" x14ac:dyDescent="0.2">
      <c r="A30" s="22">
        <f t="shared" si="5"/>
        <v>45435</v>
      </c>
      <c r="B30" s="37">
        <f t="shared" si="6"/>
        <v>45435</v>
      </c>
      <c r="C30" s="39">
        <f t="shared" si="2"/>
        <v>0</v>
      </c>
      <c r="D30" s="23"/>
      <c r="E30" s="45">
        <v>9</v>
      </c>
      <c r="F30" s="46">
        <v>0</v>
      </c>
      <c r="G30" s="20">
        <v>18</v>
      </c>
      <c r="H30" s="24">
        <v>30</v>
      </c>
      <c r="I30" s="34">
        <v>60</v>
      </c>
      <c r="J30" s="57">
        <f t="shared" si="10"/>
        <v>510</v>
      </c>
      <c r="K30" s="61">
        <f t="shared" si="7"/>
        <v>8.5</v>
      </c>
      <c r="L30" s="25"/>
      <c r="M30" s="66"/>
      <c r="N30" s="67"/>
      <c r="O30" s="67"/>
      <c r="P30" s="68"/>
      <c r="Q30" s="25"/>
      <c r="V30" s="13"/>
    </row>
    <row r="31" spans="1:22" ht="18" customHeight="1" x14ac:dyDescent="0.2">
      <c r="A31" s="22">
        <f t="shared" si="5"/>
        <v>45436</v>
      </c>
      <c r="B31" s="37">
        <f t="shared" si="6"/>
        <v>45436</v>
      </c>
      <c r="C31" s="39">
        <f t="shared" si="2"/>
        <v>0</v>
      </c>
      <c r="D31" s="23"/>
      <c r="E31" s="45">
        <v>9</v>
      </c>
      <c r="F31" s="46">
        <v>0</v>
      </c>
      <c r="G31" s="20">
        <v>18</v>
      </c>
      <c r="H31" s="24">
        <v>30</v>
      </c>
      <c r="I31" s="34">
        <v>60</v>
      </c>
      <c r="J31" s="57">
        <f t="shared" si="10"/>
        <v>510</v>
      </c>
      <c r="K31" s="61">
        <f t="shared" si="7"/>
        <v>8.5</v>
      </c>
      <c r="L31" s="25"/>
      <c r="M31" s="66"/>
      <c r="N31" s="67"/>
      <c r="O31" s="67"/>
      <c r="P31" s="68"/>
      <c r="Q31" s="25"/>
      <c r="V31" s="13"/>
    </row>
    <row r="32" spans="1:22" ht="18" customHeight="1" x14ac:dyDescent="0.2">
      <c r="A32" s="22">
        <f t="shared" si="5"/>
        <v>45437</v>
      </c>
      <c r="B32" s="37">
        <f t="shared" si="6"/>
        <v>45437</v>
      </c>
      <c r="C32" s="39">
        <f t="shared" si="2"/>
        <v>1</v>
      </c>
      <c r="D32" s="23"/>
      <c r="E32" s="45"/>
      <c r="F32" s="46"/>
      <c r="G32" s="20"/>
      <c r="H32" s="24"/>
      <c r="I32" s="34"/>
      <c r="J32" s="57">
        <f t="shared" si="10"/>
        <v>0</v>
      </c>
      <c r="K32" s="61">
        <f t="shared" si="7"/>
        <v>0</v>
      </c>
      <c r="L32" s="25"/>
      <c r="M32" s="66"/>
      <c r="N32" s="67"/>
      <c r="O32" s="67"/>
      <c r="P32" s="68"/>
      <c r="Q32" s="25"/>
      <c r="V32" s="13"/>
    </row>
    <row r="33" spans="1:22" ht="18" customHeight="1" x14ac:dyDescent="0.2">
      <c r="A33" s="22">
        <f t="shared" si="5"/>
        <v>45438</v>
      </c>
      <c r="B33" s="37">
        <f t="shared" si="6"/>
        <v>45438</v>
      </c>
      <c r="C33" s="39">
        <f t="shared" si="2"/>
        <v>1</v>
      </c>
      <c r="D33" s="23"/>
      <c r="E33" s="45"/>
      <c r="F33" s="46"/>
      <c r="G33" s="20"/>
      <c r="H33" s="24"/>
      <c r="I33" s="34"/>
      <c r="J33" s="57">
        <f t="shared" si="10"/>
        <v>0</v>
      </c>
      <c r="K33" s="61">
        <f t="shared" si="7"/>
        <v>0</v>
      </c>
      <c r="L33" s="25"/>
      <c r="M33" s="66"/>
      <c r="N33" s="67"/>
      <c r="O33" s="67"/>
      <c r="P33" s="68"/>
      <c r="Q33" s="25"/>
      <c r="V33" s="13"/>
    </row>
    <row r="34" spans="1:22" ht="18" customHeight="1" x14ac:dyDescent="0.2">
      <c r="A34" s="22">
        <f t="shared" si="5"/>
        <v>45439</v>
      </c>
      <c r="B34" s="37">
        <f t="shared" si="6"/>
        <v>45439</v>
      </c>
      <c r="C34" s="39">
        <f t="shared" si="2"/>
        <v>0</v>
      </c>
      <c r="D34" s="23"/>
      <c r="E34" s="45">
        <v>9</v>
      </c>
      <c r="F34" s="46">
        <v>0</v>
      </c>
      <c r="G34" s="20">
        <v>18</v>
      </c>
      <c r="H34" s="24">
        <v>30</v>
      </c>
      <c r="I34" s="34">
        <v>60</v>
      </c>
      <c r="J34" s="57">
        <f t="shared" si="10"/>
        <v>510</v>
      </c>
      <c r="K34" s="61">
        <f t="shared" si="7"/>
        <v>8.5</v>
      </c>
      <c r="L34" s="25"/>
      <c r="M34" s="66"/>
      <c r="N34" s="67"/>
      <c r="O34" s="67"/>
      <c r="P34" s="68"/>
      <c r="Q34" s="25"/>
    </row>
    <row r="35" spans="1:22" ht="18" customHeight="1" x14ac:dyDescent="0.2">
      <c r="A35" s="22">
        <f t="shared" si="5"/>
        <v>45440</v>
      </c>
      <c r="B35" s="37">
        <f t="shared" si="6"/>
        <v>45440</v>
      </c>
      <c r="C35" s="39">
        <f t="shared" si="2"/>
        <v>0</v>
      </c>
      <c r="D35" s="23"/>
      <c r="E35" s="45">
        <v>9</v>
      </c>
      <c r="F35" s="46">
        <v>0</v>
      </c>
      <c r="G35" s="20">
        <v>18</v>
      </c>
      <c r="H35" s="24">
        <v>30</v>
      </c>
      <c r="I35" s="34">
        <v>60</v>
      </c>
      <c r="J35" s="57">
        <f t="shared" si="10"/>
        <v>510</v>
      </c>
      <c r="K35" s="61">
        <f t="shared" si="7"/>
        <v>8.5</v>
      </c>
      <c r="L35" s="25"/>
      <c r="M35" s="66"/>
      <c r="N35" s="67"/>
      <c r="O35" s="67"/>
      <c r="P35" s="68"/>
      <c r="Q35" s="25"/>
    </row>
    <row r="36" spans="1:22" ht="18" customHeight="1" x14ac:dyDescent="0.2">
      <c r="A36" s="22">
        <f t="shared" si="5"/>
        <v>45441</v>
      </c>
      <c r="B36" s="37">
        <f t="shared" ref="B36" si="15">A36</f>
        <v>45441</v>
      </c>
      <c r="C36" s="39">
        <f t="shared" ref="C36" si="16">IF(WEEKDAY(A36,2)&gt;5,1,0)+IF(D36&lt;&gt;"",1,0)</f>
        <v>0</v>
      </c>
      <c r="D36" s="23"/>
      <c r="E36" s="45">
        <v>9</v>
      </c>
      <c r="F36" s="46">
        <v>0</v>
      </c>
      <c r="G36" s="20">
        <v>18</v>
      </c>
      <c r="H36" s="24">
        <v>30</v>
      </c>
      <c r="I36" s="34">
        <v>60</v>
      </c>
      <c r="J36" s="57">
        <f t="shared" ref="J36:J38" si="17">IF((H36-F36)&lt;0,(G36-E36-1)*60+(60+H36-F36),(G36-E36)*60+H36-F36)-I36</f>
        <v>510</v>
      </c>
      <c r="K36" s="61">
        <f t="shared" ref="K36:K38" si="18">J36/60</f>
        <v>8.5</v>
      </c>
      <c r="L36" s="25"/>
      <c r="M36" s="66"/>
      <c r="N36" s="67"/>
      <c r="O36" s="67"/>
      <c r="P36" s="68"/>
      <c r="Q36" s="25"/>
    </row>
    <row r="37" spans="1:22" ht="18" customHeight="1" x14ac:dyDescent="0.2">
      <c r="A37" s="22">
        <f>IF($A$35="","",IF(NOT(MONTH($A$35)=MONTH($A$35+2)),"",$A$35+2))</f>
        <v>45442</v>
      </c>
      <c r="B37" s="37">
        <f t="shared" si="6"/>
        <v>45442</v>
      </c>
      <c r="C37" s="39">
        <f t="shared" si="2"/>
        <v>0</v>
      </c>
      <c r="D37" s="23"/>
      <c r="E37" s="45">
        <v>9</v>
      </c>
      <c r="F37" s="46">
        <v>0</v>
      </c>
      <c r="G37" s="20">
        <v>18</v>
      </c>
      <c r="H37" s="24">
        <v>30</v>
      </c>
      <c r="I37" s="34">
        <v>60</v>
      </c>
      <c r="J37" s="57">
        <f t="shared" si="17"/>
        <v>510</v>
      </c>
      <c r="K37" s="61">
        <f t="shared" si="18"/>
        <v>8.5</v>
      </c>
      <c r="L37" s="25"/>
      <c r="M37" s="66"/>
      <c r="N37" s="67"/>
      <c r="O37" s="67"/>
      <c r="P37" s="68"/>
      <c r="Q37" s="25"/>
    </row>
    <row r="38" spans="1:22" ht="18" customHeight="1" thickBot="1" x14ac:dyDescent="0.25">
      <c r="A38" s="26">
        <f>IF($A$35="","",IF(NOT(MONTH($A$35)=MONTH($A$35+3)),"",$A$35+3))</f>
        <v>45443</v>
      </c>
      <c r="B38" s="38">
        <f>A38</f>
        <v>45443</v>
      </c>
      <c r="C38" s="40">
        <f t="shared" si="2"/>
        <v>0</v>
      </c>
      <c r="D38" s="27"/>
      <c r="E38" s="28">
        <v>9</v>
      </c>
      <c r="F38" s="32">
        <v>0</v>
      </c>
      <c r="G38" s="28">
        <v>18</v>
      </c>
      <c r="H38" s="24">
        <v>30</v>
      </c>
      <c r="I38" s="34">
        <v>60</v>
      </c>
      <c r="J38" s="57">
        <f t="shared" si="17"/>
        <v>510</v>
      </c>
      <c r="K38" s="61">
        <f t="shared" si="18"/>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P38">
    <cfRule type="expression" dxfId="152" priority="4" stopIfTrue="1">
      <formula>$C8&gt;0</formula>
    </cfRule>
  </conditionalFormatting>
  <conditionalFormatting sqref="Q8:Q38">
    <cfRule type="expression" dxfId="151"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26" activePane="bottomLeft" state="frozen"/>
      <selection activeCell="D2" sqref="D2"/>
      <selection pane="bottomLeft" activeCell="E27" sqref="E27:I2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45413</v>
      </c>
      <c r="B8" s="36">
        <f>A8</f>
        <v>45413</v>
      </c>
      <c r="C8" s="43">
        <f>IF(WEEKDAY(A8,2)&gt;5,1,0)+IF(D8&lt;&gt;"",1,0)</f>
        <v>0</v>
      </c>
      <c r="D8" s="23"/>
      <c r="E8" s="45"/>
      <c r="F8" s="46"/>
      <c r="G8" s="45"/>
      <c r="H8" s="47"/>
      <c r="I8" s="33"/>
      <c r="J8" s="56">
        <f t="shared" ref="J8:J38" si="0">IF((H8-F8)&lt;0,(G8-E8-1)*60+(60+H8-F8),(G8-E8)*60+H8-F8)-I8</f>
        <v>0</v>
      </c>
      <c r="K8" s="60">
        <f>J8/60</f>
        <v>0</v>
      </c>
      <c r="L8" s="21" t="s">
        <v>13</v>
      </c>
      <c r="M8" s="89"/>
      <c r="N8" s="90"/>
      <c r="O8" s="90"/>
      <c r="P8" s="91"/>
      <c r="Q8" s="21"/>
      <c r="S8" s="14"/>
      <c r="T8" s="6"/>
      <c r="U8" s="6"/>
      <c r="V8" s="6"/>
    </row>
    <row r="9" spans="1:22" ht="18" customHeight="1" x14ac:dyDescent="0.2">
      <c r="A9" s="22">
        <f>IF(A8="","",(A8+1))</f>
        <v>45414</v>
      </c>
      <c r="B9" s="37">
        <f>A9</f>
        <v>45414</v>
      </c>
      <c r="C9" s="39">
        <f t="shared" ref="C9:C38" si="1">IF(WEEKDAY(A9,2)&gt;5,1,0)+IF(D9&lt;&gt;"",1,0)</f>
        <v>0</v>
      </c>
      <c r="D9" s="23"/>
      <c r="E9" s="20"/>
      <c r="F9" s="31"/>
      <c r="G9" s="20"/>
      <c r="H9" s="24"/>
      <c r="I9" s="34"/>
      <c r="J9" s="57">
        <f t="shared" si="0"/>
        <v>0</v>
      </c>
      <c r="K9" s="61">
        <f t="shared" ref="K9:K38" si="2">J9/60</f>
        <v>0</v>
      </c>
      <c r="L9" s="25" t="s">
        <v>13</v>
      </c>
      <c r="M9" s="66"/>
      <c r="N9" s="67"/>
      <c r="O9" s="67"/>
      <c r="P9" s="68"/>
      <c r="Q9" s="25"/>
      <c r="S9" s="14"/>
      <c r="T9" s="11"/>
      <c r="U9" s="12"/>
      <c r="V9" s="13"/>
    </row>
    <row r="10" spans="1:22" ht="18" customHeight="1" x14ac:dyDescent="0.2">
      <c r="A10" s="22">
        <f t="shared" ref="A10:A35" si="3">IF(A9="","",(A9+1))</f>
        <v>45415</v>
      </c>
      <c r="B10" s="37">
        <f t="shared" ref="B10:B37" si="4">A10</f>
        <v>45415</v>
      </c>
      <c r="C10" s="39">
        <f t="shared" si="1"/>
        <v>1</v>
      </c>
      <c r="D10" s="23" t="s">
        <v>32</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45416</v>
      </c>
      <c r="B11" s="37">
        <f t="shared" si="4"/>
        <v>45416</v>
      </c>
      <c r="C11" s="39">
        <f t="shared" si="1"/>
        <v>2</v>
      </c>
      <c r="D11" s="23" t="s">
        <v>29</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45417</v>
      </c>
      <c r="B12" s="37">
        <f t="shared" si="4"/>
        <v>45417</v>
      </c>
      <c r="C12" s="39">
        <f t="shared" si="1"/>
        <v>2</v>
      </c>
      <c r="D12" s="23" t="s">
        <v>28</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45418</v>
      </c>
      <c r="B13" s="37">
        <f t="shared" si="4"/>
        <v>45418</v>
      </c>
      <c r="C13" s="39">
        <f t="shared" si="1"/>
        <v>1</v>
      </c>
      <c r="D13" s="23" t="s">
        <v>30</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45419</v>
      </c>
      <c r="B14" s="37">
        <f t="shared" si="4"/>
        <v>45419</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45420</v>
      </c>
      <c r="B15" s="37">
        <f t="shared" si="4"/>
        <v>45420</v>
      </c>
      <c r="C15" s="39">
        <f t="shared" si="1"/>
        <v>0</v>
      </c>
      <c r="D15" s="23"/>
      <c r="E15" s="20">
        <v>9</v>
      </c>
      <c r="F15" s="31">
        <v>0</v>
      </c>
      <c r="G15" s="20">
        <v>18</v>
      </c>
      <c r="H15" s="24">
        <v>30</v>
      </c>
      <c r="I15" s="34">
        <v>60</v>
      </c>
      <c r="J15" s="57">
        <f t="shared" si="0"/>
        <v>510</v>
      </c>
      <c r="K15" s="61">
        <f t="shared" si="2"/>
        <v>8.5</v>
      </c>
      <c r="L15" s="25"/>
      <c r="M15" s="66"/>
      <c r="N15" s="67"/>
      <c r="O15" s="67"/>
      <c r="P15" s="68"/>
      <c r="Q15" s="25" t="s">
        <v>13</v>
      </c>
      <c r="S15" s="14"/>
      <c r="T15" s="11"/>
      <c r="U15" s="12"/>
      <c r="V15" s="13"/>
    </row>
    <row r="16" spans="1:22" ht="18" customHeight="1" x14ac:dyDescent="0.2">
      <c r="A16" s="22">
        <f t="shared" si="3"/>
        <v>45421</v>
      </c>
      <c r="B16" s="37">
        <f t="shared" si="4"/>
        <v>45421</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45422</v>
      </c>
      <c r="B17" s="37">
        <f t="shared" si="4"/>
        <v>45422</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45423</v>
      </c>
      <c r="B18" s="37">
        <f t="shared" si="4"/>
        <v>45423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45424</v>
      </c>
      <c r="B19" s="37">
        <f t="shared" si="4"/>
        <v>45424</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45425</v>
      </c>
      <c r="B20" s="37">
        <f t="shared" si="4"/>
        <v>45425</v>
      </c>
      <c r="C20" s="39">
        <f t="shared" si="1"/>
        <v>0</v>
      </c>
      <c r="D20" s="23"/>
      <c r="E20" s="20"/>
      <c r="F20" s="31"/>
      <c r="G20" s="20"/>
      <c r="H20" s="24"/>
      <c r="I20" s="34"/>
      <c r="J20" s="57">
        <f t="shared" si="0"/>
        <v>0</v>
      </c>
      <c r="K20" s="61">
        <f t="shared" si="2"/>
        <v>0</v>
      </c>
      <c r="L20" s="25" t="s">
        <v>13</v>
      </c>
      <c r="M20" s="66"/>
      <c r="N20" s="67"/>
      <c r="O20" s="67"/>
      <c r="P20" s="68"/>
      <c r="Q20" s="25"/>
      <c r="V20" s="13"/>
    </row>
    <row r="21" spans="1:22" ht="18" customHeight="1" x14ac:dyDescent="0.2">
      <c r="A21" s="22">
        <f t="shared" si="3"/>
        <v>45426</v>
      </c>
      <c r="B21" s="37">
        <f t="shared" si="4"/>
        <v>45426</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45427</v>
      </c>
      <c r="B22" s="37">
        <f t="shared" si="4"/>
        <v>45427</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45428</v>
      </c>
      <c r="B23" s="37">
        <f t="shared" si="4"/>
        <v>45428</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45429</v>
      </c>
      <c r="B24" s="37">
        <f t="shared" si="4"/>
        <v>45429</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45430</v>
      </c>
      <c r="B25" s="37">
        <f t="shared" si="4"/>
        <v>45430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45431</v>
      </c>
      <c r="B26" s="37">
        <f t="shared" si="4"/>
        <v>45431</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45432</v>
      </c>
      <c r="B27" s="37">
        <f t="shared" si="4"/>
        <v>45432</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45433</v>
      </c>
      <c r="B28" s="37">
        <f t="shared" si="4"/>
        <v>45433</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45434</v>
      </c>
      <c r="B29" s="37">
        <f t="shared" si="4"/>
        <v>45434</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45435</v>
      </c>
      <c r="B30" s="37">
        <f t="shared" si="4"/>
        <v>45435</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45436</v>
      </c>
      <c r="B31" s="37">
        <f t="shared" si="4"/>
        <v>45436</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45437</v>
      </c>
      <c r="B32" s="37">
        <f t="shared" si="4"/>
        <v>45437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45438</v>
      </c>
      <c r="B33" s="37">
        <f t="shared" si="4"/>
        <v>45438</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45439</v>
      </c>
      <c r="B34" s="37">
        <f t="shared" si="4"/>
        <v>45439</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45440</v>
      </c>
      <c r="B35" s="37">
        <f t="shared" si="4"/>
        <v>45440</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45441</v>
      </c>
      <c r="B36" s="37">
        <f t="shared" si="4"/>
        <v>45441</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45442</v>
      </c>
      <c r="B37" s="37">
        <f t="shared" si="4"/>
        <v>45442</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45443</v>
      </c>
      <c r="B38" s="38">
        <f>A38</f>
        <v>45443</v>
      </c>
      <c r="C38" s="40">
        <f t="shared" si="1"/>
        <v>0</v>
      </c>
      <c r="D38" s="27"/>
      <c r="E38" s="28">
        <v>9</v>
      </c>
      <c r="F38" s="32">
        <v>0</v>
      </c>
      <c r="G38" s="28">
        <v>18</v>
      </c>
      <c r="H38" s="29">
        <v>30</v>
      </c>
      <c r="I38" s="35">
        <v>60</v>
      </c>
      <c r="J38" s="58">
        <f t="shared" si="0"/>
        <v>510</v>
      </c>
      <c r="K38" s="62">
        <f t="shared" si="2"/>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10:D12 D14:D38">
    <cfRule type="expression" dxfId="150" priority="7" stopIfTrue="1">
      <formula>$C8&gt;0</formula>
    </cfRule>
  </conditionalFormatting>
  <conditionalFormatting sqref="I25:I29">
    <cfRule type="expression" dxfId="149" priority="6" stopIfTrue="1">
      <formula>$C25&gt;0</formula>
    </cfRule>
  </conditionalFormatting>
  <conditionalFormatting sqref="I32:I36">
    <cfRule type="expression" dxfId="148" priority="5" stopIfTrue="1">
      <formula>$C32&gt;0</formula>
    </cfRule>
  </conditionalFormatting>
  <conditionalFormatting sqref="D8">
    <cfRule type="expression" dxfId="147" priority="4" stopIfTrue="1">
      <formula>$C8&gt;0</formula>
    </cfRule>
  </conditionalFormatting>
  <conditionalFormatting sqref="D9">
    <cfRule type="expression" dxfId="146" priority="3" stopIfTrue="1">
      <formula>$C9&gt;0</formula>
    </cfRule>
  </conditionalFormatting>
  <conditionalFormatting sqref="D13">
    <cfRule type="expression" dxfId="145" priority="2" stopIfTrue="1">
      <formula>$C13&gt;0</formula>
    </cfRule>
  </conditionalFormatting>
  <conditionalFormatting sqref="Q8:Q38">
    <cfRule type="expression" dxfId="144"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E4" sqref="E4:J4"/>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6</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25">
      <c r="A5" s="78" t="s">
        <v>2</v>
      </c>
      <c r="B5" s="79"/>
      <c r="C5" s="79"/>
      <c r="D5" s="80"/>
      <c r="E5" s="75"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45444</v>
      </c>
      <c r="B8" s="36">
        <f>A8</f>
        <v>45444</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45445</v>
      </c>
      <c r="B9" s="37">
        <f>A9</f>
        <v>45445</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45446</v>
      </c>
      <c r="B10" s="37">
        <f t="shared" ref="B10:B37" si="4">A10</f>
        <v>45446</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45447</v>
      </c>
      <c r="B11" s="37">
        <f t="shared" si="4"/>
        <v>45447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45448</v>
      </c>
      <c r="B12" s="37">
        <f t="shared" si="4"/>
        <v>45448</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45449</v>
      </c>
      <c r="B13" s="37">
        <f t="shared" si="4"/>
        <v>45449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45450</v>
      </c>
      <c r="B14" s="37">
        <f t="shared" si="4"/>
        <v>45450</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45451</v>
      </c>
      <c r="B15" s="37">
        <f t="shared" si="4"/>
        <v>45451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45452</v>
      </c>
      <c r="B16" s="37">
        <f t="shared" si="4"/>
        <v>45452</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45453</v>
      </c>
      <c r="B17" s="37">
        <f t="shared" si="4"/>
        <v>45453</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45454</v>
      </c>
      <c r="B18" s="37">
        <f t="shared" si="4"/>
        <v>45454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45455</v>
      </c>
      <c r="B19" s="37">
        <f t="shared" si="4"/>
        <v>45455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45456</v>
      </c>
      <c r="B20" s="37">
        <f t="shared" si="4"/>
        <v>45456</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45457</v>
      </c>
      <c r="B21" s="37">
        <f t="shared" si="4"/>
        <v>45457</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45458</v>
      </c>
      <c r="B22" s="37">
        <f t="shared" si="4"/>
        <v>45458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45459</v>
      </c>
      <c r="B23" s="37">
        <f t="shared" si="4"/>
        <v>45459</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45460</v>
      </c>
      <c r="B24" s="37">
        <f t="shared" si="4"/>
        <v>45460</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45461</v>
      </c>
      <c r="B25" s="37">
        <f t="shared" si="4"/>
        <v>45461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45462</v>
      </c>
      <c r="B26" s="37">
        <f t="shared" si="4"/>
        <v>45462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45463</v>
      </c>
      <c r="B27" s="37">
        <f t="shared" si="4"/>
        <v>45463</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45464</v>
      </c>
      <c r="B28" s="37">
        <f t="shared" si="4"/>
        <v>45464</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45465</v>
      </c>
      <c r="B29" s="37">
        <f t="shared" si="4"/>
        <v>45465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45466</v>
      </c>
      <c r="B30" s="37">
        <f t="shared" si="4"/>
        <v>45466</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45467</v>
      </c>
      <c r="B31" s="37">
        <f t="shared" si="4"/>
        <v>45467</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45468</v>
      </c>
      <c r="B32" s="37">
        <f t="shared" si="4"/>
        <v>45468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45469</v>
      </c>
      <c r="B33" s="37">
        <f t="shared" si="4"/>
        <v>45469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45470</v>
      </c>
      <c r="B34" s="37">
        <f t="shared" si="4"/>
        <v>45470</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45471</v>
      </c>
      <c r="B35" s="37">
        <f t="shared" si="4"/>
        <v>45471</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45472</v>
      </c>
      <c r="B36" s="37">
        <f t="shared" si="4"/>
        <v>45472</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45473</v>
      </c>
      <c r="B37" s="37">
        <f t="shared" si="4"/>
        <v>45473</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A8:I9 I30 I37:I38 A13:I13 A10:D12 A14:D14 A15:I16 A22:I23 A17:D21 A29:H30 A24:D28 A36:H38 A31:D35">
    <cfRule type="expression" dxfId="143" priority="44" stopIfTrue="1">
      <formula>$C8&gt;0</formula>
    </cfRule>
  </conditionalFormatting>
  <conditionalFormatting sqref="I29">
    <cfRule type="expression" dxfId="142" priority="43" stopIfTrue="1">
      <formula>$C29&gt;0</formula>
    </cfRule>
  </conditionalFormatting>
  <conditionalFormatting sqref="I36">
    <cfRule type="expression" dxfId="141" priority="42" stopIfTrue="1">
      <formula>$C36&gt;0</formula>
    </cfRule>
  </conditionalFormatting>
  <conditionalFormatting sqref="Q8:Q38">
    <cfRule type="expression" dxfId="140" priority="41" stopIfTrue="1">
      <formula>$C8&gt;0</formula>
    </cfRule>
  </conditionalFormatting>
  <conditionalFormatting sqref="E10:H10">
    <cfRule type="expression" dxfId="139" priority="40" stopIfTrue="1">
      <formula>$C10&gt;0</formula>
    </cfRule>
  </conditionalFormatting>
  <conditionalFormatting sqref="I10:I12">
    <cfRule type="expression" dxfId="138" priority="39" stopIfTrue="1">
      <formula>$C10&gt;0</formula>
    </cfRule>
  </conditionalFormatting>
  <conditionalFormatting sqref="E11:H11">
    <cfRule type="expression" dxfId="137" priority="38" stopIfTrue="1">
      <formula>$C11&gt;0</formula>
    </cfRule>
  </conditionalFormatting>
  <conditionalFormatting sqref="E12:H12">
    <cfRule type="expression" dxfId="136" priority="37" stopIfTrue="1">
      <formula>$C12&gt;0</formula>
    </cfRule>
  </conditionalFormatting>
  <conditionalFormatting sqref="I14">
    <cfRule type="expression" dxfId="135" priority="36" stopIfTrue="1">
      <formula>$C14&gt;0</formula>
    </cfRule>
  </conditionalFormatting>
  <conditionalFormatting sqref="E14:H14">
    <cfRule type="expression" dxfId="134" priority="35" stopIfTrue="1">
      <formula>$C14&gt;0</formula>
    </cfRule>
  </conditionalFormatting>
  <conditionalFormatting sqref="I17">
    <cfRule type="expression" dxfId="133" priority="34" stopIfTrue="1">
      <formula>$C17&gt;0</formula>
    </cfRule>
  </conditionalFormatting>
  <conditionalFormatting sqref="E17:H17">
    <cfRule type="expression" dxfId="132" priority="33" stopIfTrue="1">
      <formula>$C17&gt;0</formula>
    </cfRule>
  </conditionalFormatting>
  <conditionalFormatting sqref="I18">
    <cfRule type="expression" dxfId="131" priority="32" stopIfTrue="1">
      <formula>$C18&gt;0</formula>
    </cfRule>
  </conditionalFormatting>
  <conditionalFormatting sqref="E18:H18">
    <cfRule type="expression" dxfId="130" priority="31" stopIfTrue="1">
      <formula>$C18&gt;0</formula>
    </cfRule>
  </conditionalFormatting>
  <conditionalFormatting sqref="I19">
    <cfRule type="expression" dxfId="129" priority="30" stopIfTrue="1">
      <formula>$C19&gt;0</formula>
    </cfRule>
  </conditionalFormatting>
  <conditionalFormatting sqref="E19:H19">
    <cfRule type="expression" dxfId="128" priority="29" stopIfTrue="1">
      <formula>$C19&gt;0</formula>
    </cfRule>
  </conditionalFormatting>
  <conditionalFormatting sqref="I20">
    <cfRule type="expression" dxfId="127" priority="28" stopIfTrue="1">
      <formula>$C20&gt;0</formula>
    </cfRule>
  </conditionalFormatting>
  <conditionalFormatting sqref="E20:H20">
    <cfRule type="expression" dxfId="126" priority="27" stopIfTrue="1">
      <formula>$C20&gt;0</formula>
    </cfRule>
  </conditionalFormatting>
  <conditionalFormatting sqref="I21">
    <cfRule type="expression" dxfId="125" priority="26" stopIfTrue="1">
      <formula>$C21&gt;0</formula>
    </cfRule>
  </conditionalFormatting>
  <conditionalFormatting sqref="E21:H21">
    <cfRule type="expression" dxfId="124" priority="25" stopIfTrue="1">
      <formula>$C21&gt;0</formula>
    </cfRule>
  </conditionalFormatting>
  <conditionalFormatting sqref="I24">
    <cfRule type="expression" dxfId="123" priority="24" stopIfTrue="1">
      <formula>$C24&gt;0</formula>
    </cfRule>
  </conditionalFormatting>
  <conditionalFormatting sqref="E24:H24">
    <cfRule type="expression" dxfId="122" priority="23" stopIfTrue="1">
      <formula>$C24&gt;0</formula>
    </cfRule>
  </conditionalFormatting>
  <conditionalFormatting sqref="I25">
    <cfRule type="expression" dxfId="121" priority="22" stopIfTrue="1">
      <formula>$C25&gt;0</formula>
    </cfRule>
  </conditionalFormatting>
  <conditionalFormatting sqref="E25:H25">
    <cfRule type="expression" dxfId="120" priority="21" stopIfTrue="1">
      <formula>$C25&gt;0</formula>
    </cfRule>
  </conditionalFormatting>
  <conditionalFormatting sqref="I26">
    <cfRule type="expression" dxfId="119" priority="20" stopIfTrue="1">
      <formula>$C26&gt;0</formula>
    </cfRule>
  </conditionalFormatting>
  <conditionalFormatting sqref="E26:H26">
    <cfRule type="expression" dxfId="118" priority="19" stopIfTrue="1">
      <formula>$C26&gt;0</formula>
    </cfRule>
  </conditionalFormatting>
  <conditionalFormatting sqref="I27">
    <cfRule type="expression" dxfId="117" priority="16" stopIfTrue="1">
      <formula>$C27&gt;0</formula>
    </cfRule>
  </conditionalFormatting>
  <conditionalFormatting sqref="E27:H27">
    <cfRule type="expression" dxfId="116" priority="15" stopIfTrue="1">
      <formula>$C27&gt;0</formula>
    </cfRule>
  </conditionalFormatting>
  <conditionalFormatting sqref="I28">
    <cfRule type="expression" dxfId="115" priority="14" stopIfTrue="1">
      <formula>$C28&gt;0</formula>
    </cfRule>
  </conditionalFormatting>
  <conditionalFormatting sqref="E28:H28">
    <cfRule type="expression" dxfId="114" priority="13" stopIfTrue="1">
      <formula>$C28&gt;0</formula>
    </cfRule>
  </conditionalFormatting>
  <conditionalFormatting sqref="I31">
    <cfRule type="expression" dxfId="113" priority="12" stopIfTrue="1">
      <formula>$C31&gt;0</formula>
    </cfRule>
  </conditionalFormatting>
  <conditionalFormatting sqref="E31:H31">
    <cfRule type="expression" dxfId="112" priority="11" stopIfTrue="1">
      <formula>$C31&gt;0</formula>
    </cfRule>
  </conditionalFormatting>
  <conditionalFormatting sqref="I32">
    <cfRule type="expression" dxfId="111" priority="10" stopIfTrue="1">
      <formula>$C32&gt;0</formula>
    </cfRule>
  </conditionalFormatting>
  <conditionalFormatting sqref="E32:H32">
    <cfRule type="expression" dxfId="110" priority="9" stopIfTrue="1">
      <formula>$C32&gt;0</formula>
    </cfRule>
  </conditionalFormatting>
  <conditionalFormatting sqref="I33">
    <cfRule type="expression" dxfId="109" priority="8" stopIfTrue="1">
      <formula>$C33&gt;0</formula>
    </cfRule>
  </conditionalFormatting>
  <conditionalFormatting sqref="E33:H33">
    <cfRule type="expression" dxfId="108" priority="7" stopIfTrue="1">
      <formula>$C33&gt;0</formula>
    </cfRule>
  </conditionalFormatting>
  <conditionalFormatting sqref="I34">
    <cfRule type="expression" dxfId="107" priority="4" stopIfTrue="1">
      <formula>$C34&gt;0</formula>
    </cfRule>
  </conditionalFormatting>
  <conditionalFormatting sqref="E34:H34">
    <cfRule type="expression" dxfId="106" priority="3" stopIfTrue="1">
      <formula>$C34&gt;0</formula>
    </cfRule>
  </conditionalFormatting>
  <conditionalFormatting sqref="I35">
    <cfRule type="expression" dxfId="105" priority="2" stopIfTrue="1">
      <formula>$C35&gt;0</formula>
    </cfRule>
  </conditionalFormatting>
  <conditionalFormatting sqref="E35:H35">
    <cfRule type="expression" dxfId="104"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tabSelected="1"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7</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45474</v>
      </c>
      <c r="B8" s="36">
        <f>A8</f>
        <v>45474</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t="s">
        <v>30</v>
      </c>
      <c r="S8" s="14"/>
      <c r="T8" s="6"/>
      <c r="U8" s="6"/>
      <c r="V8" s="6"/>
    </row>
    <row r="9" spans="1:22" ht="18" customHeight="1" x14ac:dyDescent="0.2">
      <c r="A9" s="22">
        <f>IF(A8="","",(A8+1))</f>
        <v>45475</v>
      </c>
      <c r="B9" s="37">
        <f>A9</f>
        <v>45475</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45476</v>
      </c>
      <c r="B10" s="37">
        <f t="shared" ref="B10:B37" si="4">A10</f>
        <v>45476</v>
      </c>
      <c r="C10" s="39">
        <f t="shared" si="1"/>
        <v>0</v>
      </c>
      <c r="D10" s="23"/>
      <c r="E10" s="20"/>
      <c r="F10" s="31"/>
      <c r="G10" s="20"/>
      <c r="H10" s="24"/>
      <c r="I10" s="34"/>
      <c r="J10" s="57">
        <f t="shared" si="0"/>
        <v>0</v>
      </c>
      <c r="K10" s="61">
        <f t="shared" si="2"/>
        <v>0</v>
      </c>
      <c r="L10" s="25"/>
      <c r="M10" s="66" t="s">
        <v>40</v>
      </c>
      <c r="N10" s="67"/>
      <c r="O10" s="67"/>
      <c r="P10" s="68"/>
      <c r="Q10" s="25"/>
      <c r="S10" s="14"/>
      <c r="T10" s="11"/>
      <c r="U10" s="12"/>
      <c r="V10" s="13"/>
    </row>
    <row r="11" spans="1:22" ht="18" customHeight="1" x14ac:dyDescent="0.2">
      <c r="A11" s="22">
        <f t="shared" si="3"/>
        <v>45477</v>
      </c>
      <c r="B11" s="37">
        <f t="shared" si="4"/>
        <v>45477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45478</v>
      </c>
      <c r="B12" s="37">
        <f t="shared" si="4"/>
        <v>45478</v>
      </c>
      <c r="C12" s="39">
        <f t="shared" si="1"/>
        <v>0</v>
      </c>
      <c r="D12" s="23"/>
      <c r="E12" s="20"/>
      <c r="F12" s="31"/>
      <c r="G12" s="20"/>
      <c r="H12" s="24"/>
      <c r="I12" s="34"/>
      <c r="J12" s="57">
        <f t="shared" si="0"/>
        <v>0</v>
      </c>
      <c r="K12" s="61">
        <f t="shared" si="2"/>
        <v>0</v>
      </c>
      <c r="L12" s="25"/>
      <c r="M12" s="66" t="s">
        <v>40</v>
      </c>
      <c r="N12" s="67"/>
      <c r="O12" s="67"/>
      <c r="P12" s="68"/>
      <c r="Q12" s="25"/>
      <c r="S12" s="14"/>
      <c r="T12" s="11"/>
      <c r="U12" s="12"/>
      <c r="V12" s="13"/>
    </row>
    <row r="13" spans="1:22" ht="18" customHeight="1" x14ac:dyDescent="0.2">
      <c r="A13" s="22">
        <f t="shared" si="3"/>
        <v>45479</v>
      </c>
      <c r="B13" s="37">
        <f t="shared" si="4"/>
        <v>45479</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45480</v>
      </c>
      <c r="B14" s="37">
        <f t="shared" si="4"/>
        <v>45480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45481</v>
      </c>
      <c r="B15" s="37">
        <f t="shared" si="4"/>
        <v>45481</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45482</v>
      </c>
      <c r="B16" s="37">
        <f t="shared" si="4"/>
        <v>45482</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45483</v>
      </c>
      <c r="B17" s="37">
        <f t="shared" si="4"/>
        <v>45483</v>
      </c>
      <c r="C17" s="39">
        <f t="shared" si="1"/>
        <v>0</v>
      </c>
      <c r="D17" s="23"/>
      <c r="E17" s="20">
        <v>9</v>
      </c>
      <c r="F17" s="31">
        <v>0</v>
      </c>
      <c r="G17" s="20">
        <v>18</v>
      </c>
      <c r="H17" s="24">
        <v>30</v>
      </c>
      <c r="I17" s="34">
        <v>60</v>
      </c>
      <c r="J17" s="57">
        <f t="shared" si="0"/>
        <v>510</v>
      </c>
      <c r="K17" s="61">
        <f t="shared" si="2"/>
        <v>8.5</v>
      </c>
      <c r="L17" s="25"/>
      <c r="M17" s="66"/>
      <c r="N17" s="67"/>
      <c r="O17" s="67"/>
      <c r="P17" s="68"/>
      <c r="Q17" s="21" t="s">
        <v>30</v>
      </c>
      <c r="T17" s="11"/>
      <c r="U17" s="12"/>
      <c r="V17" s="13"/>
    </row>
    <row r="18" spans="1:22" ht="18" customHeight="1" x14ac:dyDescent="0.2">
      <c r="A18" s="22">
        <f t="shared" si="3"/>
        <v>45484</v>
      </c>
      <c r="B18" s="37">
        <f t="shared" si="4"/>
        <v>45484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45485</v>
      </c>
      <c r="B19" s="37">
        <f t="shared" si="4"/>
        <v>45485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45486</v>
      </c>
      <c r="B20" s="37">
        <f t="shared" si="4"/>
        <v>45486</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45487</v>
      </c>
      <c r="B21" s="37">
        <f t="shared" si="4"/>
        <v>45487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45488</v>
      </c>
      <c r="B22" s="37">
        <f t="shared" si="4"/>
        <v>45488</v>
      </c>
      <c r="C22" s="39">
        <f t="shared" si="1"/>
        <v>1</v>
      </c>
      <c r="D22" s="23" t="s">
        <v>30</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45489</v>
      </c>
      <c r="B23" s="37">
        <f t="shared" si="4"/>
        <v>45489</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45490</v>
      </c>
      <c r="B24" s="37">
        <f t="shared" si="4"/>
        <v>45490</v>
      </c>
      <c r="C24" s="39">
        <f t="shared" si="1"/>
        <v>0</v>
      </c>
      <c r="D24" s="23"/>
      <c r="E24" s="20">
        <v>9</v>
      </c>
      <c r="F24" s="31">
        <v>0</v>
      </c>
      <c r="G24" s="20">
        <v>18</v>
      </c>
      <c r="H24" s="24">
        <v>30</v>
      </c>
      <c r="I24" s="34">
        <v>60</v>
      </c>
      <c r="J24" s="57">
        <f t="shared" si="0"/>
        <v>510</v>
      </c>
      <c r="K24" s="61">
        <f t="shared" si="2"/>
        <v>8.5</v>
      </c>
      <c r="L24" s="25"/>
      <c r="M24" s="66"/>
      <c r="N24" s="67"/>
      <c r="O24" s="67"/>
      <c r="P24" s="68"/>
      <c r="Q24" s="21" t="s">
        <v>30</v>
      </c>
      <c r="V24" s="13"/>
    </row>
    <row r="25" spans="1:22" ht="18" customHeight="1" x14ac:dyDescent="0.2">
      <c r="A25" s="22">
        <f t="shared" si="3"/>
        <v>45491</v>
      </c>
      <c r="B25" s="37">
        <f t="shared" si="4"/>
        <v>45491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45492</v>
      </c>
      <c r="B26" s="37">
        <f t="shared" si="4"/>
        <v>45492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45493</v>
      </c>
      <c r="B27" s="37">
        <f t="shared" si="4"/>
        <v>45493</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45494</v>
      </c>
      <c r="B28" s="37">
        <f t="shared" si="4"/>
        <v>45494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45495</v>
      </c>
      <c r="B29" s="37">
        <f t="shared" si="4"/>
        <v>45495</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45496</v>
      </c>
      <c r="B30" s="37">
        <f t="shared" si="4"/>
        <v>45496</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45497</v>
      </c>
      <c r="B31" s="37">
        <f t="shared" si="4"/>
        <v>45497</v>
      </c>
      <c r="C31" s="39">
        <f t="shared" si="1"/>
        <v>0</v>
      </c>
      <c r="D31" s="23"/>
      <c r="E31" s="20">
        <v>9</v>
      </c>
      <c r="F31" s="31">
        <v>0</v>
      </c>
      <c r="G31" s="20">
        <v>18</v>
      </c>
      <c r="H31" s="24">
        <v>30</v>
      </c>
      <c r="I31" s="34">
        <v>60</v>
      </c>
      <c r="J31" s="57">
        <f t="shared" si="0"/>
        <v>510</v>
      </c>
      <c r="K31" s="61">
        <f t="shared" si="2"/>
        <v>8.5</v>
      </c>
      <c r="L31" s="25"/>
      <c r="M31" s="66"/>
      <c r="N31" s="67"/>
      <c r="O31" s="67"/>
      <c r="P31" s="68"/>
      <c r="Q31" s="21" t="s">
        <v>30</v>
      </c>
      <c r="V31" s="13"/>
    </row>
    <row r="32" spans="1:22" ht="18" customHeight="1" x14ac:dyDescent="0.2">
      <c r="A32" s="22">
        <f t="shared" si="3"/>
        <v>45498</v>
      </c>
      <c r="B32" s="37">
        <f t="shared" si="4"/>
        <v>45498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45499</v>
      </c>
      <c r="B33" s="37">
        <f t="shared" si="4"/>
        <v>45499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45500</v>
      </c>
      <c r="B34" s="37">
        <f t="shared" si="4"/>
        <v>45500</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45501</v>
      </c>
      <c r="B35" s="37">
        <f t="shared" si="4"/>
        <v>45501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45502</v>
      </c>
      <c r="B36" s="37">
        <f t="shared" si="4"/>
        <v>45502</v>
      </c>
      <c r="C36" s="39">
        <f t="shared" si="1"/>
        <v>0</v>
      </c>
      <c r="D36" s="23"/>
      <c r="E36" s="20"/>
      <c r="F36" s="31"/>
      <c r="G36" s="20"/>
      <c r="H36" s="24"/>
      <c r="I36" s="34"/>
      <c r="J36" s="57">
        <f t="shared" si="0"/>
        <v>0</v>
      </c>
      <c r="K36" s="61">
        <f t="shared" si="2"/>
        <v>0</v>
      </c>
      <c r="L36" s="25"/>
      <c r="M36" s="66" t="s">
        <v>40</v>
      </c>
      <c r="N36" s="67"/>
      <c r="O36" s="67"/>
      <c r="P36" s="68"/>
      <c r="Q36" s="25"/>
    </row>
    <row r="37" spans="1:22" ht="18" customHeight="1" x14ac:dyDescent="0.2">
      <c r="A37" s="22">
        <f>IF($A$35="","",IF(NOT(MONTH($A$35)=MONTH($A$35+2)),"",$A$35+2))</f>
        <v>45503</v>
      </c>
      <c r="B37" s="37">
        <f t="shared" si="4"/>
        <v>45503</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45504</v>
      </c>
      <c r="B38" s="38">
        <f>A38</f>
        <v>45504</v>
      </c>
      <c r="C38" s="40">
        <f t="shared" si="1"/>
        <v>0</v>
      </c>
      <c r="D38" s="27"/>
      <c r="E38" s="20">
        <v>9</v>
      </c>
      <c r="F38" s="31">
        <v>0</v>
      </c>
      <c r="G38" s="20">
        <v>18</v>
      </c>
      <c r="H38" s="24">
        <v>30</v>
      </c>
      <c r="I38" s="34">
        <v>60</v>
      </c>
      <c r="J38" s="58">
        <f t="shared" si="0"/>
        <v>510</v>
      </c>
      <c r="K38" s="62">
        <f t="shared" si="2"/>
        <v>8.5</v>
      </c>
      <c r="L38" s="30"/>
      <c r="M38" s="84"/>
      <c r="N38" s="85"/>
      <c r="O38" s="85"/>
      <c r="P38" s="86"/>
      <c r="Q38" s="21" t="s">
        <v>30</v>
      </c>
    </row>
    <row r="39" spans="1:22" ht="18.75" customHeight="1" thickTop="1" thickBot="1" x14ac:dyDescent="0.25">
      <c r="A39" s="9"/>
      <c r="B39" s="9"/>
      <c r="C39" s="9"/>
      <c r="D39" s="10"/>
      <c r="E39" s="9"/>
      <c r="F39" s="9"/>
      <c r="G39" s="9"/>
      <c r="H39" s="87" t="s">
        <v>14</v>
      </c>
      <c r="I39" s="88"/>
      <c r="J39" s="54">
        <f>SUM(J8:J38)</f>
        <v>9690</v>
      </c>
      <c r="K39" s="63">
        <f>SUM(K8:K38)</f>
        <v>161.5</v>
      </c>
      <c r="L39" s="9"/>
      <c r="M39" s="9"/>
      <c r="N39" s="9"/>
      <c r="O39" s="9"/>
      <c r="P39" s="9"/>
      <c r="Q39" s="65">
        <f>SUMIF(Q8:Q38,"○",K8:K38)+SUMIF(Q8:Q38,"〇",K8:K38)</f>
        <v>42.5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C38 E10:I10 D8:D21 D23:D38 E12:I14 E20:I22 E27:H28 E34:H36 J8:P38">
    <cfRule type="expression" dxfId="103" priority="19" stopIfTrue="1">
      <formula>$C8&gt;0</formula>
    </cfRule>
  </conditionalFormatting>
  <conditionalFormatting sqref="I27:I28">
    <cfRule type="expression" dxfId="102" priority="18" stopIfTrue="1">
      <formula>$C27&gt;0</formula>
    </cfRule>
  </conditionalFormatting>
  <conditionalFormatting sqref="I34:I36">
    <cfRule type="expression" dxfId="101" priority="17" stopIfTrue="1">
      <formula>$C34&gt;0</formula>
    </cfRule>
  </conditionalFormatting>
  <conditionalFormatting sqref="D22">
    <cfRule type="expression" dxfId="100" priority="16" stopIfTrue="1">
      <formula>$C22&gt;0</formula>
    </cfRule>
  </conditionalFormatting>
  <conditionalFormatting sqref="Q8:Q38">
    <cfRule type="expression" dxfId="99" priority="15" stopIfTrue="1">
      <formula>$C8&gt;0</formula>
    </cfRule>
  </conditionalFormatting>
  <conditionalFormatting sqref="E8:H9">
    <cfRule type="expression" dxfId="98" priority="14" stopIfTrue="1">
      <formula>$C8&gt;0</formula>
    </cfRule>
  </conditionalFormatting>
  <conditionalFormatting sqref="I8:I9">
    <cfRule type="expression" dxfId="97" priority="13" stopIfTrue="1">
      <formula>$C8&gt;0</formula>
    </cfRule>
  </conditionalFormatting>
  <conditionalFormatting sqref="E11:H11">
    <cfRule type="expression" dxfId="96" priority="12" stopIfTrue="1">
      <formula>$C11&gt;0</formula>
    </cfRule>
  </conditionalFormatting>
  <conditionalFormatting sqref="I11">
    <cfRule type="expression" dxfId="95" priority="11" stopIfTrue="1">
      <formula>$C11&gt;0</formula>
    </cfRule>
  </conditionalFormatting>
  <conditionalFormatting sqref="E15:H19">
    <cfRule type="expression" dxfId="94" priority="10" stopIfTrue="1">
      <formula>$C15&gt;0</formula>
    </cfRule>
  </conditionalFormatting>
  <conditionalFormatting sqref="I15:I19">
    <cfRule type="expression" dxfId="93" priority="9" stopIfTrue="1">
      <formula>$C15&gt;0</formula>
    </cfRule>
  </conditionalFormatting>
  <conditionalFormatting sqref="E23:H26">
    <cfRule type="expression" dxfId="92" priority="8" stopIfTrue="1">
      <formula>$C23&gt;0</formula>
    </cfRule>
  </conditionalFormatting>
  <conditionalFormatting sqref="I23:I26">
    <cfRule type="expression" dxfId="91" priority="7" stopIfTrue="1">
      <formula>$C23&gt;0</formula>
    </cfRule>
  </conditionalFormatting>
  <conditionalFormatting sqref="E29:H33">
    <cfRule type="expression" dxfId="90" priority="6" stopIfTrue="1">
      <formula>$C29&gt;0</formula>
    </cfRule>
  </conditionalFormatting>
  <conditionalFormatting sqref="I29:I33">
    <cfRule type="expression" dxfId="89" priority="5" stopIfTrue="1">
      <formula>$C29&gt;0</formula>
    </cfRule>
  </conditionalFormatting>
  <conditionalFormatting sqref="E37:H37">
    <cfRule type="expression" dxfId="88" priority="4" stopIfTrue="1">
      <formula>$C37&gt;0</formula>
    </cfRule>
  </conditionalFormatting>
  <conditionalFormatting sqref="I37">
    <cfRule type="expression" dxfId="87" priority="3" stopIfTrue="1">
      <formula>$C37&gt;0</formula>
    </cfRule>
  </conditionalFormatting>
  <conditionalFormatting sqref="E38:H38">
    <cfRule type="expression" dxfId="86" priority="2" stopIfTrue="1">
      <formula>$C38&gt;0</formula>
    </cfRule>
  </conditionalFormatting>
  <conditionalFormatting sqref="I38">
    <cfRule type="expression" dxfId="85" priority="1" stopIfTrue="1">
      <formula>$C38&gt;0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8" activePane="bottomLeft" state="frozen"/>
      <selection activeCell="D2" sqref="D2"/>
      <selection pane="bottomLeft" activeCell="O1" sqref="O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8</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45505</v>
      </c>
      <c r="B8" s="36">
        <f>A8</f>
        <v>45505</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c r="S8" s="14"/>
      <c r="T8" s="6"/>
      <c r="U8" s="6"/>
      <c r="V8" s="6"/>
    </row>
    <row r="9" spans="1:22" ht="18" customHeight="1" x14ac:dyDescent="0.2">
      <c r="A9" s="22">
        <f>IF(A8="","",(A8+1))</f>
        <v>45506</v>
      </c>
      <c r="B9" s="37">
        <f>A9</f>
        <v>45506</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45507</v>
      </c>
      <c r="B10" s="37">
        <f t="shared" ref="B10:B37" si="4">A10</f>
        <v>45507</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45508</v>
      </c>
      <c r="B11" s="37">
        <f t="shared" si="4"/>
        <v>45508</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45509</v>
      </c>
      <c r="B12" s="37">
        <f t="shared" si="4"/>
        <v>45509</v>
      </c>
      <c r="C12" s="39">
        <f t="shared" si="1"/>
        <v>0</v>
      </c>
      <c r="D12" s="23"/>
      <c r="E12" s="20">
        <v>9</v>
      </c>
      <c r="F12" s="31">
        <v>0</v>
      </c>
      <c r="G12" s="20">
        <v>18</v>
      </c>
      <c r="H12" s="24">
        <v>30</v>
      </c>
      <c r="I12" s="34">
        <v>60</v>
      </c>
      <c r="J12" s="57">
        <f t="shared" si="0"/>
        <v>510</v>
      </c>
      <c r="K12" s="61">
        <f t="shared" si="2"/>
        <v>8.5</v>
      </c>
      <c r="L12" s="25"/>
      <c r="M12" s="66"/>
      <c r="N12" s="67"/>
      <c r="O12" s="67"/>
      <c r="P12" s="68"/>
      <c r="Q12" s="25" t="s">
        <v>30</v>
      </c>
      <c r="S12" s="14"/>
      <c r="T12" s="11"/>
      <c r="U12" s="12"/>
      <c r="V12" s="13"/>
    </row>
    <row r="13" spans="1:22" ht="18" customHeight="1" x14ac:dyDescent="0.2">
      <c r="A13" s="22">
        <f t="shared" si="3"/>
        <v>45510</v>
      </c>
      <c r="B13" s="37">
        <f t="shared" si="4"/>
        <v>45510</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45511</v>
      </c>
      <c r="B14" s="37">
        <f t="shared" si="4"/>
        <v>45511</v>
      </c>
      <c r="C14" s="39">
        <f t="shared" si="1"/>
        <v>0</v>
      </c>
      <c r="D14" s="23"/>
      <c r="E14" s="20"/>
      <c r="F14" s="31"/>
      <c r="G14" s="20"/>
      <c r="H14" s="24"/>
      <c r="I14" s="34"/>
      <c r="J14" s="57">
        <f t="shared" si="0"/>
        <v>0</v>
      </c>
      <c r="K14" s="61">
        <f t="shared" si="2"/>
        <v>0</v>
      </c>
      <c r="L14" s="25"/>
      <c r="M14" s="66" t="s">
        <v>41</v>
      </c>
      <c r="N14" s="67"/>
      <c r="O14" s="67"/>
      <c r="P14" s="68"/>
      <c r="Q14" s="25"/>
      <c r="S14" s="14"/>
      <c r="T14" s="11"/>
      <c r="U14" s="12"/>
      <c r="V14" s="13"/>
    </row>
    <row r="15" spans="1:22" ht="18" customHeight="1" x14ac:dyDescent="0.2">
      <c r="A15" s="22">
        <f t="shared" si="3"/>
        <v>45512</v>
      </c>
      <c r="B15" s="37">
        <f t="shared" si="4"/>
        <v>45512</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45513</v>
      </c>
      <c r="B16" s="37">
        <f t="shared" si="4"/>
        <v>45513</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45514</v>
      </c>
      <c r="B17" s="37">
        <f t="shared" si="4"/>
        <v>45514</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45515</v>
      </c>
      <c r="B18" s="37">
        <f t="shared" si="4"/>
        <v>45515</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45516</v>
      </c>
      <c r="B19" s="37">
        <f t="shared" si="4"/>
        <v>45516</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45517</v>
      </c>
      <c r="B20" s="37">
        <f t="shared" si="4"/>
        <v>45517</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45518</v>
      </c>
      <c r="B21" s="37">
        <f t="shared" si="4"/>
        <v>45518</v>
      </c>
      <c r="C21" s="39">
        <f t="shared" si="1"/>
        <v>0</v>
      </c>
      <c r="D21" s="23"/>
      <c r="E21" s="20">
        <v>9</v>
      </c>
      <c r="F21" s="31">
        <v>0</v>
      </c>
      <c r="G21" s="20">
        <v>18</v>
      </c>
      <c r="H21" s="24">
        <v>30</v>
      </c>
      <c r="I21" s="34">
        <v>60</v>
      </c>
      <c r="J21" s="57">
        <f t="shared" si="0"/>
        <v>510</v>
      </c>
      <c r="K21" s="61">
        <f t="shared" si="2"/>
        <v>8.5</v>
      </c>
      <c r="L21" s="25"/>
      <c r="M21" s="66"/>
      <c r="N21" s="67"/>
      <c r="O21" s="67"/>
      <c r="P21" s="68"/>
      <c r="Q21" s="25" t="s">
        <v>33</v>
      </c>
      <c r="V21" s="13"/>
    </row>
    <row r="22" spans="1:22" ht="18" customHeight="1" x14ac:dyDescent="0.2">
      <c r="A22" s="22">
        <f t="shared" si="3"/>
        <v>45519</v>
      </c>
      <c r="B22" s="37">
        <f t="shared" si="4"/>
        <v>45519</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45520</v>
      </c>
      <c r="B23" s="37">
        <f t="shared" si="4"/>
        <v>45520</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45521</v>
      </c>
      <c r="B24" s="37">
        <f t="shared" si="4"/>
        <v>45521</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45522</v>
      </c>
      <c r="B25" s="37">
        <f t="shared" si="4"/>
        <v>45522</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45523</v>
      </c>
      <c r="B26" s="37">
        <f t="shared" si="4"/>
        <v>45523</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45524</v>
      </c>
      <c r="B27" s="37">
        <f t="shared" si="4"/>
        <v>45524</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45525</v>
      </c>
      <c r="B28" s="37">
        <f t="shared" si="4"/>
        <v>45525</v>
      </c>
      <c r="C28" s="39">
        <f t="shared" si="1"/>
        <v>0</v>
      </c>
      <c r="D28" s="23"/>
      <c r="E28" s="20">
        <v>9</v>
      </c>
      <c r="F28" s="31">
        <v>0</v>
      </c>
      <c r="G28" s="20">
        <v>18</v>
      </c>
      <c r="H28" s="24">
        <v>30</v>
      </c>
      <c r="I28" s="34">
        <v>60</v>
      </c>
      <c r="J28" s="57">
        <f t="shared" si="0"/>
        <v>510</v>
      </c>
      <c r="K28" s="61">
        <f t="shared" si="2"/>
        <v>8.5</v>
      </c>
      <c r="L28" s="25"/>
      <c r="M28" s="66"/>
      <c r="N28" s="67"/>
      <c r="O28" s="67"/>
      <c r="P28" s="68"/>
      <c r="Q28" s="25" t="s">
        <v>33</v>
      </c>
      <c r="V28" s="13"/>
    </row>
    <row r="29" spans="1:22" ht="18" customHeight="1" x14ac:dyDescent="0.2">
      <c r="A29" s="22">
        <f t="shared" si="3"/>
        <v>45526</v>
      </c>
      <c r="B29" s="37">
        <f t="shared" si="4"/>
        <v>45526</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45527</v>
      </c>
      <c r="B30" s="37">
        <f t="shared" si="4"/>
        <v>45527</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45528</v>
      </c>
      <c r="B31" s="37">
        <f t="shared" si="4"/>
        <v>45528</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45529</v>
      </c>
      <c r="B32" s="37">
        <f t="shared" si="4"/>
        <v>45529</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45530</v>
      </c>
      <c r="B33" s="37">
        <f t="shared" si="4"/>
        <v>45530</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45531</v>
      </c>
      <c r="B34" s="37">
        <f t="shared" si="4"/>
        <v>45531</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45532</v>
      </c>
      <c r="B35" s="37">
        <f t="shared" si="4"/>
        <v>45532</v>
      </c>
      <c r="C35" s="39">
        <f t="shared" si="1"/>
        <v>0</v>
      </c>
      <c r="D35" s="23"/>
      <c r="E35" s="20">
        <v>9</v>
      </c>
      <c r="F35" s="31">
        <v>0</v>
      </c>
      <c r="G35" s="20">
        <v>18</v>
      </c>
      <c r="H35" s="24">
        <v>30</v>
      </c>
      <c r="I35" s="34">
        <v>60</v>
      </c>
      <c r="J35" s="57">
        <f t="shared" si="0"/>
        <v>510</v>
      </c>
      <c r="K35" s="61">
        <f t="shared" si="2"/>
        <v>8.5</v>
      </c>
      <c r="L35" s="25"/>
      <c r="M35" s="66"/>
      <c r="N35" s="67"/>
      <c r="O35" s="67"/>
      <c r="P35" s="68"/>
      <c r="Q35" s="25" t="s">
        <v>33</v>
      </c>
    </row>
    <row r="36" spans="1:22" ht="18" customHeight="1" x14ac:dyDescent="0.2">
      <c r="A36" s="22">
        <f>IF($A$35="","",IF(NOT(MONTH($A$35)=MONTH($A$35+1)),"",$A$35+1))</f>
        <v>45533</v>
      </c>
      <c r="B36" s="37">
        <f t="shared" si="4"/>
        <v>45533</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45534</v>
      </c>
      <c r="B37" s="37">
        <f t="shared" si="4"/>
        <v>45534</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45535</v>
      </c>
      <c r="B38" s="38">
        <f>A38</f>
        <v>45535</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I31 A8:C38 E10:I11 D8:D18 D20:D38 E14:I14 E17:I19 E24:H25 I24 E31:H32 E38:I38">
    <cfRule type="expression" dxfId="84" priority="45" stopIfTrue="1">
      <formula>$C8&gt;0</formula>
    </cfRule>
  </conditionalFormatting>
  <conditionalFormatting sqref="I25">
    <cfRule type="expression" dxfId="83" priority="44" stopIfTrue="1">
      <formula>$C25&gt;0</formula>
    </cfRule>
  </conditionalFormatting>
  <conditionalFormatting sqref="I32">
    <cfRule type="expression" dxfId="82" priority="43" stopIfTrue="1">
      <formula>$C32&gt;0</formula>
    </cfRule>
  </conditionalFormatting>
  <conditionalFormatting sqref="D19">
    <cfRule type="expression" dxfId="81" priority="42" stopIfTrue="1">
      <formula>$C19&gt;0</formula>
    </cfRule>
  </conditionalFormatting>
  <conditionalFormatting sqref="Q8:Q38">
    <cfRule type="expression" dxfId="80" priority="41" stopIfTrue="1">
      <formula>$C8&gt;0</formula>
    </cfRule>
  </conditionalFormatting>
  <conditionalFormatting sqref="E12:H12">
    <cfRule type="expression" dxfId="79" priority="40" stopIfTrue="1">
      <formula>$C12&gt;0</formula>
    </cfRule>
  </conditionalFormatting>
  <conditionalFormatting sqref="I12">
    <cfRule type="expression" dxfId="78" priority="39" stopIfTrue="1">
      <formula>$C12&gt;0</formula>
    </cfRule>
  </conditionalFormatting>
  <conditionalFormatting sqref="E13:H13">
    <cfRule type="expression" dxfId="77" priority="38" stopIfTrue="1">
      <formula>$C13&gt;0</formula>
    </cfRule>
  </conditionalFormatting>
  <conditionalFormatting sqref="I13">
    <cfRule type="expression" dxfId="76" priority="37" stopIfTrue="1">
      <formula>$C13&gt;0</formula>
    </cfRule>
  </conditionalFormatting>
  <conditionalFormatting sqref="E15:H15">
    <cfRule type="expression" dxfId="75" priority="36" stopIfTrue="1">
      <formula>$C15&gt;0</formula>
    </cfRule>
  </conditionalFormatting>
  <conditionalFormatting sqref="I15">
    <cfRule type="expression" dxfId="74" priority="35" stopIfTrue="1">
      <formula>$C15&gt;0</formula>
    </cfRule>
  </conditionalFormatting>
  <conditionalFormatting sqref="E16:H16">
    <cfRule type="expression" dxfId="73" priority="34" stopIfTrue="1">
      <formula>$C16&gt;0</formula>
    </cfRule>
  </conditionalFormatting>
  <conditionalFormatting sqref="I16">
    <cfRule type="expression" dxfId="72" priority="33" stopIfTrue="1">
      <formula>$C16&gt;0</formula>
    </cfRule>
  </conditionalFormatting>
  <conditionalFormatting sqref="E20:H20">
    <cfRule type="expression" dxfId="71" priority="32" stopIfTrue="1">
      <formula>$C20&gt;0</formula>
    </cfRule>
  </conditionalFormatting>
  <conditionalFormatting sqref="I20">
    <cfRule type="expression" dxfId="70" priority="31" stopIfTrue="1">
      <formula>$C20&gt;0</formula>
    </cfRule>
  </conditionalFormatting>
  <conditionalFormatting sqref="E21:H21">
    <cfRule type="expression" dxfId="69" priority="30" stopIfTrue="1">
      <formula>$C21&gt;0</formula>
    </cfRule>
  </conditionalFormatting>
  <conditionalFormatting sqref="I21">
    <cfRule type="expression" dxfId="68" priority="29" stopIfTrue="1">
      <formula>$C21&gt;0</formula>
    </cfRule>
  </conditionalFormatting>
  <conditionalFormatting sqref="E22:H22">
    <cfRule type="expression" dxfId="67" priority="28" stopIfTrue="1">
      <formula>$C22&gt;0</formula>
    </cfRule>
  </conditionalFormatting>
  <conditionalFormatting sqref="I22">
    <cfRule type="expression" dxfId="66" priority="27" stopIfTrue="1">
      <formula>$C22&gt;0</formula>
    </cfRule>
  </conditionalFormatting>
  <conditionalFormatting sqref="E23:H23">
    <cfRule type="expression" dxfId="65" priority="26" stopIfTrue="1">
      <formula>$C23&gt;0</formula>
    </cfRule>
  </conditionalFormatting>
  <conditionalFormatting sqref="I23">
    <cfRule type="expression" dxfId="64" priority="25" stopIfTrue="1">
      <formula>$C23&gt;0</formula>
    </cfRule>
  </conditionalFormatting>
  <conditionalFormatting sqref="E26:H26">
    <cfRule type="expression" dxfId="63" priority="24" stopIfTrue="1">
      <formula>$C26&gt;0</formula>
    </cfRule>
  </conditionalFormatting>
  <conditionalFormatting sqref="I26">
    <cfRule type="expression" dxfId="62" priority="23" stopIfTrue="1">
      <formula>$C26&gt;0</formula>
    </cfRule>
  </conditionalFormatting>
  <conditionalFormatting sqref="E27:H27">
    <cfRule type="expression" dxfId="61" priority="22" stopIfTrue="1">
      <formula>$C27&gt;0</formula>
    </cfRule>
  </conditionalFormatting>
  <conditionalFormatting sqref="I27">
    <cfRule type="expression" dxfId="60" priority="21" stopIfTrue="1">
      <formula>$C27&gt;0</formula>
    </cfRule>
  </conditionalFormatting>
  <conditionalFormatting sqref="E28:H28">
    <cfRule type="expression" dxfId="59" priority="20" stopIfTrue="1">
      <formula>$C28&gt;0</formula>
    </cfRule>
  </conditionalFormatting>
  <conditionalFormatting sqref="I28">
    <cfRule type="expression" dxfId="58" priority="19" stopIfTrue="1">
      <formula>$C28&gt;0</formula>
    </cfRule>
  </conditionalFormatting>
  <conditionalFormatting sqref="E29:H29">
    <cfRule type="expression" dxfId="57" priority="18" stopIfTrue="1">
      <formula>$C29&gt;0</formula>
    </cfRule>
  </conditionalFormatting>
  <conditionalFormatting sqref="I29">
    <cfRule type="expression" dxfId="56" priority="17" stopIfTrue="1">
      <formula>$C29&gt;0</formula>
    </cfRule>
  </conditionalFormatting>
  <conditionalFormatting sqref="E30:H30">
    <cfRule type="expression" dxfId="55" priority="16" stopIfTrue="1">
      <formula>$C30&gt;0</formula>
    </cfRule>
  </conditionalFormatting>
  <conditionalFormatting sqref="I30">
    <cfRule type="expression" dxfId="54" priority="15" stopIfTrue="1">
      <formula>$C30&gt;0</formula>
    </cfRule>
  </conditionalFormatting>
  <conditionalFormatting sqref="E33:H33">
    <cfRule type="expression" dxfId="53" priority="14" stopIfTrue="1">
      <formula>$C33&gt;0</formula>
    </cfRule>
  </conditionalFormatting>
  <conditionalFormatting sqref="I33">
    <cfRule type="expression" dxfId="52" priority="13" stopIfTrue="1">
      <formula>$C33&gt;0</formula>
    </cfRule>
  </conditionalFormatting>
  <conditionalFormatting sqref="E34:H34">
    <cfRule type="expression" dxfId="51" priority="12" stopIfTrue="1">
      <formula>$C34&gt;0</formula>
    </cfRule>
  </conditionalFormatting>
  <conditionalFormatting sqref="I34">
    <cfRule type="expression" dxfId="50" priority="11" stopIfTrue="1">
      <formula>$C34&gt;0</formula>
    </cfRule>
  </conditionalFormatting>
  <conditionalFormatting sqref="E35:H35">
    <cfRule type="expression" dxfId="49" priority="10" stopIfTrue="1">
      <formula>$C35&gt;0</formula>
    </cfRule>
  </conditionalFormatting>
  <conditionalFormatting sqref="I35">
    <cfRule type="expression" dxfId="48" priority="9" stopIfTrue="1">
      <formula>$C35&gt;0</formula>
    </cfRule>
  </conditionalFormatting>
  <conditionalFormatting sqref="E36:H36">
    <cfRule type="expression" dxfId="47" priority="8" stopIfTrue="1">
      <formula>$C36&gt;0</formula>
    </cfRule>
  </conditionalFormatting>
  <conditionalFormatting sqref="I36">
    <cfRule type="expression" dxfId="46" priority="7" stopIfTrue="1">
      <formula>$C36&gt;0</formula>
    </cfRule>
  </conditionalFormatting>
  <conditionalFormatting sqref="E37:H37">
    <cfRule type="expression" dxfId="45" priority="6" stopIfTrue="1">
      <formula>$C37&gt;0</formula>
    </cfRule>
  </conditionalFormatting>
  <conditionalFormatting sqref="I37">
    <cfRule type="expression" dxfId="44" priority="5" stopIfTrue="1">
      <formula>$C37&gt;0</formula>
    </cfRule>
  </conditionalFormatting>
  <conditionalFormatting sqref="E8:H8">
    <cfRule type="expression" dxfId="43" priority="4" stopIfTrue="1">
      <formula>$C8&gt;0</formula>
    </cfRule>
  </conditionalFormatting>
  <conditionalFormatting sqref="I8">
    <cfRule type="expression" dxfId="42" priority="3" stopIfTrue="1">
      <formula>$C8&gt;0</formula>
    </cfRule>
  </conditionalFormatting>
  <conditionalFormatting sqref="E9:H9">
    <cfRule type="expression" dxfId="41" priority="2" stopIfTrue="1">
      <formula>$C9&gt;0</formula>
    </cfRule>
  </conditionalFormatting>
  <conditionalFormatting sqref="I9">
    <cfRule type="expression" dxfId="40" priority="1" stopIfTrue="1">
      <formula>$C9&gt;0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9</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45536</v>
      </c>
      <c r="B8" s="36">
        <f>A8</f>
        <v>45536</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45537</v>
      </c>
      <c r="B9" s="37">
        <f>A9</f>
        <v>45537</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45538</v>
      </c>
      <c r="B10" s="37">
        <f t="shared" ref="B10:B37" si="4">A10</f>
        <v>45538</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45539</v>
      </c>
      <c r="B11" s="37">
        <f t="shared" si="4"/>
        <v>45539</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45540</v>
      </c>
      <c r="B12" s="37">
        <f t="shared" si="4"/>
        <v>45540</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45541</v>
      </c>
      <c r="B13" s="37">
        <f t="shared" si="4"/>
        <v>45541</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45542</v>
      </c>
      <c r="B14" s="37">
        <f t="shared" si="4"/>
        <v>45542</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45543</v>
      </c>
      <c r="B15" s="37">
        <f t="shared" si="4"/>
        <v>45543</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45544</v>
      </c>
      <c r="B16" s="37">
        <f t="shared" si="4"/>
        <v>45544</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45545</v>
      </c>
      <c r="B17" s="37">
        <f t="shared" si="4"/>
        <v>45545</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45546</v>
      </c>
      <c r="B18" s="37">
        <f t="shared" si="4"/>
        <v>45546</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45547</v>
      </c>
      <c r="B19" s="37">
        <f t="shared" si="4"/>
        <v>45547</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45548</v>
      </c>
      <c r="B20" s="37">
        <f t="shared" si="4"/>
        <v>45548</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45549</v>
      </c>
      <c r="B21" s="37">
        <f t="shared" si="4"/>
        <v>45549</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45550</v>
      </c>
      <c r="B22" s="37">
        <f t="shared" si="4"/>
        <v>45550</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45551</v>
      </c>
      <c r="B23" s="37">
        <f t="shared" si="4"/>
        <v>45551</v>
      </c>
      <c r="C23" s="39">
        <f t="shared" si="1"/>
        <v>1</v>
      </c>
      <c r="D23" s="23" t="s">
        <v>13</v>
      </c>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45552</v>
      </c>
      <c r="B24" s="37">
        <f t="shared" si="4"/>
        <v>45552</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45553</v>
      </c>
      <c r="B25" s="37">
        <f t="shared" si="4"/>
        <v>45553</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45554</v>
      </c>
      <c r="B26" s="37">
        <f t="shared" si="4"/>
        <v>45554</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45555</v>
      </c>
      <c r="B27" s="37">
        <f t="shared" si="4"/>
        <v>45555</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45556</v>
      </c>
      <c r="B28" s="37">
        <f t="shared" si="4"/>
        <v>45556</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45557</v>
      </c>
      <c r="B29" s="37">
        <f t="shared" si="4"/>
        <v>45557</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45558</v>
      </c>
      <c r="B30" s="37">
        <f t="shared" si="4"/>
        <v>45558</v>
      </c>
      <c r="C30" s="39">
        <f t="shared" si="1"/>
        <v>1</v>
      </c>
      <c r="D30" s="23" t="s">
        <v>33</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45559</v>
      </c>
      <c r="B31" s="37">
        <f t="shared" si="4"/>
        <v>45559</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45560</v>
      </c>
      <c r="B32" s="37">
        <f t="shared" si="4"/>
        <v>45560</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45561</v>
      </c>
      <c r="B33" s="37">
        <f t="shared" si="4"/>
        <v>45561</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45562</v>
      </c>
      <c r="B34" s="37">
        <f t="shared" si="4"/>
        <v>45562</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45563</v>
      </c>
      <c r="B35" s="37">
        <f t="shared" si="4"/>
        <v>45563</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45564</v>
      </c>
      <c r="B36" s="37">
        <f t="shared" si="4"/>
        <v>45564</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45565</v>
      </c>
      <c r="B37" s="37">
        <f t="shared" si="4"/>
        <v>45565</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24:D27 D8:D22 D31:D38">
    <cfRule type="expression" dxfId="39" priority="8" stopIfTrue="1">
      <formula>$C8&gt;0</formula>
    </cfRule>
  </conditionalFormatting>
  <conditionalFormatting sqref="I25:I29">
    <cfRule type="expression" dxfId="38" priority="7" stopIfTrue="1">
      <formula>$C25&gt;0</formula>
    </cfRule>
  </conditionalFormatting>
  <conditionalFormatting sqref="I32:I36">
    <cfRule type="expression" dxfId="37" priority="6" stopIfTrue="1">
      <formula>$C32&gt;0</formula>
    </cfRule>
  </conditionalFormatting>
  <conditionalFormatting sqref="D28">
    <cfRule type="expression" dxfId="36" priority="5" stopIfTrue="1">
      <formula>$C28&gt;0</formula>
    </cfRule>
  </conditionalFormatting>
  <conditionalFormatting sqref="D29">
    <cfRule type="expression" dxfId="35" priority="4" stopIfTrue="1">
      <formula>$C29&gt;0</formula>
    </cfRule>
  </conditionalFormatting>
  <conditionalFormatting sqref="D23">
    <cfRule type="expression" dxfId="34" priority="3" stopIfTrue="1">
      <formula>$C23&gt;0</formula>
    </cfRule>
  </conditionalFormatting>
  <conditionalFormatting sqref="D30">
    <cfRule type="expression" dxfId="33" priority="2" stopIfTrue="1">
      <formula>$C30&gt;0</formula>
    </cfRule>
  </conditionalFormatting>
  <conditionalFormatting sqref="Q8:Q38">
    <cfRule type="expression" dxfId="32"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10</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45566</v>
      </c>
      <c r="B8" s="36">
        <f>A8</f>
        <v>45566</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45567</v>
      </c>
      <c r="B9" s="37">
        <f>A9</f>
        <v>45567</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45568</v>
      </c>
      <c r="B10" s="37">
        <f t="shared" ref="B10:B37" si="4">A10</f>
        <v>45568</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45569</v>
      </c>
      <c r="B11" s="37">
        <f t="shared" si="4"/>
        <v>45569</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45570</v>
      </c>
      <c r="B12" s="37">
        <f t="shared" si="4"/>
        <v>45570</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45571</v>
      </c>
      <c r="B13" s="37">
        <f t="shared" si="4"/>
        <v>45571</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45572</v>
      </c>
      <c r="B14" s="37">
        <f t="shared" si="4"/>
        <v>45572</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45573</v>
      </c>
      <c r="B15" s="37">
        <f t="shared" si="4"/>
        <v>45573</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45574</v>
      </c>
      <c r="B16" s="37">
        <f t="shared" si="4"/>
        <v>45574</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45575</v>
      </c>
      <c r="B17" s="37">
        <f t="shared" si="4"/>
        <v>45575</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45576</v>
      </c>
      <c r="B18" s="37">
        <f t="shared" si="4"/>
        <v>45576</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45577</v>
      </c>
      <c r="B19" s="37">
        <f t="shared" si="4"/>
        <v>45577</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45578</v>
      </c>
      <c r="B20" s="37">
        <f t="shared" si="4"/>
        <v>45578</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45579</v>
      </c>
      <c r="B21" s="37">
        <f t="shared" si="4"/>
        <v>45579</v>
      </c>
      <c r="C21" s="39">
        <f t="shared" si="1"/>
        <v>1</v>
      </c>
      <c r="D21" s="23" t="s">
        <v>13</v>
      </c>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45580</v>
      </c>
      <c r="B22" s="37">
        <f t="shared" si="4"/>
        <v>45580</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45581</v>
      </c>
      <c r="B23" s="37">
        <f t="shared" si="4"/>
        <v>45581</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45582</v>
      </c>
      <c r="B24" s="37">
        <f t="shared" si="4"/>
        <v>45582</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45583</v>
      </c>
      <c r="B25" s="37">
        <f t="shared" si="4"/>
        <v>45583</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45584</v>
      </c>
      <c r="B26" s="37">
        <f t="shared" si="4"/>
        <v>45584</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45585</v>
      </c>
      <c r="B27" s="37">
        <f t="shared" si="4"/>
        <v>45585</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45586</v>
      </c>
      <c r="B28" s="37">
        <f t="shared" si="4"/>
        <v>45586</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45587</v>
      </c>
      <c r="B29" s="37">
        <f t="shared" si="4"/>
        <v>45587</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45588</v>
      </c>
      <c r="B30" s="37">
        <f t="shared" si="4"/>
        <v>45588</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45589</v>
      </c>
      <c r="B31" s="37">
        <f t="shared" si="4"/>
        <v>45589</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45590</v>
      </c>
      <c r="B32" s="37">
        <f t="shared" si="4"/>
        <v>45590</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45591</v>
      </c>
      <c r="B33" s="37">
        <f t="shared" si="4"/>
        <v>45591</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45592</v>
      </c>
      <c r="B34" s="37">
        <f t="shared" si="4"/>
        <v>45592</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45593</v>
      </c>
      <c r="B35" s="37">
        <f t="shared" si="4"/>
        <v>45593</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45594</v>
      </c>
      <c r="B36" s="37">
        <f t="shared" si="4"/>
        <v>45594</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45595</v>
      </c>
      <c r="B37" s="37">
        <f t="shared" si="4"/>
        <v>45595</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45596</v>
      </c>
      <c r="B38" s="38">
        <f>A38</f>
        <v>45596</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8 D20 D22:D38">
    <cfRule type="expression" dxfId="31" priority="6" stopIfTrue="1">
      <formula>$C8&gt;0</formula>
    </cfRule>
  </conditionalFormatting>
  <conditionalFormatting sqref="I25:I29">
    <cfRule type="expression" dxfId="30" priority="5" stopIfTrue="1">
      <formula>$C25&gt;0</formula>
    </cfRule>
  </conditionalFormatting>
  <conditionalFormatting sqref="I32:I36">
    <cfRule type="expression" dxfId="29" priority="4" stopIfTrue="1">
      <formula>$C32&gt;0</formula>
    </cfRule>
  </conditionalFormatting>
  <conditionalFormatting sqref="D19">
    <cfRule type="expression" dxfId="28" priority="3" stopIfTrue="1">
      <formula>$C19&gt;0</formula>
    </cfRule>
  </conditionalFormatting>
  <conditionalFormatting sqref="D21">
    <cfRule type="expression" dxfId="27" priority="2" stopIfTrue="1">
      <formula>$C21&gt;0</formula>
    </cfRule>
  </conditionalFormatting>
  <conditionalFormatting sqref="Q8:Q38">
    <cfRule type="expression" dxfId="26"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11</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45597</v>
      </c>
      <c r="B8" s="36">
        <f>A8</f>
        <v>45597</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45598</v>
      </c>
      <c r="B9" s="37">
        <f>A9</f>
        <v>45598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45599</v>
      </c>
      <c r="B10" s="37">
        <f t="shared" ref="B10:B37" si="4">A10</f>
        <v>45599</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45600</v>
      </c>
      <c r="B11" s="37">
        <f t="shared" si="4"/>
        <v>45600</v>
      </c>
      <c r="C11" s="39">
        <f t="shared" si="1"/>
        <v>1</v>
      </c>
      <c r="D11" s="23" t="s">
        <v>13</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45601</v>
      </c>
      <c r="B12" s="37">
        <f t="shared" si="4"/>
        <v>45601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45602</v>
      </c>
      <c r="B13" s="37">
        <f t="shared" si="4"/>
        <v>45602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45603</v>
      </c>
      <c r="B14" s="37">
        <f t="shared" si="4"/>
        <v>45603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45604</v>
      </c>
      <c r="B15" s="37">
        <f t="shared" si="4"/>
        <v>45604</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45605</v>
      </c>
      <c r="B16" s="37">
        <f t="shared" si="4"/>
        <v>45605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45606</v>
      </c>
      <c r="B17" s="37">
        <f t="shared" si="4"/>
        <v>45606</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45607</v>
      </c>
      <c r="B18" s="37">
        <f t="shared" si="4"/>
        <v>45607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45608</v>
      </c>
      <c r="B19" s="37">
        <f t="shared" si="4"/>
        <v>45608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45609</v>
      </c>
      <c r="B20" s="37">
        <f t="shared" si="4"/>
        <v>45609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45610</v>
      </c>
      <c r="B21" s="37">
        <f t="shared" si="4"/>
        <v>45610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45611</v>
      </c>
      <c r="B22" s="37">
        <f t="shared" si="4"/>
        <v>45611</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45612</v>
      </c>
      <c r="B23" s="37">
        <f t="shared" si="4"/>
        <v>45612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45613</v>
      </c>
      <c r="B24" s="37">
        <f t="shared" si="4"/>
        <v>45613</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45614</v>
      </c>
      <c r="B25" s="37">
        <f t="shared" si="4"/>
        <v>45614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45615</v>
      </c>
      <c r="B26" s="37">
        <f t="shared" si="4"/>
        <v>45615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45616</v>
      </c>
      <c r="B27" s="37">
        <f t="shared" si="4"/>
        <v>45616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45617</v>
      </c>
      <c r="B28" s="37">
        <f t="shared" si="4"/>
        <v>45617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45618</v>
      </c>
      <c r="B29" s="37">
        <f t="shared" si="4"/>
        <v>45618</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45619</v>
      </c>
      <c r="B30" s="37">
        <f t="shared" si="4"/>
        <v>45619</v>
      </c>
      <c r="C30" s="39">
        <f t="shared" si="1"/>
        <v>2</v>
      </c>
      <c r="D30" s="23" t="s">
        <v>27</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45620</v>
      </c>
      <c r="B31" s="37">
        <f t="shared" si="4"/>
        <v>45620</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45621</v>
      </c>
      <c r="B32" s="37">
        <f t="shared" si="4"/>
        <v>45621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45622</v>
      </c>
      <c r="B33" s="37">
        <f t="shared" si="4"/>
        <v>45622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45623</v>
      </c>
      <c r="B34" s="37">
        <f t="shared" si="4"/>
        <v>45623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45624</v>
      </c>
      <c r="B35" s="37">
        <f t="shared" si="4"/>
        <v>45624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45625</v>
      </c>
      <c r="B36" s="37">
        <f t="shared" si="4"/>
        <v>45625</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45626</v>
      </c>
      <c r="B37" s="37">
        <f t="shared" si="4"/>
        <v>45626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H39:I39"/>
    <mergeCell ref="A4:D4"/>
    <mergeCell ref="E3:J3"/>
    <mergeCell ref="E4:J4"/>
    <mergeCell ref="E5:J5"/>
    <mergeCell ref="M38:P38"/>
    <mergeCell ref="M27:P27"/>
    <mergeCell ref="M28:P28"/>
    <mergeCell ref="M29:P29"/>
    <mergeCell ref="M30:P30"/>
    <mergeCell ref="M31:P31"/>
    <mergeCell ref="M32:P32"/>
    <mergeCell ref="M33:P33"/>
    <mergeCell ref="M34:P34"/>
    <mergeCell ref="M35:P35"/>
    <mergeCell ref="M36:P36"/>
    <mergeCell ref="M37:P37"/>
    <mergeCell ref="M26:P26"/>
    <mergeCell ref="M15:P15"/>
    <mergeCell ref="M16:P16"/>
    <mergeCell ref="M17:P17"/>
    <mergeCell ref="M18:P18"/>
    <mergeCell ref="M19:P19"/>
    <mergeCell ref="M20:P20"/>
    <mergeCell ref="M21:P21"/>
    <mergeCell ref="M22:P22"/>
    <mergeCell ref="M23:P23"/>
    <mergeCell ref="M24:P24"/>
    <mergeCell ref="M25:P25"/>
    <mergeCell ref="M14:P14"/>
    <mergeCell ref="A3:D3"/>
    <mergeCell ref="A5:D5"/>
    <mergeCell ref="E7:F7"/>
    <mergeCell ref="G7:H7"/>
    <mergeCell ref="M7:P7"/>
    <mergeCell ref="M8:P8"/>
    <mergeCell ref="M9:P9"/>
    <mergeCell ref="M10:P10"/>
    <mergeCell ref="M11:P11"/>
    <mergeCell ref="M12:P12"/>
    <mergeCell ref="M13:P13"/>
  </mergeCells>
  <phoneticPr fontId="2"/>
  <conditionalFormatting sqref="I37:I38 J8:P38 I8:I24 I30:I31 A8:C38 E8:H38 D31:D38 D8:D10 D12:D29">
    <cfRule type="expression" dxfId="25" priority="6" stopIfTrue="1">
      <formula>$C8&gt;0</formula>
    </cfRule>
  </conditionalFormatting>
  <conditionalFormatting sqref="I25:I29">
    <cfRule type="expression" dxfId="24" priority="5" stopIfTrue="1">
      <formula>$C25&gt;0</formula>
    </cfRule>
  </conditionalFormatting>
  <conditionalFormatting sqref="I32:I36">
    <cfRule type="expression" dxfId="23" priority="4" stopIfTrue="1">
      <formula>$C32&gt;0</formula>
    </cfRule>
  </conditionalFormatting>
  <conditionalFormatting sqref="D30">
    <cfRule type="expression" dxfId="22" priority="3" stopIfTrue="1">
      <formula>$C30&gt;0</formula>
    </cfRule>
  </conditionalFormatting>
  <conditionalFormatting sqref="D11">
    <cfRule type="expression" dxfId="21" priority="2" stopIfTrue="1">
      <formula>$C11&gt;0</formula>
    </cfRule>
  </conditionalFormatting>
  <conditionalFormatting sqref="Q8:Q38">
    <cfRule type="expression" dxfId="20"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12</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45627</v>
      </c>
      <c r="B8" s="36">
        <f>A8</f>
        <v>45627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45628</v>
      </c>
      <c r="B9" s="37">
        <f>A9</f>
        <v>45628</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45629</v>
      </c>
      <c r="B10" s="37">
        <f t="shared" ref="B10:B37" si="4">A10</f>
        <v>45629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45630</v>
      </c>
      <c r="B11" s="37">
        <f t="shared" si="4"/>
        <v>45630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45631</v>
      </c>
      <c r="B12" s="37">
        <f t="shared" si="4"/>
        <v>45631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45632</v>
      </c>
      <c r="B13" s="37">
        <f t="shared" si="4"/>
        <v>45632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45633</v>
      </c>
      <c r="B14" s="37">
        <f t="shared" si="4"/>
        <v>45633</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45634</v>
      </c>
      <c r="B15" s="37">
        <f t="shared" si="4"/>
        <v>45634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45635</v>
      </c>
      <c r="B16" s="37">
        <f t="shared" si="4"/>
        <v>45635</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45636</v>
      </c>
      <c r="B17" s="37">
        <f t="shared" si="4"/>
        <v>45636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45637</v>
      </c>
      <c r="B18" s="37">
        <f t="shared" si="4"/>
        <v>45637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45638</v>
      </c>
      <c r="B19" s="37">
        <f t="shared" si="4"/>
        <v>45638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45639</v>
      </c>
      <c r="B20" s="37">
        <f t="shared" si="4"/>
        <v>45639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45640</v>
      </c>
      <c r="B21" s="37">
        <f t="shared" si="4"/>
        <v>45640</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45641</v>
      </c>
      <c r="B22" s="37">
        <f t="shared" si="4"/>
        <v>45641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45642</v>
      </c>
      <c r="B23" s="37">
        <f t="shared" si="4"/>
        <v>45642</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45643</v>
      </c>
      <c r="B24" s="37">
        <f t="shared" si="4"/>
        <v>45643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45644</v>
      </c>
      <c r="B25" s="37">
        <f t="shared" si="4"/>
        <v>45644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45645</v>
      </c>
      <c r="B26" s="37">
        <f t="shared" si="4"/>
        <v>45645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45646</v>
      </c>
      <c r="B27" s="37">
        <f t="shared" si="4"/>
        <v>45646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45647</v>
      </c>
      <c r="B28" s="37">
        <f t="shared" si="4"/>
        <v>45647</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45648</v>
      </c>
      <c r="B29" s="37">
        <f t="shared" si="4"/>
        <v>45648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45649</v>
      </c>
      <c r="B30" s="37">
        <f t="shared" si="4"/>
        <v>45649</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45650</v>
      </c>
      <c r="B31" s="37">
        <f t="shared" si="4"/>
        <v>45650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45651</v>
      </c>
      <c r="B32" s="37">
        <f t="shared" si="4"/>
        <v>45651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45652</v>
      </c>
      <c r="B33" s="37">
        <f t="shared" si="4"/>
        <v>45652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45653</v>
      </c>
      <c r="B34" s="37">
        <f t="shared" si="4"/>
        <v>45653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45654</v>
      </c>
      <c r="B35" s="37">
        <f t="shared" si="4"/>
        <v>45654</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45655</v>
      </c>
      <c r="B36" s="37">
        <f t="shared" si="4"/>
        <v>45655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45656</v>
      </c>
      <c r="B37" s="37">
        <f t="shared" si="4"/>
        <v>45656</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45657</v>
      </c>
      <c r="B38" s="38">
        <f>A38</f>
        <v>45657</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19" priority="4" stopIfTrue="1">
      <formula>$C8&gt;0</formula>
    </cfRule>
  </conditionalFormatting>
  <conditionalFormatting sqref="I25:I29">
    <cfRule type="expression" dxfId="18" priority="3" stopIfTrue="1">
      <formula>$C25&gt;0</formula>
    </cfRule>
  </conditionalFormatting>
  <conditionalFormatting sqref="I32:I36">
    <cfRule type="expression" dxfId="17" priority="2" stopIfTrue="1">
      <formula>$C32&gt;0</formula>
    </cfRule>
  </conditionalFormatting>
  <conditionalFormatting sqref="Q8:Q38">
    <cfRule type="expression" dxfId="16"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45658</v>
      </c>
      <c r="B8" s="36">
        <f>A8</f>
        <v>45658</v>
      </c>
      <c r="C8" s="43">
        <f>IF(WEEKDAY(A8,2)&gt;5,1,0)+IF(D8&lt;&gt;"",1,0)</f>
        <v>1</v>
      </c>
      <c r="D8" s="44" t="s">
        <v>35</v>
      </c>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45659</v>
      </c>
      <c r="B9" s="37">
        <f>A9</f>
        <v>45659</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45660</v>
      </c>
      <c r="B10" s="37">
        <f t="shared" ref="B10:B37" si="4">A10</f>
        <v>45660</v>
      </c>
      <c r="C10" s="39">
        <f t="shared" si="1"/>
        <v>1</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45661</v>
      </c>
      <c r="B11" s="37">
        <f t="shared" si="4"/>
        <v>45661</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45662</v>
      </c>
      <c r="B12" s="37">
        <f t="shared" si="4"/>
        <v>45662</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45663</v>
      </c>
      <c r="B13" s="37">
        <f t="shared" si="4"/>
        <v>45663</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45664</v>
      </c>
      <c r="B14" s="37">
        <f t="shared" si="4"/>
        <v>45664</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45665</v>
      </c>
      <c r="B15" s="37">
        <f t="shared" si="4"/>
        <v>45665</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45666</v>
      </c>
      <c r="B16" s="37">
        <f t="shared" si="4"/>
        <v>45666</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45667</v>
      </c>
      <c r="B17" s="37">
        <f t="shared" si="4"/>
        <v>45667</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45668</v>
      </c>
      <c r="B18" s="37">
        <f t="shared" si="4"/>
        <v>45668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45669</v>
      </c>
      <c r="B19" s="37">
        <f t="shared" si="4"/>
        <v>45669</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45670</v>
      </c>
      <c r="B20" s="37">
        <f t="shared" si="4"/>
        <v>45670</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45671</v>
      </c>
      <c r="B21" s="37">
        <f t="shared" si="4"/>
        <v>45671</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45672</v>
      </c>
      <c r="B22" s="37">
        <f t="shared" si="4"/>
        <v>45672</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45673</v>
      </c>
      <c r="B23" s="37">
        <f t="shared" si="4"/>
        <v>45673</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45674</v>
      </c>
      <c r="B24" s="37">
        <f t="shared" si="4"/>
        <v>45674</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45675</v>
      </c>
      <c r="B25" s="37">
        <f t="shared" si="4"/>
        <v>45675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45676</v>
      </c>
      <c r="B26" s="37">
        <f t="shared" si="4"/>
        <v>45676</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45677</v>
      </c>
      <c r="B27" s="37">
        <f t="shared" si="4"/>
        <v>45677</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45678</v>
      </c>
      <c r="B28" s="37">
        <f t="shared" si="4"/>
        <v>45678</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45679</v>
      </c>
      <c r="B29" s="37">
        <f t="shared" si="4"/>
        <v>45679</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45680</v>
      </c>
      <c r="B30" s="37">
        <f t="shared" si="4"/>
        <v>45680</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45681</v>
      </c>
      <c r="B31" s="37">
        <f t="shared" si="4"/>
        <v>45681</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45682</v>
      </c>
      <c r="B32" s="37">
        <f t="shared" si="4"/>
        <v>45682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45683</v>
      </c>
      <c r="B33" s="37">
        <f t="shared" si="4"/>
        <v>45683</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45684</v>
      </c>
      <c r="B34" s="37">
        <f t="shared" si="4"/>
        <v>45684</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45685</v>
      </c>
      <c r="B35" s="37">
        <f t="shared" si="4"/>
        <v>45685</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45686</v>
      </c>
      <c r="B36" s="37">
        <f t="shared" si="4"/>
        <v>45686</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45687</v>
      </c>
      <c r="B37" s="37">
        <f t="shared" si="4"/>
        <v>45687</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45688</v>
      </c>
      <c r="B38" s="38">
        <f>A38</f>
        <v>45688</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7 D19:D38">
    <cfRule type="expression" dxfId="15" priority="5" stopIfTrue="1">
      <formula>$C8&gt;0</formula>
    </cfRule>
  </conditionalFormatting>
  <conditionalFormatting sqref="I25:I29">
    <cfRule type="expression" dxfId="14" priority="4" stopIfTrue="1">
      <formula>$C25&gt;0</formula>
    </cfRule>
  </conditionalFormatting>
  <conditionalFormatting sqref="I32:I36">
    <cfRule type="expression" dxfId="13" priority="3" stopIfTrue="1">
      <formula>$C32&gt;0</formula>
    </cfRule>
  </conditionalFormatting>
  <conditionalFormatting sqref="D18">
    <cfRule type="expression" dxfId="12" priority="2" stopIfTrue="1">
      <formula>$C18&gt;0</formula>
    </cfRule>
  </conditionalFormatting>
  <conditionalFormatting sqref="Q8:Q38">
    <cfRule type="expression" dxfId="11"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2</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45689</v>
      </c>
      <c r="B8" s="36">
        <f>A8</f>
        <v>45689</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45690</v>
      </c>
      <c r="B9" s="37">
        <f>A9</f>
        <v>45690</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45691</v>
      </c>
      <c r="B10" s="37">
        <f t="shared" ref="B10:B37" si="4">A10</f>
        <v>45691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45692</v>
      </c>
      <c r="B11" s="37">
        <f t="shared" si="4"/>
        <v>45692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45693</v>
      </c>
      <c r="B12" s="37">
        <f t="shared" si="4"/>
        <v>45693</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45694</v>
      </c>
      <c r="B13" s="37">
        <f t="shared" si="4"/>
        <v>45694</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45695</v>
      </c>
      <c r="B14" s="37">
        <f t="shared" si="4"/>
        <v>45695</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45696</v>
      </c>
      <c r="B15" s="37">
        <f t="shared" si="4"/>
        <v>45696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45697</v>
      </c>
      <c r="B16" s="37">
        <f t="shared" si="4"/>
        <v>45697</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45698</v>
      </c>
      <c r="B17" s="37">
        <f t="shared" si="4"/>
        <v>45698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45699</v>
      </c>
      <c r="B18" s="37">
        <f t="shared" si="4"/>
        <v>45699</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45700</v>
      </c>
      <c r="B19" s="37">
        <f t="shared" si="4"/>
        <v>45700</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45701</v>
      </c>
      <c r="B20" s="37">
        <f t="shared" si="4"/>
        <v>45701</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45702</v>
      </c>
      <c r="B21" s="37">
        <f t="shared" si="4"/>
        <v>45702</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45703</v>
      </c>
      <c r="B22" s="37">
        <f t="shared" si="4"/>
        <v>45703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45704</v>
      </c>
      <c r="B23" s="37">
        <f t="shared" si="4"/>
        <v>45704</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45705</v>
      </c>
      <c r="B24" s="37">
        <f t="shared" si="4"/>
        <v>45705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45706</v>
      </c>
      <c r="B25" s="37">
        <f t="shared" si="4"/>
        <v>45706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45707</v>
      </c>
      <c r="B26" s="37">
        <f t="shared" si="4"/>
        <v>45707</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45708</v>
      </c>
      <c r="B27" s="37">
        <f t="shared" si="4"/>
        <v>45708</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45709</v>
      </c>
      <c r="B28" s="37">
        <f t="shared" si="4"/>
        <v>45709</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45710</v>
      </c>
      <c r="B29" s="37">
        <f t="shared" si="4"/>
        <v>45710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45711</v>
      </c>
      <c r="B30" s="37">
        <f t="shared" si="4"/>
        <v>45711</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45712</v>
      </c>
      <c r="B31" s="37">
        <f t="shared" si="4"/>
        <v>45712</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45713</v>
      </c>
      <c r="B32" s="37">
        <f t="shared" si="4"/>
        <v>45713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45714</v>
      </c>
      <c r="B33" s="37">
        <f t="shared" si="4"/>
        <v>45714</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45715</v>
      </c>
      <c r="B34" s="37">
        <f t="shared" si="4"/>
        <v>45715</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45716</v>
      </c>
      <c r="B35" s="37">
        <f t="shared" si="4"/>
        <v>45716</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10" priority="4" stopIfTrue="1">
      <formula>$C8&gt;0</formula>
    </cfRule>
  </conditionalFormatting>
  <conditionalFormatting sqref="I25:I29">
    <cfRule type="expression" dxfId="9" priority="3" stopIfTrue="1">
      <formula>$C25&gt;0</formula>
    </cfRule>
  </conditionalFormatting>
  <conditionalFormatting sqref="I32:I36">
    <cfRule type="expression" dxfId="8" priority="2" stopIfTrue="1">
      <formula>$C32&gt;0</formula>
    </cfRule>
  </conditionalFormatting>
  <conditionalFormatting sqref="Q8:Q38">
    <cfRule type="expression" dxfId="7"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3</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45717</v>
      </c>
      <c r="B8" s="36">
        <f>A8</f>
        <v>45717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45718</v>
      </c>
      <c r="B9" s="37">
        <f>A9</f>
        <v>45718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45719</v>
      </c>
      <c r="B10" s="37">
        <f t="shared" ref="B10:B37" si="4">A10</f>
        <v>45719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45720</v>
      </c>
      <c r="B11" s="37">
        <f t="shared" si="4"/>
        <v>45720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45721</v>
      </c>
      <c r="B12" s="37">
        <f t="shared" si="4"/>
        <v>45721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45722</v>
      </c>
      <c r="B13" s="37">
        <f t="shared" si="4"/>
        <v>45722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45723</v>
      </c>
      <c r="B14" s="37">
        <f t="shared" si="4"/>
        <v>45723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45724</v>
      </c>
      <c r="B15" s="37">
        <f t="shared" si="4"/>
        <v>45724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45725</v>
      </c>
      <c r="B16" s="37">
        <f t="shared" si="4"/>
        <v>45725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45726</v>
      </c>
      <c r="B17" s="37">
        <f t="shared" si="4"/>
        <v>45726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45727</v>
      </c>
      <c r="B18" s="37">
        <f t="shared" si="4"/>
        <v>45727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45728</v>
      </c>
      <c r="B19" s="37">
        <f t="shared" si="4"/>
        <v>45728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45729</v>
      </c>
      <c r="B20" s="37">
        <f t="shared" si="4"/>
        <v>45729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45730</v>
      </c>
      <c r="B21" s="37">
        <f t="shared" si="4"/>
        <v>45730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45731</v>
      </c>
      <c r="B22" s="37">
        <f t="shared" si="4"/>
        <v>45731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45732</v>
      </c>
      <c r="B23" s="37">
        <f t="shared" si="4"/>
        <v>45732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45733</v>
      </c>
      <c r="B24" s="37">
        <f t="shared" si="4"/>
        <v>45733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45734</v>
      </c>
      <c r="B25" s="37">
        <f t="shared" si="4"/>
        <v>45734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45735</v>
      </c>
      <c r="B26" s="37">
        <f t="shared" si="4"/>
        <v>45735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45736</v>
      </c>
      <c r="B27" s="37">
        <f t="shared" si="4"/>
        <v>45736</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45737</v>
      </c>
      <c r="B28" s="37">
        <f t="shared" si="4"/>
        <v>45737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45738</v>
      </c>
      <c r="B29" s="37">
        <f t="shared" si="4"/>
        <v>45738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45739</v>
      </c>
      <c r="B30" s="37">
        <f t="shared" si="4"/>
        <v>45739</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45740</v>
      </c>
      <c r="B31" s="37">
        <f t="shared" si="4"/>
        <v>45740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45741</v>
      </c>
      <c r="B32" s="37">
        <f t="shared" si="4"/>
        <v>45741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45742</v>
      </c>
      <c r="B33" s="37">
        <f t="shared" si="4"/>
        <v>45742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45743</v>
      </c>
      <c r="B34" s="37">
        <f t="shared" si="4"/>
        <v>45743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45744</v>
      </c>
      <c r="B35" s="37">
        <f t="shared" si="4"/>
        <v>45744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45745</v>
      </c>
      <c r="B36" s="37">
        <f t="shared" si="4"/>
        <v>45745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45746</v>
      </c>
      <c r="B37" s="37">
        <f t="shared" si="4"/>
        <v>45746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45747</v>
      </c>
      <c r="B38" s="38">
        <f>A38</f>
        <v>45747</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6" priority="4" stopIfTrue="1">
      <formula>$C8&gt;0</formula>
    </cfRule>
  </conditionalFormatting>
  <conditionalFormatting sqref="I25:I29">
    <cfRule type="expression" dxfId="5" priority="3" stopIfTrue="1">
      <formula>$C25&gt;0</formula>
    </cfRule>
  </conditionalFormatting>
  <conditionalFormatting sqref="I32:I36">
    <cfRule type="expression" dxfId="4" priority="2" stopIfTrue="1">
      <formula>$C32&gt;0</formula>
    </cfRule>
  </conditionalFormatting>
  <conditionalFormatting sqref="Q8:Q38">
    <cfRule type="expression" dxfId="3"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2.05" customHeight="1" thickBot="1" x14ac:dyDescent="0.25"/>
    <row r="3" spans="1:22" ht="22.05" customHeight="1" thickTop="1" thickBot="1" x14ac:dyDescent="0.25">
      <c r="A3" s="69" t="s">
        <v>15</v>
      </c>
      <c r="B3" s="70"/>
      <c r="C3" s="70"/>
      <c r="D3" s="71"/>
      <c r="E3" s="75" t="s">
        <v>24</v>
      </c>
      <c r="F3" s="76"/>
      <c r="G3" s="76"/>
      <c r="H3" s="76"/>
      <c r="I3" s="76"/>
      <c r="J3" s="77"/>
      <c r="K3" s="53"/>
    </row>
    <row r="4" spans="1:22" ht="22.05" customHeight="1" thickTop="1" thickBot="1" x14ac:dyDescent="0.25">
      <c r="A4" s="69" t="s">
        <v>8</v>
      </c>
      <c r="B4" s="70"/>
      <c r="C4" s="70"/>
      <c r="D4" s="71"/>
      <c r="E4" s="75" t="s">
        <v>25</v>
      </c>
      <c r="F4" s="76"/>
      <c r="G4" s="76"/>
      <c r="H4" s="76"/>
      <c r="I4" s="76"/>
      <c r="J4" s="77"/>
      <c r="K4" s="53"/>
    </row>
    <row r="5" spans="1:22" ht="22.05" customHeight="1" thickTop="1" thickBot="1" x14ac:dyDescent="0.25">
      <c r="A5" s="78" t="s">
        <v>2</v>
      </c>
      <c r="B5" s="79"/>
      <c r="C5" s="79"/>
      <c r="D5" s="80"/>
      <c r="E5" s="75" t="s">
        <v>26</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9"/>
      <c r="N8" s="90"/>
      <c r="O8" s="90"/>
      <c r="P8" s="91"/>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row>
    <row r="39" spans="1:22" ht="18.75" customHeight="1" thickTop="1" thickBot="1" x14ac:dyDescent="0.25">
      <c r="A39" s="9"/>
      <c r="B39" s="9"/>
      <c r="C39" s="9"/>
      <c r="D39" s="10"/>
      <c r="E39" s="9"/>
      <c r="F39" s="9"/>
      <c r="G39" s="9"/>
      <c r="H39" s="87" t="s">
        <v>14</v>
      </c>
      <c r="I39" s="88"/>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2" priority="3" stopIfTrue="1">
      <formula>$C8&gt;0</formula>
    </cfRule>
  </conditionalFormatting>
  <conditionalFormatting sqref="I25:I29">
    <cfRule type="expression" dxfId="1" priority="2" stopIfTrue="1">
      <formula>$C25&gt;0</formula>
    </cfRule>
  </conditionalFormatting>
  <conditionalFormatting sqref="I32:I36">
    <cfRule type="expression" dxfId="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2024-08-14T01:06:45Z</dcterms:modified>
</cp:coreProperties>
</file>