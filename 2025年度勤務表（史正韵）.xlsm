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78C5D092-6A0F-4047-B18F-475A8C06C62F}" xr6:coauthVersionLast="47" xr6:coauthVersionMax="47" xr10:uidLastSave="{00000000-0000-0000-0000-000000000000}"/>
  <bookViews>
    <workbookView xWindow="-108" yWindow="-108" windowWidth="23256" windowHeight="13896" tabRatio="732" activeTab="7"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5" i="17" l="1"/>
  <c r="K35" i="17" s="1"/>
  <c r="J34" i="17"/>
  <c r="K34" i="17" s="1"/>
  <c r="J33" i="17"/>
  <c r="K33" i="17" s="1"/>
  <c r="J32" i="17"/>
  <c r="K32" i="17" s="1"/>
  <c r="J28" i="17"/>
  <c r="K28" i="17" s="1"/>
  <c r="J27" i="17"/>
  <c r="K27" i="17" s="1"/>
  <c r="J26" i="17"/>
  <c r="K26" i="17" s="1"/>
  <c r="J25" i="17"/>
  <c r="K25" i="17" s="1"/>
  <c r="J24" i="17"/>
  <c r="K24" i="17" s="1"/>
  <c r="J21" i="17"/>
  <c r="K21" i="17" s="1"/>
  <c r="J20" i="17"/>
  <c r="K20" i="17" s="1"/>
  <c r="J19" i="17"/>
  <c r="K19" i="17" s="1"/>
  <c r="J18" i="17"/>
  <c r="K18" i="17" s="1"/>
  <c r="J17" i="17"/>
  <c r="K17" i="17" s="1"/>
  <c r="J14" i="17"/>
  <c r="K14" i="17" s="1"/>
  <c r="J13" i="17"/>
  <c r="K13" i="17" s="1"/>
  <c r="J12" i="17"/>
  <c r="K12" i="17" s="1"/>
  <c r="J19" i="31"/>
  <c r="J18" i="31"/>
  <c r="J17" i="31"/>
  <c r="J16" i="31"/>
  <c r="J13" i="31"/>
  <c r="J12" i="31"/>
  <c r="J11" i="31"/>
  <c r="J10" i="31"/>
  <c r="J9" i="31"/>
  <c r="J20" i="29"/>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J35" i="35"/>
  <c r="K35" i="35" s="1"/>
  <c r="J34" i="35"/>
  <c r="K34" i="35" s="1"/>
  <c r="J33" i="35"/>
  <c r="K33" i="35" s="1"/>
  <c r="J32" i="35"/>
  <c r="K32" i="35" s="1"/>
  <c r="J31" i="35"/>
  <c r="K31" i="35" s="1"/>
  <c r="J30" i="35"/>
  <c r="K30" i="35" s="1"/>
  <c r="J29" i="35"/>
  <c r="K29" i="35" s="1"/>
  <c r="J28" i="35"/>
  <c r="K28" i="35" s="1"/>
  <c r="J27" i="35"/>
  <c r="K27" i="35" s="1"/>
  <c r="J26" i="35"/>
  <c r="K26" i="35" s="1"/>
  <c r="J25" i="35"/>
  <c r="K25" i="35" s="1"/>
  <c r="J24" i="35"/>
  <c r="K24" i="35" s="1"/>
  <c r="J23" i="35"/>
  <c r="K23" i="35" s="1"/>
  <c r="J22" i="35"/>
  <c r="K22" i="35" s="1"/>
  <c r="J21" i="35"/>
  <c r="K21" i="35" s="1"/>
  <c r="J20" i="35"/>
  <c r="K20" i="35" s="1"/>
  <c r="J19" i="35"/>
  <c r="K19" i="35" s="1"/>
  <c r="J18" i="35"/>
  <c r="K18" i="35" s="1"/>
  <c r="J17" i="35"/>
  <c r="K17" i="35" s="1"/>
  <c r="J16" i="35"/>
  <c r="K16" i="35" s="1"/>
  <c r="J15" i="35"/>
  <c r="K15" i="35" s="1"/>
  <c r="J14" i="35"/>
  <c r="K14" i="35" s="1"/>
  <c r="J13" i="35"/>
  <c r="K13" i="35" s="1"/>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K27" i="34"/>
  <c r="J27" i="34"/>
  <c r="J26" i="34"/>
  <c r="K26" i="34" s="1"/>
  <c r="J25" i="34"/>
  <c r="K25" i="34" s="1"/>
  <c r="J24" i="34"/>
  <c r="K24" i="34" s="1"/>
  <c r="J23" i="34"/>
  <c r="K23" i="34" s="1"/>
  <c r="J22" i="34"/>
  <c r="K22" i="34" s="1"/>
  <c r="J21" i="34"/>
  <c r="K21" i="34" s="1"/>
  <c r="J20" i="34"/>
  <c r="K20" i="34" s="1"/>
  <c r="J19" i="34"/>
  <c r="K19" i="34" s="1"/>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K37" i="33"/>
  <c r="J37" i="33"/>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J13" i="33"/>
  <c r="K13" i="33" s="1"/>
  <c r="J12" i="33"/>
  <c r="K12" i="33" s="1"/>
  <c r="J11" i="33"/>
  <c r="K11" i="33" s="1"/>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J16" i="32"/>
  <c r="K16" i="32" s="1"/>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J27" i="31"/>
  <c r="K27" i="31" s="1"/>
  <c r="J26" i="31"/>
  <c r="K26" i="31" s="1"/>
  <c r="J25" i="31"/>
  <c r="K25" i="31" s="1"/>
  <c r="J24" i="31"/>
  <c r="K24" i="31" s="1"/>
  <c r="J23" i="31"/>
  <c r="K23" i="31" s="1"/>
  <c r="J22" i="31"/>
  <c r="K22" i="31" s="1"/>
  <c r="J21" i="31"/>
  <c r="K21" i="31" s="1"/>
  <c r="J20" i="31"/>
  <c r="K20" i="31" s="1"/>
  <c r="K19" i="31"/>
  <c r="K18" i="31"/>
  <c r="K17" i="31"/>
  <c r="K16" i="31"/>
  <c r="J15" i="31"/>
  <c r="K15" i="31" s="1"/>
  <c r="J14" i="31"/>
  <c r="K14" i="31" s="1"/>
  <c r="K13" i="31"/>
  <c r="K12" i="31"/>
  <c r="K11" i="31"/>
  <c r="K10"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1" i="17"/>
  <c r="K31" i="17" s="1"/>
  <c r="J30" i="17"/>
  <c r="J29" i="17"/>
  <c r="K29" i="17" s="1"/>
  <c r="J23" i="17"/>
  <c r="K23" i="17" s="1"/>
  <c r="J22" i="17"/>
  <c r="K22" i="17" s="1"/>
  <c r="J16" i="17"/>
  <c r="K16" i="17" s="1"/>
  <c r="J15" i="17"/>
  <c r="K15"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<sst xmlns="http://schemas.openxmlformats.org/spreadsheetml/2006/main" count="297" uniqueCount="46">
  <si>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</si>
  <si>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</si>
  <si>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</si>
  <si>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</si>
  <si>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</si>
  <si>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</si>
  <si>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</si>
  <si>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</si>
  <si>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</si>
  <si>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</si>
  <si>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</si>
  <si>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</si>
  <si>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</si>
  <si>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</si>
  <si>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</si>
  <si>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</si>
  <si>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</si>
  <si>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</si>
  <si>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</si>
  <si>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</si>
  <si>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</si>
  <si>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</si>
  <si>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</si>
  <si>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</si>
  <si>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</si>
  <si>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</si>
  <si>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</si>
  <si>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</si>
  <si>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</si>
  <si>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</si>
  <si>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</si>
  <si>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</si>
  <si>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</si>
  <si>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</si>
  <si>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</si>
  <si>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</si>
  <si>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</si>
  <si>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</si>
  <si>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</si>
  <si>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</si>
  <si>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</si>
  <si>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史正韵</t>
    <phoneticPr fontId="2"/>
  </si>
  <si>
    <t>私事で休み</t>
    <rPh sb="0" eb="2">
      <t>シジ</t>
    </rPh>
    <rPh sb="3" eb="4">
      <t>ヤス</t>
    </rPh>
    <phoneticPr fontId="2"/>
  </si>
  <si>
    <t>私事で予定休暇</t>
    <rPh sb="0" eb="2">
      <t>シジ</t>
    </rPh>
    <rPh sb="3" eb="5">
      <t>ヨテイ</t>
    </rPh>
    <rPh sb="5" eb="7">
      <t>キュウカ</t>
    </rPh>
    <phoneticPr fontId="2"/>
  </si>
  <si>
    <t>夏休</t>
    <rPh sb="0" eb="2">
      <t>ナツヤス</t>
    </rPh>
    <phoneticPr fontId="2"/>
  </si>
  <si>
    <t>夏休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</si>
</sst>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33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6"/>
      <c r="N8" s="87"/>
      <c r="O8" s="87"/>
      <c r="P8" s="88"/>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26:H27 A33:H34 A28:D32 A36:H36 A35:D35 A38:I38 J8:P12 A12:I12 A8:D11 A37:D37 J14:P18 J21:P38 A13:D25 E19:P20 E13:P13 G8:H11 G14:H18 G21:H25 G28:H32 G35:H35 G37:H37">
    <cfRule type="expression" dxfId="333" priority="46" stopIfTrue="1">
      <formula>$C8&gt;0</formula>
    </cfRule>
  </conditionalFormatting>
  <conditionalFormatting sqref="I26:I27">
    <cfRule type="expression" dxfId="332" priority="45" stopIfTrue="1">
      <formula>$C26&gt;0</formula>
    </cfRule>
  </conditionalFormatting>
  <conditionalFormatting sqref="I33:I34 I36">
    <cfRule type="expression" dxfId="331" priority="44" stopIfTrue="1">
      <formula>$C33&gt;0</formula>
    </cfRule>
  </conditionalFormatting>
  <conditionalFormatting sqref="Q8:Q38">
    <cfRule type="expression" dxfId="330" priority="43" stopIfTrue="1">
      <formula>$C8&gt;0</formula>
    </cfRule>
  </conditionalFormatting>
  <conditionalFormatting sqref="E8:F8 I8">
    <cfRule type="expression" dxfId="329" priority="42" stopIfTrue="1">
      <formula>$C8&gt;0</formula>
    </cfRule>
  </conditionalFormatting>
  <conditionalFormatting sqref="E10:F10">
    <cfRule type="expression" dxfId="328" priority="41" stopIfTrue="1">
      <formula>$C10&gt;0</formula>
    </cfRule>
  </conditionalFormatting>
  <conditionalFormatting sqref="I10:I11">
    <cfRule type="expression" dxfId="327" priority="40" stopIfTrue="1">
      <formula>$C10&gt;0</formula>
    </cfRule>
  </conditionalFormatting>
  <conditionalFormatting sqref="E9:F9">
    <cfRule type="expression" dxfId="326" priority="39" stopIfTrue="1">
      <formula>$C9&gt;0</formula>
    </cfRule>
  </conditionalFormatting>
  <conditionalFormatting sqref="I9">
    <cfRule type="expression" dxfId="325" priority="38" stopIfTrue="1">
      <formula>$C9&gt;0</formula>
    </cfRule>
  </conditionalFormatting>
  <conditionalFormatting sqref="I14">
    <cfRule type="expression" dxfId="324" priority="33" stopIfTrue="1">
      <formula>$C14&gt;0</formula>
    </cfRule>
  </conditionalFormatting>
  <conditionalFormatting sqref="I15">
    <cfRule type="expression" dxfId="323" priority="32" stopIfTrue="1">
      <formula>$C15&gt;0</formula>
    </cfRule>
  </conditionalFormatting>
  <conditionalFormatting sqref="I16">
    <cfRule type="expression" dxfId="322" priority="31" stopIfTrue="1">
      <formula>$C16&gt;0</formula>
    </cfRule>
  </conditionalFormatting>
  <conditionalFormatting sqref="I17">
    <cfRule type="expression" dxfId="321" priority="30" stopIfTrue="1">
      <formula>$C17&gt;0</formula>
    </cfRule>
  </conditionalFormatting>
  <conditionalFormatting sqref="I18">
    <cfRule type="expression" dxfId="320" priority="29" stopIfTrue="1">
      <formula>$C18&gt;0</formula>
    </cfRule>
  </conditionalFormatting>
  <conditionalFormatting sqref="I21:I25">
    <cfRule type="expression" dxfId="319" priority="25" stopIfTrue="1">
      <formula>$C21&gt;0</formula>
    </cfRule>
  </conditionalFormatting>
  <conditionalFormatting sqref="I28:I32">
    <cfRule type="expression" dxfId="318" priority="23" stopIfTrue="1">
      <formula>$C28&gt;0</formula>
    </cfRule>
  </conditionalFormatting>
  <conditionalFormatting sqref="I35">
    <cfRule type="expression" dxfId="317" priority="21" stopIfTrue="1">
      <formula>$C35&gt;0</formula>
    </cfRule>
  </conditionalFormatting>
  <conditionalFormatting sqref="E35:F35">
    <cfRule type="expression" dxfId="316" priority="20" stopIfTrue="1">
      <formula>$C35&gt;0</formula>
    </cfRule>
  </conditionalFormatting>
  <conditionalFormatting sqref="I37">
    <cfRule type="expression" dxfId="315" priority="19" stopIfTrue="1">
      <formula>$C37&gt;0</formula>
    </cfRule>
  </conditionalFormatting>
  <conditionalFormatting sqref="E37:F37">
    <cfRule type="expression" dxfId="314" priority="18" stopIfTrue="1">
      <formula>$C37&gt;0</formula>
    </cfRule>
  </conditionalFormatting>
  <conditionalFormatting sqref="E11:F11">
    <cfRule type="expression" dxfId="313" priority="16" stopIfTrue="1">
      <formula>$C11&gt;0</formula>
    </cfRule>
  </conditionalFormatting>
  <conditionalFormatting sqref="E14:F14">
    <cfRule type="expression" dxfId="312" priority="15" stopIfTrue="1">
      <formula>$C14&gt;0</formula>
    </cfRule>
  </conditionalFormatting>
  <conditionalFormatting sqref="E16:F16">
    <cfRule type="expression" dxfId="311" priority="14" stopIfTrue="1">
      <formula>$C16&gt;0</formula>
    </cfRule>
  </conditionalFormatting>
  <conditionalFormatting sqref="E15:F15">
    <cfRule type="expression" dxfId="310" priority="13" stopIfTrue="1">
      <formula>$C15&gt;0</formula>
    </cfRule>
  </conditionalFormatting>
  <conditionalFormatting sqref="E17:F17">
    <cfRule type="expression" dxfId="309" priority="12" stopIfTrue="1">
      <formula>$C17&gt;0</formula>
    </cfRule>
  </conditionalFormatting>
  <conditionalFormatting sqref="E18:F18">
    <cfRule type="expression" dxfId="308" priority="11" stopIfTrue="1">
      <formula>$C18&gt;0</formula>
    </cfRule>
  </conditionalFormatting>
  <conditionalFormatting sqref="E21:F21">
    <cfRule type="expression" dxfId="307" priority="10" stopIfTrue="1">
      <formula>$C21&gt;0</formula>
    </cfRule>
  </conditionalFormatting>
  <conditionalFormatting sqref="E23:F23">
    <cfRule type="expression" dxfId="306" priority="9" stopIfTrue="1">
      <formula>$C23&gt;0</formula>
    </cfRule>
  </conditionalFormatting>
  <conditionalFormatting sqref="E22:F22">
    <cfRule type="expression" dxfId="305" priority="8" stopIfTrue="1">
      <formula>$C22&gt;0</formula>
    </cfRule>
  </conditionalFormatting>
  <conditionalFormatting sqref="E24:F24">
    <cfRule type="expression" dxfId="304" priority="7" stopIfTrue="1">
      <formula>$C24&gt;0</formula>
    </cfRule>
  </conditionalFormatting>
  <conditionalFormatting sqref="E25:F25">
    <cfRule type="expression" dxfId="303" priority="6" stopIfTrue="1">
      <formula>$C25&gt;0</formula>
    </cfRule>
  </conditionalFormatting>
  <conditionalFormatting sqref="E28:F28">
    <cfRule type="expression" dxfId="302" priority="5" stopIfTrue="1">
      <formula>$C28&gt;0</formula>
    </cfRule>
  </conditionalFormatting>
  <conditionalFormatting sqref="E30:F30">
    <cfRule type="expression" dxfId="301" priority="4" stopIfTrue="1">
      <formula>$C30&gt;0</formula>
    </cfRule>
  </conditionalFormatting>
  <conditionalFormatting sqref="E29:F29">
    <cfRule type="expression" dxfId="300" priority="3" stopIfTrue="1">
      <formula>$C29&gt;0</formula>
    </cfRule>
  </conditionalFormatting>
  <conditionalFormatting sqref="E31:F31">
    <cfRule type="expression" dxfId="299" priority="2" stopIfTrue="1">
      <formula>$C31&gt;0</formula>
    </cfRule>
  </conditionalFormatting>
  <conditionalFormatting sqref="E32:F32">
    <cfRule type="expression" dxfId="298"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8" activePane="bottomLeft" state="frozen"/>
      <selection activeCell="Q40" sqref="Q40"/>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42</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I31 A8:C38 E10:I13 D10:D12 D14:D38 E17:I18 I24 E24:H25 E28:H28 E31:H32 E38:I38">
    <cfRule type="expression" dxfId="297" priority="45" stopIfTrue="1">
      <formula>$C8&gt;0</formula>
    </cfRule>
  </conditionalFormatting>
  <conditionalFormatting sqref="I25 I28">
    <cfRule type="expression" dxfId="296" priority="44" stopIfTrue="1">
      <formula>$C25&gt;0</formula>
    </cfRule>
  </conditionalFormatting>
  <conditionalFormatting sqref="I32">
    <cfRule type="expression" dxfId="295" priority="43" stopIfTrue="1">
      <formula>$C32&gt;0</formula>
    </cfRule>
  </conditionalFormatting>
  <conditionalFormatting sqref="D8">
    <cfRule type="expression" dxfId="294" priority="42" stopIfTrue="1">
      <formula>$C8&gt;0</formula>
    </cfRule>
  </conditionalFormatting>
  <conditionalFormatting sqref="D9">
    <cfRule type="expression" dxfId="293" priority="41" stopIfTrue="1">
      <formula>$C9&gt;0</formula>
    </cfRule>
  </conditionalFormatting>
  <conditionalFormatting sqref="D13">
    <cfRule type="expression" dxfId="292" priority="40" stopIfTrue="1">
      <formula>$C13&gt;0</formula>
    </cfRule>
  </conditionalFormatting>
  <conditionalFormatting sqref="Q8:Q38">
    <cfRule type="expression" dxfId="291" priority="39" stopIfTrue="1">
      <formula>$C8&gt;0</formula>
    </cfRule>
  </conditionalFormatting>
  <conditionalFormatting sqref="G8:H8">
    <cfRule type="expression" dxfId="290" priority="38" stopIfTrue="1">
      <formula>$C8&gt;0</formula>
    </cfRule>
  </conditionalFormatting>
  <conditionalFormatting sqref="E8:F8 I8">
    <cfRule type="expression" dxfId="289" priority="37" stopIfTrue="1">
      <formula>$C8&gt;0</formula>
    </cfRule>
  </conditionalFormatting>
  <conditionalFormatting sqref="G9:H9">
    <cfRule type="expression" dxfId="288" priority="36" stopIfTrue="1">
      <formula>$C9&gt;0</formula>
    </cfRule>
  </conditionalFormatting>
  <conditionalFormatting sqref="E9:F9 I9">
    <cfRule type="expression" dxfId="287" priority="35" stopIfTrue="1">
      <formula>$C9&gt;0</formula>
    </cfRule>
  </conditionalFormatting>
  <conditionalFormatting sqref="G14:H14">
    <cfRule type="expression" dxfId="286" priority="34" stopIfTrue="1">
      <formula>$C14&gt;0</formula>
    </cfRule>
  </conditionalFormatting>
  <conditionalFormatting sqref="E14:F14 I14">
    <cfRule type="expression" dxfId="285" priority="33" stopIfTrue="1">
      <formula>$C14&gt;0</formula>
    </cfRule>
  </conditionalFormatting>
  <conditionalFormatting sqref="G15:H15">
    <cfRule type="expression" dxfId="284" priority="32" stopIfTrue="1">
      <formula>$C15&gt;0</formula>
    </cfRule>
  </conditionalFormatting>
  <conditionalFormatting sqref="E15:F15 I15">
    <cfRule type="expression" dxfId="283" priority="31" stopIfTrue="1">
      <formula>$C15&gt;0</formula>
    </cfRule>
  </conditionalFormatting>
  <conditionalFormatting sqref="G16:H16">
    <cfRule type="expression" dxfId="282" priority="30" stopIfTrue="1">
      <formula>$C16&gt;0</formula>
    </cfRule>
  </conditionalFormatting>
  <conditionalFormatting sqref="E16:F16 I16">
    <cfRule type="expression" dxfId="281" priority="29" stopIfTrue="1">
      <formula>$C16&gt;0</formula>
    </cfRule>
  </conditionalFormatting>
  <conditionalFormatting sqref="G19:H19">
    <cfRule type="expression" dxfId="280" priority="28" stopIfTrue="1">
      <formula>$C19&gt;0</formula>
    </cfRule>
  </conditionalFormatting>
  <conditionalFormatting sqref="E19:F19 I19">
    <cfRule type="expression" dxfId="279" priority="27" stopIfTrue="1">
      <formula>$C19&gt;0</formula>
    </cfRule>
  </conditionalFormatting>
  <conditionalFormatting sqref="G20:H20">
    <cfRule type="expression" dxfId="278" priority="26" stopIfTrue="1">
      <formula>$C20&gt;0</formula>
    </cfRule>
  </conditionalFormatting>
  <conditionalFormatting sqref="E20:F20 I20">
    <cfRule type="expression" dxfId="277" priority="25" stopIfTrue="1">
      <formula>$C20&gt;0</formula>
    </cfRule>
  </conditionalFormatting>
  <conditionalFormatting sqref="G21:H21">
    <cfRule type="expression" dxfId="276" priority="24" stopIfTrue="1">
      <formula>$C21&gt;0</formula>
    </cfRule>
  </conditionalFormatting>
  <conditionalFormatting sqref="E21:F21 I21">
    <cfRule type="expression" dxfId="275" priority="23" stopIfTrue="1">
      <formula>$C21&gt;0</formula>
    </cfRule>
  </conditionalFormatting>
  <conditionalFormatting sqref="G22:H22">
    <cfRule type="expression" dxfId="274" priority="22" stopIfTrue="1">
      <formula>$C22&gt;0</formula>
    </cfRule>
  </conditionalFormatting>
  <conditionalFormatting sqref="E22:F22 I22">
    <cfRule type="expression" dxfId="273" priority="21" stopIfTrue="1">
      <formula>$C22&gt;0</formula>
    </cfRule>
  </conditionalFormatting>
  <conditionalFormatting sqref="G23:H23">
    <cfRule type="expression" dxfId="272" priority="20" stopIfTrue="1">
      <formula>$C23&gt;0</formula>
    </cfRule>
  </conditionalFormatting>
  <conditionalFormatting sqref="E23:F23 I23">
    <cfRule type="expression" dxfId="271" priority="19" stopIfTrue="1">
      <formula>$C23&gt;0</formula>
    </cfRule>
  </conditionalFormatting>
  <conditionalFormatting sqref="G26:H26">
    <cfRule type="expression" dxfId="270" priority="18" stopIfTrue="1">
      <formula>$C26&gt;0</formula>
    </cfRule>
  </conditionalFormatting>
  <conditionalFormatting sqref="E26:F26 I26">
    <cfRule type="expression" dxfId="269" priority="17" stopIfTrue="1">
      <formula>$C26&gt;0</formula>
    </cfRule>
  </conditionalFormatting>
  <conditionalFormatting sqref="G27:H27">
    <cfRule type="expression" dxfId="268" priority="16" stopIfTrue="1">
      <formula>$C27&gt;0</formula>
    </cfRule>
  </conditionalFormatting>
  <conditionalFormatting sqref="E27:F27 I27">
    <cfRule type="expression" dxfId="267" priority="15" stopIfTrue="1">
      <formula>$C27&gt;0</formula>
    </cfRule>
  </conditionalFormatting>
  <conditionalFormatting sqref="G29:H29">
    <cfRule type="expression" dxfId="266" priority="14" stopIfTrue="1">
      <formula>$C29&gt;0</formula>
    </cfRule>
  </conditionalFormatting>
  <conditionalFormatting sqref="E29:F29 I29">
    <cfRule type="expression" dxfId="265" priority="13" stopIfTrue="1">
      <formula>$C29&gt;0</formula>
    </cfRule>
  </conditionalFormatting>
  <conditionalFormatting sqref="G30:H30">
    <cfRule type="expression" dxfId="264" priority="12" stopIfTrue="1">
      <formula>$C30&gt;0</formula>
    </cfRule>
  </conditionalFormatting>
  <conditionalFormatting sqref="E30:F30 I30">
    <cfRule type="expression" dxfId="263" priority="11" stopIfTrue="1">
      <formula>$C30&gt;0</formula>
    </cfRule>
  </conditionalFormatting>
  <conditionalFormatting sqref="G33:H33">
    <cfRule type="expression" dxfId="262" priority="10" stopIfTrue="1">
      <formula>$C33&gt;0</formula>
    </cfRule>
  </conditionalFormatting>
  <conditionalFormatting sqref="E33:F33 I33">
    <cfRule type="expression" dxfId="261" priority="9" stopIfTrue="1">
      <formula>$C33&gt;0</formula>
    </cfRule>
  </conditionalFormatting>
  <conditionalFormatting sqref="G34:H34">
    <cfRule type="expression" dxfId="260" priority="8" stopIfTrue="1">
      <formula>$C34&gt;0</formula>
    </cfRule>
  </conditionalFormatting>
  <conditionalFormatting sqref="E34:F34 I34">
    <cfRule type="expression" dxfId="259" priority="7" stopIfTrue="1">
      <formula>$C34&gt;0</formula>
    </cfRule>
  </conditionalFormatting>
  <conditionalFormatting sqref="G35:H35">
    <cfRule type="expression" dxfId="258" priority="6" stopIfTrue="1">
      <formula>$C35&gt;0</formula>
    </cfRule>
  </conditionalFormatting>
  <conditionalFormatting sqref="E35:F35 I35">
    <cfRule type="expression" dxfId="257" priority="5" stopIfTrue="1">
      <formula>$C35&gt;0</formula>
    </cfRule>
  </conditionalFormatting>
  <conditionalFormatting sqref="G36:H36">
    <cfRule type="expression" dxfId="256" priority="4" stopIfTrue="1">
      <formula>$C36&gt;0</formula>
    </cfRule>
  </conditionalFormatting>
  <conditionalFormatting sqref="E36:F36 I36">
    <cfRule type="expression" dxfId="255" priority="3" stopIfTrue="1">
      <formula>$C36&gt;0</formula>
    </cfRule>
  </conditionalFormatting>
  <conditionalFormatting sqref="G37:H37">
    <cfRule type="expression" dxfId="254" priority="2" stopIfTrue="1">
      <formula>$C37&gt;0</formula>
    </cfRule>
  </conditionalFormatting>
  <conditionalFormatting sqref="E37:F37 I37">
    <cfRule type="expression" dxfId="253"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T12" sqref="T1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45810</v>
      </c>
      <c r="B9" s="37">
        <f>A9</f>
        <v>45810</v>
      </c>
      <c r="C9" s="39">
        <f t="shared" ref="C9:C38" si="1">IF(WEEKDAY(A9,2)&gt;5,1,0)+IF(D9&lt;&gt;"",1,0)</f>
        <v>0</v>
      </c>
      <c r="D9" s="23"/>
      <c r="E9" s="20">
        <v>9</v>
      </c>
      <c r="F9" s="31">
        <v>0</v>
      </c>
      <c r="G9" s="20">
        <v>18</v>
      </c>
      <c r="H9" s="24">
        <v>30</v>
      </c>
      <c r="I9" s="34">
        <v>60</v>
      </c>
      <c r="J9" s="56">
        <f t="shared" si="0"/>
        <v>510</v>
      </c>
      <c r="K9" s="61">
        <f t="shared" ref="K9:K38" si="2">J9/60</f>
        <v>8.5</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v>9</v>
      </c>
      <c r="F10" s="31">
        <v>0</v>
      </c>
      <c r="G10" s="20">
        <v>18</v>
      </c>
      <c r="H10" s="24">
        <v>30</v>
      </c>
      <c r="I10" s="34">
        <v>60</v>
      </c>
      <c r="J10" s="56">
        <f t="shared" si="0"/>
        <v>510</v>
      </c>
      <c r="K10" s="61">
        <f t="shared" si="2"/>
        <v>8.5</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v>9</v>
      </c>
      <c r="F11" s="31">
        <v>0</v>
      </c>
      <c r="G11" s="20">
        <v>18</v>
      </c>
      <c r="H11" s="24">
        <v>30</v>
      </c>
      <c r="I11" s="34">
        <v>60</v>
      </c>
      <c r="J11" s="56">
        <f t="shared" si="0"/>
        <v>510</v>
      </c>
      <c r="K11" s="61">
        <f t="shared" si="2"/>
        <v>8.5</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v>9</v>
      </c>
      <c r="F12" s="31">
        <v>0</v>
      </c>
      <c r="G12" s="20">
        <v>18</v>
      </c>
      <c r="H12" s="24">
        <v>30</v>
      </c>
      <c r="I12" s="34">
        <v>60</v>
      </c>
      <c r="J12" s="56">
        <f t="shared" si="0"/>
        <v>510</v>
      </c>
      <c r="K12" s="61">
        <f t="shared" si="2"/>
        <v>8.5</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v>9</v>
      </c>
      <c r="F13" s="31">
        <v>0</v>
      </c>
      <c r="G13" s="20">
        <v>18</v>
      </c>
      <c r="H13" s="24">
        <v>30</v>
      </c>
      <c r="I13" s="34">
        <v>60</v>
      </c>
      <c r="J13" s="56">
        <f t="shared" si="0"/>
        <v>510</v>
      </c>
      <c r="K13" s="61">
        <f t="shared" si="2"/>
        <v>8.5</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v>9</v>
      </c>
      <c r="F16" s="31">
        <v>0</v>
      </c>
      <c r="G16" s="20">
        <v>18</v>
      </c>
      <c r="H16" s="24">
        <v>30</v>
      </c>
      <c r="I16" s="34">
        <v>60</v>
      </c>
      <c r="J16" s="56">
        <f t="shared" si="0"/>
        <v>510</v>
      </c>
      <c r="K16" s="61">
        <f t="shared" si="2"/>
        <v>8.5</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v>9</v>
      </c>
      <c r="F17" s="31">
        <v>0</v>
      </c>
      <c r="G17" s="20">
        <v>18</v>
      </c>
      <c r="H17" s="24">
        <v>30</v>
      </c>
      <c r="I17" s="34">
        <v>60</v>
      </c>
      <c r="J17" s="56">
        <f t="shared" si="0"/>
        <v>510</v>
      </c>
      <c r="K17" s="61">
        <f t="shared" si="2"/>
        <v>8.5</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v>9</v>
      </c>
      <c r="F18" s="31">
        <v>0</v>
      </c>
      <c r="G18" s="20">
        <v>18</v>
      </c>
      <c r="H18" s="24">
        <v>30</v>
      </c>
      <c r="I18" s="34">
        <v>60</v>
      </c>
      <c r="J18" s="56">
        <f t="shared" si="0"/>
        <v>510</v>
      </c>
      <c r="K18" s="61">
        <f t="shared" si="2"/>
        <v>8.5</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v>9</v>
      </c>
      <c r="F19" s="31">
        <v>0</v>
      </c>
      <c r="G19" s="20">
        <v>18</v>
      </c>
      <c r="H19" s="24">
        <v>30</v>
      </c>
      <c r="I19" s="34">
        <v>60</v>
      </c>
      <c r="J19" s="56">
        <f t="shared" si="0"/>
        <v>510</v>
      </c>
      <c r="K19" s="61">
        <f t="shared" si="2"/>
        <v>8.5</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t="s">
        <v>13</v>
      </c>
      <c r="M20" s="66" t="s">
        <v>43</v>
      </c>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45825</v>
      </c>
      <c r="B24" s="37">
        <f t="shared" si="4"/>
        <v>45825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45826</v>
      </c>
      <c r="B25" s="37">
        <f t="shared" si="4"/>
        <v>45826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45827</v>
      </c>
      <c r="B26" s="37">
        <f t="shared" si="4"/>
        <v>45827</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45828</v>
      </c>
      <c r="B27" s="37">
        <f t="shared" si="4"/>
        <v>45828</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45832</v>
      </c>
      <c r="B31" s="37">
        <f t="shared" si="4"/>
        <v>45832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45833</v>
      </c>
      <c r="B32" s="37">
        <f t="shared" si="4"/>
        <v>45833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45834</v>
      </c>
      <c r="B33" s="37">
        <f t="shared" si="4"/>
        <v>45834</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45835</v>
      </c>
      <c r="B34" s="37">
        <f t="shared" si="4"/>
        <v>45835</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P8 A14:P15 A9:D13 K9:P13 J20:P38 A20:I22 K16:P19 A16:D19 A28:H29 A23:D27 A35:H36 A30:D34 A38:I38 A37:D37">
    <cfRule type="expression" dxfId="252" priority="53" stopIfTrue="1">
      <formula>$C8&gt;0</formula>
    </cfRule>
  </conditionalFormatting>
  <conditionalFormatting sqref="I28:I29">
    <cfRule type="expression" dxfId="251" priority="52" stopIfTrue="1">
      <formula>$C28&gt;0</formula>
    </cfRule>
  </conditionalFormatting>
  <conditionalFormatting sqref="I35:I36">
    <cfRule type="expression" dxfId="250" priority="51" stopIfTrue="1">
      <formula>$C35&gt;0</formula>
    </cfRule>
  </conditionalFormatting>
  <conditionalFormatting sqref="Q8:Q38">
    <cfRule type="expression" dxfId="249" priority="50" stopIfTrue="1">
      <formula>$C8&gt;0</formula>
    </cfRule>
  </conditionalFormatting>
  <conditionalFormatting sqref="J9">
    <cfRule type="expression" dxfId="248" priority="49" stopIfTrue="1">
      <formula>$C9&gt;0</formula>
    </cfRule>
  </conditionalFormatting>
  <conditionalFormatting sqref="G9:H9">
    <cfRule type="expression" dxfId="247" priority="48" stopIfTrue="1">
      <formula>$C9&gt;0</formula>
    </cfRule>
  </conditionalFormatting>
  <conditionalFormatting sqref="E9:F9 I9">
    <cfRule type="expression" dxfId="246" priority="47" stopIfTrue="1">
      <formula>$C9&gt;0</formula>
    </cfRule>
  </conditionalFormatting>
  <conditionalFormatting sqref="J10">
    <cfRule type="expression" dxfId="245" priority="46" stopIfTrue="1">
      <formula>$C10&gt;0</formula>
    </cfRule>
  </conditionalFormatting>
  <conditionalFormatting sqref="G10:H10">
    <cfRule type="expression" dxfId="244" priority="45" stopIfTrue="1">
      <formula>$C10&gt;0</formula>
    </cfRule>
  </conditionalFormatting>
  <conditionalFormatting sqref="E10:F10 I10">
    <cfRule type="expression" dxfId="243" priority="44" stopIfTrue="1">
      <formula>$C10&gt;0</formula>
    </cfRule>
  </conditionalFormatting>
  <conditionalFormatting sqref="J11">
    <cfRule type="expression" dxfId="242" priority="43" stopIfTrue="1">
      <formula>$C11&gt;0</formula>
    </cfRule>
  </conditionalFormatting>
  <conditionalFormatting sqref="G11:H11">
    <cfRule type="expression" dxfId="241" priority="42" stopIfTrue="1">
      <formula>$C11&gt;0</formula>
    </cfRule>
  </conditionalFormatting>
  <conditionalFormatting sqref="E11:F11 I11">
    <cfRule type="expression" dxfId="240" priority="41" stopIfTrue="1">
      <formula>$C11&gt;0</formula>
    </cfRule>
  </conditionalFormatting>
  <conditionalFormatting sqref="J12">
    <cfRule type="expression" dxfId="239" priority="40" stopIfTrue="1">
      <formula>$C12&gt;0</formula>
    </cfRule>
  </conditionalFormatting>
  <conditionalFormatting sqref="G12:H12">
    <cfRule type="expression" dxfId="238" priority="39" stopIfTrue="1">
      <formula>$C12&gt;0</formula>
    </cfRule>
  </conditionalFormatting>
  <conditionalFormatting sqref="E12:F12 I12">
    <cfRule type="expression" dxfId="237" priority="38" stopIfTrue="1">
      <formula>$C12&gt;0</formula>
    </cfRule>
  </conditionalFormatting>
  <conditionalFormatting sqref="J13">
    <cfRule type="expression" dxfId="236" priority="37" stopIfTrue="1">
      <formula>$C13&gt;0</formula>
    </cfRule>
  </conditionalFormatting>
  <conditionalFormatting sqref="G13:H13">
    <cfRule type="expression" dxfId="235" priority="36" stopIfTrue="1">
      <formula>$C13&gt;0</formula>
    </cfRule>
  </conditionalFormatting>
  <conditionalFormatting sqref="E13:F13 I13">
    <cfRule type="expression" dxfId="234" priority="35" stopIfTrue="1">
      <formula>$C13&gt;0</formula>
    </cfRule>
  </conditionalFormatting>
  <conditionalFormatting sqref="J16">
    <cfRule type="expression" dxfId="233" priority="34" stopIfTrue="1">
      <formula>$C16&gt;0</formula>
    </cfRule>
  </conditionalFormatting>
  <conditionalFormatting sqref="G16:H16">
    <cfRule type="expression" dxfId="232" priority="33" stopIfTrue="1">
      <formula>$C16&gt;0</formula>
    </cfRule>
  </conditionalFormatting>
  <conditionalFormatting sqref="E16:F16 I16">
    <cfRule type="expression" dxfId="231" priority="32" stopIfTrue="1">
      <formula>$C16&gt;0</formula>
    </cfRule>
  </conditionalFormatting>
  <conditionalFormatting sqref="J17">
    <cfRule type="expression" dxfId="230" priority="31" stopIfTrue="1">
      <formula>$C17&gt;0</formula>
    </cfRule>
  </conditionalFormatting>
  <conditionalFormatting sqref="G17:H17">
    <cfRule type="expression" dxfId="229" priority="30" stopIfTrue="1">
      <formula>$C17&gt;0</formula>
    </cfRule>
  </conditionalFormatting>
  <conditionalFormatting sqref="E17:F17 I17">
    <cfRule type="expression" dxfId="228" priority="29" stopIfTrue="1">
      <formula>$C17&gt;0</formula>
    </cfRule>
  </conditionalFormatting>
  <conditionalFormatting sqref="J18">
    <cfRule type="expression" dxfId="227" priority="28" stopIfTrue="1">
      <formula>$C18&gt;0</formula>
    </cfRule>
  </conditionalFormatting>
  <conditionalFormatting sqref="G18:H18">
    <cfRule type="expression" dxfId="226" priority="27" stopIfTrue="1">
      <formula>$C18&gt;0</formula>
    </cfRule>
  </conditionalFormatting>
  <conditionalFormatting sqref="E18:F18 I18">
    <cfRule type="expression" dxfId="225" priority="26" stopIfTrue="1">
      <formula>$C18&gt;0</formula>
    </cfRule>
  </conditionalFormatting>
  <conditionalFormatting sqref="J19">
    <cfRule type="expression" dxfId="224" priority="25" stopIfTrue="1">
      <formula>$C19&gt;0</formula>
    </cfRule>
  </conditionalFormatting>
  <conditionalFormatting sqref="G19:H19">
    <cfRule type="expression" dxfId="223" priority="24" stopIfTrue="1">
      <formula>$C19&gt;0</formula>
    </cfRule>
  </conditionalFormatting>
  <conditionalFormatting sqref="E19:F19 I19">
    <cfRule type="expression" dxfId="222" priority="23" stopIfTrue="1">
      <formula>$C19&gt;0</formula>
    </cfRule>
  </conditionalFormatting>
  <conditionalFormatting sqref="G23:H23">
    <cfRule type="expression" dxfId="221" priority="22" stopIfTrue="1">
      <formula>$C23&gt;0</formula>
    </cfRule>
  </conditionalFormatting>
  <conditionalFormatting sqref="E23:F23 I23">
    <cfRule type="expression" dxfId="220" priority="21" stopIfTrue="1">
      <formula>$C23&gt;0</formula>
    </cfRule>
  </conditionalFormatting>
  <conditionalFormatting sqref="G24:H24">
    <cfRule type="expression" dxfId="219" priority="20" stopIfTrue="1">
      <formula>$C24&gt;0</formula>
    </cfRule>
  </conditionalFormatting>
  <conditionalFormatting sqref="E24:F24 I24">
    <cfRule type="expression" dxfId="218" priority="19" stopIfTrue="1">
      <formula>$C24&gt;0</formula>
    </cfRule>
  </conditionalFormatting>
  <conditionalFormatting sqref="G25:H25">
    <cfRule type="expression" dxfId="217" priority="18" stopIfTrue="1">
      <formula>$C25&gt;0</formula>
    </cfRule>
  </conditionalFormatting>
  <conditionalFormatting sqref="E25:F25 I25">
    <cfRule type="expression" dxfId="216" priority="17" stopIfTrue="1">
      <formula>$C25&gt;0</formula>
    </cfRule>
  </conditionalFormatting>
  <conditionalFormatting sqref="G26:H26">
    <cfRule type="expression" dxfId="215" priority="16" stopIfTrue="1">
      <formula>$C26&gt;0</formula>
    </cfRule>
  </conditionalFormatting>
  <conditionalFormatting sqref="E26:F26 I26">
    <cfRule type="expression" dxfId="214" priority="15" stopIfTrue="1">
      <formula>$C26&gt;0</formula>
    </cfRule>
  </conditionalFormatting>
  <conditionalFormatting sqref="G27:H27">
    <cfRule type="expression" dxfId="213" priority="14" stopIfTrue="1">
      <formula>$C27&gt;0</formula>
    </cfRule>
  </conditionalFormatting>
  <conditionalFormatting sqref="E27:F27 I27">
    <cfRule type="expression" dxfId="212" priority="13" stopIfTrue="1">
      <formula>$C27&gt;0</formula>
    </cfRule>
  </conditionalFormatting>
  <conditionalFormatting sqref="G30:H30">
    <cfRule type="expression" dxfId="211" priority="12" stopIfTrue="1">
      <formula>$C30&gt;0</formula>
    </cfRule>
  </conditionalFormatting>
  <conditionalFormatting sqref="E30:F30 I30">
    <cfRule type="expression" dxfId="210" priority="11" stopIfTrue="1">
      <formula>$C30&gt;0</formula>
    </cfRule>
  </conditionalFormatting>
  <conditionalFormatting sqref="G31:H31">
    <cfRule type="expression" dxfId="209" priority="10" stopIfTrue="1">
      <formula>$C31&gt;0</formula>
    </cfRule>
  </conditionalFormatting>
  <conditionalFormatting sqref="E31:F31 I31">
    <cfRule type="expression" dxfId="208" priority="9" stopIfTrue="1">
      <formula>$C31&gt;0</formula>
    </cfRule>
  </conditionalFormatting>
  <conditionalFormatting sqref="G32:H32">
    <cfRule type="expression" dxfId="207" priority="8" stopIfTrue="1">
      <formula>$C32&gt;0</formula>
    </cfRule>
  </conditionalFormatting>
  <conditionalFormatting sqref="E32:F32 I32">
    <cfRule type="expression" dxfId="206" priority="7" stopIfTrue="1">
      <formula>$C32&gt;0</formula>
    </cfRule>
  </conditionalFormatting>
  <conditionalFormatting sqref="G33:H33">
    <cfRule type="expression" dxfId="205" priority="6" stopIfTrue="1">
      <formula>$C33&gt;0</formula>
    </cfRule>
  </conditionalFormatting>
  <conditionalFormatting sqref="E33:F33 I33">
    <cfRule type="expression" dxfId="204" priority="5" stopIfTrue="1">
      <formula>$C33&gt;0</formula>
    </cfRule>
  </conditionalFormatting>
  <conditionalFormatting sqref="G34:H34">
    <cfRule type="expression" dxfId="203" priority="4" stopIfTrue="1">
      <formula>$C34&gt;0</formula>
    </cfRule>
  </conditionalFormatting>
  <conditionalFormatting sqref="E34:F34 I34">
    <cfRule type="expression" dxfId="202" priority="3" stopIfTrue="1">
      <formula>$C34&gt;0</formula>
    </cfRule>
  </conditionalFormatting>
  <conditionalFormatting sqref="G37:H37">
    <cfRule type="expression" dxfId="201" priority="2" stopIfTrue="1">
      <formula>$C37&gt;0</formula>
    </cfRule>
  </conditionalFormatting>
  <conditionalFormatting sqref="E37:F37 I37">
    <cfRule type="expression" dxfId="200"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23"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6" t="s">
        <v>44</v>
      </c>
      <c r="N8" s="87"/>
      <c r="O8" s="87"/>
      <c r="P8" s="88"/>
      <c r="Q8" s="21"/>
      <c r="S8" s="14"/>
      <c r="T8" s="6"/>
      <c r="U8" s="6"/>
      <c r="V8" s="6"/>
    </row>
    <row r="9" spans="1:22" ht="18" customHeight="1" x14ac:dyDescent="0.2">
      <c r="A9" s="22">
        <f>IF(A8="","",(A8+1))</f>
        <v>45840</v>
      </c>
      <c r="B9" s="37">
        <f>A9</f>
        <v>45840</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v>9</v>
      </c>
      <c r="F11" s="31">
        <v>0</v>
      </c>
      <c r="G11" s="20">
        <v>18</v>
      </c>
      <c r="H11" s="24">
        <v>30</v>
      </c>
      <c r="I11" s="34">
        <v>60</v>
      </c>
      <c r="J11" s="57">
        <f t="shared" si="0"/>
        <v>510</v>
      </c>
      <c r="K11" s="61">
        <f t="shared" si="2"/>
        <v>8.5</v>
      </c>
      <c r="L11" s="25"/>
      <c r="M11" s="66"/>
      <c r="N11" s="67"/>
      <c r="O11" s="67"/>
      <c r="P11" s="68"/>
      <c r="Q11" s="25" t="s">
        <v>13</v>
      </c>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v>9</v>
      </c>
      <c r="F16" s="31">
        <v>0</v>
      </c>
      <c r="G16" s="20">
        <v>18</v>
      </c>
      <c r="H16" s="24">
        <v>30</v>
      </c>
      <c r="I16" s="34">
        <v>60</v>
      </c>
      <c r="J16" s="57">
        <f t="shared" si="0"/>
        <v>510</v>
      </c>
      <c r="K16" s="61">
        <f t="shared" si="2"/>
        <v>8.5</v>
      </c>
      <c r="L16" s="25"/>
      <c r="M16" s="66"/>
      <c r="N16" s="67"/>
      <c r="O16" s="67"/>
      <c r="P16" s="68"/>
      <c r="Q16" s="25" t="s">
        <v>13</v>
      </c>
      <c r="S16" s="14"/>
      <c r="T16" s="11"/>
      <c r="U16" s="12"/>
      <c r="V16" s="13"/>
    </row>
    <row r="17" spans="1:22" ht="18" customHeight="1" x14ac:dyDescent="0.2">
      <c r="A17" s="22">
        <f t="shared" si="3"/>
        <v>45848</v>
      </c>
      <c r="B17" s="37">
        <f t="shared" si="4"/>
        <v>45848</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45853</v>
      </c>
      <c r="B22" s="37">
        <f t="shared" si="4"/>
        <v>45853</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45854</v>
      </c>
      <c r="B23" s="37">
        <f t="shared" si="4"/>
        <v>45854</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45855</v>
      </c>
      <c r="B24" s="37">
        <f t="shared" si="4"/>
        <v>45855</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45856</v>
      </c>
      <c r="B25" s="37">
        <f t="shared" si="4"/>
        <v>45856</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45861</v>
      </c>
      <c r="B30" s="37">
        <f t="shared" si="4"/>
        <v>45861</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45862</v>
      </c>
      <c r="B31" s="37">
        <f t="shared" si="4"/>
        <v>45862</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45863</v>
      </c>
      <c r="B32" s="37">
        <f t="shared" si="4"/>
        <v>45863</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v>9</v>
      </c>
      <c r="F35" s="31">
        <v>0</v>
      </c>
      <c r="G35" s="20">
        <v>18</v>
      </c>
      <c r="H35" s="24">
        <v>30</v>
      </c>
      <c r="I35" s="34">
        <v>60</v>
      </c>
      <c r="J35" s="57">
        <f t="shared" si="0"/>
        <v>510</v>
      </c>
      <c r="K35" s="61">
        <f t="shared" si="2"/>
        <v>8.5</v>
      </c>
      <c r="L35" s="25"/>
      <c r="M35" s="86"/>
      <c r="N35" s="87"/>
      <c r="O35" s="87"/>
      <c r="P35" s="88"/>
      <c r="Q35" s="25"/>
    </row>
    <row r="36" spans="1:22" ht="18" customHeight="1" x14ac:dyDescent="0.2">
      <c r="A36" s="22">
        <f>IF($A$35="","",IF(NOT(MONTH($A$35)=MONTH($A$35+1)),"",$A$35+1))</f>
        <v>45867</v>
      </c>
      <c r="B36" s="37">
        <f t="shared" si="4"/>
        <v>45867</v>
      </c>
      <c r="C36" s="39">
        <f t="shared" si="1"/>
        <v>0</v>
      </c>
      <c r="D36" s="23"/>
      <c r="E36" s="20">
        <v>9</v>
      </c>
      <c r="F36" s="31">
        <v>0</v>
      </c>
      <c r="G36" s="20">
        <v>18</v>
      </c>
      <c r="H36" s="24">
        <v>30</v>
      </c>
      <c r="I36" s="34">
        <v>60</v>
      </c>
      <c r="J36" s="57">
        <f t="shared" si="0"/>
        <v>510</v>
      </c>
      <c r="K36" s="61">
        <f t="shared" si="2"/>
        <v>8.5</v>
      </c>
      <c r="L36" s="25"/>
      <c r="M36" s="86"/>
      <c r="N36" s="87"/>
      <c r="O36" s="87"/>
      <c r="P36" s="8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t="s">
        <v>45</v>
      </c>
      <c r="N37" s="67"/>
      <c r="O37" s="67"/>
      <c r="P37" s="68"/>
      <c r="Q37" s="25"/>
    </row>
    <row r="38" spans="1:22" ht="18" customHeight="1" thickBot="1" x14ac:dyDescent="0.25">
      <c r="A38" s="26">
        <f>IF($A$35="","",IF(NOT(MONTH($A$35)=MONTH($A$35+3)),"",$A$35+3))</f>
        <v>45869</v>
      </c>
      <c r="B38" s="38">
        <f>A38</f>
        <v>45869</v>
      </c>
      <c r="C38" s="40">
        <f t="shared" si="1"/>
        <v>0</v>
      </c>
      <c r="D38" s="27"/>
      <c r="E38" s="20">
        <v>9</v>
      </c>
      <c r="F38" s="31">
        <v>0</v>
      </c>
      <c r="G38" s="20">
        <v>18</v>
      </c>
      <c r="H38" s="24">
        <v>30</v>
      </c>
      <c r="I38" s="34">
        <v>60</v>
      </c>
      <c r="J38" s="58">
        <f t="shared" si="0"/>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17</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C38 E8:I8 D8:D21 E12:I13 E19:I20 D26:H28 D23:D25 D33:H34 D29:D32 D35:D38 J8:P34 J37:P38 J35:L36">
    <cfRule type="expression" dxfId="199" priority="48" stopIfTrue="1">
      <formula>$C8&gt;0</formula>
    </cfRule>
  </conditionalFormatting>
  <conditionalFormatting sqref="I26:I28">
    <cfRule type="expression" dxfId="198" priority="47" stopIfTrue="1">
      <formula>$C26&gt;0</formula>
    </cfRule>
  </conditionalFormatting>
  <conditionalFormatting sqref="I33:I34">
    <cfRule type="expression" dxfId="197" priority="46" stopIfTrue="1">
      <formula>$C33&gt;0</formula>
    </cfRule>
  </conditionalFormatting>
  <conditionalFormatting sqref="D22">
    <cfRule type="expression" dxfId="196" priority="45" stopIfTrue="1">
      <formula>$C22&gt;0</formula>
    </cfRule>
  </conditionalFormatting>
  <conditionalFormatting sqref="Q8:Q38">
    <cfRule type="expression" dxfId="195" priority="44" stopIfTrue="1">
      <formula>$C8&gt;0</formula>
    </cfRule>
  </conditionalFormatting>
  <conditionalFormatting sqref="G9:H9">
    <cfRule type="expression" dxfId="194" priority="41" stopIfTrue="1">
      <formula>$C9&gt;0</formula>
    </cfRule>
  </conditionalFormatting>
  <conditionalFormatting sqref="E9:F9 I9">
    <cfRule type="expression" dxfId="193" priority="40" stopIfTrue="1">
      <formula>$C9&gt;0</formula>
    </cfRule>
  </conditionalFormatting>
  <conditionalFormatting sqref="G10:H10">
    <cfRule type="expression" dxfId="192" priority="39" stopIfTrue="1">
      <formula>$C10&gt;0</formula>
    </cfRule>
  </conditionalFormatting>
  <conditionalFormatting sqref="E10:F10 I10">
    <cfRule type="expression" dxfId="191" priority="38" stopIfTrue="1">
      <formula>$C10&gt;0</formula>
    </cfRule>
  </conditionalFormatting>
  <conditionalFormatting sqref="G11:H11">
    <cfRule type="expression" dxfId="190" priority="37" stopIfTrue="1">
      <formula>$C11&gt;0</formula>
    </cfRule>
  </conditionalFormatting>
  <conditionalFormatting sqref="E11:F11 I11">
    <cfRule type="expression" dxfId="189" priority="36" stopIfTrue="1">
      <formula>$C11&gt;0</formula>
    </cfRule>
  </conditionalFormatting>
  <conditionalFormatting sqref="G14:H14">
    <cfRule type="expression" dxfId="188" priority="35" stopIfTrue="1">
      <formula>$C14&gt;0</formula>
    </cfRule>
  </conditionalFormatting>
  <conditionalFormatting sqref="E14:F14 I14">
    <cfRule type="expression" dxfId="187" priority="34" stopIfTrue="1">
      <formula>$C14&gt;0</formula>
    </cfRule>
  </conditionalFormatting>
  <conditionalFormatting sqref="G16:H16">
    <cfRule type="expression" dxfId="186" priority="33" stopIfTrue="1">
      <formula>$C16&gt;0</formula>
    </cfRule>
  </conditionalFormatting>
  <conditionalFormatting sqref="E16:F16 I16">
    <cfRule type="expression" dxfId="185" priority="32" stopIfTrue="1">
      <formula>$C16&gt;0</formula>
    </cfRule>
  </conditionalFormatting>
  <conditionalFormatting sqref="G15:H15">
    <cfRule type="expression" dxfId="184" priority="31" stopIfTrue="1">
      <formula>$C15&gt;0</formula>
    </cfRule>
  </conditionalFormatting>
  <conditionalFormatting sqref="E15:F15 I15">
    <cfRule type="expression" dxfId="183" priority="30" stopIfTrue="1">
      <formula>$C15&gt;0</formula>
    </cfRule>
  </conditionalFormatting>
  <conditionalFormatting sqref="G17:H17">
    <cfRule type="expression" dxfId="182" priority="29" stopIfTrue="1">
      <formula>$C17&gt;0</formula>
    </cfRule>
  </conditionalFormatting>
  <conditionalFormatting sqref="E17:F17 I17">
    <cfRule type="expression" dxfId="181" priority="28" stopIfTrue="1">
      <formula>$C17&gt;0</formula>
    </cfRule>
  </conditionalFormatting>
  <conditionalFormatting sqref="G18:H18">
    <cfRule type="expression" dxfId="180" priority="27" stopIfTrue="1">
      <formula>$C18&gt;0</formula>
    </cfRule>
  </conditionalFormatting>
  <conditionalFormatting sqref="E18:F18 I18">
    <cfRule type="expression" dxfId="179" priority="26" stopIfTrue="1">
      <formula>$C18&gt;0</formula>
    </cfRule>
  </conditionalFormatting>
  <conditionalFormatting sqref="G21:H21">
    <cfRule type="expression" dxfId="178" priority="25" stopIfTrue="1">
      <formula>$C21&gt;0</formula>
    </cfRule>
  </conditionalFormatting>
  <conditionalFormatting sqref="E21:F21 I21">
    <cfRule type="expression" dxfId="177" priority="24" stopIfTrue="1">
      <formula>$C21&gt;0</formula>
    </cfRule>
  </conditionalFormatting>
  <conditionalFormatting sqref="G22:H22">
    <cfRule type="expression" dxfId="176" priority="23" stopIfTrue="1">
      <formula>$C22&gt;0</formula>
    </cfRule>
  </conditionalFormatting>
  <conditionalFormatting sqref="E22:F22 I22">
    <cfRule type="expression" dxfId="175" priority="22" stopIfTrue="1">
      <formula>$C22&gt;0</formula>
    </cfRule>
  </conditionalFormatting>
  <conditionalFormatting sqref="G23:H23">
    <cfRule type="expression" dxfId="174" priority="21" stopIfTrue="1">
      <formula>$C23&gt;0</formula>
    </cfRule>
  </conditionalFormatting>
  <conditionalFormatting sqref="E23:F23 I23">
    <cfRule type="expression" dxfId="173" priority="20" stopIfTrue="1">
      <formula>$C23&gt;0</formula>
    </cfRule>
  </conditionalFormatting>
  <conditionalFormatting sqref="G24:H24">
    <cfRule type="expression" dxfId="172" priority="19" stopIfTrue="1">
      <formula>$C24&gt;0</formula>
    </cfRule>
  </conditionalFormatting>
  <conditionalFormatting sqref="E24:F24 I24">
    <cfRule type="expression" dxfId="171" priority="18" stopIfTrue="1">
      <formula>$C24&gt;0</formula>
    </cfRule>
  </conditionalFormatting>
  <conditionalFormatting sqref="G25:H25">
    <cfRule type="expression" dxfId="170" priority="17" stopIfTrue="1">
      <formula>$C25&gt;0</formula>
    </cfRule>
  </conditionalFormatting>
  <conditionalFormatting sqref="E25:F25 I25">
    <cfRule type="expression" dxfId="169" priority="16" stopIfTrue="1">
      <formula>$C25&gt;0</formula>
    </cfRule>
  </conditionalFormatting>
  <conditionalFormatting sqref="G29:H29">
    <cfRule type="expression" dxfId="168" priority="15" stopIfTrue="1">
      <formula>$C29&gt;0</formula>
    </cfRule>
  </conditionalFormatting>
  <conditionalFormatting sqref="E29:F29 I29">
    <cfRule type="expression" dxfId="167" priority="14" stopIfTrue="1">
      <formula>$C29&gt;0</formula>
    </cfRule>
  </conditionalFormatting>
  <conditionalFormatting sqref="G30:H30">
    <cfRule type="expression" dxfId="166" priority="13" stopIfTrue="1">
      <formula>$C30&gt;0</formula>
    </cfRule>
  </conditionalFormatting>
  <conditionalFormatting sqref="E30:F30 I30">
    <cfRule type="expression" dxfId="165" priority="12" stopIfTrue="1">
      <formula>$C30&gt;0</formula>
    </cfRule>
  </conditionalFormatting>
  <conditionalFormatting sqref="G31:H31">
    <cfRule type="expression" dxfId="164" priority="11" stopIfTrue="1">
      <formula>$C31&gt;0</formula>
    </cfRule>
  </conditionalFormatting>
  <conditionalFormatting sqref="E31:F31 I31">
    <cfRule type="expression" dxfId="163" priority="10" stopIfTrue="1">
      <formula>$C31&gt;0</formula>
    </cfRule>
  </conditionalFormatting>
  <conditionalFormatting sqref="G32:H32">
    <cfRule type="expression" dxfId="162" priority="9" stopIfTrue="1">
      <formula>$C32&gt;0</formula>
    </cfRule>
  </conditionalFormatting>
  <conditionalFormatting sqref="E32:F32 I32">
    <cfRule type="expression" dxfId="161" priority="8" stopIfTrue="1">
      <formula>$C32&gt;0</formula>
    </cfRule>
  </conditionalFormatting>
  <conditionalFormatting sqref="G36:H36">
    <cfRule type="expression" dxfId="160" priority="7" stopIfTrue="1">
      <formula>$C36&gt;0</formula>
    </cfRule>
  </conditionalFormatting>
  <conditionalFormatting sqref="E35:F36 I35:I36">
    <cfRule type="expression" dxfId="159" priority="6" stopIfTrue="1">
      <formula>$C35&gt;0</formula>
    </cfRule>
  </conditionalFormatting>
  <conditionalFormatting sqref="G37:H37">
    <cfRule type="expression" dxfId="158" priority="5" stopIfTrue="1">
      <formula>$C37&gt;0</formula>
    </cfRule>
  </conditionalFormatting>
  <conditionalFormatting sqref="E37:F37 I37">
    <cfRule type="expression" dxfId="157" priority="4" stopIfTrue="1">
      <formula>$C37&gt;0</formula>
    </cfRule>
  </conditionalFormatting>
  <conditionalFormatting sqref="G38:H38">
    <cfRule type="expression" dxfId="156" priority="3" stopIfTrue="1">
      <formula>$C38&gt;0</formula>
    </cfRule>
  </conditionalFormatting>
  <conditionalFormatting sqref="E38:F38 I38">
    <cfRule type="expression" dxfId="155" priority="2" stopIfTrue="1">
      <formula>$C38&gt;0</formula>
    </cfRule>
  </conditionalFormatting>
  <conditionalFormatting sqref="G35:H35">
    <cfRule type="expression" dxfId="154" priority="1" stopIfTrue="1">
      <formula>$C35&gt;0</formula>
    </cfRule>
  </conditionalFormatting>
  <conditionalFormatting sqref="M35:P36">
    <cfRule type="expression" dxfId="153" priority="55" stopIfTrue="1">
      <formula>$C34&gt;0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25" activePane="bottomLeft" state="frozen"/>
      <selection activeCell="D2" sqref="D2"/>
      <selection pane="bottomLeft" activeCell="E25" sqref="E25:I2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45870</v>
      </c>
      <c r="B8" s="36">
        <f>A8</f>
        <v>45870</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v>9</v>
      </c>
      <c r="F14" s="31">
        <v>0</v>
      </c>
      <c r="G14" s="20">
        <v>18</v>
      </c>
      <c r="H14" s="24">
        <v>30</v>
      </c>
      <c r="I14" s="34">
        <v>60</v>
      </c>
      <c r="J14" s="57">
        <f t="shared" si="0"/>
        <v>510</v>
      </c>
      <c r="K14" s="61">
        <f t="shared" si="2"/>
        <v>8.5</v>
      </c>
      <c r="L14" s="25"/>
      <c r="M14" s="66"/>
      <c r="N14" s="67"/>
      <c r="O14" s="67"/>
      <c r="P14" s="68"/>
      <c r="Q14" s="25" t="s">
        <v>13</v>
      </c>
      <c r="S14" s="14"/>
      <c r="T14" s="11"/>
      <c r="U14" s="12"/>
      <c r="V14" s="13"/>
    </row>
    <row r="15" spans="1:22" ht="18" customHeight="1" x14ac:dyDescent="0.2">
      <c r="A15" s="22">
        <f t="shared" si="3"/>
        <v>45877</v>
      </c>
      <c r="B15" s="37">
        <f t="shared" si="4"/>
        <v>45877</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45882</v>
      </c>
      <c r="B20" s="37">
        <f t="shared" si="4"/>
        <v>45882</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45883</v>
      </c>
      <c r="B21" s="37">
        <f t="shared" si="4"/>
        <v>45883</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45884</v>
      </c>
      <c r="B22" s="37">
        <f t="shared" si="4"/>
        <v>45884</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45888</v>
      </c>
      <c r="B26" s="37">
        <f t="shared" si="4"/>
        <v>45888</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45889</v>
      </c>
      <c r="B27" s="37">
        <f t="shared" si="4"/>
        <v>45889</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45890</v>
      </c>
      <c r="B28" s="37">
        <f t="shared" si="4"/>
        <v>45890</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45891</v>
      </c>
      <c r="B29" s="37">
        <f t="shared" si="4"/>
        <v>45891</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45895</v>
      </c>
      <c r="B33" s="37">
        <f t="shared" si="4"/>
        <v>45895</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45896</v>
      </c>
      <c r="B34" s="37">
        <f t="shared" si="4"/>
        <v>45896</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45897</v>
      </c>
      <c r="B35" s="37">
        <f t="shared" si="4"/>
        <v>45897</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45898</v>
      </c>
      <c r="B36" s="37">
        <f t="shared" si="4"/>
        <v>45898</v>
      </c>
      <c r="C36" s="39">
        <f t="shared" si="1"/>
        <v>0</v>
      </c>
      <c r="D36" s="23"/>
      <c r="E36" s="20">
        <v>9</v>
      </c>
      <c r="F36" s="31">
        <v>0</v>
      </c>
      <c r="G36" s="20">
        <v>18</v>
      </c>
      <c r="H36" s="24">
        <v>30</v>
      </c>
      <c r="I36" s="34">
        <v>60</v>
      </c>
      <c r="J36" s="57">
        <f t="shared" si="0"/>
        <v>510</v>
      </c>
      <c r="K36" s="61">
        <f t="shared" si="2"/>
        <v>8.5</v>
      </c>
      <c r="L36" s="25"/>
      <c r="M36" s="66"/>
      <c r="N36" s="67"/>
      <c r="O36" s="67"/>
      <c r="P36" s="68"/>
      <c r="Q36" s="25" t="s">
        <v>13</v>
      </c>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9:I10 D8:D18 E16:I18 D23:I24 D20:D22 D30:I31 D25:D29 D37:I38 D32:D36">
    <cfRule type="expression" dxfId="152" priority="44" stopIfTrue="1">
      <formula>$C8&gt;0</formula>
    </cfRule>
  </conditionalFormatting>
  <conditionalFormatting sqref="D19">
    <cfRule type="expression" dxfId="151" priority="41" stopIfTrue="1">
      <formula>$C19&gt;0</formula>
    </cfRule>
  </conditionalFormatting>
  <conditionalFormatting sqref="Q8:Q38">
    <cfRule type="expression" dxfId="150" priority="40" stopIfTrue="1">
      <formula>$C8&gt;0</formula>
    </cfRule>
  </conditionalFormatting>
  <conditionalFormatting sqref="G8:H8">
    <cfRule type="expression" dxfId="149" priority="39" stopIfTrue="1">
      <formula>$C8&gt;0</formula>
    </cfRule>
  </conditionalFormatting>
  <conditionalFormatting sqref="E8:F8 I8">
    <cfRule type="expression" dxfId="148" priority="38" stopIfTrue="1">
      <formula>$C8&gt;0</formula>
    </cfRule>
  </conditionalFormatting>
  <conditionalFormatting sqref="G11:H11">
    <cfRule type="expression" dxfId="147" priority="37" stopIfTrue="1">
      <formula>$C11&gt;0</formula>
    </cfRule>
  </conditionalFormatting>
  <conditionalFormatting sqref="E11:F11 I11">
    <cfRule type="expression" dxfId="146" priority="36" stopIfTrue="1">
      <formula>$C11&gt;0</formula>
    </cfRule>
  </conditionalFormatting>
  <conditionalFormatting sqref="G12:H12">
    <cfRule type="expression" dxfId="145" priority="35" stopIfTrue="1">
      <formula>$C12&gt;0</formula>
    </cfRule>
  </conditionalFormatting>
  <conditionalFormatting sqref="E12:F12 I12">
    <cfRule type="expression" dxfId="144" priority="34" stopIfTrue="1">
      <formula>$C12&gt;0</formula>
    </cfRule>
  </conditionalFormatting>
  <conditionalFormatting sqref="G13:H13">
    <cfRule type="expression" dxfId="143" priority="33" stopIfTrue="1">
      <formula>$C13&gt;0</formula>
    </cfRule>
  </conditionalFormatting>
  <conditionalFormatting sqref="E13:F13 I13">
    <cfRule type="expression" dxfId="142" priority="32" stopIfTrue="1">
      <formula>$C13&gt;0</formula>
    </cfRule>
  </conditionalFormatting>
  <conditionalFormatting sqref="G14:H14">
    <cfRule type="expression" dxfId="141" priority="31" stopIfTrue="1">
      <formula>$C14&gt;0</formula>
    </cfRule>
  </conditionalFormatting>
  <conditionalFormatting sqref="E14:F14 I14">
    <cfRule type="expression" dxfId="140" priority="30" stopIfTrue="1">
      <formula>$C14&gt;0</formula>
    </cfRule>
  </conditionalFormatting>
  <conditionalFormatting sqref="G15:H15">
    <cfRule type="expression" dxfId="139" priority="29" stopIfTrue="1">
      <formula>$C15&gt;0</formula>
    </cfRule>
  </conditionalFormatting>
  <conditionalFormatting sqref="E15:F15 I15">
    <cfRule type="expression" dxfId="138" priority="28" stopIfTrue="1">
      <formula>$C15&gt;0</formula>
    </cfRule>
  </conditionalFormatting>
  <conditionalFormatting sqref="G19:H19">
    <cfRule type="expression" dxfId="137" priority="27" stopIfTrue="1">
      <formula>$C19&gt;0</formula>
    </cfRule>
  </conditionalFormatting>
  <conditionalFormatting sqref="E19:F19 I19">
    <cfRule type="expression" dxfId="136" priority="26" stopIfTrue="1">
      <formula>$C19&gt;0</formula>
    </cfRule>
  </conditionalFormatting>
  <conditionalFormatting sqref="G20:H20">
    <cfRule type="expression" dxfId="135" priority="25" stopIfTrue="1">
      <formula>$C20&gt;0</formula>
    </cfRule>
  </conditionalFormatting>
  <conditionalFormatting sqref="E20:F20 I20">
    <cfRule type="expression" dxfId="134" priority="24" stopIfTrue="1">
      <formula>$C20&gt;0</formula>
    </cfRule>
  </conditionalFormatting>
  <conditionalFormatting sqref="G21:H21">
    <cfRule type="expression" dxfId="133" priority="23" stopIfTrue="1">
      <formula>$C21&gt;0</formula>
    </cfRule>
  </conditionalFormatting>
  <conditionalFormatting sqref="E21:F21 I21">
    <cfRule type="expression" dxfId="132" priority="22" stopIfTrue="1">
      <formula>$C21&gt;0</formula>
    </cfRule>
  </conditionalFormatting>
  <conditionalFormatting sqref="G22:H22">
    <cfRule type="expression" dxfId="131" priority="21" stopIfTrue="1">
      <formula>$C22&gt;0</formula>
    </cfRule>
  </conditionalFormatting>
  <conditionalFormatting sqref="E22:F22 I22">
    <cfRule type="expression" dxfId="130" priority="20" stopIfTrue="1">
      <formula>$C22&gt;0</formula>
    </cfRule>
  </conditionalFormatting>
  <conditionalFormatting sqref="G25:H25">
    <cfRule type="expression" dxfId="129" priority="19" stopIfTrue="1">
      <formula>$C25&gt;0</formula>
    </cfRule>
  </conditionalFormatting>
  <conditionalFormatting sqref="E25:F25 I25">
    <cfRule type="expression" dxfId="128" priority="18" stopIfTrue="1">
      <formula>$C25&gt;0</formula>
    </cfRule>
  </conditionalFormatting>
  <conditionalFormatting sqref="G26:H26">
    <cfRule type="expression" dxfId="127" priority="17" stopIfTrue="1">
      <formula>$C26&gt;0</formula>
    </cfRule>
  </conditionalFormatting>
  <conditionalFormatting sqref="E26:F26 I26">
    <cfRule type="expression" dxfId="126" priority="16" stopIfTrue="1">
      <formula>$C26&gt;0</formula>
    </cfRule>
  </conditionalFormatting>
  <conditionalFormatting sqref="G27:H27">
    <cfRule type="expression" dxfId="125" priority="15" stopIfTrue="1">
      <formula>$C27&gt;0</formula>
    </cfRule>
  </conditionalFormatting>
  <conditionalFormatting sqref="E27:F27 I27">
    <cfRule type="expression" dxfId="124" priority="14" stopIfTrue="1">
      <formula>$C27&gt;0</formula>
    </cfRule>
  </conditionalFormatting>
  <conditionalFormatting sqref="G28:H28">
    <cfRule type="expression" dxfId="123" priority="13" stopIfTrue="1">
      <formula>$C28&gt;0</formula>
    </cfRule>
  </conditionalFormatting>
  <conditionalFormatting sqref="E28:F28 I28">
    <cfRule type="expression" dxfId="122" priority="12" stopIfTrue="1">
      <formula>$C28&gt;0</formula>
    </cfRule>
  </conditionalFormatting>
  <conditionalFormatting sqref="G29:H29">
    <cfRule type="expression" dxfId="121" priority="11" stopIfTrue="1">
      <formula>$C29&gt;0</formula>
    </cfRule>
  </conditionalFormatting>
  <conditionalFormatting sqref="E29:F29 I29">
    <cfRule type="expression" dxfId="120" priority="10" stopIfTrue="1">
      <formula>$C29&gt;0</formula>
    </cfRule>
  </conditionalFormatting>
  <conditionalFormatting sqref="G32:H32">
    <cfRule type="expression" dxfId="119" priority="9" stopIfTrue="1">
      <formula>$C32&gt;0</formula>
    </cfRule>
  </conditionalFormatting>
  <conditionalFormatting sqref="E32:F32 I32">
    <cfRule type="expression" dxfId="118" priority="8" stopIfTrue="1">
      <formula>$C32&gt;0</formula>
    </cfRule>
  </conditionalFormatting>
  <conditionalFormatting sqref="G33:H33">
    <cfRule type="expression" dxfId="117" priority="7" stopIfTrue="1">
      <formula>$C33&gt;0</formula>
    </cfRule>
  </conditionalFormatting>
  <conditionalFormatting sqref="E33:F33 I33">
    <cfRule type="expression" dxfId="116" priority="6" stopIfTrue="1">
      <formula>$C33&gt;0</formula>
    </cfRule>
  </conditionalFormatting>
  <conditionalFormatting sqref="G34:H34">
    <cfRule type="expression" dxfId="115" priority="5" stopIfTrue="1">
      <formula>$C34&gt;0</formula>
    </cfRule>
  </conditionalFormatting>
  <conditionalFormatting sqref="E34:F35 I34:I35">
    <cfRule type="expression" dxfId="114" priority="4" stopIfTrue="1">
      <formula>$C34&gt;0</formula>
    </cfRule>
  </conditionalFormatting>
  <conditionalFormatting sqref="G36:H36">
    <cfRule type="expression" dxfId="113" priority="3" stopIfTrue="1">
      <formula>$C36&gt;0</formula>
    </cfRule>
  </conditionalFormatting>
  <conditionalFormatting sqref="E36:F36 I36">
    <cfRule type="expression" dxfId="112" priority="2" stopIfTrue="1">
      <formula>$C36&gt;0</formula>
    </cfRule>
  </conditionalFormatting>
  <conditionalFormatting sqref="G35:H35">
    <cfRule type="expression" dxfId="111"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27" activePane="bottomLeft" state="frozen"/>
      <selection activeCell="D2" sqref="D2"/>
      <selection pane="bottomLeft" activeCell="E29" sqref="E29:I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45901</v>
      </c>
      <c r="B8" s="36">
        <f>A8</f>
        <v>45901</v>
      </c>
      <c r="C8" s="43">
        <f>IF(WEEKDAY(A8,2)&gt;5,1,0)+IF(D8&lt;&gt;"",1,0)</f>
        <v>0</v>
      </c>
      <c r="D8" s="44"/>
      <c r="E8" s="20">
        <v>9</v>
      </c>
      <c r="F8" s="31">
        <v>0</v>
      </c>
      <c r="G8" s="20">
        <v>18</v>
      </c>
      <c r="H8" s="24">
        <v>30</v>
      </c>
      <c r="I8" s="34">
        <v>60</v>
      </c>
      <c r="J8" s="56">
        <f t="shared" ref="J8:J38" si="0">IF((H8-F8)&lt;0,(G8-E8-1)*60+(60+H8-F8),(G8-E8)*60+H8-F8)-I8</f>
        <v>510</v>
      </c>
      <c r="K8" s="60">
        <f>J8/60</f>
        <v>8.5</v>
      </c>
      <c r="L8" s="21"/>
      <c r="M8" s="86"/>
      <c r="N8" s="87"/>
      <c r="O8" s="87"/>
      <c r="P8" s="88"/>
      <c r="Q8" s="21"/>
      <c r="S8" s="14"/>
      <c r="T8" s="6"/>
      <c r="U8" s="6"/>
      <c r="V8" s="6"/>
    </row>
    <row r="9" spans="1:22" ht="18" customHeight="1" x14ac:dyDescent="0.2">
      <c r="A9" s="22">
        <f>IF(A8="","",(A8+1))</f>
        <v>45902</v>
      </c>
      <c r="B9" s="37">
        <f>A9</f>
        <v>45902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45917</v>
      </c>
      <c r="B24" s="37">
        <f t="shared" si="4"/>
        <v>45917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45918</v>
      </c>
      <c r="B25" s="37">
        <f t="shared" si="4"/>
        <v>45918</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45919</v>
      </c>
      <c r="B26" s="37">
        <f t="shared" si="4"/>
        <v>45919</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45925</v>
      </c>
      <c r="B32" s="37">
        <f t="shared" si="4"/>
        <v>45925</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45926</v>
      </c>
      <c r="B33" s="37">
        <f t="shared" si="4"/>
        <v>45926</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t="s">
        <v>44</v>
      </c>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t="s">
        <v>44</v>
      </c>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A8:C38 E13:I14 D24:D27 D8:D22 D31:D38 E20:I22 E27:H28 E30:I30 E34:H38 J8:P38">
    <cfRule type="expression" dxfId="110" priority="44" stopIfTrue="1">
      <formula>$C8&gt;0</formula>
    </cfRule>
  </conditionalFormatting>
  <conditionalFormatting sqref="I27:I28">
    <cfRule type="expression" dxfId="109" priority="43" stopIfTrue="1">
      <formula>$C27&gt;0</formula>
    </cfRule>
  </conditionalFormatting>
  <conditionalFormatting sqref="I34:I36">
    <cfRule type="expression" dxfId="108" priority="42" stopIfTrue="1">
      <formula>$C34&gt;0</formula>
    </cfRule>
  </conditionalFormatting>
  <conditionalFormatting sqref="D28">
    <cfRule type="expression" dxfId="107" priority="41" stopIfTrue="1">
      <formula>$C28&gt;0</formula>
    </cfRule>
  </conditionalFormatting>
  <conditionalFormatting sqref="D29">
    <cfRule type="expression" dxfId="106" priority="40" stopIfTrue="1">
      <formula>$C29&gt;0</formula>
    </cfRule>
  </conditionalFormatting>
  <conditionalFormatting sqref="D23">
    <cfRule type="expression" dxfId="105" priority="39" stopIfTrue="1">
      <formula>$C23&gt;0</formula>
    </cfRule>
  </conditionalFormatting>
  <conditionalFormatting sqref="D30">
    <cfRule type="expression" dxfId="104" priority="38" stopIfTrue="1">
      <formula>$C30&gt;0</formula>
    </cfRule>
  </conditionalFormatting>
  <conditionalFormatting sqref="Q8:Q38">
    <cfRule type="expression" dxfId="103" priority="37" stopIfTrue="1">
      <formula>$C8&gt;0</formula>
    </cfRule>
  </conditionalFormatting>
  <conditionalFormatting sqref="G15:H15">
    <cfRule type="expression" dxfId="102" priority="36" stopIfTrue="1">
      <formula>$C15&gt;0</formula>
    </cfRule>
  </conditionalFormatting>
  <conditionalFormatting sqref="E15:F15 I15">
    <cfRule type="expression" dxfId="101" priority="35" stopIfTrue="1">
      <formula>$C15&gt;0</formula>
    </cfRule>
  </conditionalFormatting>
  <conditionalFormatting sqref="G16:H19">
    <cfRule type="expression" dxfId="100" priority="28" stopIfTrue="1">
      <formula>$C16&gt;0</formula>
    </cfRule>
  </conditionalFormatting>
  <conditionalFormatting sqref="E16:F19 I16:I19">
    <cfRule type="expression" dxfId="99" priority="27" stopIfTrue="1">
      <formula>$C16&gt;0</formula>
    </cfRule>
  </conditionalFormatting>
  <conditionalFormatting sqref="G8:H8">
    <cfRule type="expression" dxfId="98" priority="26" stopIfTrue="1">
      <formula>$C8&gt;0</formula>
    </cfRule>
  </conditionalFormatting>
  <conditionalFormatting sqref="E8:F8 I8">
    <cfRule type="expression" dxfId="97" priority="25" stopIfTrue="1">
      <formula>$C8&gt;0</formula>
    </cfRule>
  </conditionalFormatting>
  <conditionalFormatting sqref="G9:H9">
    <cfRule type="expression" dxfId="96" priority="24" stopIfTrue="1">
      <formula>$C9&gt;0</formula>
    </cfRule>
  </conditionalFormatting>
  <conditionalFormatting sqref="E9:F9 I9">
    <cfRule type="expression" dxfId="95" priority="23" stopIfTrue="1">
      <formula>$C9&gt;0</formula>
    </cfRule>
  </conditionalFormatting>
  <conditionalFormatting sqref="G10:H10">
    <cfRule type="expression" dxfId="94" priority="22" stopIfTrue="1">
      <formula>$C10&gt;0</formula>
    </cfRule>
  </conditionalFormatting>
  <conditionalFormatting sqref="E10:F10 I10">
    <cfRule type="expression" dxfId="93" priority="21" stopIfTrue="1">
      <formula>$C10&gt;0</formula>
    </cfRule>
  </conditionalFormatting>
  <conditionalFormatting sqref="G11:H11">
    <cfRule type="expression" dxfId="92" priority="20" stopIfTrue="1">
      <formula>$C11&gt;0</formula>
    </cfRule>
  </conditionalFormatting>
  <conditionalFormatting sqref="E11:F11 I11">
    <cfRule type="expression" dxfId="91" priority="19" stopIfTrue="1">
      <formula>$C11&gt;0</formula>
    </cfRule>
  </conditionalFormatting>
  <conditionalFormatting sqref="G12:H12">
    <cfRule type="expression" dxfId="90" priority="18" stopIfTrue="1">
      <formula>$C12&gt;0</formula>
    </cfRule>
  </conditionalFormatting>
  <conditionalFormatting sqref="E12:F12 I12">
    <cfRule type="expression" dxfId="89" priority="17" stopIfTrue="1">
      <formula>$C12&gt;0</formula>
    </cfRule>
  </conditionalFormatting>
  <conditionalFormatting sqref="G23:H23">
    <cfRule type="expression" dxfId="88" priority="16" stopIfTrue="1">
      <formula>$C23&gt;0</formula>
    </cfRule>
  </conditionalFormatting>
  <conditionalFormatting sqref="E23:F23 I23">
    <cfRule type="expression" dxfId="87" priority="15" stopIfTrue="1">
      <formula>$C23&gt;0</formula>
    </cfRule>
  </conditionalFormatting>
  <conditionalFormatting sqref="G24:H24">
    <cfRule type="expression" dxfId="86" priority="14" stopIfTrue="1">
      <formula>$C24&gt;0</formula>
    </cfRule>
  </conditionalFormatting>
  <conditionalFormatting sqref="E24:F24 I24">
    <cfRule type="expression" dxfId="85" priority="13" stopIfTrue="1">
      <formula>$C24&gt;0</formula>
    </cfRule>
  </conditionalFormatting>
  <conditionalFormatting sqref="G25:H25">
    <cfRule type="expression" dxfId="84" priority="12" stopIfTrue="1">
      <formula>$C25&gt;0</formula>
    </cfRule>
  </conditionalFormatting>
  <conditionalFormatting sqref="E25:F25 I25">
    <cfRule type="expression" dxfId="83" priority="11" stopIfTrue="1">
      <formula>$C25&gt;0</formula>
    </cfRule>
  </conditionalFormatting>
  <conditionalFormatting sqref="G26:H26">
    <cfRule type="expression" dxfId="82" priority="10" stopIfTrue="1">
      <formula>$C26&gt;0</formula>
    </cfRule>
  </conditionalFormatting>
  <conditionalFormatting sqref="E26:F26 I26">
    <cfRule type="expression" dxfId="81" priority="9" stopIfTrue="1">
      <formula>$C26&gt;0</formula>
    </cfRule>
  </conditionalFormatting>
  <conditionalFormatting sqref="G29:H29">
    <cfRule type="expression" dxfId="80" priority="8" stopIfTrue="1">
      <formula>$C29&gt;0</formula>
    </cfRule>
  </conditionalFormatting>
  <conditionalFormatting sqref="E29:F29 I29">
    <cfRule type="expression" dxfId="79" priority="7" stopIfTrue="1">
      <formula>$C29&gt;0</formula>
    </cfRule>
  </conditionalFormatting>
  <conditionalFormatting sqref="G31:H31">
    <cfRule type="expression" dxfId="78" priority="6" stopIfTrue="1">
      <formula>$C31&gt;0</formula>
    </cfRule>
  </conditionalFormatting>
  <conditionalFormatting sqref="E31:F31 I31">
    <cfRule type="expression" dxfId="77" priority="5" stopIfTrue="1">
      <formula>$C31&gt;0</formula>
    </cfRule>
  </conditionalFormatting>
  <conditionalFormatting sqref="G32:H32">
    <cfRule type="expression" dxfId="76" priority="4" stopIfTrue="1">
      <formula>$C32&gt;0</formula>
    </cfRule>
  </conditionalFormatting>
  <conditionalFormatting sqref="E32:F32 I32">
    <cfRule type="expression" dxfId="75" priority="3" stopIfTrue="1">
      <formula>$C32&gt;0</formula>
    </cfRule>
  </conditionalFormatting>
  <conditionalFormatting sqref="G33:H33">
    <cfRule type="expression" dxfId="74" priority="2" stopIfTrue="1">
      <formula>$C33&gt;0</formula>
    </cfRule>
  </conditionalFormatting>
  <conditionalFormatting sqref="E33:F33 I33">
    <cfRule type="expression" dxfId="73" priority="1" stopIfTrue="1">
      <formula>$C33&gt;0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45931</v>
      </c>
      <c r="B8" s="36">
        <f>A8</f>
        <v>45931</v>
      </c>
      <c r="C8" s="43">
        <f>IF(WEEKDAY(A8,2)&gt;5,1,0)+IF(D8&lt;&gt;"",1,0)</f>
        <v>0</v>
      </c>
      <c r="D8" s="44"/>
      <c r="E8" s="20">
        <v>9</v>
      </c>
      <c r="F8" s="31">
        <v>0</v>
      </c>
      <c r="G8" s="20">
        <v>18</v>
      </c>
      <c r="H8" s="24">
        <v>30</v>
      </c>
      <c r="I8" s="34">
        <v>60</v>
      </c>
      <c r="J8" s="56">
        <f t="shared" ref="J8:J36" si="0">IF((H8-F8)&lt;0,(G8-E8-1)*60+(60+H8-F8),(G8-E8)*60+H8-F8)-I8</f>
        <v>510</v>
      </c>
      <c r="K8" s="60">
        <f>J8/60</f>
        <v>8.5</v>
      </c>
      <c r="L8" s="21"/>
      <c r="M8" s="86"/>
      <c r="N8" s="87"/>
      <c r="O8" s="87"/>
      <c r="P8" s="88"/>
      <c r="Q8" s="21"/>
      <c r="S8" s="14"/>
      <c r="T8" s="6"/>
      <c r="U8" s="6"/>
      <c r="V8" s="6"/>
    </row>
    <row r="9" spans="1:22" ht="18" customHeight="1" x14ac:dyDescent="0.2">
      <c r="A9" s="22">
        <f>IF(A8="","",(A8+1))</f>
        <v>45932</v>
      </c>
      <c r="B9" s="37">
        <f>A9</f>
        <v>45932</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45945</v>
      </c>
      <c r="B22" s="37">
        <f t="shared" si="4"/>
        <v>45945</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45946</v>
      </c>
      <c r="B23" s="37">
        <f t="shared" si="4"/>
        <v>45946</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45947</v>
      </c>
      <c r="B24" s="37">
        <f t="shared" si="4"/>
        <v>45947</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45951</v>
      </c>
      <c r="B28" s="37">
        <f t="shared" si="4"/>
        <v>45951</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45952</v>
      </c>
      <c r="B29" s="37">
        <f t="shared" si="4"/>
        <v>45952</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45953</v>
      </c>
      <c r="B30" s="37">
        <f t="shared" si="4"/>
        <v>45953</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45954</v>
      </c>
      <c r="B31" s="37">
        <f t="shared" si="4"/>
        <v>45954</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45958</v>
      </c>
      <c r="B35" s="37">
        <f t="shared" si="4"/>
        <v>45958</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45959</v>
      </c>
      <c r="B36" s="37">
        <f t="shared" si="4"/>
        <v>45959</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45960</v>
      </c>
      <c r="B37" s="37">
        <f t="shared" si="4"/>
        <v>45960</v>
      </c>
      <c r="C37" s="39">
        <f t="shared" si="1"/>
        <v>0</v>
      </c>
      <c r="D37" s="23"/>
      <c r="E37" s="20">
        <v>9</v>
      </c>
      <c r="F37" s="31">
        <v>0</v>
      </c>
      <c r="G37" s="20">
        <v>18</v>
      </c>
      <c r="H37" s="24">
        <v>30</v>
      </c>
      <c r="I37" s="34">
        <v>60</v>
      </c>
      <c r="J37" s="57">
        <f>IF((H37-F37)&lt;0,(G37-E37-1)*60+(60+H37-F37),(G37-E37)*60+H37-F37)-I37</f>
        <v>510</v>
      </c>
      <c r="K37" s="61">
        <f t="shared" si="2"/>
        <v>8.5</v>
      </c>
      <c r="L37" s="25"/>
      <c r="M37" s="66"/>
      <c r="N37" s="67"/>
      <c r="O37" s="67"/>
      <c r="P37" s="68"/>
      <c r="Q37" s="25"/>
    </row>
    <row r="38" spans="1:22" ht="18" customHeight="1" thickBot="1" x14ac:dyDescent="0.25">
      <c r="A38" s="26">
        <f>IF($A$35="","",IF(NOT(MONTH($A$35)=MONTH($A$35+3)),"",$A$35+3))</f>
        <v>45961</v>
      </c>
      <c r="B38" s="38">
        <f>A38</f>
        <v>45961</v>
      </c>
      <c r="C38" s="40">
        <f t="shared" si="1"/>
        <v>0</v>
      </c>
      <c r="D38" s="27"/>
      <c r="E38" s="28">
        <v>9</v>
      </c>
      <c r="F38" s="32">
        <v>0</v>
      </c>
      <c r="G38" s="28">
        <v>18</v>
      </c>
      <c r="H38" s="29">
        <v>30</v>
      </c>
      <c r="I38" s="35">
        <v>60</v>
      </c>
      <c r="J38" s="58">
        <f>IF((H38-F38)&lt;0,(G38-E38-1)*60+(60+H38-F38),(G38-E38)*60+H38-F38)-I38</f>
        <v>510</v>
      </c>
      <c r="K38" s="62">
        <f t="shared" si="2"/>
        <v>8.5</v>
      </c>
      <c r="L38" s="30"/>
      <c r="M38" s="69"/>
      <c r="N38" s="70"/>
      <c r="O38" s="70"/>
      <c r="P38" s="71"/>
      <c r="Q38" s="30"/>
    </row>
    <row r="39" spans="1:22" ht="18.75" customHeight="1" thickTop="1" thickBot="1" x14ac:dyDescent="0.25">
      <c r="A39" s="9"/>
      <c r="B39" s="9"/>
      <c r="C39" s="9"/>
      <c r="D39" s="10"/>
      <c r="E39" s="9"/>
      <c r="F39" s="9"/>
      <c r="G39" s="9"/>
      <c r="H39" s="72" t="s">
        <v>14</v>
      </c>
      <c r="I39" s="73"/>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J8:P38 A8:C38 E11:I12 D8:D18 D20 E18:I20 D25:H26 D22:D24 D32:H33 D27:D31 D38:I38 D34:D37">
    <cfRule type="expression" dxfId="72" priority="47" stopIfTrue="1">
      <formula>$C8&gt;0</formula>
    </cfRule>
  </conditionalFormatting>
  <conditionalFormatting sqref="I25:I26">
    <cfRule type="expression" dxfId="71" priority="46" stopIfTrue="1">
      <formula>$C25&gt;0</formula>
    </cfRule>
  </conditionalFormatting>
  <conditionalFormatting sqref="I32:I33">
    <cfRule type="expression" dxfId="70" priority="45" stopIfTrue="1">
      <formula>$C32&gt;0</formula>
    </cfRule>
  </conditionalFormatting>
  <conditionalFormatting sqref="D19">
    <cfRule type="expression" dxfId="69" priority="44" stopIfTrue="1">
      <formula>$C19&gt;0</formula>
    </cfRule>
  </conditionalFormatting>
  <conditionalFormatting sqref="D21">
    <cfRule type="expression" dxfId="68" priority="43" stopIfTrue="1">
      <formula>$C21&gt;0</formula>
    </cfRule>
  </conditionalFormatting>
  <conditionalFormatting sqref="Q8:Q38">
    <cfRule type="expression" dxfId="67" priority="42" stopIfTrue="1">
      <formula>$C8&gt;0</formula>
    </cfRule>
  </conditionalFormatting>
  <conditionalFormatting sqref="G8:H8">
    <cfRule type="expression" dxfId="66" priority="41" stopIfTrue="1">
      <formula>$C8&gt;0</formula>
    </cfRule>
  </conditionalFormatting>
  <conditionalFormatting sqref="E8:F8 I8">
    <cfRule type="expression" dxfId="65" priority="40" stopIfTrue="1">
      <formula>$C8&gt;0</formula>
    </cfRule>
  </conditionalFormatting>
  <conditionalFormatting sqref="G9:H9">
    <cfRule type="expression" dxfId="64" priority="39" stopIfTrue="1">
      <formula>$C9&gt;0</formula>
    </cfRule>
  </conditionalFormatting>
  <conditionalFormatting sqref="E9:F9 I9">
    <cfRule type="expression" dxfId="63" priority="38" stopIfTrue="1">
      <formula>$C9&gt;0</formula>
    </cfRule>
  </conditionalFormatting>
  <conditionalFormatting sqref="G10:H10">
    <cfRule type="expression" dxfId="62" priority="37" stopIfTrue="1">
      <formula>$C10&gt;0</formula>
    </cfRule>
  </conditionalFormatting>
  <conditionalFormatting sqref="E10:F10 I10">
    <cfRule type="expression" dxfId="61" priority="36" stopIfTrue="1">
      <formula>$C10&gt;0</formula>
    </cfRule>
  </conditionalFormatting>
  <conditionalFormatting sqref="G13:H13">
    <cfRule type="expression" dxfId="60" priority="35" stopIfTrue="1">
      <formula>$C13&gt;0</formula>
    </cfRule>
  </conditionalFormatting>
  <conditionalFormatting sqref="E13:F13 I13">
    <cfRule type="expression" dxfId="59" priority="34" stopIfTrue="1">
      <formula>$C13&gt;0</formula>
    </cfRule>
  </conditionalFormatting>
  <conditionalFormatting sqref="G14:H14">
    <cfRule type="expression" dxfId="58" priority="33" stopIfTrue="1">
      <formula>$C14&gt;0</formula>
    </cfRule>
  </conditionalFormatting>
  <conditionalFormatting sqref="E14:F14 I14">
    <cfRule type="expression" dxfId="57" priority="32" stopIfTrue="1">
      <formula>$C14&gt;0</formula>
    </cfRule>
  </conditionalFormatting>
  <conditionalFormatting sqref="G15:H15">
    <cfRule type="expression" dxfId="56" priority="31" stopIfTrue="1">
      <formula>$C15&gt;0</formula>
    </cfRule>
  </conditionalFormatting>
  <conditionalFormatting sqref="E15:F15 I15">
    <cfRule type="expression" dxfId="55" priority="30" stopIfTrue="1">
      <formula>$C15&gt;0</formula>
    </cfRule>
  </conditionalFormatting>
  <conditionalFormatting sqref="G16:H16">
    <cfRule type="expression" dxfId="54" priority="29" stopIfTrue="1">
      <formula>$C16&gt;0</formula>
    </cfRule>
  </conditionalFormatting>
  <conditionalFormatting sqref="E16:F16 I16">
    <cfRule type="expression" dxfId="53" priority="28" stopIfTrue="1">
      <formula>$C16&gt;0</formula>
    </cfRule>
  </conditionalFormatting>
  <conditionalFormatting sqref="G17:H17">
    <cfRule type="expression" dxfId="52" priority="27" stopIfTrue="1">
      <formula>$C17&gt;0</formula>
    </cfRule>
  </conditionalFormatting>
  <conditionalFormatting sqref="E17:F17 I17">
    <cfRule type="expression" dxfId="51" priority="26" stopIfTrue="1">
      <formula>$C17&gt;0</formula>
    </cfRule>
  </conditionalFormatting>
  <conditionalFormatting sqref="G21:H21">
    <cfRule type="expression" dxfId="50" priority="25" stopIfTrue="1">
      <formula>$C21&gt;0</formula>
    </cfRule>
  </conditionalFormatting>
  <conditionalFormatting sqref="E21:F21 I21">
    <cfRule type="expression" dxfId="49" priority="24" stopIfTrue="1">
      <formula>$C21&gt;0</formula>
    </cfRule>
  </conditionalFormatting>
  <conditionalFormatting sqref="G22:H22">
    <cfRule type="expression" dxfId="48" priority="23" stopIfTrue="1">
      <formula>$C22&gt;0</formula>
    </cfRule>
  </conditionalFormatting>
  <conditionalFormatting sqref="E22:F22 I22">
    <cfRule type="expression" dxfId="47" priority="22" stopIfTrue="1">
      <formula>$C22&gt;0</formula>
    </cfRule>
  </conditionalFormatting>
  <conditionalFormatting sqref="G23:H23">
    <cfRule type="expression" dxfId="46" priority="21" stopIfTrue="1">
      <formula>$C23&gt;0</formula>
    </cfRule>
  </conditionalFormatting>
  <conditionalFormatting sqref="E23:F23 I23">
    <cfRule type="expression" dxfId="45" priority="20" stopIfTrue="1">
      <formula>$C23&gt;0</formula>
    </cfRule>
  </conditionalFormatting>
  <conditionalFormatting sqref="G24:H24">
    <cfRule type="expression" dxfId="44" priority="19" stopIfTrue="1">
      <formula>$C24&gt;0</formula>
    </cfRule>
  </conditionalFormatting>
  <conditionalFormatting sqref="E24:F24 I24">
    <cfRule type="expression" dxfId="43" priority="18" stopIfTrue="1">
      <formula>$C24&gt;0</formula>
    </cfRule>
  </conditionalFormatting>
  <conditionalFormatting sqref="G27:H27">
    <cfRule type="expression" dxfId="42" priority="17" stopIfTrue="1">
      <formula>$C27&gt;0</formula>
    </cfRule>
  </conditionalFormatting>
  <conditionalFormatting sqref="E27:F27 I27">
    <cfRule type="expression" dxfId="41" priority="16" stopIfTrue="1">
      <formula>$C27&gt;0</formula>
    </cfRule>
  </conditionalFormatting>
  <conditionalFormatting sqref="G28:H28">
    <cfRule type="expression" dxfId="40" priority="15" stopIfTrue="1">
      <formula>$C28&gt;0</formula>
    </cfRule>
  </conditionalFormatting>
  <conditionalFormatting sqref="E28:F28 I28">
    <cfRule type="expression" dxfId="39" priority="14" stopIfTrue="1">
      <formula>$C28&gt;0</formula>
    </cfRule>
  </conditionalFormatting>
  <conditionalFormatting sqref="G29:H29">
    <cfRule type="expression" dxfId="38" priority="13" stopIfTrue="1">
      <formula>$C29&gt;0</formula>
    </cfRule>
  </conditionalFormatting>
  <conditionalFormatting sqref="E29:F29 I29">
    <cfRule type="expression" dxfId="37" priority="12" stopIfTrue="1">
      <formula>$C29&gt;0</formula>
    </cfRule>
  </conditionalFormatting>
  <conditionalFormatting sqref="G30:H30">
    <cfRule type="expression" dxfId="36" priority="11" stopIfTrue="1">
      <formula>$C30&gt;0</formula>
    </cfRule>
  </conditionalFormatting>
  <conditionalFormatting sqref="E30:F31 I30:I31">
    <cfRule type="expression" dxfId="35" priority="10" stopIfTrue="1">
      <formula>$C30&gt;0</formula>
    </cfRule>
  </conditionalFormatting>
  <conditionalFormatting sqref="G31:H31">
    <cfRule type="expression" dxfId="34" priority="9" stopIfTrue="1">
      <formula>$C31&gt;0</formula>
    </cfRule>
  </conditionalFormatting>
  <conditionalFormatting sqref="G34:H34">
    <cfRule type="expression" dxfId="33" priority="8" stopIfTrue="1">
      <formula>$C34&gt;0</formula>
    </cfRule>
  </conditionalFormatting>
  <conditionalFormatting sqref="E34:F34 I34">
    <cfRule type="expression" dxfId="32" priority="7" stopIfTrue="1">
      <formula>$C34&gt;0</formula>
    </cfRule>
  </conditionalFormatting>
  <conditionalFormatting sqref="G35:H35">
    <cfRule type="expression" dxfId="31" priority="6" stopIfTrue="1">
      <formula>$C35&gt;0</formula>
    </cfRule>
  </conditionalFormatting>
  <conditionalFormatting sqref="E35:F35 I35">
    <cfRule type="expression" dxfId="30" priority="5" stopIfTrue="1">
      <formula>$C35&gt;0</formula>
    </cfRule>
  </conditionalFormatting>
  <conditionalFormatting sqref="G36:H36">
    <cfRule type="expression" dxfId="29" priority="4" stopIfTrue="1">
      <formula>$C36&gt;0</formula>
    </cfRule>
  </conditionalFormatting>
  <conditionalFormatting sqref="E36:F36 I36">
    <cfRule type="expression" dxfId="28" priority="3" stopIfTrue="1">
      <formula>$C36&gt;0</formula>
    </cfRule>
  </conditionalFormatting>
  <conditionalFormatting sqref="G37:H37">
    <cfRule type="expression" dxfId="27" priority="2" stopIfTrue="1">
      <formula>$C37&gt;0</formula>
    </cfRule>
  </conditionalFormatting>
  <conditionalFormatting sqref="E37:F37 I37">
    <cfRule type="expression" dxfId="26" priority="1" stopIfTrue="1">
      <formula>$C37&gt;0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tabSelected="1" workbookViewId="0">
      <pane ySplit="7" topLeftCell="A30" activePane="bottomLeft" state="frozen"/>
      <selection activeCell="D2" sqref="D2"/>
      <selection pane="bottomLeft" activeCell="H35" sqref="H3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v>9</v>
      </c>
      <c r="F11" s="31">
        <v>0</v>
      </c>
      <c r="G11" s="20">
        <v>19</v>
      </c>
      <c r="H11" s="24">
        <v>0</v>
      </c>
      <c r="I11" s="34">
        <v>60</v>
      </c>
      <c r="J11" s="57">
        <f t="shared" si="0"/>
        <v>540</v>
      </c>
      <c r="K11" s="61">
        <f t="shared" si="2"/>
        <v>9</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v>9</v>
      </c>
      <c r="F12" s="31">
        <v>0</v>
      </c>
      <c r="G12" s="20">
        <v>19</v>
      </c>
      <c r="H12" s="24">
        <v>0</v>
      </c>
      <c r="I12" s="34">
        <v>60</v>
      </c>
      <c r="J12" s="57">
        <f t="shared" ref="J12:J14" si="5">IF((H12-F12)&lt;0,(G12-E12-1)*60+(60+H12-F12),(G12-E12)*60+H12-F12)-I12</f>
        <v>540</v>
      </c>
      <c r="K12" s="61">
        <f t="shared" ref="K12:K14" si="6">J12/60</f>
        <v>9</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v>9</v>
      </c>
      <c r="F13" s="31">
        <v>0</v>
      </c>
      <c r="G13" s="20">
        <v>19</v>
      </c>
      <c r="H13" s="24">
        <v>0</v>
      </c>
      <c r="I13" s="34">
        <v>60</v>
      </c>
      <c r="J13" s="57">
        <f t="shared" si="5"/>
        <v>540</v>
      </c>
      <c r="K13" s="61">
        <f t="shared" si="6"/>
        <v>9</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v>9</v>
      </c>
      <c r="F14" s="31">
        <v>0</v>
      </c>
      <c r="G14" s="20">
        <v>19</v>
      </c>
      <c r="H14" s="24">
        <v>0</v>
      </c>
      <c r="I14" s="34">
        <v>60</v>
      </c>
      <c r="J14" s="57">
        <f t="shared" si="5"/>
        <v>540</v>
      </c>
      <c r="K14" s="61">
        <f t="shared" si="6"/>
        <v>9</v>
      </c>
      <c r="L14" s="25"/>
      <c r="M14" s="66"/>
      <c r="N14" s="67"/>
      <c r="O14" s="67"/>
      <c r="P14" s="68"/>
      <c r="Q14" s="25" t="s">
        <v>31</v>
      </c>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v>9</v>
      </c>
      <c r="F17" s="31">
        <v>0</v>
      </c>
      <c r="G17" s="20">
        <v>19</v>
      </c>
      <c r="H17" s="24">
        <v>0</v>
      </c>
      <c r="I17" s="34">
        <v>60</v>
      </c>
      <c r="J17" s="57">
        <f t="shared" ref="J17:J21" si="7">IF((H17-F17)&lt;0,(G17-E17-1)*60+(60+H17-F17),(G17-E17)*60+H17-F17)-I17</f>
        <v>540</v>
      </c>
      <c r="K17" s="61">
        <f t="shared" ref="K17:K21" si="8">J17/60</f>
        <v>9</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7"/>
        <v>0</v>
      </c>
      <c r="K18" s="61">
        <f t="shared" si="8"/>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v>9</v>
      </c>
      <c r="F19" s="31">
        <v>0</v>
      </c>
      <c r="G19" s="20">
        <v>19</v>
      </c>
      <c r="H19" s="24">
        <v>0</v>
      </c>
      <c r="I19" s="34">
        <v>60</v>
      </c>
      <c r="J19" s="57">
        <f t="shared" si="7"/>
        <v>540</v>
      </c>
      <c r="K19" s="61">
        <f t="shared" si="8"/>
        <v>9</v>
      </c>
      <c r="L19" s="25"/>
      <c r="M19" s="66"/>
      <c r="N19" s="67"/>
      <c r="O19" s="67"/>
      <c r="P19" s="68"/>
      <c r="Q19" s="25"/>
      <c r="V19" s="13"/>
    </row>
    <row r="20" spans="1:22" ht="18" customHeight="1" x14ac:dyDescent="0.2">
      <c r="A20" s="22">
        <f t="shared" si="3"/>
        <v>45974</v>
      </c>
      <c r="B20" s="37">
        <f t="shared" si="4"/>
        <v>45974</v>
      </c>
      <c r="C20" s="39">
        <f t="shared" si="1"/>
        <v>0</v>
      </c>
      <c r="D20" s="23"/>
      <c r="E20" s="20">
        <v>9</v>
      </c>
      <c r="F20" s="31">
        <v>0</v>
      </c>
      <c r="G20" s="20">
        <v>19</v>
      </c>
      <c r="H20" s="24">
        <v>0</v>
      </c>
      <c r="I20" s="34">
        <v>60</v>
      </c>
      <c r="J20" s="57">
        <f t="shared" si="7"/>
        <v>540</v>
      </c>
      <c r="K20" s="61">
        <f t="shared" si="8"/>
        <v>9</v>
      </c>
      <c r="L20" s="25"/>
      <c r="M20" s="66"/>
      <c r="N20" s="67"/>
      <c r="O20" s="67"/>
      <c r="P20" s="68"/>
      <c r="Q20" s="25"/>
      <c r="V20" s="13"/>
    </row>
    <row r="21" spans="1:22" ht="18" customHeight="1" x14ac:dyDescent="0.2">
      <c r="A21" s="22">
        <f t="shared" si="3"/>
        <v>45975</v>
      </c>
      <c r="B21" s="37">
        <f t="shared" si="4"/>
        <v>45975</v>
      </c>
      <c r="C21" s="39">
        <f t="shared" si="1"/>
        <v>0</v>
      </c>
      <c r="D21" s="23"/>
      <c r="E21" s="20">
        <v>9</v>
      </c>
      <c r="F21" s="31">
        <v>0</v>
      </c>
      <c r="G21" s="20">
        <v>19</v>
      </c>
      <c r="H21" s="24">
        <v>0</v>
      </c>
      <c r="I21" s="34">
        <v>60</v>
      </c>
      <c r="J21" s="57">
        <f t="shared" si="7"/>
        <v>540</v>
      </c>
      <c r="K21" s="61">
        <f t="shared" si="8"/>
        <v>9</v>
      </c>
      <c r="L21" s="25"/>
      <c r="M21" s="66"/>
      <c r="N21" s="67"/>
      <c r="O21" s="67"/>
      <c r="P21" s="68"/>
      <c r="Q21" s="25" t="s">
        <v>31</v>
      </c>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v>9</v>
      </c>
      <c r="F24" s="31">
        <v>0</v>
      </c>
      <c r="G24" s="20">
        <v>19</v>
      </c>
      <c r="H24" s="24">
        <v>0</v>
      </c>
      <c r="I24" s="34">
        <v>60</v>
      </c>
      <c r="J24" s="57">
        <f t="shared" ref="J24:J28" si="9">IF((H24-F24)&lt;0,(G24-E24-1)*60+(60+H24-F24),(G24-E24)*60+H24-F24)-I24</f>
        <v>540</v>
      </c>
      <c r="K24" s="61">
        <f t="shared" ref="K24:K28" si="10">J24/60</f>
        <v>9</v>
      </c>
      <c r="L24" s="25"/>
      <c r="M24" s="66"/>
      <c r="N24" s="67"/>
      <c r="O24" s="67"/>
      <c r="P24" s="68"/>
      <c r="Q24" s="25"/>
      <c r="V24" s="13"/>
    </row>
    <row r="25" spans="1:22" ht="18" customHeight="1" x14ac:dyDescent="0.2">
      <c r="A25" s="22">
        <f t="shared" si="3"/>
        <v>45979</v>
      </c>
      <c r="B25" s="37">
        <f t="shared" si="4"/>
        <v>45979</v>
      </c>
      <c r="C25" s="39">
        <f t="shared" si="1"/>
        <v>0</v>
      </c>
      <c r="D25" s="23"/>
      <c r="E25" s="20">
        <v>9</v>
      </c>
      <c r="F25" s="31">
        <v>0</v>
      </c>
      <c r="G25" s="20">
        <v>19</v>
      </c>
      <c r="H25" s="24">
        <v>0</v>
      </c>
      <c r="I25" s="34">
        <v>60</v>
      </c>
      <c r="J25" s="57">
        <f t="shared" si="9"/>
        <v>540</v>
      </c>
      <c r="K25" s="61">
        <f t="shared" si="10"/>
        <v>9</v>
      </c>
      <c r="L25" s="25"/>
      <c r="M25" s="66"/>
      <c r="N25" s="67"/>
      <c r="O25" s="67"/>
      <c r="P25" s="68"/>
      <c r="Q25" s="25"/>
      <c r="V25" s="13"/>
    </row>
    <row r="26" spans="1:22" ht="18" customHeight="1" x14ac:dyDescent="0.2">
      <c r="A26" s="22">
        <f t="shared" si="3"/>
        <v>45980</v>
      </c>
      <c r="B26" s="37">
        <f t="shared" si="4"/>
        <v>45980</v>
      </c>
      <c r="C26" s="39">
        <f t="shared" si="1"/>
        <v>0</v>
      </c>
      <c r="D26" s="23"/>
      <c r="E26" s="20">
        <v>9</v>
      </c>
      <c r="F26" s="31">
        <v>0</v>
      </c>
      <c r="G26" s="20">
        <v>19</v>
      </c>
      <c r="H26" s="24">
        <v>0</v>
      </c>
      <c r="I26" s="34">
        <v>60</v>
      </c>
      <c r="J26" s="57">
        <f t="shared" si="9"/>
        <v>540</v>
      </c>
      <c r="K26" s="61">
        <f t="shared" si="10"/>
        <v>9</v>
      </c>
      <c r="L26" s="25"/>
      <c r="M26" s="66"/>
      <c r="N26" s="67"/>
      <c r="O26" s="67"/>
      <c r="P26" s="68"/>
      <c r="Q26" s="25"/>
      <c r="V26" s="13"/>
    </row>
    <row r="27" spans="1:22" ht="18" customHeight="1" x14ac:dyDescent="0.2">
      <c r="A27" s="22">
        <f t="shared" si="3"/>
        <v>45981</v>
      </c>
      <c r="B27" s="37">
        <f t="shared" si="4"/>
        <v>45981</v>
      </c>
      <c r="C27" s="39">
        <f t="shared" si="1"/>
        <v>0</v>
      </c>
      <c r="D27" s="23"/>
      <c r="E27" s="20">
        <v>9</v>
      </c>
      <c r="F27" s="31">
        <v>0</v>
      </c>
      <c r="G27" s="20">
        <v>19</v>
      </c>
      <c r="H27" s="24">
        <v>0</v>
      </c>
      <c r="I27" s="34">
        <v>60</v>
      </c>
      <c r="J27" s="57">
        <f t="shared" si="9"/>
        <v>540</v>
      </c>
      <c r="K27" s="61">
        <f t="shared" si="10"/>
        <v>9</v>
      </c>
      <c r="L27" s="25"/>
      <c r="M27" s="66"/>
      <c r="N27" s="67"/>
      <c r="O27" s="67"/>
      <c r="P27" s="68"/>
      <c r="Q27" s="25"/>
      <c r="V27" s="13"/>
    </row>
    <row r="28" spans="1:22" ht="18" customHeight="1" x14ac:dyDescent="0.2">
      <c r="A28" s="22">
        <f t="shared" si="3"/>
        <v>45982</v>
      </c>
      <c r="B28" s="37">
        <f t="shared" si="4"/>
        <v>45982</v>
      </c>
      <c r="C28" s="39">
        <f t="shared" si="1"/>
        <v>0</v>
      </c>
      <c r="D28" s="23"/>
      <c r="E28" s="20">
        <v>9</v>
      </c>
      <c r="F28" s="31">
        <v>0</v>
      </c>
      <c r="G28" s="20">
        <v>19</v>
      </c>
      <c r="H28" s="24">
        <v>0</v>
      </c>
      <c r="I28" s="34">
        <v>60</v>
      </c>
      <c r="J28" s="57">
        <f t="shared" si="9"/>
        <v>540</v>
      </c>
      <c r="K28" s="61">
        <f t="shared" si="10"/>
        <v>9</v>
      </c>
      <c r="L28" s="25"/>
      <c r="M28" s="66"/>
      <c r="N28" s="67"/>
      <c r="O28" s="67"/>
      <c r="P28" s="68"/>
      <c r="Q28" s="25" t="s">
        <v>31</v>
      </c>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v>9</v>
      </c>
      <c r="F32" s="31">
        <v>0</v>
      </c>
      <c r="G32" s="20">
        <v>19</v>
      </c>
      <c r="H32" s="24">
        <v>0</v>
      </c>
      <c r="I32" s="34">
        <v>60</v>
      </c>
      <c r="J32" s="57">
        <f t="shared" ref="J32:J35" si="11">IF((H32-F32)&lt;0,(G32-E32-1)*60+(60+H32-F32),(G32-E32)*60+H32-F32)-I32</f>
        <v>540</v>
      </c>
      <c r="K32" s="61">
        <f t="shared" ref="K32:K35" si="12">J32/60</f>
        <v>9</v>
      </c>
      <c r="L32" s="25"/>
      <c r="M32" s="66"/>
      <c r="N32" s="67"/>
      <c r="O32" s="67"/>
      <c r="P32" s="68"/>
      <c r="Q32" s="25"/>
      <c r="V32" s="13"/>
    </row>
    <row r="33" spans="1:22" ht="18" customHeight="1" x14ac:dyDescent="0.2">
      <c r="A33" s="22">
        <f t="shared" si="3"/>
        <v>45987</v>
      </c>
      <c r="B33" s="37">
        <f t="shared" si="4"/>
        <v>45987</v>
      </c>
      <c r="C33" s="39">
        <f t="shared" si="1"/>
        <v>0</v>
      </c>
      <c r="D33" s="23"/>
      <c r="E33" s="20">
        <v>9</v>
      </c>
      <c r="F33" s="31">
        <v>0</v>
      </c>
      <c r="G33" s="20">
        <v>19</v>
      </c>
      <c r="H33" s="24">
        <v>0</v>
      </c>
      <c r="I33" s="34">
        <v>60</v>
      </c>
      <c r="J33" s="57">
        <f t="shared" si="11"/>
        <v>540</v>
      </c>
      <c r="K33" s="61">
        <f t="shared" si="12"/>
        <v>9</v>
      </c>
      <c r="L33" s="25"/>
      <c r="M33" s="66"/>
      <c r="N33" s="67"/>
      <c r="O33" s="67"/>
      <c r="P33" s="68"/>
      <c r="Q33" s="25"/>
      <c r="V33" s="13"/>
    </row>
    <row r="34" spans="1:22" ht="18" customHeight="1" x14ac:dyDescent="0.2">
      <c r="A34" s="22">
        <f t="shared" si="3"/>
        <v>45988</v>
      </c>
      <c r="B34" s="37">
        <f t="shared" si="4"/>
        <v>45988</v>
      </c>
      <c r="C34" s="39">
        <f t="shared" si="1"/>
        <v>0</v>
      </c>
      <c r="D34" s="23"/>
      <c r="E34" s="20">
        <v>9</v>
      </c>
      <c r="F34" s="31">
        <v>0</v>
      </c>
      <c r="G34" s="20">
        <v>19</v>
      </c>
      <c r="H34" s="24">
        <v>0</v>
      </c>
      <c r="I34" s="34">
        <v>60</v>
      </c>
      <c r="J34" s="57">
        <f t="shared" si="11"/>
        <v>540</v>
      </c>
      <c r="K34" s="61">
        <f t="shared" si="12"/>
        <v>9</v>
      </c>
      <c r="L34" s="25"/>
      <c r="M34" s="66"/>
      <c r="N34" s="67"/>
      <c r="O34" s="67"/>
      <c r="P34" s="68"/>
      <c r="Q34" s="25"/>
    </row>
    <row r="35" spans="1:22" ht="18" customHeight="1" x14ac:dyDescent="0.2">
      <c r="A35" s="22">
        <f t="shared" si="3"/>
        <v>45989</v>
      </c>
      <c r="B35" s="37">
        <f t="shared" si="4"/>
        <v>45989</v>
      </c>
      <c r="C35" s="39">
        <f t="shared" si="1"/>
        <v>0</v>
      </c>
      <c r="D35" s="23"/>
      <c r="E35" s="20">
        <v>9</v>
      </c>
      <c r="F35" s="31">
        <v>0</v>
      </c>
      <c r="G35" s="20">
        <v>19</v>
      </c>
      <c r="H35" s="24">
        <v>0</v>
      </c>
      <c r="I35" s="34">
        <v>60</v>
      </c>
      <c r="J35" s="57">
        <f t="shared" si="11"/>
        <v>540</v>
      </c>
      <c r="K35" s="61">
        <f t="shared" si="12"/>
        <v>9</v>
      </c>
      <c r="L35" s="25"/>
      <c r="M35" s="66"/>
      <c r="N35" s="67"/>
      <c r="O35" s="67"/>
      <c r="P35" s="68"/>
      <c r="Q35" s="25" t="s">
        <v>31</v>
      </c>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9180</v>
      </c>
      <c r="K39" s="63">
        <f>SUM(K8:K38)</f>
        <v>153</v>
      </c>
      <c r="L39" s="9"/>
      <c r="M39" s="9"/>
      <c r="N39" s="9"/>
      <c r="O39" s="9"/>
      <c r="P39" s="9"/>
      <c r="Q39" s="65">
        <f>SUMIF(Q8:Q38,"○",K8:K38)+SUMIF(Q8:Q38,"〇",K8:K38)</f>
        <v>36</v>
      </c>
    </row>
    <row r="40" spans="1:22" ht="13.8" thickTop="1" x14ac:dyDescent="0.2">
      <c r="A40" s="9"/>
      <c r="B40" s="9"/>
      <c r="C40" s="9"/>
      <c r="D40" s="9"/>
      <c r="E40" s="9"/>
      <c r="F40" s="9"/>
      <c r="G40" s="9"/>
      <c r="H40" s="9"/>
      <c r="I40" s="9"/>
      <c r="L40" s="9"/>
      <c r="M40" s="9"/>
      <c r="N40" s="9"/>
      <c r="O40" s="9"/>
      <c r="P40" s="9"/>
    </row>
  </sheetData>
  <mergeCells count="41">
    <mergeCell ref="M14:P14"/>
    <mergeCell ref="A3:D3"/>
    <mergeCell ref="A5:D5"/>
    <mergeCell ref="E7:F7"/>
    <mergeCell ref="G7:H7"/>
    <mergeCell ref="M7:P7"/>
    <mergeCell ref="M8:P8"/>
    <mergeCell ref="M9:P9"/>
    <mergeCell ref="M10:P10"/>
    <mergeCell ref="M11:P11"/>
    <mergeCell ref="M12:P12"/>
    <mergeCell ref="M13:P13"/>
    <mergeCell ref="M26:P26"/>
    <mergeCell ref="M15:P15"/>
    <mergeCell ref="M16:P16"/>
    <mergeCell ref="M17:P17"/>
    <mergeCell ref="M18:P18"/>
    <mergeCell ref="M19:P19"/>
    <mergeCell ref="M20:P20"/>
    <mergeCell ref="M21:P21"/>
    <mergeCell ref="M22:P22"/>
    <mergeCell ref="M23:P23"/>
    <mergeCell ref="M24:P24"/>
    <mergeCell ref="M25:P25"/>
    <mergeCell ref="M38:P38"/>
    <mergeCell ref="M27:P27"/>
    <mergeCell ref="M28:P28"/>
    <mergeCell ref="M29:P29"/>
    <mergeCell ref="M30:P30"/>
    <mergeCell ref="M31:P31"/>
    <mergeCell ref="M32:P32"/>
    <mergeCell ref="M33:P33"/>
    <mergeCell ref="M34:P34"/>
    <mergeCell ref="M35:P35"/>
    <mergeCell ref="M36:P36"/>
    <mergeCell ref="M37:P37"/>
    <mergeCell ref="H39:I39"/>
    <mergeCell ref="A4:D4"/>
    <mergeCell ref="E3:J3"/>
    <mergeCell ref="E4:J4"/>
    <mergeCell ref="E5:J5"/>
  </mergeCells>
  <phoneticPr fontId="2"/>
  <conditionalFormatting sqref="I37:I38 I30:I31 A8:C38 D31:D38 D8:D10 D12:D29 E29:H31 J29:P31 J36:P38 E36:H38 E8:P28 E32:P35">
    <cfRule type="expression" dxfId="25" priority="6" stopIfTrue="1">
      <formula>$C8&gt;0</formula>
    </cfRule>
  </conditionalFormatting>
  <conditionalFormatting sqref="I29">
    <cfRule type="expression" dxfId="24" priority="5" stopIfTrue="1">
      <formula>$C29&gt;0</formula>
    </cfRule>
  </conditionalFormatting>
  <conditionalFormatting sqref="I36">
    <cfRule type="expression" dxfId="23" priority="4" stopIfTrue="1">
      <formula>$C36&gt;0</formula>
    </cfRule>
  </conditionalFormatting>
  <conditionalFormatting sqref="D30">
    <cfRule type="expression" dxfId="22" priority="3" stopIfTrue="1">
      <formula>$C30&gt;0</formula>
    </cfRule>
  </conditionalFormatting>
  <conditionalFormatting sqref="D11">
    <cfRule type="expression" dxfId="21" priority="2" stopIfTrue="1">
      <formula>$C11&gt;0</formula>
    </cfRule>
  </conditionalFormatting>
  <conditionalFormatting sqref="Q8:Q38">
    <cfRule type="expression" dxfId="20"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74" t="s">
        <v>15</v>
      </c>
      <c r="B3" s="75"/>
      <c r="C3" s="75"/>
      <c r="D3" s="76"/>
      <c r="E3" s="77" t="s">
        <v>39</v>
      </c>
      <c r="F3" s="78"/>
      <c r="G3" s="78"/>
      <c r="H3" s="78"/>
      <c r="I3" s="78"/>
      <c r="J3" s="79"/>
      <c r="K3" s="53"/>
    </row>
    <row r="4" spans="1:22" ht="21.9" customHeight="1" thickTop="1" thickBot="1" x14ac:dyDescent="0.25">
      <c r="A4" s="74" t="s">
        <v>8</v>
      </c>
      <c r="B4" s="75"/>
      <c r="C4" s="75"/>
      <c r="D4" s="76"/>
      <c r="E4" s="77" t="s">
        <v>40</v>
      </c>
      <c r="F4" s="78"/>
      <c r="G4" s="78"/>
      <c r="H4" s="78"/>
      <c r="I4" s="78"/>
      <c r="J4" s="79"/>
      <c r="K4" s="53"/>
    </row>
    <row r="5" spans="1:22" ht="21.9" customHeight="1" thickTop="1" thickBot="1" x14ac:dyDescent="0.25">
      <c r="A5" s="80" t="s">
        <v>2</v>
      </c>
      <c r="B5" s="81"/>
      <c r="C5" s="81"/>
      <c r="D5" s="82"/>
      <c r="E5" s="77" t="s">
        <v>41</v>
      </c>
      <c r="F5" s="78"/>
      <c r="G5" s="78"/>
      <c r="H5" s="78"/>
      <c r="I5" s="78"/>
      <c r="J5" s="79"/>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9" priority="4" stopIfTrue="1">
      <formula>$C8&gt;0</formula>
    </cfRule>
  </conditionalFormatting>
  <conditionalFormatting sqref="I25:I29">
    <cfRule type="expression" dxfId="18" priority="3" stopIfTrue="1">
      <formula>$C25&gt;0</formula>
    </cfRule>
  </conditionalFormatting>
  <conditionalFormatting sqref="I32:I36">
    <cfRule type="expression" dxfId="17" priority="2" stopIfTrue="1">
      <formula>$C32&gt;0</formula>
    </cfRule>
  </conditionalFormatting>
  <conditionalFormatting sqref="Q8:Q38">
    <cfRule type="expression" dxfId="16"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7 D19:D38">
    <cfRule type="expression" dxfId="15" priority="5" stopIfTrue="1">
      <formula>$C8&gt;0</formula>
    </cfRule>
  </conditionalFormatting>
  <conditionalFormatting sqref="I25:I29">
    <cfRule type="expression" dxfId="14" priority="4" stopIfTrue="1">
      <formula>$C25&gt;0</formula>
    </cfRule>
  </conditionalFormatting>
  <conditionalFormatting sqref="I32:I36">
    <cfRule type="expression" dxfId="13" priority="3" stopIfTrue="1">
      <formula>$C32&gt;0</formula>
    </cfRule>
  </conditionalFormatting>
  <conditionalFormatting sqref="D18">
    <cfRule type="expression" dxfId="12" priority="2" stopIfTrue="1">
      <formula>$C18&gt;0</formula>
    </cfRule>
  </conditionalFormatting>
  <conditionalFormatting sqref="Q8:Q38">
    <cfRule type="expression" dxfId="11"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10" priority="4" stopIfTrue="1">
      <formula>$C8&gt;0</formula>
    </cfRule>
  </conditionalFormatting>
  <conditionalFormatting sqref="I25:I29">
    <cfRule type="expression" dxfId="9" priority="3" stopIfTrue="1">
      <formula>$C25&gt;0</formula>
    </cfRule>
  </conditionalFormatting>
  <conditionalFormatting sqref="I32:I36">
    <cfRule type="expression" dxfId="8" priority="2" stopIfTrue="1">
      <formula>$C32&gt;0</formula>
    </cfRule>
  </conditionalFormatting>
  <conditionalFormatting sqref="Q8:Q38">
    <cfRule type="expression" dxfId="7"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74" t="s">
        <v>15</v>
      </c>
      <c r="B3" s="75"/>
      <c r="C3" s="75"/>
      <c r="D3" s="76"/>
      <c r="E3" s="89"/>
      <c r="F3" s="90"/>
      <c r="G3" s="90"/>
      <c r="H3" s="90"/>
      <c r="I3" s="90"/>
      <c r="J3" s="91"/>
      <c r="K3" s="53"/>
    </row>
    <row r="4" spans="1:22" ht="21.9" customHeight="1" thickTop="1" thickBot="1" x14ac:dyDescent="0.25">
      <c r="A4" s="74" t="s">
        <v>8</v>
      </c>
      <c r="B4" s="75"/>
      <c r="C4" s="75"/>
      <c r="D4" s="76"/>
      <c r="E4" s="89"/>
      <c r="F4" s="90"/>
      <c r="G4" s="90"/>
      <c r="H4" s="90"/>
      <c r="I4" s="90"/>
      <c r="J4" s="91"/>
      <c r="K4" s="53"/>
    </row>
    <row r="5" spans="1:22" ht="21.9" customHeight="1" thickTop="1" thickBot="1" x14ac:dyDescent="0.25">
      <c r="A5" s="80" t="s">
        <v>2</v>
      </c>
      <c r="B5" s="81"/>
      <c r="C5" s="81"/>
      <c r="D5" s="82"/>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6"/>
      <c r="N8" s="87"/>
      <c r="O8" s="87"/>
      <c r="P8" s="88"/>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69"/>
      <c r="N38" s="70"/>
      <c r="O38" s="70"/>
      <c r="P38" s="71"/>
      <c r="Q38" s="30"/>
    </row>
    <row r="39" spans="1:22" ht="18.75" customHeight="1" thickTop="1" thickBot="1" x14ac:dyDescent="0.25">
      <c r="A39" s="9"/>
      <c r="B39" s="9"/>
      <c r="C39" s="9"/>
      <c r="D39" s="10"/>
      <c r="E39" s="9"/>
      <c r="F39" s="9"/>
      <c r="G39" s="9"/>
      <c r="H39" s="72" t="s">
        <v>14</v>
      </c>
      <c r="I39" s="73"/>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6" priority="4" stopIfTrue="1">
      <formula>$C8&gt;0</formula>
    </cfRule>
  </conditionalFormatting>
  <conditionalFormatting sqref="I25:I29">
    <cfRule type="expression" dxfId="5" priority="3" stopIfTrue="1">
      <formula>$C25&gt;0</formula>
    </cfRule>
  </conditionalFormatting>
  <conditionalFormatting sqref="I32:I36">
    <cfRule type="expression" dxfId="4" priority="2" stopIfTrue="1">
      <formula>$C32&gt;0</formula>
    </cfRule>
  </conditionalFormatting>
  <conditionalFormatting sqref="Q8:Q38">
    <cfRule type="expression" dxfId="3"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74" t="s">
        <v>15</v>
      </c>
      <c r="B3" s="75"/>
      <c r="C3" s="75"/>
      <c r="D3" s="76"/>
      <c r="E3" s="89" t="s">
        <v>24</v>
      </c>
      <c r="F3" s="90"/>
      <c r="G3" s="90"/>
      <c r="H3" s="90"/>
      <c r="I3" s="90"/>
      <c r="J3" s="91"/>
      <c r="K3" s="53"/>
    </row>
    <row r="4" spans="1:22" ht="21.9" customHeight="1" thickTop="1" thickBot="1" x14ac:dyDescent="0.25">
      <c r="A4" s="74" t="s">
        <v>8</v>
      </c>
      <c r="B4" s="75"/>
      <c r="C4" s="75"/>
      <c r="D4" s="76"/>
      <c r="E4" s="89" t="s">
        <v>25</v>
      </c>
      <c r="F4" s="90"/>
      <c r="G4" s="90"/>
      <c r="H4" s="90"/>
      <c r="I4" s="90"/>
      <c r="J4" s="91"/>
      <c r="K4" s="53"/>
    </row>
    <row r="5" spans="1:22" ht="21.9" customHeight="1" thickTop="1" thickBot="1" x14ac:dyDescent="0.25">
      <c r="A5" s="80" t="s">
        <v>2</v>
      </c>
      <c r="B5" s="81"/>
      <c r="C5" s="81"/>
      <c r="D5" s="82"/>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83" t="s">
        <v>4</v>
      </c>
      <c r="F7" s="84"/>
      <c r="G7" s="83" t="s">
        <v>5</v>
      </c>
      <c r="H7" s="85"/>
      <c r="I7" s="51" t="s">
        <v>9</v>
      </c>
      <c r="J7" s="55" t="s">
        <v>10</v>
      </c>
      <c r="K7" s="59" t="s">
        <v>21</v>
      </c>
      <c r="L7" s="52" t="s">
        <v>6</v>
      </c>
      <c r="M7" s="83" t="s">
        <v>7</v>
      </c>
      <c r="N7" s="84"/>
      <c r="O7" s="84"/>
      <c r="P7" s="85"/>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6"/>
      <c r="N8" s="87"/>
      <c r="O8" s="87"/>
      <c r="P8" s="88"/>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69"/>
      <c r="N38" s="70"/>
      <c r="O38" s="70"/>
      <c r="P38" s="71"/>
    </row>
    <row r="39" spans="1:22" ht="18.75" customHeight="1" thickTop="1" thickBot="1" x14ac:dyDescent="0.25">
      <c r="A39" s="9"/>
      <c r="B39" s="9"/>
      <c r="C39" s="9"/>
      <c r="D39" s="10"/>
      <c r="E39" s="9"/>
      <c r="F39" s="9"/>
      <c r="G39" s="9"/>
      <c r="H39" s="72" t="s">
        <v>14</v>
      </c>
      <c r="I39" s="73"/>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2" priority="3" stopIfTrue="1">
      <formula>$C8&gt;0</formula>
    </cfRule>
  </conditionalFormatting>
  <conditionalFormatting sqref="I25:I29">
    <cfRule type="expression" dxfId="1" priority="2" stopIfTrue="1">
      <formula>$C25&gt;0</formula>
    </cfRule>
  </conditionalFormatting>
  <conditionalFormatting sqref="I32:I36">
    <cfRule type="expression" dxfId="0"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2025-11-17T23:59:49Z</dcterms:modified>
</cp:coreProperties>
</file>