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24F63E24-7A03-4A83-AF9D-B7BDE8319B3A}" xr6:coauthVersionLast="47" xr6:coauthVersionMax="47" xr10:uidLastSave="{00000000-0000-0000-0000-000000000000}"/>
  <bookViews>
    <workbookView xWindow="-108" yWindow="-108" windowWidth="23256" windowHeight="12456" tabRatio="732" activeTab="1"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 i="29" l="1"/>
  <c r="K20" i="29" s="1"/>
  <c r="J19" i="29"/>
  <c r="K19" i="29" s="1"/>
  <c r="J13" i="29"/>
  <c r="K13" i="29" s="1"/>
  <c r="J8" i="29"/>
  <c r="K8" i="29" s="1"/>
  <c r="Q39" i="30" l="1"/>
  <c r="Q39" i="31"/>
  <c r="Q39" i="32"/>
  <c r="Q39" i="33"/>
  <c r="Q39" i="34"/>
  <c r="Q39" i="35"/>
  <c r="Q39" i="17"/>
  <c r="Q39" i="25"/>
  <c r="Q39" i="26"/>
  <c r="Q39" i="27"/>
  <c r="Q39" i="28"/>
  <c r="J38" i="35" l="1"/>
  <c r="K38" i="35" s="1"/>
  <c r="J37" i="35"/>
  <c r="K37" i="35" s="1"/>
  <c r="J36" i="35"/>
  <c r="K36" i="35" s="1"/>
  <c r="K35" i="35"/>
  <c r="J35" i="35"/>
  <c r="J34" i="35"/>
  <c r="K34" i="35" s="1"/>
  <c r="K33" i="35"/>
  <c r="J33" i="35"/>
  <c r="J32" i="35"/>
  <c r="K32" i="35" s="1"/>
  <c r="J31" i="35"/>
  <c r="K31" i="35" s="1"/>
  <c r="J30" i="35"/>
  <c r="K30" i="35" s="1"/>
  <c r="J29" i="35"/>
  <c r="K29" i="35" s="1"/>
  <c r="J28" i="35"/>
  <c r="K28" i="35" s="1"/>
  <c r="K27" i="35"/>
  <c r="J27" i="35"/>
  <c r="J26" i="35"/>
  <c r="K26" i="35" s="1"/>
  <c r="K25" i="35"/>
  <c r="J25" i="35"/>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K33" i="34"/>
  <c r="J33" i="34"/>
  <c r="J32" i="34"/>
  <c r="K32" i="34" s="1"/>
  <c r="J31" i="34"/>
  <c r="K31" i="34" s="1"/>
  <c r="J30" i="34"/>
  <c r="K30" i="34" s="1"/>
  <c r="J29" i="34"/>
  <c r="K29" i="34" s="1"/>
  <c r="J28" i="34"/>
  <c r="K28" i="34" s="1"/>
  <c r="K27" i="34"/>
  <c r="J27" i="34"/>
  <c r="J26" i="34"/>
  <c r="K26" i="34" s="1"/>
  <c r="K25" i="34"/>
  <c r="J25" i="34"/>
  <c r="J24" i="34"/>
  <c r="K24" i="34" s="1"/>
  <c r="J23" i="34"/>
  <c r="K23" i="34" s="1"/>
  <c r="J22" i="34"/>
  <c r="K22" i="34" s="1"/>
  <c r="J21" i="34"/>
  <c r="K21" i="34" s="1"/>
  <c r="J20" i="34"/>
  <c r="K20" i="34" s="1"/>
  <c r="K19" i="34"/>
  <c r="J19" i="34"/>
  <c r="J18" i="34"/>
  <c r="K18" i="34" s="1"/>
  <c r="K17" i="34"/>
  <c r="J17" i="34"/>
  <c r="J16" i="34"/>
  <c r="K16" i="34" s="1"/>
  <c r="J15" i="34"/>
  <c r="K15" i="34" s="1"/>
  <c r="J14" i="34"/>
  <c r="K14" i="34" s="1"/>
  <c r="J13" i="34"/>
  <c r="K13" i="34" s="1"/>
  <c r="J12" i="34"/>
  <c r="K12" i="34" s="1"/>
  <c r="K11" i="34"/>
  <c r="J11" i="34"/>
  <c r="J10" i="34"/>
  <c r="K10" i="34" s="1"/>
  <c r="K9" i="34"/>
  <c r="J9" i="34"/>
  <c r="J8" i="34"/>
  <c r="K8" i="34" s="1"/>
  <c r="A8" i="34"/>
  <c r="C8" i="34" s="1"/>
  <c r="J38" i="33"/>
  <c r="K38" i="33" s="1"/>
  <c r="K37" i="33"/>
  <c r="J37" i="33"/>
  <c r="J36" i="33"/>
  <c r="K36" i="33" s="1"/>
  <c r="K35" i="33"/>
  <c r="J35" i="33"/>
  <c r="J34" i="33"/>
  <c r="K34" i="33" s="1"/>
  <c r="J33" i="33"/>
  <c r="K33" i="33" s="1"/>
  <c r="J32" i="33"/>
  <c r="K32" i="33" s="1"/>
  <c r="J31" i="33"/>
  <c r="K31" i="33" s="1"/>
  <c r="J30" i="33"/>
  <c r="K30" i="33" s="1"/>
  <c r="K29" i="33"/>
  <c r="J29" i="33"/>
  <c r="J28" i="33"/>
  <c r="K28" i="33" s="1"/>
  <c r="K27" i="33"/>
  <c r="J27" i="33"/>
  <c r="J26" i="33"/>
  <c r="K26" i="33" s="1"/>
  <c r="J25" i="33"/>
  <c r="K25" i="33" s="1"/>
  <c r="J24" i="33"/>
  <c r="K24" i="33" s="1"/>
  <c r="J23" i="33"/>
  <c r="K23" i="33" s="1"/>
  <c r="J22" i="33"/>
  <c r="K22" i="33" s="1"/>
  <c r="K21" i="33"/>
  <c r="J21" i="33"/>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K32" i="32"/>
  <c r="J32" i="32"/>
  <c r="J31" i="32"/>
  <c r="K31" i="32" s="1"/>
  <c r="J30" i="32"/>
  <c r="K30" i="32" s="1"/>
  <c r="J29" i="32"/>
  <c r="K29" i="32" s="1"/>
  <c r="J28" i="32"/>
  <c r="K28" i="32" s="1"/>
  <c r="J27" i="32"/>
  <c r="K27" i="32" s="1"/>
  <c r="J26" i="32"/>
  <c r="K26" i="32" s="1"/>
  <c r="J25" i="32"/>
  <c r="K25" i="32" s="1"/>
  <c r="K24" i="32"/>
  <c r="J24" i="32"/>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K8" i="32"/>
  <c r="J8" i="32"/>
  <c r="A8" i="32"/>
  <c r="C8" i="32" s="1"/>
  <c r="J38" i="31"/>
  <c r="K38" i="31" s="1"/>
  <c r="J37" i="31"/>
  <c r="K37" i="31" s="1"/>
  <c r="J36" i="31"/>
  <c r="K36" i="31" s="1"/>
  <c r="K35" i="31"/>
  <c r="J35" i="3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K19" i="31"/>
  <c r="J19" i="31"/>
  <c r="J18" i="31"/>
  <c r="K18" i="31" s="1"/>
  <c r="J17" i="31"/>
  <c r="K17" i="31" s="1"/>
  <c r="J16" i="31"/>
  <c r="K16" i="31" s="1"/>
  <c r="J15" i="31"/>
  <c r="K15" i="31" s="1"/>
  <c r="J14" i="31"/>
  <c r="K14" i="31" s="1"/>
  <c r="J13" i="31"/>
  <c r="K13" i="31" s="1"/>
  <c r="J12" i="31"/>
  <c r="K12" i="31" s="1"/>
  <c r="K11" i="31"/>
  <c r="J11" i="31"/>
  <c r="J10" i="31"/>
  <c r="K10" i="31" s="1"/>
  <c r="J9" i="31"/>
  <c r="J39" i="31" s="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J16" i="30"/>
  <c r="K16" i="30" s="1"/>
  <c r="J15" i="30"/>
  <c r="K15" i="30" s="1"/>
  <c r="K14" i="30"/>
  <c r="J14" i="30"/>
  <c r="J13" i="30"/>
  <c r="K13" i="30" s="1"/>
  <c r="J12" i="30"/>
  <c r="K12" i="30" s="1"/>
  <c r="J11" i="30"/>
  <c r="K11" i="30" s="1"/>
  <c r="K10" i="30"/>
  <c r="J10" i="30"/>
  <c r="J9" i="30"/>
  <c r="K9" i="30" s="1"/>
  <c r="J8" i="30"/>
  <c r="K8" i="30" s="1"/>
  <c r="A8" i="30"/>
  <c r="J38" i="29"/>
  <c r="K38" i="29" s="1"/>
  <c r="J37" i="29"/>
  <c r="K37" i="29" s="1"/>
  <c r="J36" i="29"/>
  <c r="K36" i="29" s="1"/>
  <c r="J35" i="29"/>
  <c r="K35" i="29" s="1"/>
  <c r="J34" i="29"/>
  <c r="K34" i="29" s="1"/>
  <c r="J33" i="29"/>
  <c r="K33" i="29" s="1"/>
  <c r="J32" i="29"/>
  <c r="K32" i="29" s="1"/>
  <c r="J31" i="29"/>
  <c r="K31" i="29" s="1"/>
  <c r="J30" i="29"/>
  <c r="K30" i="29" s="1"/>
  <c r="J29" i="29"/>
  <c r="K29" i="29" s="1"/>
  <c r="J28" i="29"/>
  <c r="K28" i="29" s="1"/>
  <c r="J27" i="29"/>
  <c r="K27" i="29" s="1"/>
  <c r="J26" i="29"/>
  <c r="K26" i="29" s="1"/>
  <c r="J25" i="29"/>
  <c r="K25" i="29" s="1"/>
  <c r="J24" i="29"/>
  <c r="K24" i="29" s="1"/>
  <c r="J23" i="29"/>
  <c r="K23" i="29" s="1"/>
  <c r="J22" i="29"/>
  <c r="K22" i="29" s="1"/>
  <c r="J21" i="29"/>
  <c r="K21" i="29" s="1"/>
  <c r="J18" i="29"/>
  <c r="K18" i="29" s="1"/>
  <c r="J17" i="29"/>
  <c r="K17" i="29" s="1"/>
  <c r="J16" i="29"/>
  <c r="K16" i="29" s="1"/>
  <c r="Q39" i="29" s="1"/>
  <c r="J15" i="29"/>
  <c r="K15" i="29" s="1"/>
  <c r="J14" i="29"/>
  <c r="K14" i="29" s="1"/>
  <c r="J12" i="29"/>
  <c r="K12" i="29" s="1"/>
  <c r="J11" i="29"/>
  <c r="K11" i="29" s="1"/>
  <c r="J10" i="29"/>
  <c r="K10" i="29" s="1"/>
  <c r="J9" i="29"/>
  <c r="K9" i="29" s="1"/>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K39" i="30" l="1"/>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A36"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6" i="29"/>
  <c r="B36" i="29"/>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<sst xmlns="http://schemas.openxmlformats.org/spreadsheetml/2006/main" count="260" uniqueCount="44">
  <si>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</si>
  <si>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</si>
  <si>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</si>
  <si>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</si>
  <si>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</si>
  <si>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</si>
  <si>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</si>
  <si>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</si>
  <si>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</si>
  <si>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</si>
  <si>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</si>
  <si>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</si>
  <si>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</si>
  <si>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</si>
  <si>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</si>
  <si>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</si>
  <si>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</si>
  <si>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</si>
  <si>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</si>
  <si>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</si>
  <si>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</si>
  <si>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</si>
  <si>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</si>
  <si>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</si>
  <si>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</si>
  <si>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</si>
  <si>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</si>
  <si>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</si>
  <si>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</si>
  <si>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</si>
  <si>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t>
    <phoneticPr fontId="2"/>
  </si>
  <si>
    <t>〇</t>
    <phoneticPr fontId="2"/>
  </si>
  <si>
    <t>〇</t>
    <phoneticPr fontId="2"/>
  </si>
  <si>
    <t>在宅勤務</t>
    <rPh sb="0" eb="2">
      <t>ザイタク</t>
    </rPh>
    <rPh sb="2" eb="4">
      <t>キンム</t>
    </rPh>
    <phoneticPr fontId="2"/>
  </si>
  <si>
    <t>○</t>
    <phoneticPr fontId="2"/>
  </si>
  <si>
    <t>〇</t>
  </si>
  <si>
    <t>○</t>
    <phoneticPr fontId="2"/>
  </si>
  <si>
    <t>○</t>
    <phoneticPr fontId="2"/>
  </si>
  <si>
    <t>○</t>
    <phoneticPr fontId="2"/>
  </si>
  <si>
    <t>株式会社SNSソフト</t>
    <rPh sb="0" eb="4">
      <t>カブシキガイシャ</t>
    </rPh>
    <phoneticPr fontId="2"/>
  </si>
  <si>
    <t>事務デジG</t>
    <rPh sb="0" eb="2">
      <t>ジム</t>
    </rPh>
    <phoneticPr fontId="2"/>
  </si>
  <si>
    <t>張海栄</t>
    <rPh sb="0" eb="1">
      <t>チョウ</t>
    </rPh>
    <rPh sb="1" eb="2">
      <t>カイ</t>
    </rPh>
    <rPh sb="2" eb="3">
      <t>エイ</t>
    </rPh>
    <phoneticPr fontId="2"/>
  </si>
  <si>
    <t>史正韵</t>
    <phoneticPr fontId="2"/>
  </si>
  <si>
    <t>私事で休み</t>
    <rPh sb="0" eb="2">
      <t>シジ</t>
    </rPh>
    <rPh sb="3" eb="4">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</si>
</sst>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0"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2">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cellXfs>
  <cellStyles count="2">
    <cellStyle name="桁区切り" xfId="1" builtinId="6"/>
    <cellStyle name="標準" xfId="0" builtinId="0"/>
  </cellStyles>
  <dxfs count="1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workbookViewId="0">
      <pane ySplit="7" topLeftCell="A8" activePane="bottomLeft" state="frozen"/>
      <selection activeCell="Q34" sqref="Q34"/>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4</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42</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45748</v>
      </c>
      <c r="B8" s="36">
        <f>A8</f>
        <v>45748</v>
      </c>
      <c r="C8" s="43">
        <f>IF(WEEKDAY(A8,2)&gt;5,1,0)+IF(D8&lt;&gt;"",1,0)</f>
        <v>0</v>
      </c>
      <c r="D8" s="44"/>
      <c r="E8" s="20">
        <v>9</v>
      </c>
      <c r="F8" s="31">
        <v>0</v>
      </c>
      <c r="G8" s="20">
        <v>18</v>
      </c>
      <c r="H8" s="24">
        <v>30</v>
      </c>
      <c r="I8" s="34">
        <v>60</v>
      </c>
      <c r="J8" s="57">
        <f t="shared" ref="J8:J38" si="0">IF((H8-F8)&lt;0,(G8-E8-1)*60+(60+H8-F8),(G8-E8)*60+H8-F8)-I8</f>
        <v>510</v>
      </c>
      <c r="K8" s="61">
        <f t="shared" ref="K8:K38" si="1">J8/60</f>
        <v>8.5</v>
      </c>
      <c r="L8" s="21"/>
      <c r="M8" s="81"/>
      <c r="N8" s="82"/>
      <c r="O8" s="82"/>
      <c r="P8" s="83"/>
      <c r="Q8" s="21"/>
      <c r="S8" s="14"/>
      <c r="T8" s="6"/>
      <c r="U8" s="6"/>
      <c r="V8" s="6"/>
    </row>
    <row r="9" spans="1:22" ht="18" customHeight="1" x14ac:dyDescent="0.2">
      <c r="A9" s="22">
        <f>IF(A8="","",(A8+1))</f>
        <v>45749</v>
      </c>
      <c r="B9" s="37">
        <f>A9</f>
        <v>45749</v>
      </c>
      <c r="C9" s="39">
        <f t="shared" ref="C9:C38" si="2">IF(WEEKDAY(A9,2)&gt;5,1,0)+IF(D9&lt;&gt;"",1,0)</f>
        <v>0</v>
      </c>
      <c r="D9" s="23"/>
      <c r="E9" s="20">
        <v>9</v>
      </c>
      <c r="F9" s="31">
        <v>0</v>
      </c>
      <c r="G9" s="20">
        <v>18</v>
      </c>
      <c r="H9" s="24">
        <v>30</v>
      </c>
      <c r="I9" s="34">
        <v>60</v>
      </c>
      <c r="J9" s="57">
        <f t="shared" si="0"/>
        <v>510</v>
      </c>
      <c r="K9" s="61">
        <f t="shared" si="1"/>
        <v>8.5</v>
      </c>
      <c r="L9" s="25"/>
      <c r="M9" s="66"/>
      <c r="N9" s="67"/>
      <c r="O9" s="67"/>
      <c r="P9" s="68"/>
      <c r="Q9" s="25"/>
      <c r="S9" s="14"/>
      <c r="T9" s="11"/>
      <c r="U9" s="12"/>
      <c r="V9" s="13"/>
    </row>
    <row r="10" spans="1:22" ht="18" customHeight="1" x14ac:dyDescent="0.2">
      <c r="A10" s="22">
        <f t="shared" ref="A10:A35" si="3">IF(A9="","",(A9+1))</f>
        <v>45750</v>
      </c>
      <c r="B10" s="37">
        <f t="shared" ref="B10:B37" si="4">A10</f>
        <v>45750</v>
      </c>
      <c r="C10" s="39">
        <f t="shared" si="2"/>
        <v>0</v>
      </c>
      <c r="D10" s="23"/>
      <c r="E10" s="20">
        <v>9</v>
      </c>
      <c r="F10" s="31">
        <v>0</v>
      </c>
      <c r="G10" s="20">
        <v>18</v>
      </c>
      <c r="H10" s="24">
        <v>30</v>
      </c>
      <c r="I10" s="34">
        <v>60</v>
      </c>
      <c r="J10" s="57">
        <f t="shared" si="0"/>
        <v>510</v>
      </c>
      <c r="K10" s="61">
        <f t="shared" si="1"/>
        <v>8.5</v>
      </c>
      <c r="L10" s="25"/>
      <c r="M10" s="66"/>
      <c r="N10" s="67"/>
      <c r="O10" s="67"/>
      <c r="P10" s="68"/>
      <c r="Q10" s="25"/>
      <c r="S10" s="14"/>
      <c r="T10" s="11"/>
      <c r="U10" s="12"/>
      <c r="V10" s="13"/>
    </row>
    <row r="11" spans="1:22" ht="18" customHeight="1" x14ac:dyDescent="0.2">
      <c r="A11" s="22">
        <f t="shared" si="3"/>
        <v>45751</v>
      </c>
      <c r="B11" s="37">
        <f t="shared" si="4"/>
        <v>45751</v>
      </c>
      <c r="C11" s="39">
        <f t="shared" si="2"/>
        <v>0</v>
      </c>
      <c r="D11" s="23"/>
      <c r="E11" s="20">
        <v>9</v>
      </c>
      <c r="F11" s="31">
        <v>0</v>
      </c>
      <c r="G11" s="20">
        <v>18</v>
      </c>
      <c r="H11" s="24">
        <v>30</v>
      </c>
      <c r="I11" s="34">
        <v>60</v>
      </c>
      <c r="J11" s="57">
        <f t="shared" si="0"/>
        <v>510</v>
      </c>
      <c r="K11" s="61">
        <f t="shared" si="1"/>
        <v>8.5</v>
      </c>
      <c r="L11" s="25"/>
      <c r="M11" s="66"/>
      <c r="N11" s="67"/>
      <c r="O11" s="67"/>
      <c r="P11" s="68"/>
      <c r="Q11" s="25"/>
      <c r="S11" s="14"/>
      <c r="T11" s="11"/>
      <c r="U11" s="12"/>
      <c r="V11" s="13"/>
    </row>
    <row r="12" spans="1:22" ht="18" customHeight="1" x14ac:dyDescent="0.2">
      <c r="A12" s="22">
        <f t="shared" si="3"/>
        <v>45752</v>
      </c>
      <c r="B12" s="37">
        <f t="shared" si="4"/>
        <v>45752</v>
      </c>
      <c r="C12" s="39">
        <f t="shared" si="2"/>
        <v>1</v>
      </c>
      <c r="D12" s="23"/>
      <c r="E12" s="20"/>
      <c r="F12" s="31"/>
      <c r="G12" s="20"/>
      <c r="H12" s="24"/>
      <c r="I12" s="34"/>
      <c r="J12" s="57">
        <f t="shared" si="0"/>
        <v>0</v>
      </c>
      <c r="K12" s="61">
        <f t="shared" si="1"/>
        <v>0</v>
      </c>
      <c r="L12" s="25"/>
      <c r="M12" s="66"/>
      <c r="N12" s="67"/>
      <c r="O12" s="67"/>
      <c r="P12" s="68"/>
      <c r="Q12" s="25"/>
      <c r="S12" s="14"/>
      <c r="T12" s="11"/>
      <c r="U12" s="12"/>
      <c r="V12" s="13"/>
    </row>
    <row r="13" spans="1:22" ht="18" customHeight="1" x14ac:dyDescent="0.2">
      <c r="A13" s="22">
        <f t="shared" si="3"/>
        <v>45753</v>
      </c>
      <c r="B13" s="37">
        <f t="shared" si="4"/>
        <v>45753</v>
      </c>
      <c r="C13" s="39">
        <f t="shared" si="2"/>
        <v>1</v>
      </c>
      <c r="D13" s="23"/>
      <c r="E13" s="20"/>
      <c r="F13" s="31"/>
      <c r="G13" s="20"/>
      <c r="H13" s="24"/>
      <c r="I13" s="34"/>
      <c r="J13" s="57">
        <f t="shared" ref="J13" si="5">IF((H13-F13)&lt;0,(G13-E13-1)*60+(60+H13-F13),(G13-E13)*60+H13-F13)-I13</f>
        <v>0</v>
      </c>
      <c r="K13" s="61">
        <f t="shared" ref="K13" si="6">J13/60</f>
        <v>0</v>
      </c>
      <c r="L13" s="25"/>
      <c r="M13" s="66"/>
      <c r="N13" s="67"/>
      <c r="O13" s="67"/>
      <c r="P13" s="68"/>
      <c r="Q13" s="25"/>
      <c r="S13" s="14"/>
      <c r="T13" s="11"/>
      <c r="U13" s="12"/>
      <c r="V13" s="13"/>
    </row>
    <row r="14" spans="1:22" ht="18" customHeight="1" x14ac:dyDescent="0.2">
      <c r="A14" s="22">
        <f t="shared" si="3"/>
        <v>45754</v>
      </c>
      <c r="B14" s="37">
        <f t="shared" si="4"/>
        <v>45754</v>
      </c>
      <c r="C14" s="39">
        <f t="shared" si="2"/>
        <v>0</v>
      </c>
      <c r="D14" s="23"/>
      <c r="E14" s="20">
        <v>9</v>
      </c>
      <c r="F14" s="31">
        <v>0</v>
      </c>
      <c r="G14" s="20">
        <v>18</v>
      </c>
      <c r="H14" s="24">
        <v>30</v>
      </c>
      <c r="I14" s="34">
        <v>60</v>
      </c>
      <c r="J14" s="57">
        <f t="shared" si="0"/>
        <v>510</v>
      </c>
      <c r="K14" s="61">
        <f t="shared" si="1"/>
        <v>8.5</v>
      </c>
      <c r="L14" s="25"/>
      <c r="M14" s="66"/>
      <c r="N14" s="67"/>
      <c r="O14" s="67"/>
      <c r="P14" s="68"/>
      <c r="Q14" s="25"/>
      <c r="S14" s="14"/>
      <c r="T14" s="11"/>
      <c r="U14" s="12"/>
      <c r="V14" s="13"/>
    </row>
    <row r="15" spans="1:22" ht="18" customHeight="1" x14ac:dyDescent="0.2">
      <c r="A15" s="22">
        <f t="shared" si="3"/>
        <v>45755</v>
      </c>
      <c r="B15" s="37">
        <f t="shared" si="4"/>
        <v>45755</v>
      </c>
      <c r="C15" s="39">
        <f t="shared" si="2"/>
        <v>0</v>
      </c>
      <c r="D15" s="23"/>
      <c r="E15" s="20">
        <v>9</v>
      </c>
      <c r="F15" s="31">
        <v>0</v>
      </c>
      <c r="G15" s="20">
        <v>18</v>
      </c>
      <c r="H15" s="24">
        <v>30</v>
      </c>
      <c r="I15" s="34">
        <v>60</v>
      </c>
      <c r="J15" s="57">
        <f t="shared" si="0"/>
        <v>510</v>
      </c>
      <c r="K15" s="61">
        <f t="shared" si="1"/>
        <v>8.5</v>
      </c>
      <c r="L15" s="25"/>
      <c r="M15" s="66"/>
      <c r="N15" s="67"/>
      <c r="O15" s="67"/>
      <c r="P15" s="68"/>
      <c r="Q15" s="25"/>
      <c r="S15" s="14"/>
      <c r="T15" s="11"/>
      <c r="U15" s="12"/>
      <c r="V15" s="13"/>
    </row>
    <row r="16" spans="1:22" ht="18" customHeight="1" x14ac:dyDescent="0.2">
      <c r="A16" s="22">
        <f t="shared" si="3"/>
        <v>45756</v>
      </c>
      <c r="B16" s="37">
        <f t="shared" si="4"/>
        <v>45756</v>
      </c>
      <c r="C16" s="39">
        <f t="shared" si="2"/>
        <v>0</v>
      </c>
      <c r="D16" s="23"/>
      <c r="E16" s="20">
        <v>9</v>
      </c>
      <c r="F16" s="31">
        <v>0</v>
      </c>
      <c r="G16" s="20">
        <v>18</v>
      </c>
      <c r="H16" s="24">
        <v>30</v>
      </c>
      <c r="I16" s="34">
        <v>60</v>
      </c>
      <c r="J16" s="57">
        <f t="shared" si="0"/>
        <v>510</v>
      </c>
      <c r="K16" s="61">
        <f t="shared" si="1"/>
        <v>8.5</v>
      </c>
      <c r="L16" s="25"/>
      <c r="M16" s="66"/>
      <c r="N16" s="67"/>
      <c r="O16" s="67"/>
      <c r="P16" s="68"/>
      <c r="Q16" s="25"/>
      <c r="S16" s="14"/>
      <c r="T16" s="11"/>
      <c r="U16" s="12"/>
      <c r="V16" s="13"/>
    </row>
    <row r="17" spans="1:22" ht="18" customHeight="1" x14ac:dyDescent="0.2">
      <c r="A17" s="22">
        <f t="shared" si="3"/>
        <v>45757</v>
      </c>
      <c r="B17" s="37">
        <f t="shared" si="4"/>
        <v>45757</v>
      </c>
      <c r="C17" s="39">
        <f t="shared" si="2"/>
        <v>0</v>
      </c>
      <c r="D17" s="23"/>
      <c r="E17" s="20">
        <v>9</v>
      </c>
      <c r="F17" s="31">
        <v>0</v>
      </c>
      <c r="G17" s="20">
        <v>18</v>
      </c>
      <c r="H17" s="24">
        <v>30</v>
      </c>
      <c r="I17" s="34">
        <v>60</v>
      </c>
      <c r="J17" s="57">
        <f t="shared" si="0"/>
        <v>510</v>
      </c>
      <c r="K17" s="61">
        <f t="shared" si="1"/>
        <v>8.5</v>
      </c>
      <c r="L17" s="25"/>
      <c r="M17" s="66"/>
      <c r="N17" s="67"/>
      <c r="O17" s="67"/>
      <c r="P17" s="68"/>
      <c r="Q17" s="25"/>
      <c r="T17" s="11"/>
      <c r="U17" s="12"/>
      <c r="V17" s="13"/>
    </row>
    <row r="18" spans="1:22" ht="18" customHeight="1" x14ac:dyDescent="0.2">
      <c r="A18" s="22">
        <f t="shared" si="3"/>
        <v>45758</v>
      </c>
      <c r="B18" s="37">
        <f t="shared" si="4"/>
        <v>45758</v>
      </c>
      <c r="C18" s="39">
        <f t="shared" si="2"/>
        <v>0</v>
      </c>
      <c r="D18" s="23"/>
      <c r="E18" s="20">
        <v>9</v>
      </c>
      <c r="F18" s="31">
        <v>0</v>
      </c>
      <c r="G18" s="20">
        <v>18</v>
      </c>
      <c r="H18" s="24">
        <v>30</v>
      </c>
      <c r="I18" s="34">
        <v>60</v>
      </c>
      <c r="J18" s="57">
        <f t="shared" si="0"/>
        <v>510</v>
      </c>
      <c r="K18" s="61">
        <f t="shared" si="1"/>
        <v>8.5</v>
      </c>
      <c r="L18" s="25"/>
      <c r="M18" s="66"/>
      <c r="N18" s="67"/>
      <c r="O18" s="67"/>
      <c r="P18" s="68"/>
      <c r="Q18" s="25"/>
      <c r="T18" s="11"/>
      <c r="U18" s="12"/>
      <c r="V18" s="13"/>
    </row>
    <row r="19" spans="1:22" ht="18" customHeight="1" x14ac:dyDescent="0.2">
      <c r="A19" s="22">
        <f t="shared" si="3"/>
        <v>45759</v>
      </c>
      <c r="B19" s="37">
        <f t="shared" si="4"/>
        <v>45759</v>
      </c>
      <c r="C19" s="39">
        <f t="shared" si="2"/>
        <v>1</v>
      </c>
      <c r="D19" s="23"/>
      <c r="E19" s="20"/>
      <c r="F19" s="31"/>
      <c r="G19" s="20"/>
      <c r="H19" s="24"/>
      <c r="I19" s="34"/>
      <c r="J19" s="57">
        <f t="shared" ref="J19:J20" si="7">IF((H19-F19)&lt;0,(G19-E19-1)*60+(60+H19-F19),(G19-E19)*60+H19-F19)-I19</f>
        <v>0</v>
      </c>
      <c r="K19" s="61">
        <f t="shared" ref="K19:K20" si="8">J19/60</f>
        <v>0</v>
      </c>
      <c r="L19" s="25"/>
      <c r="M19" s="66"/>
      <c r="N19" s="67"/>
      <c r="O19" s="67"/>
      <c r="P19" s="68"/>
      <c r="Q19" s="25"/>
      <c r="V19" s="13"/>
    </row>
    <row r="20" spans="1:22" ht="18" customHeight="1" x14ac:dyDescent="0.2">
      <c r="A20" s="22">
        <f t="shared" si="3"/>
        <v>45760</v>
      </c>
      <c r="B20" s="37">
        <f t="shared" si="4"/>
        <v>45760</v>
      </c>
      <c r="C20" s="39">
        <f t="shared" si="2"/>
        <v>1</v>
      </c>
      <c r="D20" s="23"/>
      <c r="E20" s="20"/>
      <c r="F20" s="31"/>
      <c r="G20" s="20"/>
      <c r="H20" s="24"/>
      <c r="I20" s="34"/>
      <c r="J20" s="57">
        <f t="shared" si="7"/>
        <v>0</v>
      </c>
      <c r="K20" s="61">
        <f t="shared" si="8"/>
        <v>0</v>
      </c>
      <c r="L20" s="25"/>
      <c r="M20" s="66"/>
      <c r="N20" s="67"/>
      <c r="O20" s="67"/>
      <c r="P20" s="68"/>
      <c r="Q20" s="25"/>
      <c r="V20" s="13"/>
    </row>
    <row r="21" spans="1:22" ht="18" customHeight="1" x14ac:dyDescent="0.2">
      <c r="A21" s="22">
        <f t="shared" si="3"/>
        <v>45761</v>
      </c>
      <c r="B21" s="37">
        <f t="shared" si="4"/>
        <v>45761</v>
      </c>
      <c r="C21" s="39">
        <f t="shared" si="2"/>
        <v>0</v>
      </c>
      <c r="D21" s="23"/>
      <c r="E21" s="20">
        <v>9</v>
      </c>
      <c r="F21" s="31">
        <v>0</v>
      </c>
      <c r="G21" s="20">
        <v>18</v>
      </c>
      <c r="H21" s="24">
        <v>30</v>
      </c>
      <c r="I21" s="34">
        <v>60</v>
      </c>
      <c r="J21" s="57">
        <f t="shared" si="0"/>
        <v>510</v>
      </c>
      <c r="K21" s="61">
        <f t="shared" si="1"/>
        <v>8.5</v>
      </c>
      <c r="L21" s="25"/>
      <c r="M21" s="66"/>
      <c r="N21" s="67"/>
      <c r="O21" s="67"/>
      <c r="P21" s="68"/>
      <c r="Q21" s="25"/>
      <c r="V21" s="13"/>
    </row>
    <row r="22" spans="1:22" ht="18" customHeight="1" x14ac:dyDescent="0.2">
      <c r="A22" s="22">
        <f t="shared" si="3"/>
        <v>45762</v>
      </c>
      <c r="B22" s="37">
        <f t="shared" si="4"/>
        <v>45762</v>
      </c>
      <c r="C22" s="39">
        <f t="shared" si="2"/>
        <v>0</v>
      </c>
      <c r="D22" s="23"/>
      <c r="E22" s="20">
        <v>9</v>
      </c>
      <c r="F22" s="31">
        <v>0</v>
      </c>
      <c r="G22" s="20">
        <v>18</v>
      </c>
      <c r="H22" s="24">
        <v>30</v>
      </c>
      <c r="I22" s="34">
        <v>60</v>
      </c>
      <c r="J22" s="57">
        <f t="shared" si="0"/>
        <v>510</v>
      </c>
      <c r="K22" s="61">
        <f t="shared" si="1"/>
        <v>8.5</v>
      </c>
      <c r="L22" s="25"/>
      <c r="M22" s="66"/>
      <c r="N22" s="67"/>
      <c r="O22" s="67"/>
      <c r="P22" s="68"/>
      <c r="Q22" s="25"/>
      <c r="V22" s="13"/>
    </row>
    <row r="23" spans="1:22" ht="18" customHeight="1" x14ac:dyDescent="0.2">
      <c r="A23" s="22">
        <f t="shared" si="3"/>
        <v>45763</v>
      </c>
      <c r="B23" s="37">
        <f t="shared" si="4"/>
        <v>45763</v>
      </c>
      <c r="C23" s="39">
        <f t="shared" si="2"/>
        <v>0</v>
      </c>
      <c r="D23" s="23"/>
      <c r="E23" s="20">
        <v>9</v>
      </c>
      <c r="F23" s="31">
        <v>0</v>
      </c>
      <c r="G23" s="20">
        <v>18</v>
      </c>
      <c r="H23" s="24">
        <v>30</v>
      </c>
      <c r="I23" s="34">
        <v>60</v>
      </c>
      <c r="J23" s="57">
        <f t="shared" si="0"/>
        <v>510</v>
      </c>
      <c r="K23" s="61">
        <f t="shared" si="1"/>
        <v>8.5</v>
      </c>
      <c r="L23" s="25"/>
      <c r="M23" s="66"/>
      <c r="N23" s="67"/>
      <c r="O23" s="67"/>
      <c r="P23" s="68"/>
      <c r="Q23" s="25"/>
      <c r="V23" s="13"/>
    </row>
    <row r="24" spans="1:22" ht="18" customHeight="1" x14ac:dyDescent="0.2">
      <c r="A24" s="22">
        <f t="shared" si="3"/>
        <v>45764</v>
      </c>
      <c r="B24" s="37">
        <f t="shared" si="4"/>
        <v>45764</v>
      </c>
      <c r="C24" s="39">
        <f t="shared" si="2"/>
        <v>0</v>
      </c>
      <c r="D24" s="23"/>
      <c r="E24" s="20">
        <v>9</v>
      </c>
      <c r="F24" s="31">
        <v>0</v>
      </c>
      <c r="G24" s="20">
        <v>18</v>
      </c>
      <c r="H24" s="24">
        <v>30</v>
      </c>
      <c r="I24" s="34">
        <v>60</v>
      </c>
      <c r="J24" s="57">
        <f t="shared" si="0"/>
        <v>510</v>
      </c>
      <c r="K24" s="61">
        <f t="shared" si="1"/>
        <v>8.5</v>
      </c>
      <c r="L24" s="25"/>
      <c r="M24" s="66"/>
      <c r="N24" s="67"/>
      <c r="O24" s="67"/>
      <c r="P24" s="68"/>
      <c r="Q24" s="25"/>
      <c r="V24" s="13"/>
    </row>
    <row r="25" spans="1:22" ht="18" customHeight="1" x14ac:dyDescent="0.2">
      <c r="A25" s="22">
        <f t="shared" si="3"/>
        <v>45765</v>
      </c>
      <c r="B25" s="37">
        <f t="shared" si="4"/>
        <v>45765</v>
      </c>
      <c r="C25" s="39">
        <f t="shared" si="2"/>
        <v>0</v>
      </c>
      <c r="D25" s="23"/>
      <c r="E25" s="20">
        <v>9</v>
      </c>
      <c r="F25" s="31">
        <v>0</v>
      </c>
      <c r="G25" s="20">
        <v>18</v>
      </c>
      <c r="H25" s="24">
        <v>30</v>
      </c>
      <c r="I25" s="34">
        <v>60</v>
      </c>
      <c r="J25" s="57">
        <f t="shared" si="0"/>
        <v>510</v>
      </c>
      <c r="K25" s="61">
        <f t="shared" si="1"/>
        <v>8.5</v>
      </c>
      <c r="L25" s="25"/>
      <c r="M25" s="66"/>
      <c r="N25" s="67"/>
      <c r="O25" s="67"/>
      <c r="P25" s="68"/>
      <c r="Q25" s="25"/>
      <c r="V25" s="13"/>
    </row>
    <row r="26" spans="1:22" ht="18" customHeight="1" x14ac:dyDescent="0.2">
      <c r="A26" s="22">
        <f t="shared" si="3"/>
        <v>45766</v>
      </c>
      <c r="B26" s="37">
        <f t="shared" si="4"/>
        <v>45766</v>
      </c>
      <c r="C26" s="39">
        <f t="shared" si="2"/>
        <v>1</v>
      </c>
      <c r="D26" s="23"/>
      <c r="E26" s="20"/>
      <c r="F26" s="31"/>
      <c r="G26" s="20"/>
      <c r="H26" s="24"/>
      <c r="I26" s="34"/>
      <c r="J26" s="57">
        <f t="shared" si="0"/>
        <v>0</v>
      </c>
      <c r="K26" s="61">
        <f t="shared" si="1"/>
        <v>0</v>
      </c>
      <c r="L26" s="25"/>
      <c r="M26" s="66"/>
      <c r="N26" s="67"/>
      <c r="O26" s="67"/>
      <c r="P26" s="68"/>
      <c r="Q26" s="25"/>
      <c r="V26" s="13"/>
    </row>
    <row r="27" spans="1:22" ht="18" customHeight="1" x14ac:dyDescent="0.2">
      <c r="A27" s="22">
        <f t="shared" si="3"/>
        <v>45767</v>
      </c>
      <c r="B27" s="37">
        <f t="shared" si="4"/>
        <v>45767</v>
      </c>
      <c r="C27" s="39">
        <f t="shared" si="2"/>
        <v>1</v>
      </c>
      <c r="D27" s="23"/>
      <c r="E27" s="20"/>
      <c r="F27" s="31"/>
      <c r="G27" s="20"/>
      <c r="H27" s="24"/>
      <c r="I27" s="34"/>
      <c r="J27" s="57">
        <f t="shared" si="0"/>
        <v>0</v>
      </c>
      <c r="K27" s="61">
        <f t="shared" si="1"/>
        <v>0</v>
      </c>
      <c r="L27" s="25"/>
      <c r="M27" s="66"/>
      <c r="N27" s="67"/>
      <c r="O27" s="67"/>
      <c r="P27" s="68"/>
      <c r="Q27" s="25"/>
      <c r="V27" s="13"/>
    </row>
    <row r="28" spans="1:22" ht="18" customHeight="1" x14ac:dyDescent="0.2">
      <c r="A28" s="22">
        <f t="shared" si="3"/>
        <v>45768</v>
      </c>
      <c r="B28" s="37">
        <f t="shared" si="4"/>
        <v>45768</v>
      </c>
      <c r="C28" s="39">
        <f t="shared" si="2"/>
        <v>0</v>
      </c>
      <c r="D28" s="23"/>
      <c r="E28" s="20">
        <v>9</v>
      </c>
      <c r="F28" s="31">
        <v>0</v>
      </c>
      <c r="G28" s="20">
        <v>18</v>
      </c>
      <c r="H28" s="24">
        <v>30</v>
      </c>
      <c r="I28" s="34">
        <v>60</v>
      </c>
      <c r="J28" s="57">
        <f t="shared" si="0"/>
        <v>510</v>
      </c>
      <c r="K28" s="61">
        <f t="shared" si="1"/>
        <v>8.5</v>
      </c>
      <c r="L28" s="25"/>
      <c r="M28" s="66"/>
      <c r="N28" s="67"/>
      <c r="O28" s="67"/>
      <c r="P28" s="68"/>
      <c r="Q28" s="25"/>
      <c r="V28" s="13"/>
    </row>
    <row r="29" spans="1:22" ht="18" customHeight="1" x14ac:dyDescent="0.2">
      <c r="A29" s="22">
        <f t="shared" si="3"/>
        <v>45769</v>
      </c>
      <c r="B29" s="37">
        <f t="shared" si="4"/>
        <v>45769</v>
      </c>
      <c r="C29" s="39">
        <f t="shared" si="2"/>
        <v>0</v>
      </c>
      <c r="D29" s="23"/>
      <c r="E29" s="20">
        <v>9</v>
      </c>
      <c r="F29" s="31">
        <v>0</v>
      </c>
      <c r="G29" s="20">
        <v>18</v>
      </c>
      <c r="H29" s="24">
        <v>30</v>
      </c>
      <c r="I29" s="34">
        <v>60</v>
      </c>
      <c r="J29" s="57">
        <f t="shared" si="0"/>
        <v>510</v>
      </c>
      <c r="K29" s="61">
        <f t="shared" si="1"/>
        <v>8.5</v>
      </c>
      <c r="L29" s="25"/>
      <c r="M29" s="66"/>
      <c r="N29" s="67"/>
      <c r="O29" s="67"/>
      <c r="P29" s="68"/>
      <c r="Q29" s="25"/>
      <c r="V29" s="13"/>
    </row>
    <row r="30" spans="1:22" ht="18" customHeight="1" x14ac:dyDescent="0.2">
      <c r="A30" s="22">
        <f t="shared" si="3"/>
        <v>45770</v>
      </c>
      <c r="B30" s="37">
        <f t="shared" si="4"/>
        <v>45770</v>
      </c>
      <c r="C30" s="39">
        <f t="shared" si="2"/>
        <v>0</v>
      </c>
      <c r="D30" s="23"/>
      <c r="E30" s="20">
        <v>9</v>
      </c>
      <c r="F30" s="31">
        <v>0</v>
      </c>
      <c r="G30" s="20">
        <v>18</v>
      </c>
      <c r="H30" s="24">
        <v>30</v>
      </c>
      <c r="I30" s="34">
        <v>60</v>
      </c>
      <c r="J30" s="57">
        <f t="shared" si="0"/>
        <v>510</v>
      </c>
      <c r="K30" s="61">
        <f t="shared" si="1"/>
        <v>8.5</v>
      </c>
      <c r="L30" s="25"/>
      <c r="M30" s="66"/>
      <c r="N30" s="67"/>
      <c r="O30" s="67"/>
      <c r="P30" s="68"/>
      <c r="Q30" s="25"/>
      <c r="V30" s="13"/>
    </row>
    <row r="31" spans="1:22" ht="18" customHeight="1" x14ac:dyDescent="0.2">
      <c r="A31" s="22">
        <f t="shared" si="3"/>
        <v>45771</v>
      </c>
      <c r="B31" s="37">
        <f t="shared" si="4"/>
        <v>45771</v>
      </c>
      <c r="C31" s="39">
        <f t="shared" si="2"/>
        <v>0</v>
      </c>
      <c r="D31" s="23"/>
      <c r="E31" s="20">
        <v>9</v>
      </c>
      <c r="F31" s="31">
        <v>0</v>
      </c>
      <c r="G31" s="20">
        <v>18</v>
      </c>
      <c r="H31" s="24">
        <v>30</v>
      </c>
      <c r="I31" s="34">
        <v>60</v>
      </c>
      <c r="J31" s="57">
        <f t="shared" si="0"/>
        <v>510</v>
      </c>
      <c r="K31" s="61">
        <f t="shared" si="1"/>
        <v>8.5</v>
      </c>
      <c r="L31" s="25"/>
      <c r="M31" s="66"/>
      <c r="N31" s="67"/>
      <c r="O31" s="67"/>
      <c r="P31" s="68"/>
      <c r="Q31" s="25"/>
      <c r="V31" s="13"/>
    </row>
    <row r="32" spans="1:22" ht="18" customHeight="1" x14ac:dyDescent="0.2">
      <c r="A32" s="22">
        <f t="shared" si="3"/>
        <v>45772</v>
      </c>
      <c r="B32" s="37">
        <f t="shared" si="4"/>
        <v>45772</v>
      </c>
      <c r="C32" s="39">
        <f t="shared" si="2"/>
        <v>0</v>
      </c>
      <c r="D32" s="23"/>
      <c r="E32" s="20">
        <v>9</v>
      </c>
      <c r="F32" s="31">
        <v>0</v>
      </c>
      <c r="G32" s="20">
        <v>18</v>
      </c>
      <c r="H32" s="24">
        <v>30</v>
      </c>
      <c r="I32" s="34">
        <v>60</v>
      </c>
      <c r="J32" s="57">
        <f t="shared" si="0"/>
        <v>510</v>
      </c>
      <c r="K32" s="61">
        <f t="shared" si="1"/>
        <v>8.5</v>
      </c>
      <c r="L32" s="25"/>
      <c r="M32" s="66"/>
      <c r="N32" s="67"/>
      <c r="O32" s="67"/>
      <c r="P32" s="68"/>
      <c r="Q32" s="25"/>
      <c r="V32" s="13"/>
    </row>
    <row r="33" spans="1:22" ht="18" customHeight="1" x14ac:dyDescent="0.2">
      <c r="A33" s="22">
        <f t="shared" si="3"/>
        <v>45773</v>
      </c>
      <c r="B33" s="37">
        <f t="shared" si="4"/>
        <v>45773</v>
      </c>
      <c r="C33" s="39">
        <f t="shared" si="2"/>
        <v>1</v>
      </c>
      <c r="D33" s="23"/>
      <c r="E33" s="20"/>
      <c r="F33" s="31"/>
      <c r="G33" s="20"/>
      <c r="H33" s="24"/>
      <c r="I33" s="34"/>
      <c r="J33" s="57">
        <f t="shared" si="0"/>
        <v>0</v>
      </c>
      <c r="K33" s="61">
        <f t="shared" si="1"/>
        <v>0</v>
      </c>
      <c r="L33" s="25"/>
      <c r="M33" s="66"/>
      <c r="N33" s="67"/>
      <c r="O33" s="67"/>
      <c r="P33" s="68"/>
      <c r="Q33" s="25"/>
      <c r="V33" s="13"/>
    </row>
    <row r="34" spans="1:22" ht="18" customHeight="1" x14ac:dyDescent="0.2">
      <c r="A34" s="22">
        <f t="shared" si="3"/>
        <v>45774</v>
      </c>
      <c r="B34" s="37">
        <f t="shared" si="4"/>
        <v>45774</v>
      </c>
      <c r="C34" s="39">
        <f t="shared" si="2"/>
        <v>1</v>
      </c>
      <c r="D34" s="23"/>
      <c r="E34" s="20"/>
      <c r="F34" s="31"/>
      <c r="G34" s="20"/>
      <c r="H34" s="24"/>
      <c r="I34" s="34"/>
      <c r="J34" s="57">
        <f t="shared" si="0"/>
        <v>0</v>
      </c>
      <c r="K34" s="61">
        <f t="shared" si="1"/>
        <v>0</v>
      </c>
      <c r="L34" s="25"/>
      <c r="M34" s="66"/>
      <c r="N34" s="67"/>
      <c r="O34" s="67"/>
      <c r="P34" s="68"/>
      <c r="Q34" s="25"/>
    </row>
    <row r="35" spans="1:22" ht="18" customHeight="1" x14ac:dyDescent="0.2">
      <c r="A35" s="22">
        <f t="shared" si="3"/>
        <v>45775</v>
      </c>
      <c r="B35" s="37">
        <f t="shared" si="4"/>
        <v>45775</v>
      </c>
      <c r="C35" s="39">
        <f t="shared" si="2"/>
        <v>0</v>
      </c>
      <c r="D35" s="23"/>
      <c r="E35" s="20">
        <v>9</v>
      </c>
      <c r="F35" s="31">
        <v>0</v>
      </c>
      <c r="G35" s="20">
        <v>18</v>
      </c>
      <c r="H35" s="24">
        <v>30</v>
      </c>
      <c r="I35" s="34">
        <v>60</v>
      </c>
      <c r="J35" s="57">
        <f t="shared" si="0"/>
        <v>510</v>
      </c>
      <c r="K35" s="61">
        <f t="shared" si="1"/>
        <v>8.5</v>
      </c>
      <c r="L35" s="25"/>
      <c r="M35" s="66"/>
      <c r="N35" s="67"/>
      <c r="O35" s="67"/>
      <c r="P35" s="68"/>
      <c r="Q35" s="25"/>
    </row>
    <row r="36" spans="1:22" ht="18" customHeight="1" x14ac:dyDescent="0.2">
      <c r="A36" s="22">
        <f>IF($A$35="","",IF(NOT(MONTH($A$35)=MONTH($A$35+1)),"",$A$35+1))</f>
        <v>45776</v>
      </c>
      <c r="B36" s="37">
        <f t="shared" si="4"/>
        <v>45776</v>
      </c>
      <c r="C36" s="39">
        <f t="shared" si="2"/>
        <v>1</v>
      </c>
      <c r="D36" s="23" t="s">
        <v>28</v>
      </c>
      <c r="E36" s="20"/>
      <c r="F36" s="31"/>
      <c r="G36" s="20"/>
      <c r="H36" s="24"/>
      <c r="I36" s="34"/>
      <c r="J36" s="57">
        <f t="shared" si="0"/>
        <v>0</v>
      </c>
      <c r="K36" s="61">
        <f t="shared" si="1"/>
        <v>0</v>
      </c>
      <c r="L36" s="25"/>
      <c r="M36" s="66"/>
      <c r="N36" s="67"/>
      <c r="O36" s="67"/>
      <c r="P36" s="68"/>
      <c r="Q36" s="25"/>
    </row>
    <row r="37" spans="1:22" ht="18" customHeight="1" x14ac:dyDescent="0.2">
      <c r="A37" s="22">
        <f>IF($A$35="","",IF(NOT(MONTH($A$35)=MONTH($A$35+2)),"",$A$35+2))</f>
        <v>45777</v>
      </c>
      <c r="B37" s="37">
        <f t="shared" si="4"/>
        <v>45777</v>
      </c>
      <c r="C37" s="39">
        <f t="shared" si="2"/>
        <v>0</v>
      </c>
      <c r="D37" s="23"/>
      <c r="E37" s="20">
        <v>9</v>
      </c>
      <c r="F37" s="31">
        <v>0</v>
      </c>
      <c r="G37" s="20">
        <v>18</v>
      </c>
      <c r="H37" s="24">
        <v>30</v>
      </c>
      <c r="I37" s="34">
        <v>60</v>
      </c>
      <c r="J37" s="57">
        <f t="shared" si="0"/>
        <v>510</v>
      </c>
      <c r="K37" s="61">
        <f t="shared" si="1"/>
        <v>8.5</v>
      </c>
      <c r="L37" s="25" t="s">
        <v>31</v>
      </c>
      <c r="M37" s="66"/>
      <c r="N37" s="67"/>
      <c r="O37" s="67"/>
      <c r="P37" s="68"/>
      <c r="Q37" s="25"/>
    </row>
    <row r="38" spans="1:22" ht="18" customHeight="1" thickBot="1" x14ac:dyDescent="0.25">
      <c r="A38" s="26" t="str">
        <f>IF($A$35="","",IF(NOT(MONTH($A$35)=MONTH($A$35+3)),"",$A$35+3))</f>
        <v/>
      </c>
      <c r="B38" s="38" t="str">
        <f>A38</f>
        <v/>
      </c>
      <c r="C38" s="40" t="e">
        <f t="shared" si="2"/>
        <v>#VALUE!</v>
      </c>
      <c r="D38" s="27"/>
      <c r="E38" s="28"/>
      <c r="F38" s="32"/>
      <c r="G38" s="28"/>
      <c r="H38" s="29"/>
      <c r="I38" s="35"/>
      <c r="J38" s="58">
        <f t="shared" si="0"/>
        <v>0</v>
      </c>
      <c r="K38" s="62">
        <f t="shared" si="1"/>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10710</v>
      </c>
      <c r="K39" s="63">
        <f>SUM(K8:K38)</f>
        <v>178.5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26:H27 A33:H34 A28:D32 A36:H36 A35:D35 A38:I38 J8:P12 A12:I12 A8:D11 A37:D37 J14:P18 J21:P38 A13:D25 E19:P20 E13:P13 G8:H11 G14:H18 G21:H25 G28:H32 G35:H35 G37:H37">
    <cfRule type="expression" dxfId="134" priority="46" stopIfTrue="1">
      <formula>$C8&gt;0</formula>
    </cfRule>
  </conditionalFormatting>
  <conditionalFormatting sqref="I26:I27">
    <cfRule type="expression" dxfId="133" priority="45" stopIfTrue="1">
      <formula>$C26&gt;0</formula>
    </cfRule>
  </conditionalFormatting>
  <conditionalFormatting sqref="I33:I34 I36">
    <cfRule type="expression" dxfId="132" priority="44" stopIfTrue="1">
      <formula>$C33&gt;0</formula>
    </cfRule>
  </conditionalFormatting>
  <conditionalFormatting sqref="Q8:Q38">
    <cfRule type="expression" dxfId="131" priority="43" stopIfTrue="1">
      <formula>$C8&gt;0</formula>
    </cfRule>
  </conditionalFormatting>
  <conditionalFormatting sqref="E8:F8 I8">
    <cfRule type="expression" dxfId="130" priority="42" stopIfTrue="1">
      <formula>$C8&gt;0</formula>
    </cfRule>
  </conditionalFormatting>
  <conditionalFormatting sqref="E10:F10">
    <cfRule type="expression" dxfId="129" priority="41" stopIfTrue="1">
      <formula>$C10&gt;0</formula>
    </cfRule>
  </conditionalFormatting>
  <conditionalFormatting sqref="I10:I11">
    <cfRule type="expression" dxfId="128" priority="40" stopIfTrue="1">
      <formula>$C10&gt;0</formula>
    </cfRule>
  </conditionalFormatting>
  <conditionalFormatting sqref="E9:F9">
    <cfRule type="expression" dxfId="127" priority="39" stopIfTrue="1">
      <formula>$C9&gt;0</formula>
    </cfRule>
  </conditionalFormatting>
  <conditionalFormatting sqref="I9">
    <cfRule type="expression" dxfId="126" priority="38" stopIfTrue="1">
      <formula>$C9&gt;0</formula>
    </cfRule>
  </conditionalFormatting>
  <conditionalFormatting sqref="I14">
    <cfRule type="expression" dxfId="125" priority="33" stopIfTrue="1">
      <formula>$C14&gt;0</formula>
    </cfRule>
  </conditionalFormatting>
  <conditionalFormatting sqref="I15">
    <cfRule type="expression" dxfId="124" priority="32" stopIfTrue="1">
      <formula>$C15&gt;0</formula>
    </cfRule>
  </conditionalFormatting>
  <conditionalFormatting sqref="I16">
    <cfRule type="expression" dxfId="123" priority="31" stopIfTrue="1">
      <formula>$C16&gt;0</formula>
    </cfRule>
  </conditionalFormatting>
  <conditionalFormatting sqref="I17">
    <cfRule type="expression" dxfId="122" priority="30" stopIfTrue="1">
      <formula>$C17&gt;0</formula>
    </cfRule>
  </conditionalFormatting>
  <conditionalFormatting sqref="I18">
    <cfRule type="expression" dxfId="121" priority="29" stopIfTrue="1">
      <formula>$C18&gt;0</formula>
    </cfRule>
  </conditionalFormatting>
  <conditionalFormatting sqref="I21:I25">
    <cfRule type="expression" dxfId="120" priority="25" stopIfTrue="1">
      <formula>$C21&gt;0</formula>
    </cfRule>
  </conditionalFormatting>
  <conditionalFormatting sqref="I28:I32">
    <cfRule type="expression" dxfId="119" priority="23" stopIfTrue="1">
      <formula>$C28&gt;0</formula>
    </cfRule>
  </conditionalFormatting>
  <conditionalFormatting sqref="I35">
    <cfRule type="expression" dxfId="118" priority="21" stopIfTrue="1">
      <formula>$C35&gt;0</formula>
    </cfRule>
  </conditionalFormatting>
  <conditionalFormatting sqref="E35:F35">
    <cfRule type="expression" dxfId="117" priority="20" stopIfTrue="1">
      <formula>$C35&gt;0</formula>
    </cfRule>
  </conditionalFormatting>
  <conditionalFormatting sqref="I37">
    <cfRule type="expression" dxfId="116" priority="19" stopIfTrue="1">
      <formula>$C37&gt;0</formula>
    </cfRule>
  </conditionalFormatting>
  <conditionalFormatting sqref="E37:F37">
    <cfRule type="expression" dxfId="115" priority="18" stopIfTrue="1">
      <formula>$C37&gt;0</formula>
    </cfRule>
  </conditionalFormatting>
  <conditionalFormatting sqref="E11:F11">
    <cfRule type="expression" dxfId="114" priority="16" stopIfTrue="1">
      <formula>$C11&gt;0</formula>
    </cfRule>
  </conditionalFormatting>
  <conditionalFormatting sqref="E14:F14">
    <cfRule type="expression" dxfId="113" priority="15" stopIfTrue="1">
      <formula>$C14&gt;0</formula>
    </cfRule>
  </conditionalFormatting>
  <conditionalFormatting sqref="E16:F16">
    <cfRule type="expression" dxfId="112" priority="14" stopIfTrue="1">
      <formula>$C16&gt;0</formula>
    </cfRule>
  </conditionalFormatting>
  <conditionalFormatting sqref="E15:F15">
    <cfRule type="expression" dxfId="111" priority="13" stopIfTrue="1">
      <formula>$C15&gt;0</formula>
    </cfRule>
  </conditionalFormatting>
  <conditionalFormatting sqref="E17:F17">
    <cfRule type="expression" dxfId="110" priority="12" stopIfTrue="1">
      <formula>$C17&gt;0</formula>
    </cfRule>
  </conditionalFormatting>
  <conditionalFormatting sqref="E18:F18">
    <cfRule type="expression" dxfId="109" priority="11" stopIfTrue="1">
      <formula>$C18&gt;0</formula>
    </cfRule>
  </conditionalFormatting>
  <conditionalFormatting sqref="E21:F21">
    <cfRule type="expression" dxfId="108" priority="10" stopIfTrue="1">
      <formula>$C21&gt;0</formula>
    </cfRule>
  </conditionalFormatting>
  <conditionalFormatting sqref="E23:F23">
    <cfRule type="expression" dxfId="107" priority="9" stopIfTrue="1">
      <formula>$C23&gt;0</formula>
    </cfRule>
  </conditionalFormatting>
  <conditionalFormatting sqref="E22:F22">
    <cfRule type="expression" dxfId="106" priority="8" stopIfTrue="1">
      <formula>$C22&gt;0</formula>
    </cfRule>
  </conditionalFormatting>
  <conditionalFormatting sqref="E24:F24">
    <cfRule type="expression" dxfId="105" priority="7" stopIfTrue="1">
      <formula>$C24&gt;0</formula>
    </cfRule>
  </conditionalFormatting>
  <conditionalFormatting sqref="E25:F25">
    <cfRule type="expression" dxfId="104" priority="6" stopIfTrue="1">
      <formula>$C25&gt;0</formula>
    </cfRule>
  </conditionalFormatting>
  <conditionalFormatting sqref="E28:F28">
    <cfRule type="expression" dxfId="103" priority="5" stopIfTrue="1">
      <formula>$C28&gt;0</formula>
    </cfRule>
  </conditionalFormatting>
  <conditionalFormatting sqref="E30:F30">
    <cfRule type="expression" dxfId="102" priority="4" stopIfTrue="1">
      <formula>$C30&gt;0</formula>
    </cfRule>
  </conditionalFormatting>
  <conditionalFormatting sqref="E29:F29">
    <cfRule type="expression" dxfId="101" priority="3" stopIfTrue="1">
      <formula>$C29&gt;0</formula>
    </cfRule>
  </conditionalFormatting>
  <conditionalFormatting sqref="E31:F31">
    <cfRule type="expression" dxfId="100" priority="2" stopIfTrue="1">
      <formula>$C31&gt;0</formula>
    </cfRule>
  </conditionalFormatting>
  <conditionalFormatting sqref="E32:F32">
    <cfRule type="expression" dxfId="99"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tabSelected="1" workbookViewId="0">
      <pane ySplit="7" topLeftCell="A8" activePane="bottomLeft" state="frozen"/>
      <selection activeCell="Q40" sqref="Q40"/>
      <selection pane="bottomLeft" activeCell="E8" sqref="E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5</v>
      </c>
      <c r="G1" s="1" t="s">
        <v>1</v>
      </c>
    </row>
    <row r="2" spans="1:22" ht="21.9" customHeight="1" thickBot="1" x14ac:dyDescent="0.25"/>
    <row r="3" spans="1:22" ht="21.9" customHeight="1" thickTop="1" thickBot="1" x14ac:dyDescent="0.25">
      <c r="A3" s="69" t="s">
        <v>15</v>
      </c>
      <c r="B3" s="70"/>
      <c r="C3" s="70"/>
      <c r="D3" s="71"/>
      <c r="E3" s="72" t="s">
        <v>39</v>
      </c>
      <c r="F3" s="73"/>
      <c r="G3" s="73"/>
      <c r="H3" s="73"/>
      <c r="I3" s="73"/>
      <c r="J3" s="74"/>
      <c r="K3" s="53"/>
    </row>
    <row r="4" spans="1:22" ht="21.9" customHeight="1" thickTop="1" thickBot="1" x14ac:dyDescent="0.25">
      <c r="A4" s="69" t="s">
        <v>8</v>
      </c>
      <c r="B4" s="70"/>
      <c r="C4" s="70"/>
      <c r="D4" s="71"/>
      <c r="E4" s="72" t="s">
        <v>40</v>
      </c>
      <c r="F4" s="73"/>
      <c r="G4" s="73"/>
      <c r="H4" s="73"/>
      <c r="I4" s="73"/>
      <c r="J4" s="74"/>
      <c r="K4" s="53"/>
    </row>
    <row r="5" spans="1:22" ht="21.9" customHeight="1" thickTop="1" thickBot="1" x14ac:dyDescent="0.25">
      <c r="A5" s="75" t="s">
        <v>2</v>
      </c>
      <c r="B5" s="76"/>
      <c r="C5" s="76"/>
      <c r="D5" s="77"/>
      <c r="E5" s="72" t="s">
        <v>41</v>
      </c>
      <c r="F5" s="73"/>
      <c r="G5" s="73"/>
      <c r="H5" s="73"/>
      <c r="I5" s="73"/>
      <c r="J5" s="74"/>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45778</v>
      </c>
      <c r="B8" s="36">
        <f>A8</f>
        <v>45778</v>
      </c>
      <c r="C8" s="43">
        <f>IF(WEEKDAY(A8,2)&gt;5,1,0)+IF(D8&lt;&gt;"",1,0)</f>
        <v>0</v>
      </c>
      <c r="D8" s="23"/>
      <c r="E8" s="20">
        <v>9</v>
      </c>
      <c r="F8" s="31">
        <v>0</v>
      </c>
      <c r="G8" s="20">
        <v>18</v>
      </c>
      <c r="H8" s="24">
        <v>30</v>
      </c>
      <c r="I8" s="34">
        <v>60</v>
      </c>
      <c r="J8" s="56">
        <f t="shared" ref="J8:J38" si="0">IF((H8-F8)&lt;0,(G8-E8-1)*60+(60+H8-F8),(G8-E8)*60+H8-F8)-I8</f>
        <v>510</v>
      </c>
      <c r="K8" s="60">
        <f>J8/60</f>
        <v>8.5</v>
      </c>
      <c r="L8" s="21"/>
      <c r="M8" s="81"/>
      <c r="N8" s="82"/>
      <c r="O8" s="82"/>
      <c r="P8" s="83"/>
      <c r="Q8" s="21"/>
      <c r="S8" s="14"/>
      <c r="T8" s="6"/>
      <c r="U8" s="6"/>
      <c r="V8" s="6"/>
    </row>
    <row r="9" spans="1:22" ht="18" customHeight="1" x14ac:dyDescent="0.2">
      <c r="A9" s="22">
        <f>IF(A8="","",(A8+1))</f>
        <v>45779</v>
      </c>
      <c r="B9" s="37">
        <f>A9</f>
        <v>45779</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45780</v>
      </c>
      <c r="B10" s="37">
        <f t="shared" ref="B10:B37" si="4">A10</f>
        <v>45780</v>
      </c>
      <c r="C10" s="39">
        <f t="shared" si="1"/>
        <v>2</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45781</v>
      </c>
      <c r="B11" s="37">
        <f t="shared" si="4"/>
        <v>45781</v>
      </c>
      <c r="C11" s="39">
        <f t="shared" si="1"/>
        <v>2</v>
      </c>
      <c r="D11" s="23" t="s">
        <v>30</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45782</v>
      </c>
      <c r="B12" s="37">
        <f t="shared" si="4"/>
        <v>45782</v>
      </c>
      <c r="C12" s="39">
        <f t="shared" si="1"/>
        <v>1</v>
      </c>
      <c r="D12" s="23" t="s">
        <v>29</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45783</v>
      </c>
      <c r="B13" s="37">
        <f t="shared" si="4"/>
        <v>45783</v>
      </c>
      <c r="C13" s="39">
        <f t="shared" si="1"/>
        <v>1</v>
      </c>
      <c r="D13" s="23" t="s">
        <v>13</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45784</v>
      </c>
      <c r="B14" s="37">
        <f t="shared" si="4"/>
        <v>45784</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45785</v>
      </c>
      <c r="B15" s="37">
        <f t="shared" si="4"/>
        <v>45785</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45786</v>
      </c>
      <c r="B16" s="37">
        <f t="shared" si="4"/>
        <v>45786</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45787</v>
      </c>
      <c r="B17" s="37">
        <f t="shared" si="4"/>
        <v>45787</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45788</v>
      </c>
      <c r="B18" s="37">
        <f t="shared" si="4"/>
        <v>45788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45789</v>
      </c>
      <c r="B19" s="37">
        <f t="shared" si="4"/>
        <v>45789</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45790</v>
      </c>
      <c r="B20" s="37">
        <f t="shared" si="4"/>
        <v>45790</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45791</v>
      </c>
      <c r="B21" s="37">
        <f t="shared" si="4"/>
        <v>45791</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45792</v>
      </c>
      <c r="B22" s="37">
        <f t="shared" si="4"/>
        <v>45792</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45793</v>
      </c>
      <c r="B23" s="37">
        <f t="shared" si="4"/>
        <v>45793</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45794</v>
      </c>
      <c r="B24" s="37">
        <f t="shared" si="4"/>
        <v>45794</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45795</v>
      </c>
      <c r="B25" s="37">
        <f t="shared" si="4"/>
        <v>45795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45796</v>
      </c>
      <c r="B26" s="37">
        <f t="shared" si="4"/>
        <v>45796</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45797</v>
      </c>
      <c r="B27" s="37">
        <f t="shared" si="4"/>
        <v>45797</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45798</v>
      </c>
      <c r="B28" s="37">
        <f t="shared" si="4"/>
        <v>45798</v>
      </c>
      <c r="C28" s="39">
        <f t="shared" si="1"/>
        <v>0</v>
      </c>
      <c r="D28" s="23"/>
      <c r="E28" s="20"/>
      <c r="F28" s="31"/>
      <c r="G28" s="20"/>
      <c r="H28" s="24"/>
      <c r="I28" s="34"/>
      <c r="J28" s="57">
        <f t="shared" si="0"/>
        <v>0</v>
      </c>
      <c r="K28" s="61">
        <f t="shared" si="2"/>
        <v>0</v>
      </c>
      <c r="L28" s="25"/>
      <c r="M28" s="66" t="s">
        <v>43</v>
      </c>
      <c r="N28" s="67"/>
      <c r="O28" s="67"/>
      <c r="P28" s="68"/>
      <c r="Q28" s="25"/>
      <c r="V28" s="13"/>
    </row>
    <row r="29" spans="1:22" ht="18" customHeight="1" x14ac:dyDescent="0.2">
      <c r="A29" s="22">
        <f t="shared" si="3"/>
        <v>45799</v>
      </c>
      <c r="B29" s="37">
        <f t="shared" si="4"/>
        <v>45799</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45800</v>
      </c>
      <c r="B30" s="37">
        <f t="shared" si="4"/>
        <v>45800</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45801</v>
      </c>
      <c r="B31" s="37">
        <f t="shared" si="4"/>
        <v>45801</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45802</v>
      </c>
      <c r="B32" s="37">
        <f t="shared" si="4"/>
        <v>45802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45803</v>
      </c>
      <c r="B33" s="37">
        <f t="shared" si="4"/>
        <v>45803</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45804</v>
      </c>
      <c r="B34" s="37">
        <f t="shared" si="4"/>
        <v>45804</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45805</v>
      </c>
      <c r="B35" s="37">
        <f t="shared" si="4"/>
        <v>45805</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45806</v>
      </c>
      <c r="B36" s="37">
        <f t="shared" si="4"/>
        <v>45806</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45807</v>
      </c>
      <c r="B37" s="37">
        <f t="shared" si="4"/>
        <v>45807</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45808</v>
      </c>
      <c r="B38" s="38">
        <f>A38</f>
        <v>45808</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3 D10:D12 D14:D38 E17:I18 I24 E24:H25 E28:H28 E31:H32 E38:I38">
    <cfRule type="expression" dxfId="98" priority="45" stopIfTrue="1">
      <formula>$C8&gt;0</formula>
    </cfRule>
  </conditionalFormatting>
  <conditionalFormatting sqref="I25 I28">
    <cfRule type="expression" dxfId="97" priority="44" stopIfTrue="1">
      <formula>$C25&gt;0</formula>
    </cfRule>
  </conditionalFormatting>
  <conditionalFormatting sqref="I32">
    <cfRule type="expression" dxfId="96" priority="43" stopIfTrue="1">
      <formula>$C32&gt;0</formula>
    </cfRule>
  </conditionalFormatting>
  <conditionalFormatting sqref="D8">
    <cfRule type="expression" dxfId="95" priority="42" stopIfTrue="1">
      <formula>$C8&gt;0</formula>
    </cfRule>
  </conditionalFormatting>
  <conditionalFormatting sqref="D9">
    <cfRule type="expression" dxfId="94" priority="41" stopIfTrue="1">
      <formula>$C9&gt;0</formula>
    </cfRule>
  </conditionalFormatting>
  <conditionalFormatting sqref="D13">
    <cfRule type="expression" dxfId="93" priority="40" stopIfTrue="1">
      <formula>$C13&gt;0</formula>
    </cfRule>
  </conditionalFormatting>
  <conditionalFormatting sqref="Q8:Q38">
    <cfRule type="expression" dxfId="92" priority="39" stopIfTrue="1">
      <formula>$C8&gt;0</formula>
    </cfRule>
  </conditionalFormatting>
  <conditionalFormatting sqref="G8:H8">
    <cfRule type="expression" dxfId="37" priority="38" stopIfTrue="1">
      <formula>$C8&gt;0</formula>
    </cfRule>
  </conditionalFormatting>
  <conditionalFormatting sqref="E8:F8 I8">
    <cfRule type="expression" dxfId="36" priority="37" stopIfTrue="1">
      <formula>$C8&gt;0</formula>
    </cfRule>
  </conditionalFormatting>
  <conditionalFormatting sqref="G9:H9">
    <cfRule type="expression" dxfId="35" priority="36" stopIfTrue="1">
      <formula>$C9&gt;0</formula>
    </cfRule>
  </conditionalFormatting>
  <conditionalFormatting sqref="E9:F9 I9">
    <cfRule type="expression" dxfId="34" priority="35" stopIfTrue="1">
      <formula>$C9&gt;0</formula>
    </cfRule>
  </conditionalFormatting>
  <conditionalFormatting sqref="G14:H14">
    <cfRule type="expression" dxfId="33" priority="34" stopIfTrue="1">
      <formula>$C14&gt;0</formula>
    </cfRule>
  </conditionalFormatting>
  <conditionalFormatting sqref="E14:F14 I14">
    <cfRule type="expression" dxfId="32" priority="33" stopIfTrue="1">
      <formula>$C14&gt;0</formula>
    </cfRule>
  </conditionalFormatting>
  <conditionalFormatting sqref="G15:H15">
    <cfRule type="expression" dxfId="31" priority="32" stopIfTrue="1">
      <formula>$C15&gt;0</formula>
    </cfRule>
  </conditionalFormatting>
  <conditionalFormatting sqref="E15:F15 I15">
    <cfRule type="expression" dxfId="30" priority="31" stopIfTrue="1">
      <formula>$C15&gt;0</formula>
    </cfRule>
  </conditionalFormatting>
  <conditionalFormatting sqref="G16:H16">
    <cfRule type="expression" dxfId="29" priority="30" stopIfTrue="1">
      <formula>$C16&gt;0</formula>
    </cfRule>
  </conditionalFormatting>
  <conditionalFormatting sqref="E16:F16 I16">
    <cfRule type="expression" dxfId="28" priority="29" stopIfTrue="1">
      <formula>$C16&gt;0</formula>
    </cfRule>
  </conditionalFormatting>
  <conditionalFormatting sqref="G19:H19">
    <cfRule type="expression" dxfId="27" priority="28" stopIfTrue="1">
      <formula>$C19&gt;0</formula>
    </cfRule>
  </conditionalFormatting>
  <conditionalFormatting sqref="E19:F19 I19">
    <cfRule type="expression" dxfId="26" priority="27" stopIfTrue="1">
      <formula>$C19&gt;0</formula>
    </cfRule>
  </conditionalFormatting>
  <conditionalFormatting sqref="G20:H20">
    <cfRule type="expression" dxfId="25" priority="26" stopIfTrue="1">
      <formula>$C20&gt;0</formula>
    </cfRule>
  </conditionalFormatting>
  <conditionalFormatting sqref="E20:F20 I20">
    <cfRule type="expression" dxfId="24" priority="25" stopIfTrue="1">
      <formula>$C20&gt;0</formula>
    </cfRule>
  </conditionalFormatting>
  <conditionalFormatting sqref="G21:H21">
    <cfRule type="expression" dxfId="23" priority="24" stopIfTrue="1">
      <formula>$C21&gt;0</formula>
    </cfRule>
  </conditionalFormatting>
  <conditionalFormatting sqref="E21:F21 I21">
    <cfRule type="expression" dxfId="22" priority="23" stopIfTrue="1">
      <formula>$C21&gt;0</formula>
    </cfRule>
  </conditionalFormatting>
  <conditionalFormatting sqref="G22:H22">
    <cfRule type="expression" dxfId="21" priority="22" stopIfTrue="1">
      <formula>$C22&gt;0</formula>
    </cfRule>
  </conditionalFormatting>
  <conditionalFormatting sqref="E22:F22 I22">
    <cfRule type="expression" dxfId="20" priority="21" stopIfTrue="1">
      <formula>$C22&gt;0</formula>
    </cfRule>
  </conditionalFormatting>
  <conditionalFormatting sqref="G23:H23">
    <cfRule type="expression" dxfId="19" priority="20" stopIfTrue="1">
      <formula>$C23&gt;0</formula>
    </cfRule>
  </conditionalFormatting>
  <conditionalFormatting sqref="E23:F23 I23">
    <cfRule type="expression" dxfId="18" priority="19" stopIfTrue="1">
      <formula>$C23&gt;0</formula>
    </cfRule>
  </conditionalFormatting>
  <conditionalFormatting sqref="G26:H26">
    <cfRule type="expression" dxfId="17" priority="18" stopIfTrue="1">
      <formula>$C26&gt;0</formula>
    </cfRule>
  </conditionalFormatting>
  <conditionalFormatting sqref="E26:F26 I26">
    <cfRule type="expression" dxfId="16" priority="17" stopIfTrue="1">
      <formula>$C26&gt;0</formula>
    </cfRule>
  </conditionalFormatting>
  <conditionalFormatting sqref="G27:H27">
    <cfRule type="expression" dxfId="15" priority="16" stopIfTrue="1">
      <formula>$C27&gt;0</formula>
    </cfRule>
  </conditionalFormatting>
  <conditionalFormatting sqref="E27:F27 I27">
    <cfRule type="expression" dxfId="14" priority="15" stopIfTrue="1">
      <formula>$C27&gt;0</formula>
    </cfRule>
  </conditionalFormatting>
  <conditionalFormatting sqref="G29:H29">
    <cfRule type="expression" dxfId="13" priority="14" stopIfTrue="1">
      <formula>$C29&gt;0</formula>
    </cfRule>
  </conditionalFormatting>
  <conditionalFormatting sqref="E29:F29 I29">
    <cfRule type="expression" dxfId="12" priority="13" stopIfTrue="1">
      <formula>$C29&gt;0</formula>
    </cfRule>
  </conditionalFormatting>
  <conditionalFormatting sqref="G30:H30">
    <cfRule type="expression" dxfId="11" priority="12" stopIfTrue="1">
      <formula>$C30&gt;0</formula>
    </cfRule>
  </conditionalFormatting>
  <conditionalFormatting sqref="E30:F30 I30">
    <cfRule type="expression" dxfId="10" priority="11" stopIfTrue="1">
      <formula>$C30&gt;0</formula>
    </cfRule>
  </conditionalFormatting>
  <conditionalFormatting sqref="G33:H33">
    <cfRule type="expression" dxfId="9" priority="10" stopIfTrue="1">
      <formula>$C33&gt;0</formula>
    </cfRule>
  </conditionalFormatting>
  <conditionalFormatting sqref="E33:F33 I33">
    <cfRule type="expression" dxfId="8" priority="9" stopIfTrue="1">
      <formula>$C33&gt;0</formula>
    </cfRule>
  </conditionalFormatting>
  <conditionalFormatting sqref="G34:H34">
    <cfRule type="expression" dxfId="7" priority="8" stopIfTrue="1">
      <formula>$C34&gt;0</formula>
    </cfRule>
  </conditionalFormatting>
  <conditionalFormatting sqref="E34:F34 I34">
    <cfRule type="expression" dxfId="6" priority="7" stopIfTrue="1">
      <formula>$C34&gt;0</formula>
    </cfRule>
  </conditionalFormatting>
  <conditionalFormatting sqref="G35:H35">
    <cfRule type="expression" dxfId="5" priority="6" stopIfTrue="1">
      <formula>$C35&gt;0</formula>
    </cfRule>
  </conditionalFormatting>
  <conditionalFormatting sqref="E35:F35 I35">
    <cfRule type="expression" dxfId="4" priority="5" stopIfTrue="1">
      <formula>$C35&gt;0</formula>
    </cfRule>
  </conditionalFormatting>
  <conditionalFormatting sqref="G36:H36">
    <cfRule type="expression" dxfId="3" priority="4" stopIfTrue="1">
      <formula>$C36&gt;0</formula>
    </cfRule>
  </conditionalFormatting>
  <conditionalFormatting sqref="E36:F36 I36">
    <cfRule type="expression" dxfId="2" priority="3" stopIfTrue="1">
      <formula>$C36&gt;0</formula>
    </cfRule>
  </conditionalFormatting>
  <conditionalFormatting sqref="G37:H37">
    <cfRule type="expression" dxfId="1" priority="2" stopIfTrue="1">
      <formula>$C37&gt;0</formula>
    </cfRule>
  </conditionalFormatting>
  <conditionalFormatting sqref="E37:F37 I37">
    <cfRule type="expression" dxfId="0" priority="1" stopIfTrue="1">
      <formula>$C37&gt;0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6</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45809</v>
      </c>
      <c r="B8" s="36">
        <f>A8</f>
        <v>45809</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45810</v>
      </c>
      <c r="B9" s="37">
        <f>A9</f>
        <v>45810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45811</v>
      </c>
      <c r="B10" s="37">
        <f t="shared" ref="B10:B37" si="4">A10</f>
        <v>45811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45812</v>
      </c>
      <c r="B11" s="37">
        <f t="shared" si="4"/>
        <v>45812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45813</v>
      </c>
      <c r="B12" s="37">
        <f t="shared" si="4"/>
        <v>45813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45814</v>
      </c>
      <c r="B13" s="37">
        <f t="shared" si="4"/>
        <v>45814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45815</v>
      </c>
      <c r="B14" s="37">
        <f t="shared" si="4"/>
        <v>45815</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45816</v>
      </c>
      <c r="B15" s="37">
        <f t="shared" si="4"/>
        <v>45816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45817</v>
      </c>
      <c r="B16" s="37">
        <f t="shared" si="4"/>
        <v>45817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45818</v>
      </c>
      <c r="B17" s="37">
        <f t="shared" si="4"/>
        <v>45818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45819</v>
      </c>
      <c r="B18" s="37">
        <f t="shared" si="4"/>
        <v>45819</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45820</v>
      </c>
      <c r="B19" s="37">
        <f t="shared" si="4"/>
        <v>45820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45821</v>
      </c>
      <c r="B20" s="37">
        <f t="shared" si="4"/>
        <v>45821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45822</v>
      </c>
      <c r="B21" s="37">
        <f t="shared" si="4"/>
        <v>45822</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45823</v>
      </c>
      <c r="B22" s="37">
        <f t="shared" si="4"/>
        <v>45823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45824</v>
      </c>
      <c r="B23" s="37">
        <f t="shared" si="4"/>
        <v>45824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45825</v>
      </c>
      <c r="B24" s="37">
        <f t="shared" si="4"/>
        <v>45825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45826</v>
      </c>
      <c r="B25" s="37">
        <f t="shared" si="4"/>
        <v>45826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45827</v>
      </c>
      <c r="B26" s="37">
        <f t="shared" si="4"/>
        <v>45827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45828</v>
      </c>
      <c r="B27" s="37">
        <f t="shared" si="4"/>
        <v>45828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45829</v>
      </c>
      <c r="B28" s="37">
        <f t="shared" si="4"/>
        <v>45829</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45830</v>
      </c>
      <c r="B29" s="37">
        <f t="shared" si="4"/>
        <v>45830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45831</v>
      </c>
      <c r="B30" s="37">
        <f t="shared" si="4"/>
        <v>45831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45832</v>
      </c>
      <c r="B31" s="37">
        <f t="shared" si="4"/>
        <v>45832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45833</v>
      </c>
      <c r="B32" s="37">
        <f t="shared" si="4"/>
        <v>45833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45834</v>
      </c>
      <c r="B33" s="37">
        <f t="shared" si="4"/>
        <v>45834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45835</v>
      </c>
      <c r="B34" s="37">
        <f t="shared" si="4"/>
        <v>45835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45836</v>
      </c>
      <c r="B35" s="37">
        <f t="shared" si="4"/>
        <v>45836</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45837</v>
      </c>
      <c r="B36" s="37">
        <f t="shared" si="4"/>
        <v>45837</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45838</v>
      </c>
      <c r="B37" s="37">
        <f t="shared" si="4"/>
        <v>45838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H38 J8:P38 I8:I24 I30:I31 I37:I38">
    <cfRule type="expression" dxfId="91" priority="4" stopIfTrue="1">
      <formula>$C8&gt;0</formula>
    </cfRule>
  </conditionalFormatting>
  <conditionalFormatting sqref="I25:I29">
    <cfRule type="expression" dxfId="90" priority="3" stopIfTrue="1">
      <formula>$C25&gt;0</formula>
    </cfRule>
  </conditionalFormatting>
  <conditionalFormatting sqref="I32:I36">
    <cfRule type="expression" dxfId="89" priority="2" stopIfTrue="1">
      <formula>$C32&gt;0</formula>
    </cfRule>
  </conditionalFormatting>
  <conditionalFormatting sqref="Q8:Q38">
    <cfRule type="expression" dxfId="88"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18" activePane="bottomLeft" state="frozen"/>
      <selection activeCell="D2" sqref="D2"/>
      <selection pane="bottomLeft" activeCell="D29" sqref="D2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7</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45839</v>
      </c>
      <c r="B8" s="36">
        <f>A8</f>
        <v>45839</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45840</v>
      </c>
      <c r="B9" s="37">
        <f>A9</f>
        <v>45840</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45841</v>
      </c>
      <c r="B10" s="37">
        <f t="shared" ref="B10:B37" si="4">A10</f>
        <v>45841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45842</v>
      </c>
      <c r="B11" s="37">
        <f t="shared" si="4"/>
        <v>45842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45843</v>
      </c>
      <c r="B12" s="37">
        <f t="shared" si="4"/>
        <v>45843</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45844</v>
      </c>
      <c r="B13" s="37">
        <f t="shared" si="4"/>
        <v>45844</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45845</v>
      </c>
      <c r="B14" s="37">
        <f t="shared" si="4"/>
        <v>45845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45846</v>
      </c>
      <c r="B15" s="37">
        <f t="shared" si="4"/>
        <v>45846</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45847</v>
      </c>
      <c r="B16" s="37">
        <f t="shared" si="4"/>
        <v>45847</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45848</v>
      </c>
      <c r="B17" s="37">
        <f t="shared" si="4"/>
        <v>45848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45849</v>
      </c>
      <c r="B18" s="37">
        <f t="shared" si="4"/>
        <v>45849</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45850</v>
      </c>
      <c r="B19" s="37">
        <f t="shared" si="4"/>
        <v>45850</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45851</v>
      </c>
      <c r="B20" s="37">
        <f t="shared" si="4"/>
        <v>45851</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45852</v>
      </c>
      <c r="B21" s="37">
        <f t="shared" si="4"/>
        <v>45852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45853</v>
      </c>
      <c r="B22" s="37">
        <f t="shared" si="4"/>
        <v>45853</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45854</v>
      </c>
      <c r="B23" s="37">
        <f t="shared" si="4"/>
        <v>45854</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45855</v>
      </c>
      <c r="B24" s="37">
        <f t="shared" si="4"/>
        <v>45855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45856</v>
      </c>
      <c r="B25" s="37">
        <f t="shared" si="4"/>
        <v>45856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45857</v>
      </c>
      <c r="B26" s="37">
        <f t="shared" si="4"/>
        <v>45857</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45858</v>
      </c>
      <c r="B27" s="37">
        <f t="shared" si="4"/>
        <v>45858</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45859</v>
      </c>
      <c r="B28" s="37">
        <f t="shared" si="4"/>
        <v>45859</v>
      </c>
      <c r="C28" s="39">
        <f t="shared" si="1"/>
        <v>1</v>
      </c>
      <c r="D28" s="23" t="s">
        <v>13</v>
      </c>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45860</v>
      </c>
      <c r="B29" s="37">
        <f t="shared" si="4"/>
        <v>45860</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45861</v>
      </c>
      <c r="B30" s="37">
        <f t="shared" si="4"/>
        <v>45861</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45862</v>
      </c>
      <c r="B31" s="37">
        <f t="shared" si="4"/>
        <v>45862</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45863</v>
      </c>
      <c r="B32" s="37">
        <f t="shared" si="4"/>
        <v>45863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45864</v>
      </c>
      <c r="B33" s="37">
        <f t="shared" si="4"/>
        <v>45864</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45865</v>
      </c>
      <c r="B34" s="37">
        <f t="shared" si="4"/>
        <v>45865</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45866</v>
      </c>
      <c r="B35" s="37">
        <f t="shared" si="4"/>
        <v>45866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45867</v>
      </c>
      <c r="B36" s="37">
        <f t="shared" si="4"/>
        <v>45867</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45868</v>
      </c>
      <c r="B37" s="37">
        <f t="shared" si="4"/>
        <v>45868</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45869</v>
      </c>
      <c r="B38" s="38">
        <f>A38</f>
        <v>45869</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21 D23:D38">
    <cfRule type="expression" dxfId="87" priority="5" stopIfTrue="1">
      <formula>$C8&gt;0</formula>
    </cfRule>
  </conditionalFormatting>
  <conditionalFormatting sqref="I25:I29">
    <cfRule type="expression" dxfId="86" priority="4" stopIfTrue="1">
      <formula>$C25&gt;0</formula>
    </cfRule>
  </conditionalFormatting>
  <conditionalFormatting sqref="I32:I36">
    <cfRule type="expression" dxfId="85" priority="3" stopIfTrue="1">
      <formula>$C32&gt;0</formula>
    </cfRule>
  </conditionalFormatting>
  <conditionalFormatting sqref="D22">
    <cfRule type="expression" dxfId="84" priority="2" stopIfTrue="1">
      <formula>$C22&gt;0</formula>
    </cfRule>
  </conditionalFormatting>
  <conditionalFormatting sqref="Q8:Q38">
    <cfRule type="expression" dxfId="83" priority="1" stopIfTrue="1">
      <formula>$C8&gt;0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10"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8</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45870</v>
      </c>
      <c r="B8" s="36">
        <f>A8</f>
        <v>45870</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45871</v>
      </c>
      <c r="B9" s="37">
        <f>A9</f>
        <v>45871</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45872</v>
      </c>
      <c r="B10" s="37">
        <f t="shared" ref="B10:B37" si="4">A10</f>
        <v>45872</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45873</v>
      </c>
      <c r="B11" s="37">
        <f t="shared" si="4"/>
        <v>45873</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45874</v>
      </c>
      <c r="B12" s="37">
        <f t="shared" si="4"/>
        <v>45874</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45875</v>
      </c>
      <c r="B13" s="37">
        <f t="shared" si="4"/>
        <v>45875</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45876</v>
      </c>
      <c r="B14" s="37">
        <f t="shared" si="4"/>
        <v>45876</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45877</v>
      </c>
      <c r="B15" s="37">
        <f t="shared" si="4"/>
        <v>45877</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45878</v>
      </c>
      <c r="B16" s="37">
        <f t="shared" si="4"/>
        <v>45878</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45879</v>
      </c>
      <c r="B17" s="37">
        <f t="shared" si="4"/>
        <v>45879</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45880</v>
      </c>
      <c r="B18" s="37">
        <f t="shared" si="4"/>
        <v>45880</v>
      </c>
      <c r="C18" s="39">
        <f t="shared" si="1"/>
        <v>1</v>
      </c>
      <c r="D18" s="23" t="s">
        <v>37</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45881</v>
      </c>
      <c r="B19" s="37">
        <f t="shared" si="4"/>
        <v>45881</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45882</v>
      </c>
      <c r="B20" s="37">
        <f t="shared" si="4"/>
        <v>45882</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45883</v>
      </c>
      <c r="B21" s="37">
        <f t="shared" si="4"/>
        <v>45883</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45884</v>
      </c>
      <c r="B22" s="37">
        <f t="shared" si="4"/>
        <v>45884</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45885</v>
      </c>
      <c r="B23" s="37">
        <f t="shared" si="4"/>
        <v>45885</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45886</v>
      </c>
      <c r="B24" s="37">
        <f t="shared" si="4"/>
        <v>45886</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45887</v>
      </c>
      <c r="B25" s="37">
        <f t="shared" si="4"/>
        <v>45887</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45888</v>
      </c>
      <c r="B26" s="37">
        <f t="shared" si="4"/>
        <v>45888</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45889</v>
      </c>
      <c r="B27" s="37">
        <f t="shared" si="4"/>
        <v>45889</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45890</v>
      </c>
      <c r="B28" s="37">
        <f t="shared" si="4"/>
        <v>45890</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45891</v>
      </c>
      <c r="B29" s="37">
        <f t="shared" si="4"/>
        <v>45891</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45892</v>
      </c>
      <c r="B30" s="37">
        <f t="shared" si="4"/>
        <v>45892</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45893</v>
      </c>
      <c r="B31" s="37">
        <f t="shared" si="4"/>
        <v>45893</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45894</v>
      </c>
      <c r="B32" s="37">
        <f t="shared" si="4"/>
        <v>45894</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45895</v>
      </c>
      <c r="B33" s="37">
        <f t="shared" si="4"/>
        <v>45895</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45896</v>
      </c>
      <c r="B34" s="37">
        <f t="shared" si="4"/>
        <v>45896</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45897</v>
      </c>
      <c r="B35" s="37">
        <f t="shared" si="4"/>
        <v>45897</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45898</v>
      </c>
      <c r="B36" s="37">
        <f t="shared" si="4"/>
        <v>45898</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45899</v>
      </c>
      <c r="B37" s="37">
        <f t="shared" si="4"/>
        <v>45899</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45900</v>
      </c>
      <c r="B38" s="38">
        <f>A38</f>
        <v>45900</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D38">
    <cfRule type="expression" dxfId="82" priority="5" stopIfTrue="1">
      <formula>$C8&gt;0</formula>
    </cfRule>
  </conditionalFormatting>
  <conditionalFormatting sqref="I25:I29">
    <cfRule type="expression" dxfId="81" priority="4" stopIfTrue="1">
      <formula>$C25&gt;0</formula>
    </cfRule>
  </conditionalFormatting>
  <conditionalFormatting sqref="I32:I36">
    <cfRule type="expression" dxfId="80" priority="3" stopIfTrue="1">
      <formula>$C32&gt;0</formula>
    </cfRule>
  </conditionalFormatting>
  <conditionalFormatting sqref="D19">
    <cfRule type="expression" dxfId="79" priority="2" stopIfTrue="1">
      <formula>$C19&gt;0</formula>
    </cfRule>
  </conditionalFormatting>
  <conditionalFormatting sqref="Q8:Q38">
    <cfRule type="expression" dxfId="78"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5" activePane="bottomLeft" state="frozen"/>
      <selection activeCell="D2" sqref="D2"/>
      <selection pane="bottomLeft" activeCell="D23" sqref="D23"/>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9</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45901</v>
      </c>
      <c r="B8" s="36">
        <f>A8</f>
        <v>45901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45902</v>
      </c>
      <c r="B9" s="37">
        <f>A9</f>
        <v>45902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45903</v>
      </c>
      <c r="B10" s="37">
        <f t="shared" ref="B10:B37" si="4">A10</f>
        <v>45903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45904</v>
      </c>
      <c r="B11" s="37">
        <f t="shared" si="4"/>
        <v>45904</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45905</v>
      </c>
      <c r="B12" s="37">
        <f t="shared" si="4"/>
        <v>45905</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45906</v>
      </c>
      <c r="B13" s="37">
        <f t="shared" si="4"/>
        <v>45906</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45907</v>
      </c>
      <c r="B14" s="37">
        <f t="shared" si="4"/>
        <v>45907</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45908</v>
      </c>
      <c r="B15" s="37">
        <f t="shared" si="4"/>
        <v>45908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45909</v>
      </c>
      <c r="B16" s="37">
        <f t="shared" si="4"/>
        <v>45909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45910</v>
      </c>
      <c r="B17" s="37">
        <f t="shared" si="4"/>
        <v>45910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45911</v>
      </c>
      <c r="B18" s="37">
        <f t="shared" si="4"/>
        <v>45911</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45912</v>
      </c>
      <c r="B19" s="37">
        <f t="shared" si="4"/>
        <v>45912</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45913</v>
      </c>
      <c r="B20" s="37">
        <f t="shared" si="4"/>
        <v>45913</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45914</v>
      </c>
      <c r="B21" s="37">
        <f t="shared" si="4"/>
        <v>45914</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45915</v>
      </c>
      <c r="B22" s="37">
        <f t="shared" si="4"/>
        <v>45915</v>
      </c>
      <c r="C22" s="39">
        <f t="shared" si="1"/>
        <v>1</v>
      </c>
      <c r="D22" s="23" t="s">
        <v>13</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45916</v>
      </c>
      <c r="B23" s="37">
        <f t="shared" si="4"/>
        <v>45916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45917</v>
      </c>
      <c r="B24" s="37">
        <f t="shared" si="4"/>
        <v>45917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45918</v>
      </c>
      <c r="B25" s="37">
        <f t="shared" si="4"/>
        <v>45918</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45919</v>
      </c>
      <c r="B26" s="37">
        <f t="shared" si="4"/>
        <v>45919</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45920</v>
      </c>
      <c r="B27" s="37">
        <f t="shared" si="4"/>
        <v>45920</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45921</v>
      </c>
      <c r="B28" s="37">
        <f t="shared" si="4"/>
        <v>45921</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45922</v>
      </c>
      <c r="B29" s="37">
        <f t="shared" si="4"/>
        <v>45922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45923</v>
      </c>
      <c r="B30" s="37">
        <f t="shared" si="4"/>
        <v>45923</v>
      </c>
      <c r="C30" s="39">
        <f t="shared" si="1"/>
        <v>1</v>
      </c>
      <c r="D30" s="23" t="s">
        <v>35</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45924</v>
      </c>
      <c r="B31" s="37">
        <f t="shared" si="4"/>
        <v>45924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45925</v>
      </c>
      <c r="B32" s="37">
        <f t="shared" si="4"/>
        <v>45925</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45926</v>
      </c>
      <c r="B33" s="37">
        <f t="shared" si="4"/>
        <v>45926</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45927</v>
      </c>
      <c r="B34" s="37">
        <f t="shared" si="4"/>
        <v>45927</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45928</v>
      </c>
      <c r="B35" s="37">
        <f t="shared" si="4"/>
        <v>45928</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45929</v>
      </c>
      <c r="B36" s="37">
        <f t="shared" si="4"/>
        <v>45929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45930</v>
      </c>
      <c r="B37" s="37">
        <f t="shared" si="4"/>
        <v>45930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24:D27 D8:D22 D31:D38">
    <cfRule type="expression" dxfId="77" priority="8" stopIfTrue="1">
      <formula>$C8&gt;0</formula>
    </cfRule>
  </conditionalFormatting>
  <conditionalFormatting sqref="I25:I29">
    <cfRule type="expression" dxfId="76" priority="7" stopIfTrue="1">
      <formula>$C25&gt;0</formula>
    </cfRule>
  </conditionalFormatting>
  <conditionalFormatting sqref="I32:I36">
    <cfRule type="expression" dxfId="75" priority="6" stopIfTrue="1">
      <formula>$C32&gt;0</formula>
    </cfRule>
  </conditionalFormatting>
  <conditionalFormatting sqref="D28">
    <cfRule type="expression" dxfId="74" priority="5" stopIfTrue="1">
      <formula>$C28&gt;0</formula>
    </cfRule>
  </conditionalFormatting>
  <conditionalFormatting sqref="D29">
    <cfRule type="expression" dxfId="73" priority="4" stopIfTrue="1">
      <formula>$C29&gt;0</formula>
    </cfRule>
  </conditionalFormatting>
  <conditionalFormatting sqref="D23">
    <cfRule type="expression" dxfId="72" priority="3" stopIfTrue="1">
      <formula>$C23&gt;0</formula>
    </cfRule>
  </conditionalFormatting>
  <conditionalFormatting sqref="D30">
    <cfRule type="expression" dxfId="71" priority="2" stopIfTrue="1">
      <formula>$C30&gt;0</formula>
    </cfRule>
  </conditionalFormatting>
  <conditionalFormatting sqref="Q8:Q38">
    <cfRule type="expression" dxfId="7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workbookViewId="0">
      <pane ySplit="7" topLeftCell="A11" activePane="bottomLeft" state="frozen"/>
      <selection activeCell="D2" sqref="D2"/>
      <selection pane="bottomLeft" activeCell="D21" sqref="D21"/>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10</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45931</v>
      </c>
      <c r="B8" s="36">
        <f>A8</f>
        <v>45931</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45932</v>
      </c>
      <c r="B9" s="37">
        <f>A9</f>
        <v>45932</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45933</v>
      </c>
      <c r="B10" s="37">
        <f t="shared" ref="B10:B37" si="4">A10</f>
        <v>45933</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45934</v>
      </c>
      <c r="B11" s="37">
        <f t="shared" si="4"/>
        <v>45934</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45935</v>
      </c>
      <c r="B12" s="37">
        <f t="shared" si="4"/>
        <v>45935</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45936</v>
      </c>
      <c r="B13" s="37">
        <f t="shared" si="4"/>
        <v>45936</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45937</v>
      </c>
      <c r="B14" s="37">
        <f t="shared" si="4"/>
        <v>45937</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45938</v>
      </c>
      <c r="B15" s="37">
        <f t="shared" si="4"/>
        <v>45938</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45939</v>
      </c>
      <c r="B16" s="37">
        <f t="shared" si="4"/>
        <v>45939</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45940</v>
      </c>
      <c r="B17" s="37">
        <f t="shared" si="4"/>
        <v>45940</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45941</v>
      </c>
      <c r="B18" s="37">
        <f t="shared" si="4"/>
        <v>45941</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45942</v>
      </c>
      <c r="B19" s="37">
        <f t="shared" si="4"/>
        <v>45942</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45943</v>
      </c>
      <c r="B20" s="37">
        <f t="shared" si="4"/>
        <v>45943</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45944</v>
      </c>
      <c r="B21" s="37">
        <f t="shared" si="4"/>
        <v>45944</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45945</v>
      </c>
      <c r="B22" s="37">
        <f t="shared" si="4"/>
        <v>45945</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45946</v>
      </c>
      <c r="B23" s="37">
        <f t="shared" si="4"/>
        <v>45946</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45947</v>
      </c>
      <c r="B24" s="37">
        <f t="shared" si="4"/>
        <v>45947</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45948</v>
      </c>
      <c r="B25" s="37">
        <f t="shared" si="4"/>
        <v>45948</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45949</v>
      </c>
      <c r="B26" s="37">
        <f t="shared" si="4"/>
        <v>45949</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45950</v>
      </c>
      <c r="B27" s="37">
        <f t="shared" si="4"/>
        <v>45950</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45951</v>
      </c>
      <c r="B28" s="37">
        <f t="shared" si="4"/>
        <v>45951</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45952</v>
      </c>
      <c r="B29" s="37">
        <f t="shared" si="4"/>
        <v>45952</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45953</v>
      </c>
      <c r="B30" s="37">
        <f t="shared" si="4"/>
        <v>45953</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45954</v>
      </c>
      <c r="B31" s="37">
        <f t="shared" si="4"/>
        <v>45954</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45955</v>
      </c>
      <c r="B32" s="37">
        <f t="shared" si="4"/>
        <v>45955</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45956</v>
      </c>
      <c r="B33" s="37">
        <f t="shared" si="4"/>
        <v>45956</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45957</v>
      </c>
      <c r="B34" s="37">
        <f t="shared" si="4"/>
        <v>45957</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45958</v>
      </c>
      <c r="B35" s="37">
        <f t="shared" si="4"/>
        <v>45958</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45959</v>
      </c>
      <c r="B36" s="37">
        <f t="shared" si="4"/>
        <v>45959</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45960</v>
      </c>
      <c r="B37" s="37">
        <f t="shared" si="4"/>
        <v>45960</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45961</v>
      </c>
      <c r="B38" s="38">
        <f>A38</f>
        <v>45961</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8:D18 D20 D22:D38">
    <cfRule type="expression" dxfId="69" priority="6" stopIfTrue="1">
      <formula>$C8&gt;0</formula>
    </cfRule>
  </conditionalFormatting>
  <conditionalFormatting sqref="I25:I29">
    <cfRule type="expression" dxfId="68" priority="5" stopIfTrue="1">
      <formula>$C25&gt;0</formula>
    </cfRule>
  </conditionalFormatting>
  <conditionalFormatting sqref="I32:I36">
    <cfRule type="expression" dxfId="67" priority="4" stopIfTrue="1">
      <formula>$C32&gt;0</formula>
    </cfRule>
  </conditionalFormatting>
  <conditionalFormatting sqref="D19">
    <cfRule type="expression" dxfId="66" priority="3" stopIfTrue="1">
      <formula>$C19&gt;0</formula>
    </cfRule>
  </conditionalFormatting>
  <conditionalFormatting sqref="D21">
    <cfRule type="expression" dxfId="65" priority="2" stopIfTrue="1">
      <formula>$C21&gt;0</formula>
    </cfRule>
  </conditionalFormatting>
  <conditionalFormatting sqref="Q8:Q38">
    <cfRule type="expression" dxfId="64" priority="1" stopIfTrue="1">
      <formula>$C8&gt;0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23" activePane="bottomLeft" state="frozen"/>
      <selection activeCell="D2" sqref="D2"/>
      <selection pane="bottomLeft" activeCell="D32" sqref="D3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11</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45962</v>
      </c>
      <c r="B8" s="36">
        <f>A8</f>
        <v>45962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45963</v>
      </c>
      <c r="B9" s="37">
        <f>A9</f>
        <v>45963</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45964</v>
      </c>
      <c r="B10" s="37">
        <f t="shared" ref="B10:B37" si="4">A10</f>
        <v>45964</v>
      </c>
      <c r="C10" s="39">
        <f t="shared" si="1"/>
        <v>1</v>
      </c>
      <c r="D10" s="23" t="s">
        <v>31</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45965</v>
      </c>
      <c r="B11" s="37">
        <f t="shared" si="4"/>
        <v>45965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45966</v>
      </c>
      <c r="B12" s="37">
        <f t="shared" si="4"/>
        <v>45966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45967</v>
      </c>
      <c r="B13" s="37">
        <f t="shared" si="4"/>
        <v>45967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45968</v>
      </c>
      <c r="B14" s="37">
        <f t="shared" si="4"/>
        <v>45968</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45969</v>
      </c>
      <c r="B15" s="37">
        <f t="shared" si="4"/>
        <v>45969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45970</v>
      </c>
      <c r="B16" s="37">
        <f t="shared" si="4"/>
        <v>45970</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45971</v>
      </c>
      <c r="B17" s="37">
        <f t="shared" si="4"/>
        <v>45971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45972</v>
      </c>
      <c r="B18" s="37">
        <f t="shared" si="4"/>
        <v>45972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45973</v>
      </c>
      <c r="B19" s="37">
        <f t="shared" si="4"/>
        <v>45973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45974</v>
      </c>
      <c r="B20" s="37">
        <f t="shared" si="4"/>
        <v>45974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45975</v>
      </c>
      <c r="B21" s="37">
        <f t="shared" si="4"/>
        <v>45975</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45976</v>
      </c>
      <c r="B22" s="37">
        <f t="shared" si="4"/>
        <v>45976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45977</v>
      </c>
      <c r="B23" s="37">
        <f t="shared" si="4"/>
        <v>45977</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45978</v>
      </c>
      <c r="B24" s="37">
        <f t="shared" si="4"/>
        <v>45978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45979</v>
      </c>
      <c r="B25" s="37">
        <f t="shared" si="4"/>
        <v>45979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45980</v>
      </c>
      <c r="B26" s="37">
        <f t="shared" si="4"/>
        <v>45980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45981</v>
      </c>
      <c r="B27" s="37">
        <f t="shared" si="4"/>
        <v>45981</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45982</v>
      </c>
      <c r="B28" s="37">
        <f t="shared" si="4"/>
        <v>45982</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45983</v>
      </c>
      <c r="B29" s="37">
        <f t="shared" si="4"/>
        <v>45983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45984</v>
      </c>
      <c r="B30" s="37">
        <f t="shared" si="4"/>
        <v>45984</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45985</v>
      </c>
      <c r="B31" s="37">
        <f t="shared" si="4"/>
        <v>45985</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45986</v>
      </c>
      <c r="B32" s="37">
        <f t="shared" si="4"/>
        <v>45986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45987</v>
      </c>
      <c r="B33" s="37">
        <f t="shared" si="4"/>
        <v>45987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45988</v>
      </c>
      <c r="B34" s="37">
        <f t="shared" si="4"/>
        <v>45988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45989</v>
      </c>
      <c r="B35" s="37">
        <f t="shared" si="4"/>
        <v>45989</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45990</v>
      </c>
      <c r="B36" s="37">
        <f t="shared" si="4"/>
        <v>45990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45991</v>
      </c>
      <c r="B37" s="37">
        <f t="shared" si="4"/>
        <v>45991</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63" priority="6" stopIfTrue="1">
      <formula>$C8&gt;0</formula>
    </cfRule>
  </conditionalFormatting>
  <conditionalFormatting sqref="I25:I29">
    <cfRule type="expression" dxfId="62" priority="5" stopIfTrue="1">
      <formula>$C25&gt;0</formula>
    </cfRule>
  </conditionalFormatting>
  <conditionalFormatting sqref="I32:I36">
    <cfRule type="expression" dxfId="61" priority="4" stopIfTrue="1">
      <formula>$C32&gt;0</formula>
    </cfRule>
  </conditionalFormatting>
  <conditionalFormatting sqref="D30">
    <cfRule type="expression" dxfId="60" priority="3" stopIfTrue="1">
      <formula>$C30&gt;0</formula>
    </cfRule>
  </conditionalFormatting>
  <conditionalFormatting sqref="D11">
    <cfRule type="expression" dxfId="59" priority="2" stopIfTrue="1">
      <formula>$C11&gt;0</formula>
    </cfRule>
  </conditionalFormatting>
  <conditionalFormatting sqref="Q8:Q38">
    <cfRule type="expression" dxfId="58"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30" activePane="bottomLeft" state="frozen"/>
      <selection activeCell="D2" sqref="D2"/>
      <selection pane="bottomLeft" activeCell="D39" sqref="D3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12</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45992</v>
      </c>
      <c r="B8" s="36">
        <f>A8</f>
        <v>45992</v>
      </c>
      <c r="C8" s="43">
        <f>IF(WEEKDAY(A8,2)&gt;5,1,0)+IF(D8&lt;&gt;"",1,0)</f>
        <v>0</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45993</v>
      </c>
      <c r="B9" s="37">
        <f>A9</f>
        <v>45993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45994</v>
      </c>
      <c r="B10" s="37">
        <f t="shared" ref="B10:B37" si="4">A10</f>
        <v>45994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45995</v>
      </c>
      <c r="B11" s="37">
        <f t="shared" si="4"/>
        <v>45995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45996</v>
      </c>
      <c r="B12" s="37">
        <f t="shared" si="4"/>
        <v>45996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45997</v>
      </c>
      <c r="B13" s="37">
        <f t="shared" si="4"/>
        <v>45997</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45998</v>
      </c>
      <c r="B14" s="37">
        <f t="shared" si="4"/>
        <v>45998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45999</v>
      </c>
      <c r="B15" s="37">
        <f t="shared" si="4"/>
        <v>45999</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46000</v>
      </c>
      <c r="B16" s="37">
        <f t="shared" si="4"/>
        <v>46000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46001</v>
      </c>
      <c r="B17" s="37">
        <f t="shared" si="4"/>
        <v>46001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46002</v>
      </c>
      <c r="B18" s="37">
        <f t="shared" si="4"/>
        <v>46002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46003</v>
      </c>
      <c r="B19" s="37">
        <f t="shared" si="4"/>
        <v>46003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46004</v>
      </c>
      <c r="B20" s="37">
        <f t="shared" si="4"/>
        <v>46004</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46005</v>
      </c>
      <c r="B21" s="37">
        <f t="shared" si="4"/>
        <v>46005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46006</v>
      </c>
      <c r="B22" s="37">
        <f t="shared" si="4"/>
        <v>46006</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46007</v>
      </c>
      <c r="B23" s="37">
        <f t="shared" si="4"/>
        <v>46007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46008</v>
      </c>
      <c r="B24" s="37">
        <f t="shared" si="4"/>
        <v>46008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46009</v>
      </c>
      <c r="B25" s="37">
        <f t="shared" si="4"/>
        <v>46009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46010</v>
      </c>
      <c r="B26" s="37">
        <f t="shared" si="4"/>
        <v>46010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46011</v>
      </c>
      <c r="B27" s="37">
        <f t="shared" si="4"/>
        <v>46011</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46012</v>
      </c>
      <c r="B28" s="37">
        <f t="shared" si="4"/>
        <v>46012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46013</v>
      </c>
      <c r="B29" s="37">
        <f t="shared" si="4"/>
        <v>46013</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46014</v>
      </c>
      <c r="B30" s="37">
        <f t="shared" si="4"/>
        <v>46014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46015</v>
      </c>
      <c r="B31" s="37">
        <f t="shared" si="4"/>
        <v>46015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46016</v>
      </c>
      <c r="B32" s="37">
        <f t="shared" si="4"/>
        <v>46016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46017</v>
      </c>
      <c r="B33" s="37">
        <f t="shared" si="4"/>
        <v>46017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46018</v>
      </c>
      <c r="B34" s="37">
        <f t="shared" si="4"/>
        <v>46018</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46019</v>
      </c>
      <c r="B35" s="37">
        <f t="shared" si="4"/>
        <v>46019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46020</v>
      </c>
      <c r="B36" s="37">
        <f t="shared" si="4"/>
        <v>46020</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46021</v>
      </c>
      <c r="B37" s="37">
        <f t="shared" si="4"/>
        <v>46021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46022</v>
      </c>
      <c r="B38" s="38">
        <f>A38</f>
        <v>46022</v>
      </c>
      <c r="C38" s="40">
        <f t="shared" si="1"/>
        <v>1</v>
      </c>
      <c r="D38" s="27" t="s">
        <v>13</v>
      </c>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7" priority="4" stopIfTrue="1">
      <formula>$C8&gt;0</formula>
    </cfRule>
  </conditionalFormatting>
  <conditionalFormatting sqref="I25:I29">
    <cfRule type="expression" dxfId="56" priority="3" stopIfTrue="1">
      <formula>$C25&gt;0</formula>
    </cfRule>
  </conditionalFormatting>
  <conditionalFormatting sqref="I32:I36">
    <cfRule type="expression" dxfId="55" priority="2" stopIfTrue="1">
      <formula>$C32&gt;0</formula>
    </cfRule>
  </conditionalFormatting>
  <conditionalFormatting sqref="Q8:Q38">
    <cfRule type="expression" dxfId="54"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23" activePane="bottomLeft" state="frozen"/>
      <selection activeCell="Q40" sqref="Q40"/>
      <selection pane="bottomLeft" activeCell="D20" sqref="D20"/>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1</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46023</v>
      </c>
      <c r="B8" s="36">
        <f>A8</f>
        <v>46023</v>
      </c>
      <c r="C8" s="43">
        <f>IF(WEEKDAY(A8,2)&gt;5,1,0)+IF(D8&lt;&gt;"",1,0)</f>
        <v>1</v>
      </c>
      <c r="D8" s="44" t="s">
        <v>38</v>
      </c>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46024</v>
      </c>
      <c r="B9" s="37">
        <f>A9</f>
        <v>46024</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46025</v>
      </c>
      <c r="B10" s="37">
        <f t="shared" ref="B10:B37" si="4">A10</f>
        <v>46025</v>
      </c>
      <c r="C10" s="39">
        <f t="shared" si="1"/>
        <v>2</v>
      </c>
      <c r="D10" s="23" t="s">
        <v>36</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46026</v>
      </c>
      <c r="B11" s="37">
        <f t="shared" si="4"/>
        <v>46026</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46027</v>
      </c>
      <c r="B12" s="37">
        <f t="shared" si="4"/>
        <v>46027</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46028</v>
      </c>
      <c r="B13" s="37">
        <f t="shared" si="4"/>
        <v>46028</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46029</v>
      </c>
      <c r="B14" s="37">
        <f t="shared" si="4"/>
        <v>46029</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46030</v>
      </c>
      <c r="B15" s="37">
        <f t="shared" si="4"/>
        <v>46030</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46031</v>
      </c>
      <c r="B16" s="37">
        <f t="shared" si="4"/>
        <v>46031</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46032</v>
      </c>
      <c r="B17" s="37">
        <f t="shared" si="4"/>
        <v>46032</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46033</v>
      </c>
      <c r="B18" s="37">
        <f t="shared" si="4"/>
        <v>46033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46034</v>
      </c>
      <c r="B19" s="37">
        <f t="shared" si="4"/>
        <v>46034</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46035</v>
      </c>
      <c r="B20" s="37">
        <f t="shared" si="4"/>
        <v>46035</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46036</v>
      </c>
      <c r="B21" s="37">
        <f t="shared" si="4"/>
        <v>46036</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46037</v>
      </c>
      <c r="B22" s="37">
        <f t="shared" si="4"/>
        <v>46037</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46038</v>
      </c>
      <c r="B23" s="37">
        <f t="shared" si="4"/>
        <v>46038</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46039</v>
      </c>
      <c r="B24" s="37">
        <f t="shared" si="4"/>
        <v>46039</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46040</v>
      </c>
      <c r="B25" s="37">
        <f t="shared" si="4"/>
        <v>46040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46041</v>
      </c>
      <c r="B26" s="37">
        <f t="shared" si="4"/>
        <v>46041</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46042</v>
      </c>
      <c r="B27" s="37">
        <f t="shared" si="4"/>
        <v>46042</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46043</v>
      </c>
      <c r="B28" s="37">
        <f t="shared" si="4"/>
        <v>46043</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46044</v>
      </c>
      <c r="B29" s="37">
        <f t="shared" si="4"/>
        <v>46044</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46045</v>
      </c>
      <c r="B30" s="37">
        <f t="shared" si="4"/>
        <v>46045</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46046</v>
      </c>
      <c r="B31" s="37">
        <f t="shared" si="4"/>
        <v>46046</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46047</v>
      </c>
      <c r="B32" s="37">
        <f t="shared" si="4"/>
        <v>46047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46048</v>
      </c>
      <c r="B33" s="37">
        <f t="shared" si="4"/>
        <v>46048</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46049</v>
      </c>
      <c r="B34" s="37">
        <f t="shared" si="4"/>
        <v>46049</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46050</v>
      </c>
      <c r="B35" s="37">
        <f t="shared" si="4"/>
        <v>46050</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46051</v>
      </c>
      <c r="B36" s="37">
        <f t="shared" si="4"/>
        <v>46051</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46052</v>
      </c>
      <c r="B37" s="37">
        <f t="shared" si="4"/>
        <v>46052</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46053</v>
      </c>
      <c r="B38" s="38">
        <f>A38</f>
        <v>46053</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53" priority="5" stopIfTrue="1">
      <formula>$C8&gt;0</formula>
    </cfRule>
  </conditionalFormatting>
  <conditionalFormatting sqref="I25:I29">
    <cfRule type="expression" dxfId="52" priority="4" stopIfTrue="1">
      <formula>$C25&gt;0</formula>
    </cfRule>
  </conditionalFormatting>
  <conditionalFormatting sqref="I32:I36">
    <cfRule type="expression" dxfId="51" priority="3" stopIfTrue="1">
      <formula>$C32&gt;0</formula>
    </cfRule>
  </conditionalFormatting>
  <conditionalFormatting sqref="D18">
    <cfRule type="expression" dxfId="50" priority="2" stopIfTrue="1">
      <formula>$C18&gt;0</formula>
    </cfRule>
  </conditionalFormatting>
  <conditionalFormatting sqref="Q8:Q38">
    <cfRule type="expression" dxfId="49"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22" activePane="bottomLeft" state="frozen"/>
      <selection activeCell="D2" sqref="D2"/>
      <selection pane="bottomLeft" activeCell="D19" sqref="D19"/>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2</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46054</v>
      </c>
      <c r="B8" s="36">
        <f>A8</f>
        <v>46054</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46055</v>
      </c>
      <c r="B9" s="37">
        <f>A9</f>
        <v>46055</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46056</v>
      </c>
      <c r="B10" s="37">
        <f t="shared" ref="B10:B37" si="4">A10</f>
        <v>46056</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46057</v>
      </c>
      <c r="B11" s="37">
        <f t="shared" si="4"/>
        <v>46057</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46058</v>
      </c>
      <c r="B12" s="37">
        <f t="shared" si="4"/>
        <v>46058</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46059</v>
      </c>
      <c r="B13" s="37">
        <f t="shared" si="4"/>
        <v>46059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46060</v>
      </c>
      <c r="B14" s="37">
        <f t="shared" si="4"/>
        <v>46060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46061</v>
      </c>
      <c r="B15" s="37">
        <f t="shared" si="4"/>
        <v>46061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46062</v>
      </c>
      <c r="B16" s="37">
        <f t="shared" si="4"/>
        <v>46062</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46063</v>
      </c>
      <c r="B17" s="37">
        <f t="shared" si="4"/>
        <v>46063</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46064</v>
      </c>
      <c r="B18" s="37">
        <f t="shared" si="4"/>
        <v>46064</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46065</v>
      </c>
      <c r="B19" s="37">
        <f t="shared" si="4"/>
        <v>46065</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46066</v>
      </c>
      <c r="B20" s="37">
        <f t="shared" si="4"/>
        <v>46066</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46067</v>
      </c>
      <c r="B21" s="37">
        <f t="shared" si="4"/>
        <v>46067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46068</v>
      </c>
      <c r="B22" s="37">
        <f t="shared" si="4"/>
        <v>46068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46069</v>
      </c>
      <c r="B23" s="37">
        <f t="shared" si="4"/>
        <v>46069</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46070</v>
      </c>
      <c r="B24" s="37">
        <f t="shared" si="4"/>
        <v>46070</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46071</v>
      </c>
      <c r="B25" s="37">
        <f t="shared" si="4"/>
        <v>46071</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46072</v>
      </c>
      <c r="B26" s="37">
        <f t="shared" si="4"/>
        <v>46072</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46073</v>
      </c>
      <c r="B27" s="37">
        <f t="shared" si="4"/>
        <v>46073</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46074</v>
      </c>
      <c r="B28" s="37">
        <f t="shared" si="4"/>
        <v>46074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46075</v>
      </c>
      <c r="B29" s="37">
        <f t="shared" si="4"/>
        <v>46075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46076</v>
      </c>
      <c r="B30" s="37">
        <f t="shared" si="4"/>
        <v>46076</v>
      </c>
      <c r="C30" s="39">
        <f t="shared" si="1"/>
        <v>1</v>
      </c>
      <c r="D30" s="23" t="s">
        <v>32</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46077</v>
      </c>
      <c r="B31" s="37">
        <f t="shared" si="4"/>
        <v>46077</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46078</v>
      </c>
      <c r="B32" s="37">
        <f t="shared" si="4"/>
        <v>46078</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46079</v>
      </c>
      <c r="B33" s="37">
        <f t="shared" si="4"/>
        <v>46079</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46080</v>
      </c>
      <c r="B34" s="37">
        <f t="shared" si="4"/>
        <v>46080</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46081</v>
      </c>
      <c r="B35" s="37">
        <f t="shared" si="4"/>
        <v>46081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48" priority="4" stopIfTrue="1">
      <formula>$C8&gt;0</formula>
    </cfRule>
  </conditionalFormatting>
  <conditionalFormatting sqref="I25:I29">
    <cfRule type="expression" dxfId="47" priority="3" stopIfTrue="1">
      <formula>$C25&gt;0</formula>
    </cfRule>
  </conditionalFormatting>
  <conditionalFormatting sqref="I32:I36">
    <cfRule type="expression" dxfId="46" priority="2" stopIfTrue="1">
      <formula>$C32&gt;0</formula>
    </cfRule>
  </conditionalFormatting>
  <conditionalFormatting sqref="Q8:Q38">
    <cfRule type="expression" dxfId="45"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activeCell="D2" sqref="D2"/>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2026</v>
      </c>
      <c r="E1" s="1" t="s">
        <v>0</v>
      </c>
      <c r="F1" s="8">
        <v>3</v>
      </c>
      <c r="G1" s="1" t="s">
        <v>1</v>
      </c>
    </row>
    <row r="2" spans="1:22" ht="21.9" customHeight="1" thickBot="1" x14ac:dyDescent="0.25"/>
    <row r="3" spans="1:22" ht="21.9" customHeight="1" thickTop="1" thickBot="1" x14ac:dyDescent="0.25">
      <c r="A3" s="69" t="s">
        <v>15</v>
      </c>
      <c r="B3" s="70"/>
      <c r="C3" s="70"/>
      <c r="D3" s="71"/>
      <c r="E3" s="89"/>
      <c r="F3" s="90"/>
      <c r="G3" s="90"/>
      <c r="H3" s="90"/>
      <c r="I3" s="90"/>
      <c r="J3" s="91"/>
      <c r="K3" s="53"/>
    </row>
    <row r="4" spans="1:22" ht="21.9" customHeight="1" thickTop="1" thickBot="1" x14ac:dyDescent="0.25">
      <c r="A4" s="69" t="s">
        <v>8</v>
      </c>
      <c r="B4" s="70"/>
      <c r="C4" s="70"/>
      <c r="D4" s="71"/>
      <c r="E4" s="89"/>
      <c r="F4" s="90"/>
      <c r="G4" s="90"/>
      <c r="H4" s="90"/>
      <c r="I4" s="90"/>
      <c r="J4" s="91"/>
      <c r="K4" s="53"/>
    </row>
    <row r="5" spans="1:22" ht="21.9" customHeight="1" thickTop="1" thickBot="1" x14ac:dyDescent="0.25">
      <c r="A5" s="75" t="s">
        <v>2</v>
      </c>
      <c r="B5" s="76"/>
      <c r="C5" s="76"/>
      <c r="D5" s="77"/>
      <c r="E5" s="89"/>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Q7" s="64" t="s">
        <v>33</v>
      </c>
      <c r="R7" s="16"/>
      <c r="S7" s="17"/>
      <c r="T7" s="18"/>
      <c r="U7" s="19"/>
      <c r="V7" s="19"/>
    </row>
    <row r="8" spans="1:22" ht="18" customHeight="1" x14ac:dyDescent="0.2">
      <c r="A8" s="42">
        <f>IF(D1="","",DATE(D1,F1,1))</f>
        <v>46082</v>
      </c>
      <c r="B8" s="36">
        <f>A8</f>
        <v>46082</v>
      </c>
      <c r="C8" s="43">
        <f>IF(WEEKDAY(A8,2)&gt;5,1,0)+IF(D8&lt;&gt;"",1,0)</f>
        <v>1</v>
      </c>
      <c r="D8" s="44"/>
      <c r="E8" s="45"/>
      <c r="F8" s="46"/>
      <c r="G8" s="45"/>
      <c r="H8" s="47"/>
      <c r="I8" s="33"/>
      <c r="J8" s="56">
        <f t="shared" ref="J8:J38" si="0">IF((H8-F8)&lt;0,(G8-E8-1)*60+(60+H8-F8),(G8-E8)*60+H8-F8)-I8</f>
        <v>0</v>
      </c>
      <c r="K8" s="60">
        <f>J8/60</f>
        <v>0</v>
      </c>
      <c r="L8" s="21"/>
      <c r="M8" s="81"/>
      <c r="N8" s="82"/>
      <c r="O8" s="82"/>
      <c r="P8" s="83"/>
      <c r="Q8" s="21"/>
      <c r="S8" s="14"/>
      <c r="T8" s="6"/>
      <c r="U8" s="6"/>
      <c r="V8" s="6"/>
    </row>
    <row r="9" spans="1:22" ht="18" customHeight="1" x14ac:dyDescent="0.2">
      <c r="A9" s="22">
        <f>IF(A8="","",(A8+1))</f>
        <v>46083</v>
      </c>
      <c r="B9" s="37">
        <f>A9</f>
        <v>46083</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46084</v>
      </c>
      <c r="B10" s="37">
        <f t="shared" ref="B10:B37" si="4">A10</f>
        <v>46084</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46085</v>
      </c>
      <c r="B11" s="37">
        <f t="shared" si="4"/>
        <v>46085</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46086</v>
      </c>
      <c r="B12" s="37">
        <f t="shared" si="4"/>
        <v>46086</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46087</v>
      </c>
      <c r="B13" s="37">
        <f t="shared" si="4"/>
        <v>46087</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46088</v>
      </c>
      <c r="B14" s="37">
        <f t="shared" si="4"/>
        <v>46088</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46089</v>
      </c>
      <c r="B15" s="37">
        <f t="shared" si="4"/>
        <v>46089</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46090</v>
      </c>
      <c r="B16" s="37">
        <f t="shared" si="4"/>
        <v>46090</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46091</v>
      </c>
      <c r="B17" s="37">
        <f t="shared" si="4"/>
        <v>46091</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46092</v>
      </c>
      <c r="B18" s="37">
        <f t="shared" si="4"/>
        <v>46092</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46093</v>
      </c>
      <c r="B19" s="37">
        <f t="shared" si="4"/>
        <v>46093</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46094</v>
      </c>
      <c r="B20" s="37">
        <f t="shared" si="4"/>
        <v>46094</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46095</v>
      </c>
      <c r="B21" s="37">
        <f t="shared" si="4"/>
        <v>46095</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46096</v>
      </c>
      <c r="B22" s="37">
        <f t="shared" si="4"/>
        <v>46096</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46097</v>
      </c>
      <c r="B23" s="37">
        <f t="shared" si="4"/>
        <v>46097</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46098</v>
      </c>
      <c r="B24" s="37">
        <f t="shared" si="4"/>
        <v>46098</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46099</v>
      </c>
      <c r="B25" s="37">
        <f t="shared" si="4"/>
        <v>46099</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46100</v>
      </c>
      <c r="B26" s="37">
        <f t="shared" si="4"/>
        <v>46100</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46101</v>
      </c>
      <c r="B27" s="37">
        <f t="shared" si="4"/>
        <v>46101</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46102</v>
      </c>
      <c r="B28" s="37">
        <f t="shared" si="4"/>
        <v>46102</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46103</v>
      </c>
      <c r="B29" s="37">
        <f t="shared" si="4"/>
        <v>46103</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46104</v>
      </c>
      <c r="B30" s="37">
        <f t="shared" si="4"/>
        <v>46104</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46105</v>
      </c>
      <c r="B31" s="37">
        <f t="shared" si="4"/>
        <v>46105</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46106</v>
      </c>
      <c r="B32" s="37">
        <f t="shared" si="4"/>
        <v>46106</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46107</v>
      </c>
      <c r="B33" s="37">
        <f t="shared" si="4"/>
        <v>46107</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46108</v>
      </c>
      <c r="B34" s="37">
        <f t="shared" si="4"/>
        <v>46108</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46109</v>
      </c>
      <c r="B35" s="37">
        <f t="shared" si="4"/>
        <v>46109</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46110</v>
      </c>
      <c r="B36" s="37">
        <f t="shared" si="4"/>
        <v>46110</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46111</v>
      </c>
      <c r="B37" s="37">
        <f t="shared" si="4"/>
        <v>46111</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46112</v>
      </c>
      <c r="B38" s="38">
        <f>A38</f>
        <v>46112</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44" priority="4" stopIfTrue="1">
      <formula>$C8&gt;0</formula>
    </cfRule>
  </conditionalFormatting>
  <conditionalFormatting sqref="I25:I29">
    <cfRule type="expression" dxfId="43" priority="3" stopIfTrue="1">
      <formula>$C25&gt;0</formula>
    </cfRule>
  </conditionalFormatting>
  <conditionalFormatting sqref="I32:I36">
    <cfRule type="expression" dxfId="42" priority="2" stopIfTrue="1">
      <formula>$C32&gt;0</formula>
    </cfRule>
  </conditionalFormatting>
  <conditionalFormatting sqref="Q8:Q38">
    <cfRule type="expression" dxfId="41"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1.9" customHeight="1" thickBot="1" x14ac:dyDescent="0.25"/>
    <row r="3" spans="1:22" ht="21.9" customHeight="1" thickTop="1" thickBot="1" x14ac:dyDescent="0.25">
      <c r="A3" s="69" t="s">
        <v>15</v>
      </c>
      <c r="B3" s="70"/>
      <c r="C3" s="70"/>
      <c r="D3" s="71"/>
      <c r="E3" s="89" t="s">
        <v>24</v>
      </c>
      <c r="F3" s="90"/>
      <c r="G3" s="90"/>
      <c r="H3" s="90"/>
      <c r="I3" s="90"/>
      <c r="J3" s="91"/>
      <c r="K3" s="53"/>
    </row>
    <row r="4" spans="1:22" ht="21.9" customHeight="1" thickTop="1" thickBot="1" x14ac:dyDescent="0.25">
      <c r="A4" s="69" t="s">
        <v>8</v>
      </c>
      <c r="B4" s="70"/>
      <c r="C4" s="70"/>
      <c r="D4" s="71"/>
      <c r="E4" s="89" t="s">
        <v>25</v>
      </c>
      <c r="F4" s="90"/>
      <c r="G4" s="90"/>
      <c r="H4" s="90"/>
      <c r="I4" s="90"/>
      <c r="J4" s="91"/>
      <c r="K4" s="53"/>
    </row>
    <row r="5" spans="1:22" ht="21.9" customHeight="1" thickTop="1" thickBot="1" x14ac:dyDescent="0.25">
      <c r="A5" s="75" t="s">
        <v>2</v>
      </c>
      <c r="B5" s="76"/>
      <c r="C5" s="76"/>
      <c r="D5" s="77"/>
      <c r="E5" s="89" t="s">
        <v>26</v>
      </c>
      <c r="F5" s="90"/>
      <c r="G5" s="90"/>
      <c r="H5" s="90"/>
      <c r="I5" s="90"/>
      <c r="J5" s="91"/>
      <c r="K5" s="53"/>
      <c r="L5" s="5"/>
      <c r="M5" s="5"/>
      <c r="N5" s="4"/>
      <c r="O5" s="4"/>
      <c r="P5" s="2"/>
    </row>
    <row r="6" spans="1:22" ht="21.9" customHeight="1" thickTop="1" thickBot="1" x14ac:dyDescent="0.25">
      <c r="I6" s="41"/>
    </row>
    <row r="7" spans="1:22" s="15" customFormat="1" ht="29.25" customHeight="1" thickTop="1" x14ac:dyDescent="0.2">
      <c r="A7" s="48" t="s">
        <v>3</v>
      </c>
      <c r="B7" s="49" t="s">
        <v>11</v>
      </c>
      <c r="C7" s="49"/>
      <c r="D7" s="50" t="s">
        <v>12</v>
      </c>
      <c r="E7" s="78" t="s">
        <v>4</v>
      </c>
      <c r="F7" s="79"/>
      <c r="G7" s="78" t="s">
        <v>5</v>
      </c>
      <c r="H7" s="80"/>
      <c r="I7" s="51" t="s">
        <v>9</v>
      </c>
      <c r="J7" s="55" t="s">
        <v>10</v>
      </c>
      <c r="K7" s="59" t="s">
        <v>21</v>
      </c>
      <c r="L7" s="52" t="s">
        <v>6</v>
      </c>
      <c r="M7" s="78" t="s">
        <v>7</v>
      </c>
      <c r="N7" s="79"/>
      <c r="O7" s="79"/>
      <c r="P7" s="80"/>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1"/>
      <c r="N8" s="82"/>
      <c r="O8" s="82"/>
      <c r="P8" s="83"/>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40" priority="3" stopIfTrue="1">
      <formula>$C8&gt;0</formula>
    </cfRule>
  </conditionalFormatting>
  <conditionalFormatting sqref="I25:I29">
    <cfRule type="expression" dxfId="39" priority="2" stopIfTrue="1">
      <formula>$C25&gt;0</formula>
    </cfRule>
  </conditionalFormatting>
  <conditionalFormatting sqref="I32:I36">
    <cfRule type="expression" dxfId="38"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2025-05-08T01:03:42Z</dcterms:modified>
</cp:coreProperties>
</file>