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2.41.11\kbk(購買物流改革)プロジェクト\99.個人フォルダ\TDI\001_TDI管理業務\003_勤務表\202202\"/>
    </mc:Choice>
  </mc:AlternateContent>
  <bookViews>
    <workbookView xWindow="0" yWindow="0" windowWidth="20490" windowHeight="6255" tabRatio="814" firstSheet="1"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functionGroups builtInGroupCount="18"/>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<sst xmlns="http://schemas.openxmlformats.org/spreadsheetml/2006/main" count="526" uniqueCount="314">
  <si>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</si>
  <si>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</si>
  <si>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</si>
  <si>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</si>
  <si>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</si>
  <si>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</si>
  <si>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</si>
  <si>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</si>
  <si>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</si>
  <si>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</si>
  <si>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</si>
  <si>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</si>
  <si>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</si>
  <si>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</si>
  <si>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</si>
  <si>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</si>
  <si>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</si>
  <si>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</si>
  <si>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</si>
  <si>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</si>
  <si>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</si>
  <si>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</si>
  <si>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</si>
  <si>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</si>
  <si>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</si>
  <si>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</si>
  <si>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</si>
  <si>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</si>
  <si>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</si>
  <si>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</si>
  <si>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</si>
  <si>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</si>
  <si>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</si>
  <si>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</si>
  <si>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</si>
  <si>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</si>
  <si>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</si>
  <si>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</si>
  <si>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</si>
  <si>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</si>
  <si>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</si>
  <si>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</si>
  <si>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</si>
  <si>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</si>
  <si>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</si>
  <si>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</si>
  <si>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</si>
  <si>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</si>
  <si>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</si>
  <si>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</si>
  <si>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</si>
  <si>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</si>
  <si>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</si>
  <si>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</si>
  <si>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</si>
  <si>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</si>
  <si>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</si>
  <si>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</si>
  <si>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</si>
  <si>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</si>
  <si>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</si>
  <si>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</si>
  <si>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</si>
  <si>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</si>
  <si>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</si>
  <si>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</si>
  <si>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</si>
  <si>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</si>
  <si>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</si>
  <si>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</si>
  <si>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</si>
  <si>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</si>
  <si>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</si>
  <si>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</si>
  <si>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</si>
  <si>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</si>
  <si>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</si>
  <si>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</si>
  <si>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</si>
  <si>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</si>
  <si>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</si>
  <si>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</si>
  <si>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</si>
  <si>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</si>
  <si>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</si>
  <si>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</si>
  <si>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</si>
  <si>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</si>
  <si>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</si>
  <si>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</si>
  <si>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</si>
  <si>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</si>
  <si>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</si>
  <si>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</si>
  <si>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</si>
  <si>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</si>
  <si>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</si>
  <si>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</si>
  <si>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</si>
  <si>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</si>
  <si>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</si>
  <si>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</si>
  <si>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</si>
  <si>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</si>
  <si>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</si>
  <si>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</si>
  <si>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</si>
  <si>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</si>
  <si>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</si>
  <si>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</si>
  <si>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</si>
  <si>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</si>
  <si>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</si>
  <si>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</si>
  <si>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</si>
  <si>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</si>
  <si>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</si>
  <si>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</si>
  <si>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</si>
  <si>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</si>
  <si>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</si>
  <si>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</si>
  <si>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</si>
  <si>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</si>
  <si>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</si>
  <si>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</si>
  <si>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</si>
  <si>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</si>
  <si>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</si>
  <si>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</si>
  <si>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</si>
  <si>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</si>
  <si>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</si>
  <si>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</si>
  <si>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</si>
  <si>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</si>
  <si>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</si>
  <si>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</si>
  <si>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</si>
  <si>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</si>
  <si>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</si>
  <si>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</si>
  <si>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</si>
  <si>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</si>
  <si>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</si>
  <si>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</si>
  <si>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</si>
  <si>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</si>
  <si>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</si>
  <si>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</si>
  <si>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</si>
  <si>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</si>
  <si>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</si>
  <si>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</si>
  <si>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</si>
  <si>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</si>
  <si>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</si>
  <si>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</si>
  <si>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</si>
  <si>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</si>
  <si>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</si>
  <si>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</si>
  <si>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</si>
  <si>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</si>
  <si>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</si>
  <si>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</si>
  <si>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</si>
  <si>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</si>
  <si>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</si>
  <si>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</si>
  <si>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</si>
  <si>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</si>
  <si>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</si>
  <si>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</si>
  <si>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</si>
  <si>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</si>
  <si>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</si>
  <si>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</si>
  <si>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</si>
  <si>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</si>
  <si>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</si>
  <si>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</si>
  <si>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</si>
  <si>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</si>
  <si>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</si>
  <si>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</si>
  <si>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</si>
  <si>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</si>
  <si>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</si>
  <si>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</si>
  <si>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</si>
  <si>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</si>
  <si>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</si>
  <si>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</si>
  <si>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</si>
  <si>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</si>
  <si>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</si>
  <si>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</si>
  <si>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</si>
  <si>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</si>
  <si>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</si>
  <si>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</si>
  <si>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</si>
  <si>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</si>
  <si>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</si>
  <si>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</si>
  <si>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</si>
  <si>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</si>
  <si>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</si>
  <si>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</si>
  <si>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</si>
  <si>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</si>
  <si>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</si>
  <si>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</si>
  <si>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</si>
  <si>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</si>
  <si>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</si>
  <si>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</si>
  <si>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</si>
  <si>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</si>
  <si>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</si>
  <si>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</si>
  <si>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</si>
  <si>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</si>
  <si>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</si>
  <si>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</si>
  <si>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</si>
  <si>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</si>
  <si>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</si>
  <si>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</si>
  <si>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</si>
  <si>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</si>
  <si>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</si>
  <si>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</si>
  <si>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</si>
  <si>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</si>
  <si>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</si>
  <si>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</si>
  <si>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</si>
  <si>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</si>
  <si>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</si>
  <si>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</si>
  <si>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</si>
  <si>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</si>
  <si>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</si>
  <si>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</si>
  <si>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</si>
  <si>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</si>
  <si>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</si>
  <si>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</si>
  <si>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</si>
  <si>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</si>
  <si>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</si>
  <si>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</si>
  <si>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</si>
  <si>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</si>
  <si>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</si>
  <si>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</si>
  <si>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</si>
  <si>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</si>
  <si>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</si>
  <si>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</si>
  <si>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</si>
  <si>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</si>
  <si>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</si>
  <si>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</si>
  <si>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</si>
  <si>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</si>
  <si>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</si>
  <si>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</si>
  <si>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</si>
  <si>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</si>
  <si>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</si>
  <si>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</si>
  <si>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</si>
  <si>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</si>
  <si>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</si>
  <si>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</si>
  <si>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</si>
  <si>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</si>
  <si>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</si>
  <si>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</si>
  <si>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</si>
  <si>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</si>
  <si>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</si>
  <si>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</si>
  <si>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</si>
  <si>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</si>
  <si>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</si>
  <si>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</si>
  <si>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</si>
  <si>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</si>
  <si>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</si>
  <si>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</si>
  <si>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</si>
  <si>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</si>
  <si>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</si>
  <si>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</si>
  <si>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</si>
  <si>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</si>
  <si>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</si>
  <si>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</si>
  <si>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</si>
  <si>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</si>
  <si>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</si>
  <si>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株式会社　HTKエンジニアリング</t>
    <phoneticPr fontId="2"/>
  </si>
  <si>
    <t>2022/1/7 通院のためAM休み</t>
    <rPh sb="9" eb="11">
      <t>ツウイン</t>
    </rPh>
    <rPh sb="16" eb="17">
      <t>ヤス</t>
    </rPh>
    <phoneticPr fontId="2"/>
  </si>
  <si>
    <t>2022/1/24 自社作業のため14時早退</t>
    <rPh sb="10" eb="12">
      <t>ジシャ</t>
    </rPh>
    <rPh sb="12" eb="14">
      <t>サギョウ</t>
    </rPh>
    <rPh sb="19" eb="20">
      <t>ジ</t>
    </rPh>
    <rPh sb="20" eb="22">
      <t>ソウタイ</t>
    </rPh>
    <phoneticPr fontId="2"/>
  </si>
  <si>
    <t>2022/1/4 年末年始休暇</t>
    <rPh sb="9" eb="11">
      <t>ネンマツ</t>
    </rPh>
    <rPh sb="11" eb="13">
      <t>ネンシ</t>
    </rPh>
    <rPh sb="13" eb="15">
      <t>キュウカ</t>
    </rPh>
    <phoneticPr fontId="2"/>
  </si>
  <si>
    <t>史正韵</t>
    <phoneticPr fontId="2"/>
  </si>
  <si>
    <t>top0015</t>
    <phoneticPr fontId="2"/>
  </si>
  <si>
    <t>#27941 パンデミック対応（一括発注承認パターンマスタメンテナンス）テスト</t>
    <phoneticPr fontId="2"/>
  </si>
  <si>
    <t>#27941 パンデミック対応（一括発注承認パターンマスタメンテナンス）テスト、レビュー参加</t>
    <phoneticPr fontId="2"/>
  </si>
  <si>
    <t>#27941 パンデミック対応（一括発注承認パターンマスタメンテナンス）テスト、他メンバーからの支援依頼作業</t>
    <rPh sb="40" eb="41">
      <t>ホカ</t>
    </rPh>
    <rPh sb="48" eb="50">
      <t>シエン</t>
    </rPh>
    <rPh sb="50" eb="52">
      <t>イライ</t>
    </rPh>
    <rPh sb="52" eb="54">
      <t>サギョウ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</si>
</sst>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7">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s>
  <fills count="15">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alignment vertical="center"/>
    </xf>
  </cellStyleXfs>
  <cellXfs count="465">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protection locked="0"/>
    </xf>
    <xf numFmtId="183" fontId="0" fillId="14" borderId="1" xfId="0" applyNumberFormat="1" applyFill="1" applyBorder="1" applyAlignment="1" applyProtection="1">
      <alignment horizontal="center" vertical="center"/>
      <protection locked="0"/>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0" fontId="25" fillId="0" borderId="0" xfId="0" applyFont="1" applyAlignment="1">
      <alignment wrapText="1"/>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2" fillId="0" borderId="26" xfId="0" applyFont="1" applyBorder="1" applyAlignment="1">
      <alignment horizontal="left" vertical="center" shrinkToFit="1"/>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0" fontId="0" fillId="7" borderId="5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cellXfs>
  <cellStyles count="1">
    <cellStyle name="標準" xfId="0" builtinId="0"/>
  </cellStyles>
  <dxfs count="294">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is-devdoc\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topLeftCell="A7" zoomScale="85" zoomScaleNormal="85" workbookViewId="0">
      <selection activeCell="Q23" sqref="Q23:R23"/>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31" t="s">
        <v>185</v>
      </c>
      <c r="D1" s="231"/>
      <c r="E1" s="231"/>
      <c r="F1" s="231"/>
      <c r="G1" s="231"/>
      <c r="H1" s="231" t="s">
        <v>184</v>
      </c>
      <c r="I1" s="231"/>
      <c r="J1" s="231" t="s">
        <v>183</v>
      </c>
      <c r="K1" s="231"/>
      <c r="M1" s="231" t="s">
        <v>182</v>
      </c>
      <c r="N1" s="240"/>
      <c r="O1" s="167"/>
      <c r="P1" s="33" t="s">
        <v>293</v>
      </c>
    </row>
    <row r="2" spans="1:27" ht="18.75" customHeight="1" thickBot="1">
      <c r="C2" s="231"/>
      <c r="D2" s="231"/>
      <c r="E2" s="231"/>
      <c r="F2" s="231"/>
      <c r="G2" s="231"/>
      <c r="H2" s="231"/>
      <c r="I2" s="231"/>
      <c r="J2" s="231"/>
      <c r="K2" s="231"/>
      <c r="M2" s="231"/>
      <c r="N2" s="240"/>
      <c r="O2" s="31"/>
      <c r="P2" s="33" t="s">
        <v>294</v>
      </c>
    </row>
    <row r="3" spans="1:27" ht="22.5" customHeight="1" thickBot="1">
      <c r="C3" s="168">
        <v>2022</v>
      </c>
      <c r="D3" s="6" t="s">
        <v>0</v>
      </c>
      <c r="H3" s="169">
        <v>2</v>
      </c>
      <c r="I3" s="7" t="s">
        <v>1</v>
      </c>
      <c r="J3" s="170" t="s">
        <v>174</v>
      </c>
      <c r="M3" s="171" t="s">
        <v>304</v>
      </c>
      <c r="O3" s="32" t="s">
        <v>50</v>
      </c>
      <c r="P3" s="25"/>
    </row>
    <row r="4" spans="1:27" ht="22.5" customHeight="1" thickBot="1">
      <c r="C4" s="5"/>
      <c r="D4" s="6"/>
      <c r="H4" s="7"/>
      <c r="I4" s="7"/>
    </row>
    <row r="5" spans="1:27" ht="15" customHeight="1">
      <c r="C5" s="243" t="s">
        <v>20</v>
      </c>
      <c r="D5" s="245" t="s">
        <v>21</v>
      </c>
      <c r="E5" s="232" t="s">
        <v>39</v>
      </c>
      <c r="F5" s="232" t="s">
        <v>29</v>
      </c>
      <c r="G5" s="232" t="s">
        <v>45</v>
      </c>
      <c r="H5" s="232" t="s">
        <v>13</v>
      </c>
      <c r="I5" s="232" t="s">
        <v>14</v>
      </c>
      <c r="J5" s="232" t="s">
        <v>15</v>
      </c>
      <c r="K5" s="232" t="s">
        <v>16</v>
      </c>
      <c r="L5" s="18" t="s">
        <v>24</v>
      </c>
      <c r="M5" s="18" t="s">
        <v>25</v>
      </c>
      <c r="N5" s="18" t="s">
        <v>26</v>
      </c>
      <c r="O5" s="18" t="s">
        <v>27</v>
      </c>
      <c r="P5" s="18" t="s">
        <v>28</v>
      </c>
      <c r="Q5" s="236" t="s">
        <v>144</v>
      </c>
      <c r="R5" s="237"/>
    </row>
    <row r="6" spans="1:27" ht="15" customHeight="1">
      <c r="C6" s="244"/>
      <c r="D6" s="246"/>
      <c r="E6" s="233"/>
      <c r="F6" s="233"/>
      <c r="G6" s="233"/>
      <c r="H6" s="233"/>
      <c r="I6" s="233"/>
      <c r="J6" s="233"/>
      <c r="K6" s="233"/>
      <c r="L6" s="19">
        <f>P41</f>
        <v>159.5</v>
      </c>
      <c r="M6" s="24" t="str">
        <f>IF(P42="","",P42)</f>
        <v/>
      </c>
      <c r="N6" s="24" t="str">
        <f>IF(P43="","",P43)</f>
        <v/>
      </c>
      <c r="O6" s="24" t="str">
        <f>IF(P44="","",P44)</f>
        <v/>
      </c>
      <c r="P6" s="24" t="str">
        <f>IF(P45="","",P45)</f>
        <v/>
      </c>
      <c r="Q6" s="238"/>
      <c r="R6" s="239"/>
    </row>
    <row r="7" spans="1:27" ht="15" customHeight="1">
      <c r="A7">
        <f>IF(C7="","",DAY(C7))</f>
        <v>1</v>
      </c>
      <c r="B7" s="1">
        <f>DATE(C3,H3,1)</f>
        <v>44593</v>
      </c>
      <c r="C7" s="15">
        <f>IF(MONTH(B7)&gt;$H$3,"",B7)</f>
        <v>44593</v>
      </c>
      <c r="D7" s="4" t="str">
        <f>IF(C7="","",CHOOSE(WEEKDAY(C7,1),"日","月","火","水","木","金","土"))</f>
        <v>火</v>
      </c>
      <c r="E7" s="3" t="str">
        <f t="shared" ref="E7:E37" si="0">IF(ISERROR(VLOOKUP(C7,祝日一覧,3,0)),"",VLOOKUP(C7,祝日一覧,3,0))</f>
        <v/>
      </c>
      <c r="F7" s="4" t="str">
        <f t="shared" ref="F7:F36" si="1">IF(OR(C7="",D7="土",D7="日",E7&lt;&gt;""),"","○")</f>
        <v>○</v>
      </c>
      <c r="G7" s="4" t="str">
        <f>IF(OR(K7="",K7=0),"","○")</f>
        <v>○</v>
      </c>
      <c r="H7" s="185">
        <v>0.375</v>
      </c>
      <c r="I7" s="185">
        <v>0.75</v>
      </c>
      <c r="J7" s="175">
        <v>1</v>
      </c>
      <c r="K7" s="186">
        <f>IF(C7="","",IF(OR(H7="",I7=""),0,IF((I7-H7)*24-J7=0,0,(I7-H7)*24-J7)))</f>
        <v>8</v>
      </c>
      <c r="L7" s="27">
        <f>IF(OR(K7="",K7=0),"",K7-M7-N7-O7-P7)</f>
        <v>8</v>
      </c>
      <c r="M7" s="28"/>
      <c r="N7" s="28"/>
      <c r="O7" s="28"/>
      <c r="P7" s="28"/>
      <c r="Q7" s="234" t="s">
        <v>311</v>
      </c>
      <c r="R7" s="235"/>
      <c r="S7" s="173" t="str">
        <f>IF(AND(K7&gt;0,C7&lt;&gt;""),IF(Q7="","⇐入力してください",""),IF(Q7="","","⇐削除してください"))</f>
        <v/>
      </c>
      <c r="AA7" s="148" t="str">
        <f>IF(S7="","",IF(OR(X7="",Y7=""),0,IF((Y7-X7)*24-Z7=0,0,(Y7-X7)*24-Z7)))</f>
        <v/>
      </c>
    </row>
    <row r="8" spans="1:27" ht="15" customHeight="1">
      <c r="A8">
        <f t="shared" ref="A8:A36" si="2">IF(C8="","",DAY(C8))</f>
        <v>2</v>
      </c>
      <c r="B8" s="1">
        <f t="shared" ref="B8:B37" si="3">B7+1</f>
        <v>44594</v>
      </c>
      <c r="C8" s="15">
        <f t="shared" ref="C8:C36" si="4">IF(MONTH(B8)&gt;$H$3,"",B8)</f>
        <v>44594</v>
      </c>
      <c r="D8" s="4" t="str">
        <f>IF(C8="","",CHOOSE(WEEKDAY(C8,1),"日","月","火","水","木","金","土"))</f>
        <v>水</v>
      </c>
      <c r="E8" s="3" t="str">
        <f t="shared" si="0"/>
        <v/>
      </c>
      <c r="F8" s="4" t="str">
        <f t="shared" si="1"/>
        <v>○</v>
      </c>
      <c r="G8" s="4" t="str">
        <f t="shared" ref="G8:G37" si="5">IF(OR(K8="",K8=0),"","○")</f>
        <v>○</v>
      </c>
      <c r="H8" s="185">
        <v>0.375</v>
      </c>
      <c r="I8" s="187">
        <v>0.83333333333333337</v>
      </c>
      <c r="J8" s="175">
        <v>1.25</v>
      </c>
      <c r="K8" s="186">
        <f t="shared" ref="K8:K37" si="6">IF(C8="","",IF(OR(H8="",I8=""),0,IF((I8-H8)*24-J8=0,0,(I8-H8)*24-J8)))</f>
        <v>9.75</v>
      </c>
      <c r="L8" s="27">
        <f t="shared" ref="L8:L37" si="7">IF(OR(K8="",K8=0),"",K8-M8-N8-O8-P8)</f>
        <v>9.75</v>
      </c>
      <c r="M8" s="28"/>
      <c r="N8" s="28"/>
      <c r="O8" s="28"/>
      <c r="P8" s="28"/>
      <c r="Q8" s="234" t="s">
        <v>312</v>
      </c>
      <c r="R8" s="235"/>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44595</v>
      </c>
      <c r="C9" s="15">
        <f t="shared" si="4"/>
        <v>44595</v>
      </c>
      <c r="D9" s="4" t="str">
        <f t="shared" ref="D9:D37" si="10">IF(C9="","",CHOOSE(WEEKDAY(C9,1),"日","月","火","水","木","金","土"))</f>
        <v>木</v>
      </c>
      <c r="E9" s="3" t="str">
        <f t="shared" si="0"/>
        <v/>
      </c>
      <c r="F9" s="4" t="str">
        <f t="shared" si="1"/>
        <v>○</v>
      </c>
      <c r="G9" s="4" t="str">
        <f t="shared" si="5"/>
        <v>○</v>
      </c>
      <c r="H9" s="185">
        <v>0.375</v>
      </c>
      <c r="I9" s="185">
        <v>0.77083333333333337</v>
      </c>
      <c r="J9" s="175">
        <v>1.25</v>
      </c>
      <c r="K9" s="186">
        <f>IF(C9="","",IF(OR(H9="",I9=""),0,IF((I9-H9)*24-J9=0,0,(I9-H9)*24-J9)))</f>
        <v>8.25</v>
      </c>
      <c r="L9" s="27">
        <f t="shared" si="7"/>
        <v>8.25</v>
      </c>
      <c r="M9" s="28"/>
      <c r="N9" s="28"/>
      <c r="O9" s="28"/>
      <c r="P9" s="28"/>
      <c r="Q9" s="234" t="s">
        <v>311</v>
      </c>
      <c r="R9" s="235"/>
      <c r="S9" s="173" t="str">
        <f t="shared" si="8"/>
        <v/>
      </c>
      <c r="AA9" s="148" t="str">
        <f t="shared" si="9"/>
        <v/>
      </c>
    </row>
    <row r="10" spans="1:27" ht="15" customHeight="1">
      <c r="A10">
        <f t="shared" si="2"/>
        <v>4</v>
      </c>
      <c r="B10" s="1">
        <f t="shared" si="3"/>
        <v>44596</v>
      </c>
      <c r="C10" s="15">
        <f t="shared" si="4"/>
        <v>44596</v>
      </c>
      <c r="D10" s="4" t="str">
        <f t="shared" si="10"/>
        <v>金</v>
      </c>
      <c r="E10" s="3" t="str">
        <f t="shared" si="0"/>
        <v/>
      </c>
      <c r="F10" s="4" t="str">
        <f t="shared" si="1"/>
        <v>○</v>
      </c>
      <c r="G10" s="4" t="str">
        <f t="shared" si="5"/>
        <v>○</v>
      </c>
      <c r="H10" s="185">
        <v>0.375</v>
      </c>
      <c r="I10" s="185">
        <v>0.79166666666666663</v>
      </c>
      <c r="J10" s="175">
        <v>1.25</v>
      </c>
      <c r="K10" s="186">
        <f t="shared" si="6"/>
        <v>8.75</v>
      </c>
      <c r="L10" s="27">
        <f t="shared" si="7"/>
        <v>8.75</v>
      </c>
      <c r="M10" s="28"/>
      <c r="N10" s="28"/>
      <c r="O10" s="28"/>
      <c r="P10" s="28"/>
      <c r="Q10" s="234" t="s">
        <v>312</v>
      </c>
      <c r="R10" s="235"/>
      <c r="S10" s="173" t="str">
        <f t="shared" si="8"/>
        <v/>
      </c>
      <c r="AA10" s="148" t="str">
        <f t="shared" si="9"/>
        <v/>
      </c>
    </row>
    <row r="11" spans="1:27" ht="15" customHeight="1">
      <c r="A11">
        <f t="shared" si="2"/>
        <v>5</v>
      </c>
      <c r="B11" s="1">
        <f t="shared" si="3"/>
        <v>44597</v>
      </c>
      <c r="C11" s="15">
        <f t="shared" si="4"/>
        <v>44597</v>
      </c>
      <c r="D11" s="4" t="str">
        <f t="shared" si="10"/>
        <v>土</v>
      </c>
      <c r="E11" s="3" t="str">
        <f t="shared" si="0"/>
        <v/>
      </c>
      <c r="F11" s="4" t="str">
        <f t="shared" si="1"/>
        <v/>
      </c>
      <c r="G11" s="4" t="str">
        <f t="shared" si="5"/>
        <v/>
      </c>
      <c r="H11" s="185"/>
      <c r="I11" s="185"/>
      <c r="J11" s="175"/>
      <c r="K11" s="186">
        <f t="shared" si="6"/>
        <v>0</v>
      </c>
      <c r="L11" s="27" t="str">
        <f t="shared" si="7"/>
        <v/>
      </c>
      <c r="M11" s="28"/>
      <c r="N11" s="28"/>
      <c r="O11" s="28"/>
      <c r="P11" s="28"/>
      <c r="Q11" s="234"/>
      <c r="R11" s="235"/>
      <c r="S11" s="173" t="str">
        <f t="shared" si="8"/>
        <v/>
      </c>
      <c r="AA11" s="148" t="str">
        <f t="shared" si="9"/>
        <v/>
      </c>
    </row>
    <row r="12" spans="1:27" ht="15" customHeight="1">
      <c r="A12">
        <f t="shared" si="2"/>
        <v>6</v>
      </c>
      <c r="B12" s="1">
        <f t="shared" si="3"/>
        <v>44598</v>
      </c>
      <c r="C12" s="15">
        <f t="shared" si="4"/>
        <v>44598</v>
      </c>
      <c r="D12" s="4" t="str">
        <f t="shared" si="10"/>
        <v>日</v>
      </c>
      <c r="E12" s="3" t="str">
        <f t="shared" si="0"/>
        <v/>
      </c>
      <c r="F12" s="4" t="str">
        <f t="shared" si="1"/>
        <v/>
      </c>
      <c r="G12" s="4" t="str">
        <f t="shared" si="5"/>
        <v/>
      </c>
      <c r="H12" s="185"/>
      <c r="I12" s="185"/>
      <c r="J12" s="175"/>
      <c r="K12" s="186">
        <f t="shared" si="6"/>
        <v>0</v>
      </c>
      <c r="L12" s="27" t="str">
        <f t="shared" si="7"/>
        <v/>
      </c>
      <c r="M12" s="28"/>
      <c r="N12" s="28"/>
      <c r="O12" s="28"/>
      <c r="P12" s="28"/>
      <c r="Q12" s="234"/>
      <c r="R12" s="235"/>
      <c r="S12" s="173" t="str">
        <f t="shared" si="8"/>
        <v/>
      </c>
      <c r="AA12" s="148" t="str">
        <f t="shared" si="9"/>
        <v/>
      </c>
    </row>
    <row r="13" spans="1:27" ht="15" customHeight="1">
      <c r="A13">
        <f t="shared" si="2"/>
        <v>7</v>
      </c>
      <c r="B13" s="1">
        <f t="shared" si="3"/>
        <v>44599</v>
      </c>
      <c r="C13" s="15">
        <f t="shared" si="4"/>
        <v>44599</v>
      </c>
      <c r="D13" s="4" t="str">
        <f t="shared" si="10"/>
        <v>月</v>
      </c>
      <c r="E13" s="3" t="str">
        <f t="shared" si="0"/>
        <v/>
      </c>
      <c r="F13" s="4" t="str">
        <f t="shared" si="1"/>
        <v>○</v>
      </c>
      <c r="G13" s="4" t="str">
        <f t="shared" si="5"/>
        <v>○</v>
      </c>
      <c r="H13" s="185">
        <v>0.375</v>
      </c>
      <c r="I13" s="185">
        <v>0.83333333333333337</v>
      </c>
      <c r="J13" s="175">
        <v>1.25</v>
      </c>
      <c r="K13" s="186">
        <f t="shared" si="6"/>
        <v>9.75</v>
      </c>
      <c r="L13" s="27">
        <f t="shared" si="7"/>
        <v>9.75</v>
      </c>
      <c r="M13" s="28"/>
      <c r="N13" s="28"/>
      <c r="O13" s="28"/>
      <c r="P13" s="28"/>
      <c r="Q13" s="234" t="s">
        <v>311</v>
      </c>
      <c r="R13" s="235"/>
      <c r="S13" s="173" t="str">
        <f t="shared" si="8"/>
        <v/>
      </c>
      <c r="AA13" s="148" t="str">
        <f t="shared" si="9"/>
        <v/>
      </c>
    </row>
    <row r="14" spans="1:27" ht="15" customHeight="1">
      <c r="A14">
        <f t="shared" si="2"/>
        <v>8</v>
      </c>
      <c r="B14" s="1">
        <f t="shared" si="3"/>
        <v>44600</v>
      </c>
      <c r="C14" s="15">
        <f t="shared" si="4"/>
        <v>44600</v>
      </c>
      <c r="D14" s="4" t="str">
        <f t="shared" si="10"/>
        <v>火</v>
      </c>
      <c r="E14" s="3" t="str">
        <f t="shared" si="0"/>
        <v/>
      </c>
      <c r="F14" s="4" t="str">
        <f t="shared" si="1"/>
        <v>○</v>
      </c>
      <c r="G14" s="4" t="str">
        <f t="shared" si="5"/>
        <v>○</v>
      </c>
      <c r="H14" s="185">
        <v>0.375</v>
      </c>
      <c r="I14" s="185">
        <v>0.83333333333333337</v>
      </c>
      <c r="J14" s="175">
        <v>1.25</v>
      </c>
      <c r="K14" s="186">
        <f t="shared" si="6"/>
        <v>9.75</v>
      </c>
      <c r="L14" s="27">
        <f t="shared" si="7"/>
        <v>9.75</v>
      </c>
      <c r="M14" s="28"/>
      <c r="N14" s="28"/>
      <c r="O14" s="28"/>
      <c r="P14" s="28"/>
      <c r="Q14" s="234" t="s">
        <v>312</v>
      </c>
      <c r="R14" s="235"/>
      <c r="S14" s="173" t="str">
        <f t="shared" si="8"/>
        <v/>
      </c>
      <c r="AA14" s="148" t="str">
        <f t="shared" si="9"/>
        <v/>
      </c>
    </row>
    <row r="15" spans="1:27" ht="15" customHeight="1">
      <c r="A15">
        <f t="shared" si="2"/>
        <v>9</v>
      </c>
      <c r="B15" s="1">
        <f t="shared" si="3"/>
        <v>44601</v>
      </c>
      <c r="C15" s="15">
        <f t="shared" si="4"/>
        <v>44601</v>
      </c>
      <c r="D15" s="4" t="str">
        <f t="shared" si="10"/>
        <v>水</v>
      </c>
      <c r="E15" s="3" t="str">
        <f t="shared" si="0"/>
        <v/>
      </c>
      <c r="F15" s="4" t="str">
        <f t="shared" si="1"/>
        <v>○</v>
      </c>
      <c r="G15" s="4" t="str">
        <f t="shared" si="5"/>
        <v>○</v>
      </c>
      <c r="H15" s="185">
        <v>0.375</v>
      </c>
      <c r="I15" s="185">
        <v>0.80208333333333337</v>
      </c>
      <c r="J15" s="175">
        <v>1.25</v>
      </c>
      <c r="K15" s="186">
        <f t="shared" si="6"/>
        <v>9</v>
      </c>
      <c r="L15" s="27">
        <f t="shared" si="7"/>
        <v>9</v>
      </c>
      <c r="M15" s="28"/>
      <c r="N15" s="28"/>
      <c r="O15" s="28"/>
      <c r="P15" s="28"/>
      <c r="Q15" s="234" t="s">
        <v>311</v>
      </c>
      <c r="R15" s="235"/>
      <c r="S15" s="173" t="str">
        <f t="shared" si="8"/>
        <v/>
      </c>
      <c r="AA15" s="148" t="str">
        <f t="shared" si="9"/>
        <v/>
      </c>
    </row>
    <row r="16" spans="1:27" ht="15" customHeight="1">
      <c r="A16">
        <f t="shared" si="2"/>
        <v>10</v>
      </c>
      <c r="B16" s="1">
        <f t="shared" si="3"/>
        <v>44602</v>
      </c>
      <c r="C16" s="15">
        <f t="shared" si="4"/>
        <v>44602</v>
      </c>
      <c r="D16" s="4" t="str">
        <f t="shared" si="10"/>
        <v>木</v>
      </c>
      <c r="E16" s="3" t="str">
        <f t="shared" si="0"/>
        <v/>
      </c>
      <c r="F16" s="4" t="str">
        <f t="shared" si="1"/>
        <v>○</v>
      </c>
      <c r="G16" s="4" t="str">
        <f t="shared" si="5"/>
        <v>○</v>
      </c>
      <c r="H16" s="185">
        <v>0.375</v>
      </c>
      <c r="I16" s="185">
        <v>0.76041666666666663</v>
      </c>
      <c r="J16" s="175">
        <v>1</v>
      </c>
      <c r="K16" s="186">
        <f t="shared" si="6"/>
        <v>8.25</v>
      </c>
      <c r="L16" s="27">
        <f t="shared" si="7"/>
        <v>8.25</v>
      </c>
      <c r="M16" s="28"/>
      <c r="N16" s="28"/>
      <c r="O16" s="28"/>
      <c r="P16" s="28"/>
      <c r="Q16" s="234" t="s">
        <v>311</v>
      </c>
      <c r="R16" s="235"/>
      <c r="S16" s="173" t="str">
        <f t="shared" si="8"/>
        <v/>
      </c>
      <c r="AA16" s="148" t="str">
        <f t="shared" si="9"/>
        <v/>
      </c>
    </row>
    <row r="17" spans="1:27" ht="15" customHeight="1">
      <c r="A17">
        <f t="shared" si="2"/>
        <v>11</v>
      </c>
      <c r="B17" s="1">
        <f t="shared" si="3"/>
        <v>44603</v>
      </c>
      <c r="C17" s="15">
        <f t="shared" si="4"/>
        <v>44603</v>
      </c>
      <c r="D17" s="4" t="str">
        <f t="shared" si="10"/>
        <v>金</v>
      </c>
      <c r="E17" s="3" t="str">
        <f t="shared" si="0"/>
        <v>建国記念日</v>
      </c>
      <c r="F17" s="4" t="str">
        <f t="shared" si="1"/>
        <v/>
      </c>
      <c r="G17" s="4" t="str">
        <f t="shared" si="5"/>
        <v/>
      </c>
      <c r="H17" s="185"/>
      <c r="I17" s="185"/>
      <c r="J17" s="175"/>
      <c r="K17" s="186">
        <f t="shared" si="6"/>
        <v>0</v>
      </c>
      <c r="L17" s="27" t="str">
        <f t="shared" si="7"/>
        <v/>
      </c>
      <c r="M17" s="28"/>
      <c r="N17" s="28"/>
      <c r="O17" s="28"/>
      <c r="P17" s="28"/>
      <c r="Q17" s="234"/>
      <c r="R17" s="235"/>
      <c r="S17" s="173" t="str">
        <f t="shared" si="8"/>
        <v/>
      </c>
      <c r="AA17" s="148" t="str">
        <f t="shared" si="9"/>
        <v/>
      </c>
    </row>
    <row r="18" spans="1:27" ht="15" customHeight="1">
      <c r="A18">
        <f t="shared" si="2"/>
        <v>12</v>
      </c>
      <c r="B18" s="1">
        <f t="shared" si="3"/>
        <v>44604</v>
      </c>
      <c r="C18" s="15">
        <f t="shared" si="4"/>
        <v>44604</v>
      </c>
      <c r="D18" s="4" t="str">
        <f t="shared" si="10"/>
        <v>土</v>
      </c>
      <c r="E18" s="3" t="str">
        <f t="shared" si="0"/>
        <v/>
      </c>
      <c r="F18" s="4" t="str">
        <f t="shared" si="1"/>
        <v/>
      </c>
      <c r="G18" s="4" t="str">
        <f t="shared" si="5"/>
        <v/>
      </c>
      <c r="H18" s="185"/>
      <c r="I18" s="185"/>
      <c r="J18" s="175"/>
      <c r="K18" s="186">
        <f t="shared" si="6"/>
        <v>0</v>
      </c>
      <c r="L18" s="27" t="str">
        <f t="shared" si="7"/>
        <v/>
      </c>
      <c r="M18" s="28"/>
      <c r="N18" s="28"/>
      <c r="O18" s="28"/>
      <c r="P18" s="28"/>
      <c r="Q18" s="234"/>
      <c r="R18" s="235"/>
      <c r="S18" s="173" t="str">
        <f t="shared" si="8"/>
        <v/>
      </c>
      <c r="AA18" s="148" t="str">
        <f t="shared" si="9"/>
        <v/>
      </c>
    </row>
    <row r="19" spans="1:27" ht="15" customHeight="1">
      <c r="A19">
        <f t="shared" si="2"/>
        <v>13</v>
      </c>
      <c r="B19" s="1">
        <f t="shared" si="3"/>
        <v>44605</v>
      </c>
      <c r="C19" s="15">
        <f t="shared" si="4"/>
        <v>44605</v>
      </c>
      <c r="D19" s="4" t="str">
        <f t="shared" si="10"/>
        <v>日</v>
      </c>
      <c r="E19" s="3" t="str">
        <f t="shared" si="0"/>
        <v/>
      </c>
      <c r="F19" s="4" t="str">
        <f t="shared" si="1"/>
        <v/>
      </c>
      <c r="G19" s="4" t="str">
        <f t="shared" si="5"/>
        <v/>
      </c>
      <c r="H19" s="185"/>
      <c r="I19" s="185"/>
      <c r="J19" s="175"/>
      <c r="K19" s="186">
        <f t="shared" si="6"/>
        <v>0</v>
      </c>
      <c r="L19" s="27" t="str">
        <f t="shared" si="7"/>
        <v/>
      </c>
      <c r="M19" s="28"/>
      <c r="N19" s="28"/>
      <c r="O19" s="28"/>
      <c r="P19" s="28"/>
      <c r="Q19" s="234"/>
      <c r="R19" s="235"/>
      <c r="S19" s="173" t="str">
        <f t="shared" si="8"/>
        <v/>
      </c>
      <c r="AA19" s="148" t="str">
        <f t="shared" si="9"/>
        <v/>
      </c>
    </row>
    <row r="20" spans="1:27" ht="15" customHeight="1">
      <c r="A20">
        <f t="shared" si="2"/>
        <v>14</v>
      </c>
      <c r="B20" s="1">
        <f t="shared" si="3"/>
        <v>44606</v>
      </c>
      <c r="C20" s="15">
        <f t="shared" si="4"/>
        <v>44606</v>
      </c>
      <c r="D20" s="4" t="str">
        <f t="shared" si="10"/>
        <v>月</v>
      </c>
      <c r="E20" s="3" t="str">
        <f t="shared" si="0"/>
        <v/>
      </c>
      <c r="F20" s="4" t="str">
        <f t="shared" si="1"/>
        <v>○</v>
      </c>
      <c r="G20" s="4" t="str">
        <f t="shared" si="5"/>
        <v>○</v>
      </c>
      <c r="H20" s="185">
        <v>0.375</v>
      </c>
      <c r="I20" s="185">
        <v>0.79166666666666663</v>
      </c>
      <c r="J20" s="175">
        <v>1.25</v>
      </c>
      <c r="K20" s="186">
        <f t="shared" si="6"/>
        <v>8.75</v>
      </c>
      <c r="L20" s="27">
        <f t="shared" si="7"/>
        <v>8.75</v>
      </c>
      <c r="M20" s="28"/>
      <c r="N20" s="28"/>
      <c r="O20" s="28"/>
      <c r="P20" s="28"/>
      <c r="Q20" s="234" t="s">
        <v>311</v>
      </c>
      <c r="R20" s="235"/>
      <c r="S20" s="173" t="str">
        <f t="shared" si="8"/>
        <v/>
      </c>
      <c r="AA20" s="148" t="str">
        <f t="shared" si="9"/>
        <v/>
      </c>
    </row>
    <row r="21" spans="1:27" ht="15" customHeight="1">
      <c r="A21">
        <f t="shared" si="2"/>
        <v>15</v>
      </c>
      <c r="B21" s="1">
        <f t="shared" si="3"/>
        <v>44607</v>
      </c>
      <c r="C21" s="15">
        <f t="shared" si="4"/>
        <v>44607</v>
      </c>
      <c r="D21" s="4" t="str">
        <f t="shared" si="10"/>
        <v>火</v>
      </c>
      <c r="E21" s="3" t="str">
        <f t="shared" si="0"/>
        <v/>
      </c>
      <c r="F21" s="4" t="str">
        <f t="shared" si="1"/>
        <v>○</v>
      </c>
      <c r="G21" s="4" t="str">
        <f t="shared" si="5"/>
        <v>○</v>
      </c>
      <c r="H21" s="185">
        <v>0.375</v>
      </c>
      <c r="I21" s="185">
        <v>0.875</v>
      </c>
      <c r="J21" s="175">
        <v>1.25</v>
      </c>
      <c r="K21" s="186">
        <f t="shared" si="6"/>
        <v>10.75</v>
      </c>
      <c r="L21" s="27">
        <f t="shared" si="7"/>
        <v>10.75</v>
      </c>
      <c r="M21" s="28"/>
      <c r="N21" s="28"/>
      <c r="O21" s="28"/>
      <c r="P21" s="28"/>
      <c r="Q21" s="234" t="s">
        <v>311</v>
      </c>
      <c r="R21" s="235"/>
      <c r="S21" s="173" t="str">
        <f t="shared" si="8"/>
        <v/>
      </c>
      <c r="U21" s="174"/>
      <c r="AA21" s="148" t="str">
        <f t="shared" si="9"/>
        <v/>
      </c>
    </row>
    <row r="22" spans="1:27" ht="15" customHeight="1">
      <c r="A22">
        <f t="shared" si="2"/>
        <v>16</v>
      </c>
      <c r="B22" s="1">
        <f t="shared" si="3"/>
        <v>44608</v>
      </c>
      <c r="C22" s="15">
        <f t="shared" si="4"/>
        <v>44608</v>
      </c>
      <c r="D22" s="4" t="str">
        <f t="shared" si="10"/>
        <v>水</v>
      </c>
      <c r="E22" s="3" t="str">
        <f t="shared" si="0"/>
        <v/>
      </c>
      <c r="F22" s="4" t="str">
        <f t="shared" si="1"/>
        <v>○</v>
      </c>
      <c r="G22" s="4" t="str">
        <f t="shared" si="5"/>
        <v>○</v>
      </c>
      <c r="H22" s="185">
        <v>0.375</v>
      </c>
      <c r="I22" s="185">
        <v>0.88541666666666663</v>
      </c>
      <c r="J22" s="175">
        <v>1.25</v>
      </c>
      <c r="K22" s="186">
        <f t="shared" si="6"/>
        <v>11</v>
      </c>
      <c r="L22" s="27">
        <f t="shared" si="7"/>
        <v>11</v>
      </c>
      <c r="M22" s="28"/>
      <c r="N22" s="28"/>
      <c r="O22" s="28"/>
      <c r="P22" s="28"/>
      <c r="Q22" s="234" t="s">
        <v>313</v>
      </c>
      <c r="R22" s="235"/>
      <c r="S22" s="173" t="str">
        <f t="shared" si="8"/>
        <v/>
      </c>
      <c r="AA22" s="148" t="str">
        <f t="shared" si="9"/>
        <v/>
      </c>
    </row>
    <row r="23" spans="1:27" ht="15" customHeight="1">
      <c r="A23">
        <f t="shared" si="2"/>
        <v>17</v>
      </c>
      <c r="B23" s="1">
        <f t="shared" si="3"/>
        <v>44609</v>
      </c>
      <c r="C23" s="15">
        <f t="shared" si="4"/>
        <v>44609</v>
      </c>
      <c r="D23" s="4" t="str">
        <f t="shared" si="10"/>
        <v>木</v>
      </c>
      <c r="E23" s="3" t="str">
        <f t="shared" si="0"/>
        <v/>
      </c>
      <c r="F23" s="4" t="str">
        <f t="shared" si="1"/>
        <v>○</v>
      </c>
      <c r="G23" s="4" t="str">
        <f t="shared" si="5"/>
        <v>○</v>
      </c>
      <c r="H23" s="185">
        <v>0.375</v>
      </c>
      <c r="I23" s="185">
        <v>0.77083333333333337</v>
      </c>
      <c r="J23" s="175">
        <v>1.25</v>
      </c>
      <c r="K23" s="186">
        <f t="shared" ref="K23" si="11">IF(C23="","",IF(OR(H23="",I23=""),0,IF((I23-H23)*24-J23=0,0,(I23-H23)*24-J23)))</f>
        <v>8.25</v>
      </c>
      <c r="L23" s="27">
        <f t="shared" si="7"/>
        <v>8.25</v>
      </c>
      <c r="M23" s="28"/>
      <c r="N23" s="28"/>
      <c r="O23" s="28"/>
      <c r="P23" s="28"/>
      <c r="Q23" s="234" t="s">
        <v>312</v>
      </c>
      <c r="R23" s="235"/>
      <c r="S23" s="173" t="str">
        <f t="shared" si="8"/>
        <v/>
      </c>
      <c r="AA23" s="148" t="str">
        <f t="shared" si="9"/>
        <v/>
      </c>
    </row>
    <row r="24" spans="1:27" ht="15" customHeight="1">
      <c r="A24">
        <f t="shared" si="2"/>
        <v>18</v>
      </c>
      <c r="B24" s="1">
        <f t="shared" si="3"/>
        <v>44610</v>
      </c>
      <c r="C24" s="15">
        <f t="shared" si="4"/>
        <v>44610</v>
      </c>
      <c r="D24" s="4" t="str">
        <f t="shared" si="10"/>
        <v>金</v>
      </c>
      <c r="E24" s="3" t="str">
        <f t="shared" si="0"/>
        <v/>
      </c>
      <c r="F24" s="4" t="str">
        <f t="shared" si="1"/>
        <v>○</v>
      </c>
      <c r="G24" s="4" t="str">
        <f t="shared" si="5"/>
        <v>○</v>
      </c>
      <c r="H24" s="185">
        <v>0.375</v>
      </c>
      <c r="I24" s="185">
        <v>0.75</v>
      </c>
      <c r="J24" s="175">
        <v>1</v>
      </c>
      <c r="K24" s="186">
        <f t="shared" si="6"/>
        <v>8</v>
      </c>
      <c r="L24" s="27">
        <f t="shared" si="7"/>
        <v>8</v>
      </c>
      <c r="M24" s="28"/>
      <c r="N24" s="28"/>
      <c r="O24" s="28"/>
      <c r="P24" s="28"/>
      <c r="Q24" s="234" t="s">
        <v>311</v>
      </c>
      <c r="R24" s="235"/>
      <c r="S24" s="173" t="str">
        <f t="shared" si="8"/>
        <v/>
      </c>
      <c r="AA24" s="148" t="str">
        <f t="shared" si="9"/>
        <v/>
      </c>
    </row>
    <row r="25" spans="1:27" ht="15" customHeight="1">
      <c r="A25">
        <f t="shared" si="2"/>
        <v>19</v>
      </c>
      <c r="B25" s="1">
        <f t="shared" si="3"/>
        <v>44611</v>
      </c>
      <c r="C25" s="15">
        <f t="shared" si="4"/>
        <v>44611</v>
      </c>
      <c r="D25" s="4" t="str">
        <f t="shared" si="10"/>
        <v>土</v>
      </c>
      <c r="E25" s="3" t="str">
        <f t="shared" si="0"/>
        <v/>
      </c>
      <c r="F25" s="4" t="str">
        <f t="shared" si="1"/>
        <v/>
      </c>
      <c r="G25" s="4" t="str">
        <f t="shared" si="5"/>
        <v/>
      </c>
      <c r="H25" s="185"/>
      <c r="I25" s="185"/>
      <c r="J25" s="175"/>
      <c r="K25" s="186">
        <f t="shared" si="6"/>
        <v>0</v>
      </c>
      <c r="L25" s="27" t="str">
        <f t="shared" si="7"/>
        <v/>
      </c>
      <c r="M25" s="28"/>
      <c r="N25" s="28"/>
      <c r="O25" s="28"/>
      <c r="P25" s="28"/>
      <c r="Q25" s="234"/>
      <c r="R25" s="235"/>
      <c r="S25" s="173" t="str">
        <f t="shared" si="8"/>
        <v/>
      </c>
      <c r="AA25" s="148" t="str">
        <f t="shared" si="9"/>
        <v/>
      </c>
    </row>
    <row r="26" spans="1:27" ht="15" customHeight="1">
      <c r="A26">
        <f t="shared" si="2"/>
        <v>20</v>
      </c>
      <c r="B26" s="1">
        <f t="shared" si="3"/>
        <v>44612</v>
      </c>
      <c r="C26" s="15">
        <f t="shared" si="4"/>
        <v>44612</v>
      </c>
      <c r="D26" s="4" t="str">
        <f t="shared" si="10"/>
        <v>日</v>
      </c>
      <c r="E26" s="3" t="str">
        <f t="shared" si="0"/>
        <v/>
      </c>
      <c r="F26" s="4" t="str">
        <f t="shared" si="1"/>
        <v/>
      </c>
      <c r="G26" s="4" t="str">
        <f t="shared" si="5"/>
        <v/>
      </c>
      <c r="H26" s="185"/>
      <c r="I26" s="185"/>
      <c r="J26" s="175"/>
      <c r="K26" s="186">
        <f t="shared" si="6"/>
        <v>0</v>
      </c>
      <c r="L26" s="27" t="str">
        <f t="shared" si="7"/>
        <v/>
      </c>
      <c r="M26" s="28"/>
      <c r="N26" s="28"/>
      <c r="O26" s="28"/>
      <c r="P26" s="28"/>
      <c r="Q26" s="234"/>
      <c r="R26" s="235"/>
      <c r="S26" s="173" t="str">
        <f t="shared" si="8"/>
        <v/>
      </c>
      <c r="AA26" s="148" t="str">
        <f t="shared" si="9"/>
        <v/>
      </c>
    </row>
    <row r="27" spans="1:27" ht="15" customHeight="1">
      <c r="A27">
        <f t="shared" si="2"/>
        <v>21</v>
      </c>
      <c r="B27" s="1">
        <f t="shared" si="3"/>
        <v>44613</v>
      </c>
      <c r="C27" s="15">
        <f t="shared" si="4"/>
        <v>44613</v>
      </c>
      <c r="D27" s="4" t="str">
        <f t="shared" si="10"/>
        <v>月</v>
      </c>
      <c r="E27" s="3" t="str">
        <f t="shared" si="0"/>
        <v/>
      </c>
      <c r="F27" s="4" t="str">
        <f t="shared" si="1"/>
        <v>○</v>
      </c>
      <c r="G27" s="4" t="str">
        <f t="shared" si="5"/>
        <v>○</v>
      </c>
      <c r="H27" s="185">
        <v>0.375</v>
      </c>
      <c r="I27" s="185">
        <v>0.80208333333333337</v>
      </c>
      <c r="J27" s="175">
        <v>1</v>
      </c>
      <c r="K27" s="186">
        <f t="shared" si="6"/>
        <v>9.25</v>
      </c>
      <c r="L27" s="27">
        <f t="shared" si="7"/>
        <v>9.25</v>
      </c>
      <c r="M27" s="28"/>
      <c r="N27" s="28"/>
      <c r="O27" s="28"/>
      <c r="P27" s="28"/>
      <c r="Q27" s="234" t="s">
        <v>311</v>
      </c>
      <c r="R27" s="235"/>
      <c r="S27" s="173" t="str">
        <f t="shared" si="8"/>
        <v/>
      </c>
      <c r="AA27" s="148" t="str">
        <f t="shared" si="9"/>
        <v/>
      </c>
    </row>
    <row r="28" spans="1:27" ht="15" customHeight="1">
      <c r="A28">
        <f t="shared" si="2"/>
        <v>22</v>
      </c>
      <c r="B28" s="1">
        <f t="shared" si="3"/>
        <v>44614</v>
      </c>
      <c r="C28" s="15">
        <f t="shared" si="4"/>
        <v>44614</v>
      </c>
      <c r="D28" s="4" t="str">
        <f t="shared" si="10"/>
        <v>火</v>
      </c>
      <c r="E28" s="3" t="str">
        <f t="shared" si="0"/>
        <v/>
      </c>
      <c r="F28" s="4" t="str">
        <f t="shared" si="1"/>
        <v>○</v>
      </c>
      <c r="G28" s="4" t="str">
        <f t="shared" si="5"/>
        <v>○</v>
      </c>
      <c r="H28" s="185">
        <v>0.375</v>
      </c>
      <c r="I28" s="185">
        <v>0.75</v>
      </c>
      <c r="J28" s="175">
        <v>1</v>
      </c>
      <c r="K28" s="186">
        <f t="shared" si="6"/>
        <v>8</v>
      </c>
      <c r="L28" s="27">
        <f t="shared" si="7"/>
        <v>8</v>
      </c>
      <c r="M28" s="28"/>
      <c r="N28" s="28"/>
      <c r="O28" s="28"/>
      <c r="P28" s="28"/>
      <c r="Q28" s="234" t="s">
        <v>311</v>
      </c>
      <c r="R28" s="235"/>
      <c r="S28" s="173" t="str">
        <f t="shared" si="8"/>
        <v/>
      </c>
      <c r="AA28" s="148" t="str">
        <f t="shared" si="9"/>
        <v/>
      </c>
    </row>
    <row r="29" spans="1:27" ht="15" customHeight="1">
      <c r="A29">
        <f t="shared" si="2"/>
        <v>23</v>
      </c>
      <c r="B29" s="1">
        <f t="shared" si="3"/>
        <v>44615</v>
      </c>
      <c r="C29" s="15">
        <f t="shared" si="4"/>
        <v>44615</v>
      </c>
      <c r="D29" s="4" t="str">
        <f t="shared" si="10"/>
        <v>水</v>
      </c>
      <c r="E29" s="3" t="str">
        <f t="shared" si="0"/>
        <v>天皇誕生日</v>
      </c>
      <c r="F29" s="4" t="str">
        <f t="shared" si="1"/>
        <v/>
      </c>
      <c r="G29" s="4" t="str">
        <f t="shared" si="5"/>
        <v/>
      </c>
      <c r="H29" s="185"/>
      <c r="I29" s="185"/>
      <c r="J29" s="175"/>
      <c r="K29" s="186">
        <f t="shared" si="6"/>
        <v>0</v>
      </c>
      <c r="L29" s="27" t="str">
        <f t="shared" si="7"/>
        <v/>
      </c>
      <c r="M29" s="28"/>
      <c r="N29" s="28"/>
      <c r="O29" s="28"/>
      <c r="P29" s="28"/>
      <c r="Q29" s="234"/>
      <c r="R29" s="235"/>
      <c r="S29" s="173" t="str">
        <f t="shared" si="8"/>
        <v/>
      </c>
      <c r="AA29" s="148" t="str">
        <f t="shared" si="9"/>
        <v/>
      </c>
    </row>
    <row r="30" spans="1:27" ht="15" customHeight="1">
      <c r="A30">
        <f t="shared" si="2"/>
        <v>24</v>
      </c>
      <c r="B30" s="1">
        <f t="shared" si="3"/>
        <v>44616</v>
      </c>
      <c r="C30" s="15">
        <f t="shared" si="4"/>
        <v>44616</v>
      </c>
      <c r="D30" s="4" t="str">
        <f t="shared" si="10"/>
        <v>木</v>
      </c>
      <c r="E30" s="3" t="str">
        <f t="shared" si="0"/>
        <v/>
      </c>
      <c r="F30" s="4" t="str">
        <f t="shared" si="1"/>
        <v>○</v>
      </c>
      <c r="G30" s="4" t="str">
        <f t="shared" si="5"/>
        <v>○</v>
      </c>
      <c r="H30" s="185">
        <v>0.375</v>
      </c>
      <c r="I30" s="185">
        <v>0.75</v>
      </c>
      <c r="J30" s="175">
        <v>1</v>
      </c>
      <c r="K30" s="186">
        <f t="shared" si="6"/>
        <v>8</v>
      </c>
      <c r="L30" s="27">
        <f t="shared" si="7"/>
        <v>8</v>
      </c>
      <c r="M30" s="28"/>
      <c r="N30" s="28"/>
      <c r="O30" s="28"/>
      <c r="P30" s="28"/>
      <c r="Q30" s="234" t="s">
        <v>312</v>
      </c>
      <c r="R30" s="235"/>
      <c r="S30" s="173" t="str">
        <f t="shared" si="8"/>
        <v/>
      </c>
      <c r="AA30" s="148" t="str">
        <f t="shared" si="9"/>
        <v/>
      </c>
    </row>
    <row r="31" spans="1:27" ht="15" customHeight="1">
      <c r="A31">
        <f t="shared" si="2"/>
        <v>25</v>
      </c>
      <c r="B31" s="1">
        <f t="shared" si="3"/>
        <v>44617</v>
      </c>
      <c r="C31" s="15">
        <f t="shared" si="4"/>
        <v>44617</v>
      </c>
      <c r="D31" s="4" t="str">
        <f t="shared" si="10"/>
        <v>金</v>
      </c>
      <c r="E31" s="3" t="str">
        <f t="shared" si="0"/>
        <v/>
      </c>
      <c r="F31" s="4" t="str">
        <f t="shared" si="1"/>
        <v>○</v>
      </c>
      <c r="G31" s="4" t="str">
        <f t="shared" si="5"/>
        <v>○</v>
      </c>
      <c r="H31" s="185">
        <v>0.375</v>
      </c>
      <c r="I31" s="185">
        <v>0.75</v>
      </c>
      <c r="J31" s="175">
        <v>1</v>
      </c>
      <c r="K31" s="186">
        <f t="shared" si="6"/>
        <v>8</v>
      </c>
      <c r="L31" s="27">
        <f t="shared" si="7"/>
        <v>8</v>
      </c>
      <c r="M31" s="28"/>
      <c r="N31" s="28"/>
      <c r="O31" s="28"/>
      <c r="P31" s="28"/>
      <c r="Q31" s="234" t="s">
        <v>311</v>
      </c>
      <c r="R31" s="235"/>
      <c r="S31" s="173" t="str">
        <f t="shared" si="8"/>
        <v/>
      </c>
      <c r="AA31" s="148" t="str">
        <f t="shared" si="9"/>
        <v/>
      </c>
    </row>
    <row r="32" spans="1:27" ht="15" customHeight="1">
      <c r="A32">
        <f t="shared" si="2"/>
        <v>26</v>
      </c>
      <c r="B32" s="1">
        <f t="shared" si="3"/>
        <v>44618</v>
      </c>
      <c r="C32" s="15">
        <f t="shared" si="4"/>
        <v>44618</v>
      </c>
      <c r="D32" s="4" t="str">
        <f t="shared" si="10"/>
        <v>土</v>
      </c>
      <c r="E32" s="3" t="str">
        <f t="shared" si="0"/>
        <v/>
      </c>
      <c r="F32" s="4" t="str">
        <f t="shared" si="1"/>
        <v/>
      </c>
      <c r="G32" s="4" t="str">
        <f t="shared" si="5"/>
        <v/>
      </c>
      <c r="H32" s="185"/>
      <c r="I32" s="185"/>
      <c r="J32" s="175"/>
      <c r="K32" s="186">
        <f t="shared" si="6"/>
        <v>0</v>
      </c>
      <c r="L32" s="27" t="str">
        <f t="shared" si="7"/>
        <v/>
      </c>
      <c r="M32" s="28"/>
      <c r="N32" s="28"/>
      <c r="O32" s="28"/>
      <c r="P32" s="28"/>
      <c r="Q32" s="234"/>
      <c r="R32" s="235"/>
      <c r="S32" s="173" t="str">
        <f t="shared" si="8"/>
        <v/>
      </c>
      <c r="AA32" s="148" t="str">
        <f t="shared" si="9"/>
        <v/>
      </c>
    </row>
    <row r="33" spans="1:27" ht="15" customHeight="1">
      <c r="A33">
        <f t="shared" si="2"/>
        <v>27</v>
      </c>
      <c r="B33" s="1">
        <f t="shared" si="3"/>
        <v>44619</v>
      </c>
      <c r="C33" s="15">
        <f t="shared" si="4"/>
        <v>44619</v>
      </c>
      <c r="D33" s="4" t="str">
        <f t="shared" si="10"/>
        <v>日</v>
      </c>
      <c r="E33" s="3" t="str">
        <f t="shared" si="0"/>
        <v/>
      </c>
      <c r="F33" s="4" t="str">
        <f t="shared" si="1"/>
        <v/>
      </c>
      <c r="G33" s="4" t="str">
        <f t="shared" si="5"/>
        <v/>
      </c>
      <c r="H33" s="185"/>
      <c r="I33" s="185"/>
      <c r="J33" s="175"/>
      <c r="K33" s="186">
        <f t="shared" si="6"/>
        <v>0</v>
      </c>
      <c r="L33" s="27" t="str">
        <f t="shared" si="7"/>
        <v/>
      </c>
      <c r="M33" s="28"/>
      <c r="N33" s="28"/>
      <c r="O33" s="28"/>
      <c r="P33" s="28"/>
      <c r="Q33" s="234"/>
      <c r="R33" s="235"/>
      <c r="S33" s="173" t="str">
        <f t="shared" si="8"/>
        <v/>
      </c>
      <c r="AA33" s="148" t="str">
        <f t="shared" si="9"/>
        <v/>
      </c>
    </row>
    <row r="34" spans="1:27" ht="15" customHeight="1">
      <c r="A34">
        <f t="shared" si="2"/>
        <v>28</v>
      </c>
      <c r="B34" s="1">
        <f t="shared" si="3"/>
        <v>44620</v>
      </c>
      <c r="C34" s="15">
        <f t="shared" si="4"/>
        <v>44620</v>
      </c>
      <c r="D34" s="4" t="str">
        <f t="shared" si="10"/>
        <v>月</v>
      </c>
      <c r="E34" s="3" t="str">
        <f t="shared" si="0"/>
        <v/>
      </c>
      <c r="F34" s="4" t="str">
        <f t="shared" si="1"/>
        <v>○</v>
      </c>
      <c r="G34" s="4" t="str">
        <f t="shared" si="5"/>
        <v>○</v>
      </c>
      <c r="H34" s="185">
        <v>0.375</v>
      </c>
      <c r="I34" s="185">
        <v>0.75</v>
      </c>
      <c r="J34" s="175">
        <v>1</v>
      </c>
      <c r="K34" s="186">
        <f t="shared" si="6"/>
        <v>8</v>
      </c>
      <c r="L34" s="27">
        <f t="shared" si="7"/>
        <v>8</v>
      </c>
      <c r="M34" s="28"/>
      <c r="N34" s="28"/>
      <c r="O34" s="28"/>
      <c r="P34" s="28"/>
      <c r="Q34" s="234" t="s">
        <v>311</v>
      </c>
      <c r="R34" s="235"/>
      <c r="S34" s="173" t="str">
        <f t="shared" si="8"/>
        <v/>
      </c>
      <c r="AA34" s="148" t="str">
        <f t="shared" si="9"/>
        <v/>
      </c>
    </row>
    <row r="35" spans="1:27" ht="15" customHeight="1">
      <c r="A35" t="str">
        <f t="shared" si="2"/>
        <v/>
      </c>
      <c r="B35" s="1">
        <f t="shared" si="3"/>
        <v>44621</v>
      </c>
      <c r="C35" s="15" t="str">
        <f t="shared" si="4"/>
        <v/>
      </c>
      <c r="D35" s="4" t="str">
        <f t="shared" si="10"/>
        <v/>
      </c>
      <c r="E35" s="3" t="str">
        <f t="shared" si="0"/>
        <v/>
      </c>
      <c r="F35" s="4" t="str">
        <f t="shared" si="1"/>
        <v/>
      </c>
      <c r="G35" s="4" t="str">
        <f t="shared" si="5"/>
        <v/>
      </c>
      <c r="H35" s="185"/>
      <c r="I35" s="185"/>
      <c r="J35" s="175"/>
      <c r="K35" s="186" t="str">
        <f t="shared" si="6"/>
        <v/>
      </c>
      <c r="L35" s="27" t="str">
        <f t="shared" si="7"/>
        <v/>
      </c>
      <c r="M35" s="28"/>
      <c r="N35" s="28"/>
      <c r="O35" s="28"/>
      <c r="P35" s="28"/>
      <c r="Q35" s="234"/>
      <c r="R35" s="235"/>
      <c r="S35" s="173" t="str">
        <f t="shared" si="8"/>
        <v/>
      </c>
      <c r="AA35" s="148" t="str">
        <f t="shared" si="9"/>
        <v/>
      </c>
    </row>
    <row r="36" spans="1:27" ht="15" customHeight="1">
      <c r="A36" t="str">
        <f t="shared" si="2"/>
        <v/>
      </c>
      <c r="B36" s="1">
        <f t="shared" si="3"/>
        <v>44622</v>
      </c>
      <c r="C36" s="15" t="str">
        <f t="shared" si="4"/>
        <v/>
      </c>
      <c r="D36" s="4" t="str">
        <f t="shared" si="10"/>
        <v/>
      </c>
      <c r="E36" s="3" t="str">
        <f t="shared" si="0"/>
        <v/>
      </c>
      <c r="F36" s="4" t="str">
        <f t="shared" si="1"/>
        <v/>
      </c>
      <c r="G36" s="4" t="str">
        <f t="shared" si="5"/>
        <v/>
      </c>
      <c r="H36" s="185"/>
      <c r="I36" s="185"/>
      <c r="J36" s="175"/>
      <c r="K36" s="186" t="str">
        <f t="shared" si="6"/>
        <v/>
      </c>
      <c r="L36" s="27" t="str">
        <f t="shared" si="7"/>
        <v/>
      </c>
      <c r="M36" s="28"/>
      <c r="N36" s="28"/>
      <c r="O36" s="28"/>
      <c r="P36" s="28"/>
      <c r="Q36" s="234"/>
      <c r="R36" s="235"/>
      <c r="S36" s="173" t="str">
        <f t="shared" si="8"/>
        <v/>
      </c>
      <c r="AA36" s="148" t="str">
        <f t="shared" si="9"/>
        <v/>
      </c>
    </row>
    <row r="37" spans="1:27" ht="15" customHeight="1">
      <c r="A37" t="str">
        <f>IF(C37="","",DAY(C37))</f>
        <v/>
      </c>
      <c r="B37" s="1">
        <f t="shared" si="3"/>
        <v>44623</v>
      </c>
      <c r="C37" s="15" t="str">
        <f>IF(MONTH(B37)&gt;$H$3,"",B37)</f>
        <v/>
      </c>
      <c r="D37" s="4" t="str">
        <f t="shared" si="10"/>
        <v/>
      </c>
      <c r="E37" s="3" t="str">
        <f t="shared" si="0"/>
        <v/>
      </c>
      <c r="F37" s="4" t="str">
        <f>IF(OR(C37="",D37="土",D37="日",E37&lt;&gt;""),"","○")</f>
        <v/>
      </c>
      <c r="G37" s="4" t="str">
        <f t="shared" si="5"/>
        <v/>
      </c>
      <c r="H37" s="185"/>
      <c r="I37" s="185"/>
      <c r="J37" s="175"/>
      <c r="K37" s="186" t="str">
        <f t="shared" si="6"/>
        <v/>
      </c>
      <c r="L37" s="27" t="str">
        <f t="shared" si="7"/>
        <v/>
      </c>
      <c r="M37" s="28"/>
      <c r="N37" s="28"/>
      <c r="O37" s="28"/>
      <c r="P37" s="28"/>
      <c r="Q37" s="234"/>
      <c r="R37" s="235"/>
      <c r="S37" s="173" t="str">
        <f t="shared" si="8"/>
        <v/>
      </c>
      <c r="AA37" s="148" t="str">
        <f t="shared" si="9"/>
        <v/>
      </c>
    </row>
    <row r="38" spans="1:27" ht="15" customHeight="1" thickBot="1">
      <c r="B38" s="1"/>
      <c r="C38" s="241" t="s">
        <v>23</v>
      </c>
      <c r="D38" s="242"/>
      <c r="E38" s="16"/>
      <c r="F38" s="4">
        <f>COUNTIF(F7:F37,"○")</f>
        <v>18</v>
      </c>
      <c r="G38" s="14">
        <f>COUNTIF(G7:G37,"○")</f>
        <v>18</v>
      </c>
      <c r="H38" s="23"/>
      <c r="I38" s="23"/>
      <c r="J38" s="17">
        <f t="shared" ref="J38:P38" si="12">SUM(J7:J37)</f>
        <v>20.5</v>
      </c>
      <c r="K38" s="17">
        <f t="shared" si="12"/>
        <v>159.5</v>
      </c>
      <c r="L38" s="17">
        <f>SUM(L7:L37)</f>
        <v>159.5</v>
      </c>
      <c r="M38" s="17">
        <f>SUM(M7:M37)</f>
        <v>0</v>
      </c>
      <c r="N38" s="17">
        <f t="shared" si="12"/>
        <v>0</v>
      </c>
      <c r="O38" s="17">
        <f t="shared" si="12"/>
        <v>0</v>
      </c>
      <c r="P38" s="17">
        <f t="shared" si="12"/>
        <v>0</v>
      </c>
      <c r="Q38" s="247"/>
      <c r="R38" s="248"/>
    </row>
    <row r="39" spans="1:27" ht="14.25" thickBot="1">
      <c r="E39" s="21"/>
      <c r="F39" s="22"/>
      <c r="G39" s="13"/>
    </row>
    <row r="40" spans="1:27">
      <c r="C40" s="249" t="s">
        <v>152</v>
      </c>
      <c r="D40" s="253" t="s">
        <v>305</v>
      </c>
      <c r="E40" s="254"/>
      <c r="F40" s="254"/>
      <c r="G40" s="254"/>
      <c r="H40" s="254"/>
      <c r="I40" s="255"/>
      <c r="J40" s="278" t="s">
        <v>18</v>
      </c>
      <c r="K40" s="20" t="s">
        <v>22</v>
      </c>
      <c r="L40" s="281" t="s">
        <v>71</v>
      </c>
      <c r="M40" s="282"/>
      <c r="N40" s="282"/>
      <c r="O40" s="283"/>
      <c r="P40" s="46" t="s">
        <v>68</v>
      </c>
      <c r="Q40" s="266" t="s">
        <v>72</v>
      </c>
      <c r="R40" s="267"/>
    </row>
    <row r="41" spans="1:27">
      <c r="C41" s="250"/>
      <c r="D41" s="256"/>
      <c r="E41" s="257"/>
      <c r="F41" s="257"/>
      <c r="G41" s="257"/>
      <c r="H41" s="257"/>
      <c r="I41" s="258"/>
      <c r="J41" s="279"/>
      <c r="K41" s="172"/>
      <c r="L41" s="256"/>
      <c r="M41" s="257"/>
      <c r="N41" s="257"/>
      <c r="O41" s="284"/>
      <c r="P41" s="47">
        <f>IF(L38=0,"",L38)</f>
        <v>159.5</v>
      </c>
      <c r="Q41" s="273" t="s">
        <v>308</v>
      </c>
      <c r="R41" s="274"/>
    </row>
    <row r="42" spans="1:27" ht="13.5" customHeight="1">
      <c r="C42" s="251" t="s">
        <v>69</v>
      </c>
      <c r="D42" s="256" t="s">
        <v>309</v>
      </c>
      <c r="E42" s="257"/>
      <c r="F42" s="257"/>
      <c r="G42" s="257"/>
      <c r="H42" s="257"/>
      <c r="I42" s="258"/>
      <c r="J42" s="279"/>
      <c r="K42" s="29"/>
      <c r="L42" s="268"/>
      <c r="M42" s="269"/>
      <c r="N42" s="269"/>
      <c r="O42" s="270"/>
      <c r="P42" s="47" t="str">
        <f>IF(M38=0,"",M38)</f>
        <v/>
      </c>
      <c r="Q42" s="273" t="s">
        <v>306</v>
      </c>
      <c r="R42" s="274"/>
    </row>
    <row r="43" spans="1:27">
      <c r="C43" s="250"/>
      <c r="D43" s="256"/>
      <c r="E43" s="257"/>
      <c r="F43" s="257"/>
      <c r="G43" s="257"/>
      <c r="H43" s="257"/>
      <c r="I43" s="258"/>
      <c r="J43" s="279"/>
      <c r="K43" s="29"/>
      <c r="L43" s="271"/>
      <c r="M43" s="271"/>
      <c r="N43" s="271"/>
      <c r="O43" s="271"/>
      <c r="P43" s="47" t="str">
        <f>IF(N38=0,"",N38)</f>
        <v/>
      </c>
      <c r="Q43" s="273" t="s">
        <v>307</v>
      </c>
      <c r="R43" s="274"/>
    </row>
    <row r="44" spans="1:27">
      <c r="C44" s="251" t="s">
        <v>70</v>
      </c>
      <c r="D44" s="256" t="s">
        <v>310</v>
      </c>
      <c r="E44" s="257"/>
      <c r="F44" s="257"/>
      <c r="G44" s="257"/>
      <c r="H44" s="257"/>
      <c r="I44" s="258"/>
      <c r="J44" s="279"/>
      <c r="K44" s="29"/>
      <c r="L44" s="271"/>
      <c r="M44" s="271"/>
      <c r="N44" s="271"/>
      <c r="O44" s="271"/>
      <c r="P44" s="47" t="str">
        <f>IF(O38=0,"",O38)</f>
        <v/>
      </c>
      <c r="Q44" s="273"/>
      <c r="R44" s="274"/>
    </row>
    <row r="45" spans="1:27" ht="14.25" thickBot="1">
      <c r="C45" s="252"/>
      <c r="D45" s="259"/>
      <c r="E45" s="260"/>
      <c r="F45" s="260"/>
      <c r="G45" s="260"/>
      <c r="H45" s="260"/>
      <c r="I45" s="261"/>
      <c r="J45" s="280"/>
      <c r="K45" s="30"/>
      <c r="L45" s="272"/>
      <c r="M45" s="272"/>
      <c r="N45" s="272"/>
      <c r="O45" s="272"/>
      <c r="P45" s="48" t="str">
        <f>IF(P38=0,"",P38)</f>
        <v/>
      </c>
      <c r="Q45" s="264"/>
      <c r="R45" s="265"/>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191" t="s">
        <v>148</v>
      </c>
      <c r="D48" s="206" t="s">
        <v>149</v>
      </c>
      <c r="E48" s="21"/>
      <c r="F48" s="22"/>
      <c r="G48" s="200" t="str">
        <f>IF(J3="tdi","情報技術開発株式会社",IF(J3="TDISS","TDIシステムサービス株式会社",IF(J3="TDIPS","TDIプロダクトソリューション株式会社","TDIゼットサービス株式会社")))</f>
        <v>情報技術開発株式会社</v>
      </c>
      <c r="H48" s="201"/>
      <c r="I48" s="201"/>
      <c r="J48" s="201"/>
      <c r="K48" s="201"/>
      <c r="L48" s="201"/>
      <c r="M48" s="202"/>
    </row>
    <row r="49" spans="3:15">
      <c r="C49" s="192"/>
      <c r="D49" s="207"/>
      <c r="E49" s="106"/>
      <c r="F49" s="107"/>
      <c r="G49" s="203"/>
      <c r="H49" s="204"/>
      <c r="I49" s="204"/>
      <c r="J49" s="204"/>
      <c r="K49" s="204"/>
      <c r="L49" s="204"/>
      <c r="M49" s="205"/>
    </row>
    <row r="50" spans="3:15" ht="22.5" customHeight="1">
      <c r="C50" s="192"/>
      <c r="D50" s="108" t="s">
        <v>161</v>
      </c>
      <c r="E50" s="106"/>
      <c r="F50" s="107"/>
      <c r="G50" s="285"/>
      <c r="H50" s="286"/>
      <c r="I50" s="286"/>
      <c r="J50" s="286"/>
      <c r="K50" s="286"/>
      <c r="L50" s="286"/>
      <c r="M50" s="287"/>
      <c r="O50" s="103"/>
    </row>
    <row r="51" spans="3:15" ht="22.5" customHeight="1">
      <c r="C51" s="193"/>
      <c r="D51" s="105" t="s">
        <v>147</v>
      </c>
      <c r="E51" s="84"/>
      <c r="F51" s="85"/>
      <c r="G51" s="188"/>
      <c r="H51" s="189"/>
      <c r="I51" s="189"/>
      <c r="J51" s="189"/>
      <c r="K51" s="189"/>
      <c r="L51" s="189"/>
      <c r="M51" s="190"/>
      <c r="N51" s="173" t="s">
        <v>284</v>
      </c>
      <c r="O51" s="103"/>
    </row>
    <row r="52" spans="3:15" ht="14.25">
      <c r="C52" s="224" t="s">
        <v>134</v>
      </c>
      <c r="D52" s="225"/>
      <c r="G52" s="212"/>
      <c r="H52" s="213"/>
      <c r="I52" s="89" t="s">
        <v>140</v>
      </c>
      <c r="J52" s="88"/>
      <c r="K52" s="90"/>
      <c r="L52" s="89" t="s">
        <v>139</v>
      </c>
      <c r="M52" s="91"/>
      <c r="O52" s="103"/>
    </row>
    <row r="53" spans="3:15" ht="14.25">
      <c r="C53" s="220"/>
      <c r="D53" s="221"/>
      <c r="G53" s="198" t="str">
        <f>C3&amp;D3</f>
        <v>2022年</v>
      </c>
      <c r="H53" s="194" t="str">
        <f>H3&amp;I3</f>
        <v>2月</v>
      </c>
      <c r="I53" s="208"/>
      <c r="J53" s="198" t="s">
        <v>138</v>
      </c>
      <c r="K53" s="194" t="s">
        <v>135</v>
      </c>
      <c r="L53" s="208"/>
      <c r="M53" s="196" t="s">
        <v>138</v>
      </c>
      <c r="O53" s="103"/>
    </row>
    <row r="54" spans="3:15" ht="14.25">
      <c r="C54" s="226"/>
      <c r="D54" s="227"/>
      <c r="G54" s="199"/>
      <c r="H54" s="195"/>
      <c r="I54" s="209"/>
      <c r="J54" s="199"/>
      <c r="K54" s="195"/>
      <c r="L54" s="209"/>
      <c r="M54" s="197"/>
      <c r="O54" s="103"/>
    </row>
    <row r="55" spans="3:15" ht="18" customHeight="1">
      <c r="C55" s="220" t="s">
        <v>164</v>
      </c>
      <c r="D55" s="221"/>
      <c r="E55" s="83"/>
      <c r="F55" s="13"/>
      <c r="G55" s="92" t="s">
        <v>136</v>
      </c>
      <c r="H55" s="228"/>
      <c r="I55" s="229"/>
      <c r="J55" s="229"/>
      <c r="K55" s="229"/>
      <c r="L55" s="229"/>
      <c r="M55" s="230"/>
      <c r="O55" s="103"/>
    </row>
    <row r="56" spans="3:15" ht="18" customHeight="1" thickBot="1">
      <c r="C56" s="222"/>
      <c r="D56" s="223"/>
      <c r="E56" s="82"/>
      <c r="F56" s="55"/>
      <c r="G56" s="104" t="s">
        <v>137</v>
      </c>
      <c r="H56" s="217"/>
      <c r="I56" s="218"/>
      <c r="J56" s="218"/>
      <c r="K56" s="218"/>
      <c r="L56" s="218"/>
      <c r="M56" s="219"/>
    </row>
    <row r="57" spans="3:15" ht="14.25" customHeight="1" thickBot="1">
      <c r="O57" s="103"/>
    </row>
    <row r="58" spans="3:15" ht="15" thickBot="1">
      <c r="C58" s="210" t="s">
        <v>141</v>
      </c>
      <c r="D58" s="211"/>
      <c r="E58" s="86"/>
      <c r="F58" s="87"/>
      <c r="G58" s="214" t="s">
        <v>286</v>
      </c>
      <c r="H58" s="215"/>
      <c r="I58" s="215"/>
      <c r="J58" s="215"/>
      <c r="K58" s="215"/>
      <c r="L58" s="215"/>
      <c r="M58" s="216"/>
      <c r="O58" s="103"/>
    </row>
    <row r="59" spans="3:15" ht="15" thickBot="1">
      <c r="O59" s="103"/>
    </row>
    <row r="60" spans="3:15" ht="15" thickTop="1">
      <c r="C60" s="83"/>
      <c r="D60" s="83"/>
      <c r="E60" s="83"/>
      <c r="F60" s="13"/>
      <c r="G60" s="275" t="s">
        <v>142</v>
      </c>
      <c r="H60" s="276"/>
      <c r="I60" s="276"/>
      <c r="J60" s="276"/>
      <c r="K60" s="276"/>
      <c r="L60" s="276"/>
      <c r="M60" s="277"/>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262" t="s">
        <v>283</v>
      </c>
      <c r="M80" s="263"/>
    </row>
    <row r="81" ht="14.25" thickTop="1"/>
  </sheetData>
  <sheetProtection algorithmName="SHA-512" hashValue="9aUGDvQDPvhvuTnUrttzTzBWCxxMTCz5MnYWsnd1yF9tIEP71HJB1B6zO7HbpfWw25GFjLyAoz9GK5mCQTFraA==" saltValue="2cOCc/+0skBV8hY2k3HpJA==" spinCount="100000" sheet="1" objects="1" scenarios="1" selectLockedCells="1"/>
  <mergeCells count="87">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 ref="C40:C41"/>
    <mergeCell ref="C42:C43"/>
    <mergeCell ref="C44:C45"/>
    <mergeCell ref="D40:I41"/>
    <mergeCell ref="D42:I43"/>
    <mergeCell ref="D44:I45"/>
    <mergeCell ref="Q28:R28"/>
    <mergeCell ref="Q38:R38"/>
    <mergeCell ref="Q31:R31"/>
    <mergeCell ref="Q32:R32"/>
    <mergeCell ref="Q33:R33"/>
    <mergeCell ref="Q34:R34"/>
    <mergeCell ref="Q35:R35"/>
    <mergeCell ref="Q36:R36"/>
    <mergeCell ref="Q37:R37"/>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5:R25"/>
    <mergeCell ref="Q21:R21"/>
    <mergeCell ref="Q22:R22"/>
    <mergeCell ref="Q13:R13"/>
    <mergeCell ref="Q16:R16"/>
    <mergeCell ref="Q17:R17"/>
    <mergeCell ref="Q18:R18"/>
    <mergeCell ref="Q19:R19"/>
    <mergeCell ref="Q20:R20"/>
    <mergeCell ref="C1:G2"/>
    <mergeCell ref="H1:I2"/>
    <mergeCell ref="J1:K2"/>
    <mergeCell ref="H5:H6"/>
    <mergeCell ref="Q10:R10"/>
    <mergeCell ref="Q5:R6"/>
    <mergeCell ref="I5:I6"/>
    <mergeCell ref="Q7:R7"/>
    <mergeCell ref="Q8:R8"/>
    <mergeCell ref="Q9:R9"/>
    <mergeCell ref="J5:J6"/>
    <mergeCell ref="K5:K6"/>
    <mergeCell ref="M1:N2"/>
    <mergeCell ref="C58:D58"/>
    <mergeCell ref="G52:H52"/>
    <mergeCell ref="G58:M58"/>
    <mergeCell ref="H56:M56"/>
    <mergeCell ref="C55:D56"/>
    <mergeCell ref="C52:D54"/>
    <mergeCell ref="H55:M55"/>
    <mergeCell ref="H53:H54"/>
    <mergeCell ref="J53:J54"/>
    <mergeCell ref="G51:M51"/>
    <mergeCell ref="C48:C51"/>
    <mergeCell ref="K53:K54"/>
    <mergeCell ref="M53:M54"/>
    <mergeCell ref="G53:G54"/>
    <mergeCell ref="G48:M49"/>
    <mergeCell ref="D48:D49"/>
    <mergeCell ref="I53:I54"/>
    <mergeCell ref="L53:L54"/>
  </mergeCells>
  <phoneticPr fontId="2"/>
  <conditionalFormatting sqref="D7:D37">
    <cfRule type="expression" dxfId="293" priority="1002" stopIfTrue="1">
      <formula>E7&lt;&gt;""</formula>
    </cfRule>
    <cfRule type="cellIs" dxfId="292" priority="1003" stopIfTrue="1" operator="equal">
      <formula>"土"</formula>
    </cfRule>
    <cfRule type="cellIs" dxfId="291" priority="1004" stopIfTrue="1" operator="equal">
      <formula>"日"</formula>
    </cfRule>
  </conditionalFormatting>
  <conditionalFormatting sqref="C7:C37">
    <cfRule type="expression" dxfId="290" priority="1005" stopIfTrue="1">
      <formula>E7&lt;&gt;""</formula>
    </cfRule>
    <cfRule type="expression" dxfId="289" priority="1006" stopIfTrue="1">
      <formula>D7="土"</formula>
    </cfRule>
    <cfRule type="expression" dxfId="288" priority="1007" stopIfTrue="1">
      <formula>D7="日"</formula>
    </cfRule>
  </conditionalFormatting>
  <conditionalFormatting sqref="K38:P38 L7:P37">
    <cfRule type="cellIs" dxfId="287" priority="1008" stopIfTrue="1" operator="lessThan">
      <formula>0</formula>
    </cfRule>
  </conditionalFormatting>
  <conditionalFormatting sqref="AA7:AA37">
    <cfRule type="cellIs" dxfId="286" priority="994" stopIfTrue="1" operator="lessThan">
      <formula>0</formula>
    </cfRule>
  </conditionalFormatting>
  <conditionalFormatting sqref="Q7:R12 Q18:R37">
    <cfRule type="expression" dxfId="285" priority="980">
      <formula>AND(K7&gt;0,C7&lt;&gt;"")</formula>
    </cfRule>
  </conditionalFormatting>
  <conditionalFormatting sqref="G50:M50">
    <cfRule type="expression" dxfId="284" priority="949">
      <formula>$M$3="派遣"</formula>
    </cfRule>
  </conditionalFormatting>
  <conditionalFormatting sqref="G51:M51">
    <cfRule type="expression" dxfId="283" priority="947">
      <formula>$M$3="派遣"</formula>
    </cfRule>
  </conditionalFormatting>
  <conditionalFormatting sqref="I53:I54">
    <cfRule type="expression" dxfId="282" priority="946">
      <formula>$M$3="派遣"</formula>
    </cfRule>
  </conditionalFormatting>
  <conditionalFormatting sqref="L53:L54">
    <cfRule type="expression" dxfId="281" priority="945">
      <formula>$M$3="派遣"</formula>
    </cfRule>
  </conditionalFormatting>
  <conditionalFormatting sqref="H55:M55">
    <cfRule type="expression" dxfId="280" priority="944">
      <formula>$M$3="派遣"</formula>
    </cfRule>
  </conditionalFormatting>
  <conditionalFormatting sqref="H56:M56">
    <cfRule type="expression" dxfId="279" priority="943">
      <formula>$M$3="派遣"</formula>
    </cfRule>
  </conditionalFormatting>
  <conditionalFormatting sqref="G58:M58">
    <cfRule type="expression" dxfId="278" priority="941">
      <formula>$M$3="派遣"</formula>
    </cfRule>
  </conditionalFormatting>
  <conditionalFormatting sqref="Q7:R12 Q18:R37">
    <cfRule type="expression" dxfId="277" priority="895">
      <formula>C7=""</formula>
    </cfRule>
  </conditionalFormatting>
  <conditionalFormatting sqref="L7:L37">
    <cfRule type="expression" dxfId="276" priority="894">
      <formula>C7=""</formula>
    </cfRule>
  </conditionalFormatting>
  <conditionalFormatting sqref="M7:M37">
    <cfRule type="expression" dxfId="275" priority="893">
      <formula>C7=""</formula>
    </cfRule>
  </conditionalFormatting>
  <conditionalFormatting sqref="N7:N37">
    <cfRule type="expression" dxfId="274" priority="892">
      <formula>C7=""</formula>
    </cfRule>
  </conditionalFormatting>
  <conditionalFormatting sqref="O7:O37">
    <cfRule type="expression" dxfId="273" priority="891">
      <formula>C7=""</formula>
    </cfRule>
  </conditionalFormatting>
  <conditionalFormatting sqref="P7:P37">
    <cfRule type="expression" dxfId="272" priority="890">
      <formula>C7=""</formula>
    </cfRule>
  </conditionalFormatting>
  <conditionalFormatting sqref="G7:G37">
    <cfRule type="expression" dxfId="271" priority="889">
      <formula>C7=""</formula>
    </cfRule>
  </conditionalFormatting>
  <conditionalFormatting sqref="H29">
    <cfRule type="expression" dxfId="270" priority="685">
      <formula>C29=""</formula>
    </cfRule>
    <cfRule type="expression" dxfId="269" priority="686">
      <formula>$M$3="準委任"</formula>
    </cfRule>
    <cfRule type="expression" dxfId="268" priority="687">
      <formula>C29&lt;&gt;""</formula>
    </cfRule>
  </conditionalFormatting>
  <conditionalFormatting sqref="I29">
    <cfRule type="expression" dxfId="267" priority="682">
      <formula>C29=""</formula>
    </cfRule>
    <cfRule type="expression" dxfId="266" priority="683">
      <formula>$M$3="準委任"</formula>
    </cfRule>
    <cfRule type="expression" dxfId="265" priority="684">
      <formula>C29&lt;&gt;""</formula>
    </cfRule>
  </conditionalFormatting>
  <conditionalFormatting sqref="J29">
    <cfRule type="expression" dxfId="264" priority="681">
      <formula>K29&gt;6</formula>
    </cfRule>
  </conditionalFormatting>
  <conditionalFormatting sqref="J29">
    <cfRule type="expression" dxfId="263" priority="680">
      <formula>C29=""</formula>
    </cfRule>
  </conditionalFormatting>
  <conditionalFormatting sqref="H18">
    <cfRule type="expression" dxfId="262" priority="613">
      <formula>C18=""</formula>
    </cfRule>
    <cfRule type="expression" dxfId="261" priority="614">
      <formula>$M$3="準委任"</formula>
    </cfRule>
    <cfRule type="expression" dxfId="260" priority="615">
      <formula>C18&lt;&gt;""</formula>
    </cfRule>
  </conditionalFormatting>
  <conditionalFormatting sqref="I18">
    <cfRule type="expression" dxfId="259" priority="610">
      <formula>C18=""</formula>
    </cfRule>
    <cfRule type="expression" dxfId="258" priority="611">
      <formula>$M$3="準委任"</formula>
    </cfRule>
    <cfRule type="expression" dxfId="257" priority="612">
      <formula>C18&lt;&gt;""</formula>
    </cfRule>
  </conditionalFormatting>
  <conditionalFormatting sqref="J18">
    <cfRule type="expression" dxfId="256" priority="609">
      <formula>K18&gt;6</formula>
    </cfRule>
  </conditionalFormatting>
  <conditionalFormatting sqref="J18">
    <cfRule type="expression" dxfId="255" priority="608">
      <formula>C18=""</formula>
    </cfRule>
  </conditionalFormatting>
  <conditionalFormatting sqref="H26">
    <cfRule type="expression" dxfId="254" priority="523">
      <formula>C26=""</formula>
    </cfRule>
    <cfRule type="expression" dxfId="253" priority="524">
      <formula>$M$3="準委任"</formula>
    </cfRule>
    <cfRule type="expression" dxfId="252" priority="525">
      <formula>C26&lt;&gt;""</formula>
    </cfRule>
  </conditionalFormatting>
  <conditionalFormatting sqref="I26">
    <cfRule type="expression" dxfId="251" priority="520">
      <formula>C26=""</formula>
    </cfRule>
    <cfRule type="expression" dxfId="250" priority="521">
      <formula>$M$3="準委任"</formula>
    </cfRule>
    <cfRule type="expression" dxfId="249" priority="522">
      <formula>C26&lt;&gt;""</formula>
    </cfRule>
  </conditionalFormatting>
  <conditionalFormatting sqref="J26">
    <cfRule type="expression" dxfId="248" priority="519">
      <formula>K26&gt;6</formula>
    </cfRule>
  </conditionalFormatting>
  <conditionalFormatting sqref="J26">
    <cfRule type="expression" dxfId="247" priority="518">
      <formula>C26=""</formula>
    </cfRule>
  </conditionalFormatting>
  <conditionalFormatting sqref="I25">
    <cfRule type="expression" dxfId="246" priority="515">
      <formula>C25=""</formula>
    </cfRule>
    <cfRule type="expression" dxfId="245" priority="516">
      <formula>$M$3="準委任"</formula>
    </cfRule>
    <cfRule type="expression" dxfId="244" priority="517">
      <formula>C25&lt;&gt;""</formula>
    </cfRule>
  </conditionalFormatting>
  <conditionalFormatting sqref="I9">
    <cfRule type="expression" dxfId="243" priority="472">
      <formula>C9=""</formula>
    </cfRule>
    <cfRule type="expression" dxfId="242" priority="473">
      <formula>$M$3="準委任"</formula>
    </cfRule>
    <cfRule type="expression" dxfId="241" priority="474">
      <formula>C9&lt;&gt;""</formula>
    </cfRule>
  </conditionalFormatting>
  <conditionalFormatting sqref="J9">
    <cfRule type="expression" dxfId="240" priority="471">
      <formula>K9&gt;6</formula>
    </cfRule>
  </conditionalFormatting>
  <conditionalFormatting sqref="J9">
    <cfRule type="expression" dxfId="239" priority="470">
      <formula>C9=""</formula>
    </cfRule>
  </conditionalFormatting>
  <conditionalFormatting sqref="I10">
    <cfRule type="expression" dxfId="238" priority="464">
      <formula>C10=""</formula>
    </cfRule>
    <cfRule type="expression" dxfId="237" priority="465">
      <formula>$M$3="準委任"</formula>
    </cfRule>
    <cfRule type="expression" dxfId="236" priority="466">
      <formula>C10&lt;&gt;""</formula>
    </cfRule>
  </conditionalFormatting>
  <conditionalFormatting sqref="J10">
    <cfRule type="expression" dxfId="235" priority="463">
      <formula>K10&gt;6</formula>
    </cfRule>
  </conditionalFormatting>
  <conditionalFormatting sqref="J10">
    <cfRule type="expression" dxfId="234" priority="462">
      <formula>C10=""</formula>
    </cfRule>
  </conditionalFormatting>
  <conditionalFormatting sqref="I15">
    <cfRule type="expression" dxfId="233" priority="440">
      <formula>C15=""</formula>
    </cfRule>
    <cfRule type="expression" dxfId="232" priority="441">
      <formula>$M$3="準委任"</formula>
    </cfRule>
    <cfRule type="expression" dxfId="231" priority="442">
      <formula>C15&lt;&gt;""</formula>
    </cfRule>
  </conditionalFormatting>
  <conditionalFormatting sqref="I16">
    <cfRule type="expression" dxfId="230" priority="432">
      <formula>C16=""</formula>
    </cfRule>
    <cfRule type="expression" dxfId="229" priority="433">
      <formula>$M$3="準委任"</formula>
    </cfRule>
    <cfRule type="expression" dxfId="228" priority="434">
      <formula>C16&lt;&gt;""</formula>
    </cfRule>
  </conditionalFormatting>
  <conditionalFormatting sqref="J16">
    <cfRule type="expression" dxfId="227" priority="431">
      <formula>K16&gt;6</formula>
    </cfRule>
  </conditionalFormatting>
  <conditionalFormatting sqref="J16">
    <cfRule type="expression" dxfId="226" priority="430">
      <formula>C16=""</formula>
    </cfRule>
  </conditionalFormatting>
  <conditionalFormatting sqref="I24">
    <cfRule type="expression" dxfId="225" priority="384">
      <formula>C24=""</formula>
    </cfRule>
    <cfRule type="expression" dxfId="224" priority="385">
      <formula>$M$3="準委任"</formula>
    </cfRule>
    <cfRule type="expression" dxfId="223" priority="386">
      <formula>C24&lt;&gt;""</formula>
    </cfRule>
  </conditionalFormatting>
  <conditionalFormatting sqref="H7">
    <cfRule type="expression" dxfId="222" priority="345">
      <formula>C7=""</formula>
    </cfRule>
    <cfRule type="expression" dxfId="221" priority="346">
      <formula>$M$3="準委任"</formula>
    </cfRule>
    <cfRule type="expression" dxfId="220" priority="347">
      <formula>C7&lt;&gt;""</formula>
    </cfRule>
  </conditionalFormatting>
  <conditionalFormatting sqref="I7">
    <cfRule type="expression" dxfId="219" priority="342">
      <formula>C7=""</formula>
    </cfRule>
    <cfRule type="expression" dxfId="218" priority="343">
      <formula>$M$3="準委任"</formula>
    </cfRule>
    <cfRule type="expression" dxfId="217" priority="344">
      <formula>C7&lt;&gt;""</formula>
    </cfRule>
  </conditionalFormatting>
  <conditionalFormatting sqref="J7">
    <cfRule type="expression" dxfId="216" priority="341">
      <formula>K7&gt;6</formula>
    </cfRule>
  </conditionalFormatting>
  <conditionalFormatting sqref="J7">
    <cfRule type="expression" dxfId="215" priority="340">
      <formula>C7=""</formula>
    </cfRule>
  </conditionalFormatting>
  <conditionalFormatting sqref="K7:K22 K24:K37">
    <cfRule type="cellIs" dxfId="214" priority="339" stopIfTrue="1" operator="lessThan">
      <formula>0</formula>
    </cfRule>
  </conditionalFormatting>
  <conditionalFormatting sqref="H11">
    <cfRule type="expression" dxfId="213" priority="328">
      <formula>C11=""</formula>
    </cfRule>
    <cfRule type="expression" dxfId="212" priority="329">
      <formula>$M$3="準委任"</formula>
    </cfRule>
    <cfRule type="expression" dxfId="211" priority="330">
      <formula>C11&lt;&gt;""</formula>
    </cfRule>
  </conditionalFormatting>
  <conditionalFormatting sqref="I11">
    <cfRule type="expression" dxfId="210" priority="325">
      <formula>C11=""</formula>
    </cfRule>
    <cfRule type="expression" dxfId="209" priority="326">
      <formula>$M$3="準委任"</formula>
    </cfRule>
    <cfRule type="expression" dxfId="208" priority="327">
      <formula>C11&lt;&gt;""</formula>
    </cfRule>
  </conditionalFormatting>
  <conditionalFormatting sqref="J11">
    <cfRule type="expression" dxfId="207" priority="324">
      <formula>K11&gt;6</formula>
    </cfRule>
  </conditionalFormatting>
  <conditionalFormatting sqref="J11">
    <cfRule type="expression" dxfId="206" priority="323">
      <formula>C11=""</formula>
    </cfRule>
  </conditionalFormatting>
  <conditionalFormatting sqref="H12">
    <cfRule type="expression" dxfId="205" priority="320">
      <formula>C12=""</formula>
    </cfRule>
    <cfRule type="expression" dxfId="204" priority="321">
      <formula>$M$3="準委任"</formula>
    </cfRule>
    <cfRule type="expression" dxfId="203" priority="322">
      <formula>C12&lt;&gt;""</formula>
    </cfRule>
  </conditionalFormatting>
  <conditionalFormatting sqref="I12">
    <cfRule type="expression" dxfId="202" priority="317">
      <formula>C12=""</formula>
    </cfRule>
    <cfRule type="expression" dxfId="201" priority="318">
      <formula>$M$3="準委任"</formula>
    </cfRule>
    <cfRule type="expression" dxfId="200" priority="319">
      <formula>C12&lt;&gt;""</formula>
    </cfRule>
  </conditionalFormatting>
  <conditionalFormatting sqref="J12">
    <cfRule type="expression" dxfId="199" priority="316">
      <formula>K12&gt;6</formula>
    </cfRule>
  </conditionalFormatting>
  <conditionalFormatting sqref="J12">
    <cfRule type="expression" dxfId="198" priority="315">
      <formula>C12=""</formula>
    </cfRule>
  </conditionalFormatting>
  <conditionalFormatting sqref="J19">
    <cfRule type="expression" dxfId="197" priority="300">
      <formula>K19&gt;6</formula>
    </cfRule>
  </conditionalFormatting>
  <conditionalFormatting sqref="J19">
    <cfRule type="expression" dxfId="196" priority="299">
      <formula>C19=""</formula>
    </cfRule>
  </conditionalFormatting>
  <conditionalFormatting sqref="I19">
    <cfRule type="expression" dxfId="195" priority="296">
      <formula>C19=""</formula>
    </cfRule>
    <cfRule type="expression" dxfId="194" priority="297">
      <formula>$M$3="準委任"</formula>
    </cfRule>
    <cfRule type="expression" dxfId="193" priority="298">
      <formula>C19&lt;&gt;""</formula>
    </cfRule>
  </conditionalFormatting>
  <conditionalFormatting sqref="I20">
    <cfRule type="expression" dxfId="192" priority="272">
      <formula>C20=""</formula>
    </cfRule>
    <cfRule type="expression" dxfId="191" priority="273">
      <formula>$M$3="準委任"</formula>
    </cfRule>
    <cfRule type="expression" dxfId="190" priority="274">
      <formula>C20&lt;&gt;""</formula>
    </cfRule>
  </conditionalFormatting>
  <conditionalFormatting sqref="J21">
    <cfRule type="expression" dxfId="189" priority="268">
      <formula>K21&gt;6</formula>
    </cfRule>
  </conditionalFormatting>
  <conditionalFormatting sqref="J21">
    <cfRule type="expression" dxfId="188" priority="267">
      <formula>C21=""</formula>
    </cfRule>
  </conditionalFormatting>
  <conditionalFormatting sqref="I21">
    <cfRule type="expression" dxfId="187" priority="264">
      <formula>C21=""</formula>
    </cfRule>
    <cfRule type="expression" dxfId="186" priority="265">
      <formula>$M$3="準委任"</formula>
    </cfRule>
    <cfRule type="expression" dxfId="185" priority="266">
      <formula>C21&lt;&gt;""</formula>
    </cfRule>
  </conditionalFormatting>
  <conditionalFormatting sqref="I22">
    <cfRule type="expression" dxfId="184" priority="256">
      <formula>C22=""</formula>
    </cfRule>
    <cfRule type="expression" dxfId="183" priority="257">
      <formula>$M$3="準委任"</formula>
    </cfRule>
    <cfRule type="expression" dxfId="182" priority="258">
      <formula>C22&lt;&gt;""</formula>
    </cfRule>
  </conditionalFormatting>
  <conditionalFormatting sqref="J35:J36">
    <cfRule type="expression" dxfId="181" priority="236">
      <formula>K35&gt;6</formula>
    </cfRule>
  </conditionalFormatting>
  <conditionalFormatting sqref="J35:J36">
    <cfRule type="expression" dxfId="180" priority="235">
      <formula>C35=""</formula>
    </cfRule>
  </conditionalFormatting>
  <conditionalFormatting sqref="H35:H36">
    <cfRule type="expression" dxfId="179" priority="229">
      <formula>C35=""</formula>
    </cfRule>
    <cfRule type="expression" dxfId="178" priority="230">
      <formula>$M$3="準委任"</formula>
    </cfRule>
    <cfRule type="expression" dxfId="177" priority="231">
      <formula>C35&lt;&gt;""</formula>
    </cfRule>
  </conditionalFormatting>
  <conditionalFormatting sqref="I35:I36">
    <cfRule type="expression" dxfId="176" priority="226">
      <formula>C35=""</formula>
    </cfRule>
    <cfRule type="expression" dxfId="175" priority="227">
      <formula>$M$3="準委任"</formula>
    </cfRule>
    <cfRule type="expression" dxfId="174" priority="228">
      <formula>C35&lt;&gt;""</formula>
    </cfRule>
  </conditionalFormatting>
  <conditionalFormatting sqref="H19">
    <cfRule type="expression" dxfId="173" priority="223">
      <formula>C19=""</formula>
    </cfRule>
    <cfRule type="expression" dxfId="172" priority="224">
      <formula>$M$3="準委任"</formula>
    </cfRule>
    <cfRule type="expression" dxfId="171" priority="225">
      <formula>C19&lt;&gt;""</formula>
    </cfRule>
  </conditionalFormatting>
  <conditionalFormatting sqref="I8">
    <cfRule type="expression" dxfId="170" priority="214">
      <formula>C8=""</formula>
    </cfRule>
    <cfRule type="expression" dxfId="169" priority="215">
      <formula>$M$3="準委任"</formula>
    </cfRule>
    <cfRule type="expression" dxfId="168" priority="216">
      <formula>C8&lt;&gt;""</formula>
    </cfRule>
  </conditionalFormatting>
  <conditionalFormatting sqref="J8">
    <cfRule type="expression" dxfId="167" priority="213">
      <formula>K8&gt;6</formula>
    </cfRule>
  </conditionalFormatting>
  <conditionalFormatting sqref="J8">
    <cfRule type="expression" dxfId="166" priority="212">
      <formula>C8=""</formula>
    </cfRule>
  </conditionalFormatting>
  <conditionalFormatting sqref="H17">
    <cfRule type="expression" dxfId="165" priority="199">
      <formula>C17=""</formula>
    </cfRule>
    <cfRule type="expression" dxfId="164" priority="200">
      <formula>$M$3="準委任"</formula>
    </cfRule>
    <cfRule type="expression" dxfId="163" priority="201">
      <formula>C17&lt;&gt;""</formula>
    </cfRule>
  </conditionalFormatting>
  <conditionalFormatting sqref="I17">
    <cfRule type="expression" dxfId="162" priority="196">
      <formula>C17=""</formula>
    </cfRule>
    <cfRule type="expression" dxfId="161" priority="197">
      <formula>$M$3="準委任"</formula>
    </cfRule>
    <cfRule type="expression" dxfId="160" priority="198">
      <formula>C17&lt;&gt;""</formula>
    </cfRule>
  </conditionalFormatting>
  <conditionalFormatting sqref="J17">
    <cfRule type="expression" dxfId="159" priority="195">
      <formula>K17&gt;6</formula>
    </cfRule>
  </conditionalFormatting>
  <conditionalFormatting sqref="J17">
    <cfRule type="expression" dxfId="158" priority="194">
      <formula>C17=""</formula>
    </cfRule>
  </conditionalFormatting>
  <conditionalFormatting sqref="I13">
    <cfRule type="expression" dxfId="157" priority="187">
      <formula>C13=""</formula>
    </cfRule>
    <cfRule type="expression" dxfId="156" priority="188">
      <formula>$M$3="準委任"</formula>
    </cfRule>
    <cfRule type="expression" dxfId="155" priority="189">
      <formula>C13&lt;&gt;""</formula>
    </cfRule>
  </conditionalFormatting>
  <conditionalFormatting sqref="K23">
    <cfRule type="cellIs" dxfId="154" priority="186" stopIfTrue="1" operator="lessThan">
      <formula>0</formula>
    </cfRule>
  </conditionalFormatting>
  <conditionalFormatting sqref="I23">
    <cfRule type="expression" dxfId="153" priority="180">
      <formula>C23=""</formula>
    </cfRule>
    <cfRule type="expression" dxfId="152" priority="181">
      <formula>$M$3="準委任"</formula>
    </cfRule>
    <cfRule type="expression" dxfId="151" priority="182">
      <formula>C23&lt;&gt;""</formula>
    </cfRule>
  </conditionalFormatting>
  <conditionalFormatting sqref="J24">
    <cfRule type="expression" dxfId="150" priority="169">
      <formula>K24&gt;6</formula>
    </cfRule>
  </conditionalFormatting>
  <conditionalFormatting sqref="J24">
    <cfRule type="expression" dxfId="149" priority="168">
      <formula>C24=""</formula>
    </cfRule>
  </conditionalFormatting>
  <conditionalFormatting sqref="H25">
    <cfRule type="expression" dxfId="148" priority="165">
      <formula>C25=""</formula>
    </cfRule>
    <cfRule type="expression" dxfId="147" priority="166">
      <formula>$M$3="準委任"</formula>
    </cfRule>
    <cfRule type="expression" dxfId="146" priority="167">
      <formula>C25&lt;&gt;""</formula>
    </cfRule>
  </conditionalFormatting>
  <conditionalFormatting sqref="J25">
    <cfRule type="expression" dxfId="145" priority="164">
      <formula>K25&gt;6</formula>
    </cfRule>
  </conditionalFormatting>
  <conditionalFormatting sqref="J25">
    <cfRule type="expression" dxfId="144" priority="163">
      <formula>C25=""</formula>
    </cfRule>
  </conditionalFormatting>
  <conditionalFormatting sqref="I27">
    <cfRule type="expression" dxfId="143" priority="157">
      <formula>C27=""</formula>
    </cfRule>
    <cfRule type="expression" dxfId="142" priority="158">
      <formula>$M$3="準委任"</formula>
    </cfRule>
    <cfRule type="expression" dxfId="141" priority="159">
      <formula>C27&lt;&gt;""</formula>
    </cfRule>
  </conditionalFormatting>
  <conditionalFormatting sqref="H32">
    <cfRule type="expression" dxfId="140" priority="136">
      <formula>C32=""</formula>
    </cfRule>
    <cfRule type="expression" dxfId="139" priority="137">
      <formula>$M$3="準委任"</formula>
    </cfRule>
    <cfRule type="expression" dxfId="138" priority="138">
      <formula>C32&lt;&gt;""</formula>
    </cfRule>
  </conditionalFormatting>
  <conditionalFormatting sqref="H33">
    <cfRule type="expression" dxfId="137" priority="128">
      <formula>C33=""</formula>
    </cfRule>
    <cfRule type="expression" dxfId="136" priority="129">
      <formula>$M$3="準委任"</formula>
    </cfRule>
    <cfRule type="expression" dxfId="135" priority="130">
      <formula>C33&lt;&gt;""</formula>
    </cfRule>
  </conditionalFormatting>
  <conditionalFormatting sqref="I33">
    <cfRule type="expression" dxfId="134" priority="125">
      <formula>C33=""</formula>
    </cfRule>
    <cfRule type="expression" dxfId="133" priority="126">
      <formula>$M$3="準委任"</formula>
    </cfRule>
    <cfRule type="expression" dxfId="132" priority="127">
      <formula>C33&lt;&gt;""</formula>
    </cfRule>
  </conditionalFormatting>
  <conditionalFormatting sqref="H37">
    <cfRule type="expression" dxfId="131" priority="112">
      <formula>C37=""</formula>
    </cfRule>
    <cfRule type="expression" dxfId="130" priority="113">
      <formula>$M$3="準委任"</formula>
    </cfRule>
    <cfRule type="expression" dxfId="129" priority="114">
      <formula>C37&lt;&gt;""</formula>
    </cfRule>
  </conditionalFormatting>
  <conditionalFormatting sqref="J37">
    <cfRule type="expression" dxfId="128" priority="108">
      <formula>K37&gt;6</formula>
    </cfRule>
  </conditionalFormatting>
  <conditionalFormatting sqref="J37">
    <cfRule type="expression" dxfId="127" priority="107">
      <formula>C37=""</formula>
    </cfRule>
  </conditionalFormatting>
  <conditionalFormatting sqref="I32">
    <cfRule type="expression" dxfId="126" priority="104">
      <formula>C32=""</formula>
    </cfRule>
    <cfRule type="expression" dxfId="125" priority="105">
      <formula>$M$3="準委任"</formula>
    </cfRule>
    <cfRule type="expression" dxfId="124" priority="106">
      <formula>C32&lt;&gt;""</formula>
    </cfRule>
  </conditionalFormatting>
  <conditionalFormatting sqref="J32">
    <cfRule type="expression" dxfId="123" priority="103">
      <formula>K32&gt;6</formula>
    </cfRule>
  </conditionalFormatting>
  <conditionalFormatting sqref="J32">
    <cfRule type="expression" dxfId="122" priority="102">
      <formula>C32=""</formula>
    </cfRule>
  </conditionalFormatting>
  <conditionalFormatting sqref="I37">
    <cfRule type="expression" dxfId="121" priority="99">
      <formula>C37=""</formula>
    </cfRule>
    <cfRule type="expression" dxfId="120" priority="100">
      <formula>$M$3="準委任"</formula>
    </cfRule>
    <cfRule type="expression" dxfId="119" priority="101">
      <formula>C37&lt;&gt;""</formula>
    </cfRule>
  </conditionalFormatting>
  <conditionalFormatting sqref="J33">
    <cfRule type="expression" dxfId="118" priority="96">
      <formula>K33&gt;6</formula>
    </cfRule>
  </conditionalFormatting>
  <conditionalFormatting sqref="J33">
    <cfRule type="expression" dxfId="117" priority="95">
      <formula>C33=""</formula>
    </cfRule>
  </conditionalFormatting>
  <conditionalFormatting sqref="Q17:R17">
    <cfRule type="expression" dxfId="116" priority="92">
      <formula>AND(K17&gt;0,C17&lt;&gt;"")</formula>
    </cfRule>
  </conditionalFormatting>
  <conditionalFormatting sqref="Q17:R17">
    <cfRule type="expression" dxfId="115" priority="91">
      <formula>C17=""</formula>
    </cfRule>
  </conditionalFormatting>
  <conditionalFormatting sqref="H8">
    <cfRule type="expression" dxfId="114" priority="88">
      <formula>C8=""</formula>
    </cfRule>
    <cfRule type="expression" dxfId="113" priority="89">
      <formula>$M$3="準委任"</formula>
    </cfRule>
    <cfRule type="expression" dxfId="112" priority="90">
      <formula>C8&lt;&gt;""</formula>
    </cfRule>
  </conditionalFormatting>
  <conditionalFormatting sqref="H9">
    <cfRule type="expression" dxfId="111" priority="85">
      <formula>C9=""</formula>
    </cfRule>
    <cfRule type="expression" dxfId="110" priority="86">
      <formula>$M$3="準委任"</formula>
    </cfRule>
    <cfRule type="expression" dxfId="109" priority="87">
      <formula>C9&lt;&gt;""</formula>
    </cfRule>
  </conditionalFormatting>
  <conditionalFormatting sqref="H10">
    <cfRule type="expression" dxfId="108" priority="82">
      <formula>C10=""</formula>
    </cfRule>
    <cfRule type="expression" dxfId="107" priority="83">
      <formula>$M$3="準委任"</formula>
    </cfRule>
    <cfRule type="expression" dxfId="106" priority="84">
      <formula>C10&lt;&gt;""</formula>
    </cfRule>
  </conditionalFormatting>
  <conditionalFormatting sqref="H13">
    <cfRule type="expression" dxfId="105" priority="79">
      <formula>C13=""</formula>
    </cfRule>
    <cfRule type="expression" dxfId="104" priority="80">
      <formula>$M$3="準委任"</formula>
    </cfRule>
    <cfRule type="expression" dxfId="103" priority="81">
      <formula>C13&lt;&gt;""</formula>
    </cfRule>
  </conditionalFormatting>
  <conditionalFormatting sqref="H14">
    <cfRule type="expression" dxfId="102" priority="76">
      <formula>C14=""</formula>
    </cfRule>
    <cfRule type="expression" dxfId="101" priority="77">
      <formula>$M$3="準委任"</formula>
    </cfRule>
    <cfRule type="expression" dxfId="100" priority="78">
      <formula>C14&lt;&gt;""</formula>
    </cfRule>
  </conditionalFormatting>
  <conditionalFormatting sqref="H15">
    <cfRule type="expression" dxfId="99" priority="73">
      <formula>C15=""</formula>
    </cfRule>
    <cfRule type="expression" dxfId="98" priority="74">
      <formula>$M$3="準委任"</formula>
    </cfRule>
    <cfRule type="expression" dxfId="97" priority="75">
      <formula>C15&lt;&gt;""</formula>
    </cfRule>
  </conditionalFormatting>
  <conditionalFormatting sqref="H16">
    <cfRule type="expression" dxfId="96" priority="70">
      <formula>C16=""</formula>
    </cfRule>
    <cfRule type="expression" dxfId="95" priority="71">
      <formula>$M$3="準委任"</formula>
    </cfRule>
    <cfRule type="expression" dxfId="94" priority="72">
      <formula>C16&lt;&gt;""</formula>
    </cfRule>
  </conditionalFormatting>
  <conditionalFormatting sqref="J13">
    <cfRule type="expression" dxfId="93" priority="69">
      <formula>K13&gt;6</formula>
    </cfRule>
  </conditionalFormatting>
  <conditionalFormatting sqref="J13">
    <cfRule type="expression" dxfId="92" priority="68">
      <formula>C13=""</formula>
    </cfRule>
  </conditionalFormatting>
  <conditionalFormatting sqref="I14">
    <cfRule type="expression" dxfId="91" priority="65">
      <formula>C14=""</formula>
    </cfRule>
    <cfRule type="expression" dxfId="90" priority="66">
      <formula>$M$3="準委任"</formula>
    </cfRule>
    <cfRule type="expression" dxfId="89" priority="67">
      <formula>C14&lt;&gt;""</formula>
    </cfRule>
  </conditionalFormatting>
  <conditionalFormatting sqref="J14">
    <cfRule type="expression" dxfId="88" priority="64">
      <formula>K14&gt;6</formula>
    </cfRule>
  </conditionalFormatting>
  <conditionalFormatting sqref="J14">
    <cfRule type="expression" dxfId="87" priority="63">
      <formula>C14=""</formula>
    </cfRule>
  </conditionalFormatting>
  <conditionalFormatting sqref="J15">
    <cfRule type="expression" dxfId="86" priority="62">
      <formula>K15&gt;6</formula>
    </cfRule>
  </conditionalFormatting>
  <conditionalFormatting sqref="J15">
    <cfRule type="expression" dxfId="85" priority="61">
      <formula>C15=""</formula>
    </cfRule>
  </conditionalFormatting>
  <conditionalFormatting sqref="H20">
    <cfRule type="expression" dxfId="84" priority="58">
      <formula>C20=""</formula>
    </cfRule>
    <cfRule type="expression" dxfId="83" priority="59">
      <formula>$M$3="準委任"</formula>
    </cfRule>
    <cfRule type="expression" dxfId="82" priority="60">
      <formula>C20&lt;&gt;""</formula>
    </cfRule>
  </conditionalFormatting>
  <conditionalFormatting sqref="H21">
    <cfRule type="expression" dxfId="81" priority="55">
      <formula>C21=""</formula>
    </cfRule>
    <cfRule type="expression" dxfId="80" priority="56">
      <formula>$M$3="準委任"</formula>
    </cfRule>
    <cfRule type="expression" dxfId="79" priority="57">
      <formula>C21&lt;&gt;""</formula>
    </cfRule>
  </conditionalFormatting>
  <conditionalFormatting sqref="H22">
    <cfRule type="expression" dxfId="78" priority="52">
      <formula>C22=""</formula>
    </cfRule>
    <cfRule type="expression" dxfId="77" priority="53">
      <formula>$M$3="準委任"</formula>
    </cfRule>
    <cfRule type="expression" dxfId="76" priority="54">
      <formula>C22&lt;&gt;""</formula>
    </cfRule>
  </conditionalFormatting>
  <conditionalFormatting sqref="H23">
    <cfRule type="expression" dxfId="75" priority="49">
      <formula>C23=""</formula>
    </cfRule>
    <cfRule type="expression" dxfId="74" priority="50">
      <formula>$M$3="準委任"</formula>
    </cfRule>
    <cfRule type="expression" dxfId="73" priority="51">
      <formula>C23&lt;&gt;""</formula>
    </cfRule>
  </conditionalFormatting>
  <conditionalFormatting sqref="H24">
    <cfRule type="expression" dxfId="72" priority="46">
      <formula>C24=""</formula>
    </cfRule>
    <cfRule type="expression" dxfId="71" priority="47">
      <formula>$M$3="準委任"</formula>
    </cfRule>
    <cfRule type="expression" dxfId="70" priority="48">
      <formula>C24&lt;&gt;""</formula>
    </cfRule>
  </conditionalFormatting>
  <conditionalFormatting sqref="J20">
    <cfRule type="expression" dxfId="69" priority="45">
      <formula>K20&gt;6</formula>
    </cfRule>
  </conditionalFormatting>
  <conditionalFormatting sqref="J20">
    <cfRule type="expression" dxfId="68" priority="44">
      <formula>C20=""</formula>
    </cfRule>
  </conditionalFormatting>
  <conditionalFormatting sqref="J22">
    <cfRule type="expression" dxfId="67" priority="43">
      <formula>K22&gt;6</formula>
    </cfRule>
  </conditionalFormatting>
  <conditionalFormatting sqref="J22">
    <cfRule type="expression" dxfId="66" priority="42">
      <formula>C22=""</formula>
    </cfRule>
  </conditionalFormatting>
  <conditionalFormatting sqref="J23">
    <cfRule type="expression" dxfId="65" priority="41">
      <formula>K23&gt;6</formula>
    </cfRule>
  </conditionalFormatting>
  <conditionalFormatting sqref="J23">
    <cfRule type="expression" dxfId="64" priority="40">
      <formula>C23=""</formula>
    </cfRule>
  </conditionalFormatting>
  <conditionalFormatting sqref="H27">
    <cfRule type="expression" dxfId="63" priority="37">
      <formula>C27=""</formula>
    </cfRule>
    <cfRule type="expression" dxfId="62" priority="38">
      <formula>$M$3="準委任"</formula>
    </cfRule>
    <cfRule type="expression" dxfId="61" priority="39">
      <formula>C27&lt;&gt;""</formula>
    </cfRule>
  </conditionalFormatting>
  <conditionalFormatting sqref="H28">
    <cfRule type="expression" dxfId="60" priority="34">
      <formula>C28=""</formula>
    </cfRule>
    <cfRule type="expression" dxfId="59" priority="35">
      <formula>$M$3="準委任"</formula>
    </cfRule>
    <cfRule type="expression" dxfId="58" priority="36">
      <formula>C28&lt;&gt;""</formula>
    </cfRule>
  </conditionalFormatting>
  <conditionalFormatting sqref="H30">
    <cfRule type="expression" dxfId="57" priority="31">
      <formula>C30=""</formula>
    </cfRule>
    <cfRule type="expression" dxfId="56" priority="32">
      <formula>$M$3="準委任"</formula>
    </cfRule>
    <cfRule type="expression" dxfId="55" priority="33">
      <formula>C30&lt;&gt;""</formula>
    </cfRule>
  </conditionalFormatting>
  <conditionalFormatting sqref="H31">
    <cfRule type="expression" dxfId="54" priority="28">
      <formula>C31=""</formula>
    </cfRule>
    <cfRule type="expression" dxfId="53" priority="29">
      <formula>$M$3="準委任"</formula>
    </cfRule>
    <cfRule type="expression" dxfId="52" priority="30">
      <formula>C31&lt;&gt;""</formula>
    </cfRule>
  </conditionalFormatting>
  <conditionalFormatting sqref="H34">
    <cfRule type="expression" dxfId="51" priority="25">
      <formula>C34=""</formula>
    </cfRule>
    <cfRule type="expression" dxfId="50" priority="26">
      <formula>$M$3="準委任"</formula>
    </cfRule>
    <cfRule type="expression" dxfId="49" priority="27">
      <formula>C34&lt;&gt;""</formula>
    </cfRule>
  </conditionalFormatting>
  <conditionalFormatting sqref="I28">
    <cfRule type="expression" dxfId="48" priority="22">
      <formula>C28=""</formula>
    </cfRule>
    <cfRule type="expression" dxfId="47" priority="23">
      <formula>$M$3="準委任"</formula>
    </cfRule>
    <cfRule type="expression" dxfId="46" priority="24">
      <formula>C28&lt;&gt;""</formula>
    </cfRule>
  </conditionalFormatting>
  <conditionalFormatting sqref="I30">
    <cfRule type="expression" dxfId="45" priority="19">
      <formula>C30=""</formula>
    </cfRule>
    <cfRule type="expression" dxfId="44" priority="20">
      <formula>$M$3="準委任"</formula>
    </cfRule>
    <cfRule type="expression" dxfId="43" priority="21">
      <formula>C30&lt;&gt;""</formula>
    </cfRule>
  </conditionalFormatting>
  <conditionalFormatting sqref="I31">
    <cfRule type="expression" dxfId="42" priority="16">
      <formula>C31=""</formula>
    </cfRule>
    <cfRule type="expression" dxfId="41" priority="17">
      <formula>$M$3="準委任"</formula>
    </cfRule>
    <cfRule type="expression" dxfId="40" priority="18">
      <formula>C31&lt;&gt;""</formula>
    </cfRule>
  </conditionalFormatting>
  <conditionalFormatting sqref="I34">
    <cfRule type="expression" dxfId="39" priority="13">
      <formula>C34=""</formula>
    </cfRule>
    <cfRule type="expression" dxfId="38" priority="14">
      <formula>$M$3="準委任"</formula>
    </cfRule>
    <cfRule type="expression" dxfId="37" priority="15">
      <formula>C34&lt;&gt;""</formula>
    </cfRule>
  </conditionalFormatting>
  <conditionalFormatting sqref="J27">
    <cfRule type="expression" dxfId="36" priority="12">
      <formula>K27&gt;6</formula>
    </cfRule>
  </conditionalFormatting>
  <conditionalFormatting sqref="J27">
    <cfRule type="expression" dxfId="35" priority="11">
      <formula>C27=""</formula>
    </cfRule>
  </conditionalFormatting>
  <conditionalFormatting sqref="J28">
    <cfRule type="expression" dxfId="34" priority="10">
      <formula>K28&gt;6</formula>
    </cfRule>
  </conditionalFormatting>
  <conditionalFormatting sqref="J28">
    <cfRule type="expression" dxfId="33" priority="9">
      <formula>C28=""</formula>
    </cfRule>
  </conditionalFormatting>
  <conditionalFormatting sqref="J30">
    <cfRule type="expression" dxfId="32" priority="8">
      <formula>K30&gt;6</formula>
    </cfRule>
  </conditionalFormatting>
  <conditionalFormatting sqref="J30">
    <cfRule type="expression" dxfId="31" priority="7">
      <formula>C30=""</formula>
    </cfRule>
  </conditionalFormatting>
  <conditionalFormatting sqref="J31">
    <cfRule type="expression" dxfId="30" priority="6">
      <formula>K31&gt;6</formula>
    </cfRule>
  </conditionalFormatting>
  <conditionalFormatting sqref="J31">
    <cfRule type="expression" dxfId="29" priority="5">
      <formula>C31=""</formula>
    </cfRule>
  </conditionalFormatting>
  <conditionalFormatting sqref="J34">
    <cfRule type="expression" dxfId="28" priority="4">
      <formula>K34&gt;6</formula>
    </cfRule>
  </conditionalFormatting>
  <conditionalFormatting sqref="J34">
    <cfRule type="expression" dxfId="27" priority="3">
      <formula>C34=""</formula>
    </cfRule>
  </conditionalFormatting>
  <conditionalFormatting sqref="Q13:R16">
    <cfRule type="expression" dxfId="26" priority="2">
      <formula>AND(K13&gt;0,C13&lt;&gt;"")</formula>
    </cfRule>
  </conditionalFormatting>
  <conditionalFormatting sqref="Q13:R16">
    <cfRule type="expression" dxfId="25" priority="1">
      <formula>C13=""</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04" t="str">
        <f>出退社入力シート!C3&amp;"年"</f>
        <v>2022年</v>
      </c>
      <c r="C2" s="304"/>
      <c r="E2" s="305" t="str">
        <f>出退社入力シート!H3&amp;"月"</f>
        <v>2月</v>
      </c>
      <c r="F2" s="305"/>
      <c r="G2" s="304" t="s">
        <v>35</v>
      </c>
      <c r="H2" s="304"/>
      <c r="I2" s="306" t="str">
        <f>IF(出退社入力シート!D40="","",出退社入力シート!D40)</f>
        <v>株式会社　HTKエンジニアリング</v>
      </c>
      <c r="J2" s="306"/>
      <c r="K2" s="306"/>
    </row>
    <row r="3" spans="1:11" ht="16.5" customHeight="1">
      <c r="B3" s="304"/>
      <c r="C3" s="304"/>
      <c r="E3" s="305"/>
      <c r="F3" s="305"/>
      <c r="G3" s="304"/>
      <c r="H3" s="304"/>
      <c r="I3" s="42" t="s">
        <v>38</v>
      </c>
    </row>
    <row r="4" spans="1:11" ht="22.5" customHeight="1" thickBot="1">
      <c r="H4" s="119" t="s">
        <v>36</v>
      </c>
      <c r="I4" s="307"/>
      <c r="J4" s="307"/>
      <c r="K4" s="123" t="s">
        <v>37</v>
      </c>
    </row>
    <row r="5" spans="1:11" ht="45" customHeight="1">
      <c r="B5" s="124" t="s">
        <v>20</v>
      </c>
      <c r="C5" s="125" t="s">
        <v>21</v>
      </c>
      <c r="D5" s="126"/>
      <c r="E5" s="126" t="s">
        <v>46</v>
      </c>
      <c r="F5" s="127" t="s">
        <v>16</v>
      </c>
      <c r="G5" s="308" t="s">
        <v>19</v>
      </c>
      <c r="H5" s="308"/>
      <c r="I5" s="309"/>
      <c r="J5" s="309"/>
      <c r="K5" s="310"/>
    </row>
    <row r="6" spans="1:11" ht="16.5" customHeight="1">
      <c r="B6" s="128">
        <f>出退社入力シート!C7</f>
        <v>44593</v>
      </c>
      <c r="C6" s="115" t="str">
        <f>出退社入力シート!D7</f>
        <v>火</v>
      </c>
      <c r="D6" s="129" t="str">
        <f>出退社入力シート!E7</f>
        <v/>
      </c>
      <c r="E6" s="115" t="str">
        <f>出退社入力シート!G7</f>
        <v>○</v>
      </c>
      <c r="F6" s="27">
        <f>IF(出退社入力シート!K7=0,"",出退社入力シート!K7)</f>
        <v>8</v>
      </c>
      <c r="G6" s="291" t="str">
        <f>IF(AND(E6="○",出退社入力シート!Q7=""),"入力漏れ！！",出退社入力シート!Q7)</f>
        <v>#27941 パンデミック対応（一括発注承認パターンマスタメンテナンス）テスト</v>
      </c>
      <c r="H6" s="291"/>
      <c r="I6" s="292"/>
      <c r="J6" s="292"/>
      <c r="K6" s="293"/>
    </row>
    <row r="7" spans="1:11" ht="16.5" customHeight="1">
      <c r="B7" s="128">
        <f>出退社入力シート!C8</f>
        <v>44594</v>
      </c>
      <c r="C7" s="115" t="str">
        <f>出退社入力シート!D8</f>
        <v>水</v>
      </c>
      <c r="D7" s="129" t="str">
        <f>出退社入力シート!E8</f>
        <v/>
      </c>
      <c r="E7" s="115" t="str">
        <f>出退社入力シート!G8</f>
        <v>○</v>
      </c>
      <c r="F7" s="27">
        <f>IF(出退社入力シート!K8=0,"",出退社入力シート!K8)</f>
        <v>9.75</v>
      </c>
      <c r="G7" s="291" t="str">
        <f>IF(AND(E7="○",出退社入力シート!Q8=""),"入力漏れ！！",出退社入力シート!Q8)</f>
        <v>#27941 パンデミック対応（一括発注承認パターンマスタメンテナンス）テスト、レビュー参加</v>
      </c>
      <c r="H7" s="291"/>
      <c r="I7" s="292"/>
      <c r="J7" s="292"/>
      <c r="K7" s="293"/>
    </row>
    <row r="8" spans="1:11" ht="16.5" customHeight="1">
      <c r="B8" s="128">
        <f>出退社入力シート!C9</f>
        <v>44595</v>
      </c>
      <c r="C8" s="115" t="str">
        <f>出退社入力シート!D9</f>
        <v>木</v>
      </c>
      <c r="D8" s="129" t="str">
        <f>出退社入力シート!E9</f>
        <v/>
      </c>
      <c r="E8" s="115" t="str">
        <f>出退社入力シート!G9</f>
        <v>○</v>
      </c>
      <c r="F8" s="27">
        <f>IF(出退社入力シート!K9=0,"",出退社入力シート!K9)</f>
        <v>8.25</v>
      </c>
      <c r="G8" s="291" t="str">
        <f>IF(AND(E8="○",出退社入力シート!Q9=""),"入力漏れ！！",出退社入力シート!Q9)</f>
        <v>#27941 パンデミック対応（一括発注承認パターンマスタメンテナンス）テスト</v>
      </c>
      <c r="H8" s="291"/>
      <c r="I8" s="292"/>
      <c r="J8" s="292"/>
      <c r="K8" s="293"/>
    </row>
    <row r="9" spans="1:11" ht="16.5" customHeight="1">
      <c r="B9" s="128">
        <f>出退社入力シート!C10</f>
        <v>44596</v>
      </c>
      <c r="C9" s="115" t="str">
        <f>出退社入力シート!D10</f>
        <v>金</v>
      </c>
      <c r="D9" s="129" t="str">
        <f>出退社入力シート!E10</f>
        <v/>
      </c>
      <c r="E9" s="115" t="str">
        <f>出退社入力シート!G10</f>
        <v>○</v>
      </c>
      <c r="F9" s="27">
        <f>IF(出退社入力シート!K10=0,"",出退社入力シート!K10)</f>
        <v>8.75</v>
      </c>
      <c r="G9" s="291" t="str">
        <f>IF(AND(E9="○",出退社入力シート!Q10=""),"入力漏れ！！",出退社入力シート!Q10)</f>
        <v>#27941 パンデミック対応（一括発注承認パターンマスタメンテナンス）テスト、レビュー参加</v>
      </c>
      <c r="H9" s="291"/>
      <c r="I9" s="292"/>
      <c r="J9" s="292"/>
      <c r="K9" s="293"/>
    </row>
    <row r="10" spans="1:11" ht="16.5" customHeight="1">
      <c r="B10" s="128">
        <f>出退社入力シート!C11</f>
        <v>44597</v>
      </c>
      <c r="C10" s="115" t="str">
        <f>出退社入力シート!D11</f>
        <v>土</v>
      </c>
      <c r="D10" s="129" t="str">
        <f>出退社入力シート!E11</f>
        <v/>
      </c>
      <c r="E10" s="115" t="str">
        <f>出退社入力シート!G11</f>
        <v/>
      </c>
      <c r="F10" s="27" t="str">
        <f>IF(出退社入力シート!K11=0,"",出退社入力シート!K11)</f>
        <v/>
      </c>
      <c r="G10" s="291">
        <f>IF(AND(E10="○",出退社入力シート!Q11=""),"入力漏れ！！",出退社入力シート!Q11)</f>
        <v>0</v>
      </c>
      <c r="H10" s="291"/>
      <c r="I10" s="292"/>
      <c r="J10" s="292"/>
      <c r="K10" s="293"/>
    </row>
    <row r="11" spans="1:11" ht="16.5" customHeight="1">
      <c r="B11" s="128">
        <f>出退社入力シート!C12</f>
        <v>44598</v>
      </c>
      <c r="C11" s="115" t="str">
        <f>出退社入力シート!D12</f>
        <v>日</v>
      </c>
      <c r="D11" s="129" t="str">
        <f>出退社入力シート!E12</f>
        <v/>
      </c>
      <c r="E11" s="115" t="str">
        <f>出退社入力シート!G12</f>
        <v/>
      </c>
      <c r="F11" s="27" t="str">
        <f>IF(出退社入力シート!K12=0,"",出退社入力シート!K12)</f>
        <v/>
      </c>
      <c r="G11" s="291">
        <f>IF(AND(E11="○",出退社入力シート!Q12=""),"入力漏れ！！",出退社入力シート!Q12)</f>
        <v>0</v>
      </c>
      <c r="H11" s="291"/>
      <c r="I11" s="292"/>
      <c r="J11" s="292"/>
      <c r="K11" s="293"/>
    </row>
    <row r="12" spans="1:11" ht="16.5" customHeight="1">
      <c r="B12" s="128">
        <f>出退社入力シート!C13</f>
        <v>44599</v>
      </c>
      <c r="C12" s="115" t="str">
        <f>出退社入力シート!D13</f>
        <v>月</v>
      </c>
      <c r="D12" s="129" t="str">
        <f>出退社入力シート!E13</f>
        <v/>
      </c>
      <c r="E12" s="115" t="str">
        <f>出退社入力シート!G13</f>
        <v>○</v>
      </c>
      <c r="F12" s="27">
        <f>IF(出退社入力シート!K13=0,"",出退社入力シート!K13)</f>
        <v>9.75</v>
      </c>
      <c r="G12" s="291" t="str">
        <f>IF(AND(E12="○",出退社入力シート!Q13=""),"入力漏れ！！",出退社入力シート!Q13)</f>
        <v>#27941 パンデミック対応（一括発注承認パターンマスタメンテナンス）テスト</v>
      </c>
      <c r="H12" s="291"/>
      <c r="I12" s="292"/>
      <c r="J12" s="292"/>
      <c r="K12" s="293"/>
    </row>
    <row r="13" spans="1:11" ht="16.5" customHeight="1">
      <c r="B13" s="128">
        <f>出退社入力シート!C14</f>
        <v>44600</v>
      </c>
      <c r="C13" s="115" t="str">
        <f>出退社入力シート!D14</f>
        <v>火</v>
      </c>
      <c r="D13" s="129" t="str">
        <f>出退社入力シート!E14</f>
        <v/>
      </c>
      <c r="E13" s="115" t="str">
        <f>出退社入力シート!G14</f>
        <v>○</v>
      </c>
      <c r="F13" s="27">
        <f>IF(出退社入力シート!K14=0,"",出退社入力シート!K14)</f>
        <v>9.75</v>
      </c>
      <c r="G13" s="291" t="str">
        <f>IF(AND(E13="○",出退社入力シート!Q14=""),"入力漏れ！！",出退社入力シート!Q14)</f>
        <v>#27941 パンデミック対応（一括発注承認パターンマスタメンテナンス）テスト、レビュー参加</v>
      </c>
      <c r="H13" s="291"/>
      <c r="I13" s="292"/>
      <c r="J13" s="292"/>
      <c r="K13" s="293"/>
    </row>
    <row r="14" spans="1:11" ht="16.5" customHeight="1">
      <c r="B14" s="128">
        <f>出退社入力シート!C15</f>
        <v>44601</v>
      </c>
      <c r="C14" s="115" t="str">
        <f>出退社入力シート!D15</f>
        <v>水</v>
      </c>
      <c r="D14" s="129" t="str">
        <f>出退社入力シート!E15</f>
        <v/>
      </c>
      <c r="E14" s="115" t="str">
        <f>出退社入力シート!G15</f>
        <v>○</v>
      </c>
      <c r="F14" s="27">
        <f>IF(出退社入力シート!K15=0,"",出退社入力シート!K15)</f>
        <v>9</v>
      </c>
      <c r="G14" s="291" t="str">
        <f>IF(AND(E14="○",出退社入力シート!Q15=""),"入力漏れ！！",出退社入力シート!Q15)</f>
        <v>#27941 パンデミック対応（一括発注承認パターンマスタメンテナンス）テスト</v>
      </c>
      <c r="H14" s="291"/>
      <c r="I14" s="292"/>
      <c r="J14" s="292"/>
      <c r="K14" s="293"/>
    </row>
    <row r="15" spans="1:11" ht="16.5" customHeight="1">
      <c r="B15" s="128">
        <f>出退社入力シート!C16</f>
        <v>44602</v>
      </c>
      <c r="C15" s="115" t="str">
        <f>出退社入力シート!D16</f>
        <v>木</v>
      </c>
      <c r="D15" s="129" t="str">
        <f>出退社入力シート!E16</f>
        <v/>
      </c>
      <c r="E15" s="115" t="str">
        <f>出退社入力シート!G16</f>
        <v>○</v>
      </c>
      <c r="F15" s="27">
        <f>IF(出退社入力シート!K16=0,"",出退社入力シート!K16)</f>
        <v>8.25</v>
      </c>
      <c r="G15" s="291" t="str">
        <f>IF(AND(E15="○",出退社入力シート!Q16=""),"入力漏れ！！",出退社入力シート!Q16)</f>
        <v>#27941 パンデミック対応（一括発注承認パターンマスタメンテナンス）テスト</v>
      </c>
      <c r="H15" s="291"/>
      <c r="I15" s="292"/>
      <c r="J15" s="292"/>
      <c r="K15" s="293"/>
    </row>
    <row r="16" spans="1:11" ht="16.5" customHeight="1">
      <c r="B16" s="128">
        <f>出退社入力シート!C17</f>
        <v>44603</v>
      </c>
      <c r="C16" s="115" t="str">
        <f>出退社入力シート!D17</f>
        <v>金</v>
      </c>
      <c r="D16" s="129" t="str">
        <f>出退社入力シート!E17</f>
        <v>建国記念日</v>
      </c>
      <c r="E16" s="115" t="str">
        <f>出退社入力シート!G17</f>
        <v/>
      </c>
      <c r="F16" s="27" t="str">
        <f>IF(出退社入力シート!K17=0,"",出退社入力シート!K17)</f>
        <v/>
      </c>
      <c r="G16" s="291">
        <f>IF(AND(E16="○",出退社入力シート!Q17=""),"入力漏れ！！",出退社入力シート!Q17)</f>
        <v>0</v>
      </c>
      <c r="H16" s="291"/>
      <c r="I16" s="292"/>
      <c r="J16" s="292"/>
      <c r="K16" s="293"/>
    </row>
    <row r="17" spans="2:11" ht="16.5" customHeight="1">
      <c r="B17" s="128">
        <f>出退社入力シート!C18</f>
        <v>44604</v>
      </c>
      <c r="C17" s="115" t="str">
        <f>出退社入力シート!D18</f>
        <v>土</v>
      </c>
      <c r="D17" s="129" t="str">
        <f>出退社入力シート!E18</f>
        <v/>
      </c>
      <c r="E17" s="115" t="str">
        <f>出退社入力シート!G18</f>
        <v/>
      </c>
      <c r="F17" s="27" t="str">
        <f>IF(出退社入力シート!K18=0,"",出退社入力シート!K18)</f>
        <v/>
      </c>
      <c r="G17" s="291">
        <f>IF(AND(E17="○",出退社入力シート!Q18=""),"入力漏れ！！",出退社入力シート!Q18)</f>
        <v>0</v>
      </c>
      <c r="H17" s="291"/>
      <c r="I17" s="292"/>
      <c r="J17" s="292"/>
      <c r="K17" s="293"/>
    </row>
    <row r="18" spans="2:11" ht="16.5" customHeight="1">
      <c r="B18" s="128">
        <f>出退社入力シート!C19</f>
        <v>44605</v>
      </c>
      <c r="C18" s="115" t="str">
        <f>出退社入力シート!D19</f>
        <v>日</v>
      </c>
      <c r="D18" s="129" t="str">
        <f>出退社入力シート!E19</f>
        <v/>
      </c>
      <c r="E18" s="115" t="str">
        <f>出退社入力シート!G19</f>
        <v/>
      </c>
      <c r="F18" s="27" t="str">
        <f>IF(出退社入力シート!K19=0,"",出退社入力シート!K19)</f>
        <v/>
      </c>
      <c r="G18" s="291">
        <f>IF(AND(E18="○",出退社入力シート!Q19=""),"入力漏れ！！",出退社入力シート!Q19)</f>
        <v>0</v>
      </c>
      <c r="H18" s="291"/>
      <c r="I18" s="292"/>
      <c r="J18" s="292"/>
      <c r="K18" s="293"/>
    </row>
    <row r="19" spans="2:11" ht="16.5" customHeight="1">
      <c r="B19" s="128">
        <f>出退社入力シート!C20</f>
        <v>44606</v>
      </c>
      <c r="C19" s="115" t="str">
        <f>出退社入力シート!D20</f>
        <v>月</v>
      </c>
      <c r="D19" s="129" t="str">
        <f>出退社入力シート!E20</f>
        <v/>
      </c>
      <c r="E19" s="115" t="str">
        <f>出退社入力シート!G20</f>
        <v>○</v>
      </c>
      <c r="F19" s="27">
        <f>IF(出退社入力シート!K20=0,"",出退社入力シート!K20)</f>
        <v>8.75</v>
      </c>
      <c r="G19" s="291" t="str">
        <f>IF(AND(E19="○",出退社入力シート!Q20=""),"入力漏れ！！",出退社入力シート!Q20)</f>
        <v>#27941 パンデミック対応（一括発注承認パターンマスタメンテナンス）テスト</v>
      </c>
      <c r="H19" s="291"/>
      <c r="I19" s="292"/>
      <c r="J19" s="292"/>
      <c r="K19" s="293"/>
    </row>
    <row r="20" spans="2:11" ht="16.5" customHeight="1">
      <c r="B20" s="128">
        <f>出退社入力シート!C21</f>
        <v>44607</v>
      </c>
      <c r="C20" s="115" t="str">
        <f>出退社入力シート!D21</f>
        <v>火</v>
      </c>
      <c r="D20" s="129" t="str">
        <f>出退社入力シート!E21</f>
        <v/>
      </c>
      <c r="E20" s="115" t="str">
        <f>出退社入力シート!G21</f>
        <v>○</v>
      </c>
      <c r="F20" s="27">
        <f>IF(出退社入力シート!K21=0,"",出退社入力シート!K21)</f>
        <v>10.75</v>
      </c>
      <c r="G20" s="291" t="str">
        <f>IF(AND(E20="○",出退社入力シート!Q21=""),"入力漏れ！！",出退社入力シート!Q21)</f>
        <v>#27941 パンデミック対応（一括発注承認パターンマスタメンテナンス）テスト</v>
      </c>
      <c r="H20" s="291"/>
      <c r="I20" s="292"/>
      <c r="J20" s="292"/>
      <c r="K20" s="293"/>
    </row>
    <row r="21" spans="2:11" ht="16.5" customHeight="1">
      <c r="B21" s="128">
        <f>出退社入力シート!C22</f>
        <v>44608</v>
      </c>
      <c r="C21" s="115" t="str">
        <f>出退社入力シート!D22</f>
        <v>水</v>
      </c>
      <c r="D21" s="129" t="str">
        <f>出退社入力シート!E22</f>
        <v/>
      </c>
      <c r="E21" s="115" t="str">
        <f>出退社入力シート!G22</f>
        <v>○</v>
      </c>
      <c r="F21" s="27">
        <f>IF(出退社入力シート!K22=0,"",出退社入力シート!K22)</f>
        <v>11</v>
      </c>
      <c r="G21" s="291" t="str">
        <f>IF(AND(E21="○",出退社入力シート!Q22=""),"入力漏れ！！",出退社入力シート!Q22)</f>
        <v>#27941 パンデミック対応（一括発注承認パターンマスタメンテナンス）テスト、他メンバーからの支援依頼作業</v>
      </c>
      <c r="H21" s="291"/>
      <c r="I21" s="292"/>
      <c r="J21" s="292"/>
      <c r="K21" s="293"/>
    </row>
    <row r="22" spans="2:11" ht="16.5" customHeight="1">
      <c r="B22" s="128">
        <f>出退社入力シート!C23</f>
        <v>44609</v>
      </c>
      <c r="C22" s="115" t="str">
        <f>出退社入力シート!D23</f>
        <v>木</v>
      </c>
      <c r="D22" s="129" t="str">
        <f>出退社入力シート!E23</f>
        <v/>
      </c>
      <c r="E22" s="115" t="str">
        <f>出退社入力シート!G23</f>
        <v>○</v>
      </c>
      <c r="F22" s="27">
        <f>IF(出退社入力シート!K23=0,"",出退社入力シート!K23)</f>
        <v>8.25</v>
      </c>
      <c r="G22" s="291" t="str">
        <f>IF(AND(E22="○",出退社入力シート!Q23=""),"入力漏れ！！",出退社入力シート!Q23)</f>
        <v>#27941 パンデミック対応（一括発注承認パターンマスタメンテナンス）テスト、レビュー参加</v>
      </c>
      <c r="H22" s="291"/>
      <c r="I22" s="292"/>
      <c r="J22" s="292"/>
      <c r="K22" s="293"/>
    </row>
    <row r="23" spans="2:11" ht="16.5" customHeight="1">
      <c r="B23" s="128">
        <f>出退社入力シート!C24</f>
        <v>44610</v>
      </c>
      <c r="C23" s="115" t="str">
        <f>出退社入力シート!D24</f>
        <v>金</v>
      </c>
      <c r="D23" s="129" t="str">
        <f>出退社入力シート!E24</f>
        <v/>
      </c>
      <c r="E23" s="115" t="str">
        <f>出退社入力シート!G24</f>
        <v>○</v>
      </c>
      <c r="F23" s="27">
        <f>IF(出退社入力シート!K24=0,"",出退社入力シート!K24)</f>
        <v>8</v>
      </c>
      <c r="G23" s="291" t="str">
        <f>IF(AND(E23="○",出退社入力シート!Q24=""),"入力漏れ！！",出退社入力シート!Q24)</f>
        <v>#27941 パンデミック対応（一括発注承認パターンマスタメンテナンス）テスト</v>
      </c>
      <c r="H23" s="291"/>
      <c r="I23" s="292"/>
      <c r="J23" s="292"/>
      <c r="K23" s="293"/>
    </row>
    <row r="24" spans="2:11" ht="16.5" customHeight="1">
      <c r="B24" s="128">
        <f>出退社入力シート!C25</f>
        <v>44611</v>
      </c>
      <c r="C24" s="115" t="str">
        <f>出退社入力シート!D25</f>
        <v>土</v>
      </c>
      <c r="D24" s="129" t="str">
        <f>出退社入力シート!E25</f>
        <v/>
      </c>
      <c r="E24" s="115" t="str">
        <f>出退社入力シート!G25</f>
        <v/>
      </c>
      <c r="F24" s="27" t="str">
        <f>IF(出退社入力シート!K25=0,"",出退社入力シート!K25)</f>
        <v/>
      </c>
      <c r="G24" s="291">
        <f>IF(AND(E24="○",出退社入力シート!Q25=""),"入力漏れ！！",出退社入力シート!Q25)</f>
        <v>0</v>
      </c>
      <c r="H24" s="291"/>
      <c r="I24" s="292"/>
      <c r="J24" s="292"/>
      <c r="K24" s="293"/>
    </row>
    <row r="25" spans="2:11" ht="16.5" customHeight="1">
      <c r="B25" s="128">
        <f>出退社入力シート!C26</f>
        <v>44612</v>
      </c>
      <c r="C25" s="115" t="str">
        <f>出退社入力シート!D26</f>
        <v>日</v>
      </c>
      <c r="D25" s="129" t="str">
        <f>出退社入力シート!E26</f>
        <v/>
      </c>
      <c r="E25" s="115" t="str">
        <f>出退社入力シート!G26</f>
        <v/>
      </c>
      <c r="F25" s="27" t="str">
        <f>IF(出退社入力シート!K26=0,"",出退社入力シート!K26)</f>
        <v/>
      </c>
      <c r="G25" s="291">
        <f>IF(AND(E25="○",出退社入力シート!Q26=""),"入力漏れ！！",出退社入力シート!Q26)</f>
        <v>0</v>
      </c>
      <c r="H25" s="291"/>
      <c r="I25" s="292"/>
      <c r="J25" s="292"/>
      <c r="K25" s="293"/>
    </row>
    <row r="26" spans="2:11" ht="16.5" customHeight="1">
      <c r="B26" s="128">
        <f>出退社入力シート!C27</f>
        <v>44613</v>
      </c>
      <c r="C26" s="115" t="str">
        <f>出退社入力シート!D27</f>
        <v>月</v>
      </c>
      <c r="D26" s="129" t="str">
        <f>出退社入力シート!E27</f>
        <v/>
      </c>
      <c r="E26" s="115" t="str">
        <f>出退社入力シート!G27</f>
        <v>○</v>
      </c>
      <c r="F26" s="27">
        <f>IF(出退社入力シート!K27=0,"",出退社入力シート!K27)</f>
        <v>9.25</v>
      </c>
      <c r="G26" s="291" t="str">
        <f>IF(AND(E26="○",出退社入力シート!Q27=""),"入力漏れ！！",出退社入力シート!Q27)</f>
        <v>#27941 パンデミック対応（一括発注承認パターンマスタメンテナンス）テスト</v>
      </c>
      <c r="H26" s="291"/>
      <c r="I26" s="292"/>
      <c r="J26" s="292"/>
      <c r="K26" s="293"/>
    </row>
    <row r="27" spans="2:11" ht="16.5" customHeight="1">
      <c r="B27" s="128">
        <f>出退社入力シート!C28</f>
        <v>44614</v>
      </c>
      <c r="C27" s="115" t="str">
        <f>出退社入力シート!D28</f>
        <v>火</v>
      </c>
      <c r="D27" s="129" t="str">
        <f>出退社入力シート!E28</f>
        <v/>
      </c>
      <c r="E27" s="115" t="str">
        <f>出退社入力シート!G28</f>
        <v>○</v>
      </c>
      <c r="F27" s="27">
        <f>IF(出退社入力シート!K28=0,"",出退社入力シート!K28)</f>
        <v>8</v>
      </c>
      <c r="G27" s="291" t="str">
        <f>IF(AND(E27="○",出退社入力シート!Q28=""),"入力漏れ！！",出退社入力シート!Q28)</f>
        <v>#27941 パンデミック対応（一括発注承認パターンマスタメンテナンス）テスト</v>
      </c>
      <c r="H27" s="291"/>
      <c r="I27" s="292"/>
      <c r="J27" s="292"/>
      <c r="K27" s="293"/>
    </row>
    <row r="28" spans="2:11" ht="16.5" customHeight="1">
      <c r="B28" s="128">
        <f>出退社入力シート!C29</f>
        <v>44615</v>
      </c>
      <c r="C28" s="115" t="str">
        <f>出退社入力シート!D29</f>
        <v>水</v>
      </c>
      <c r="D28" s="129" t="str">
        <f>出退社入力シート!E29</f>
        <v>天皇誕生日</v>
      </c>
      <c r="E28" s="115" t="str">
        <f>出退社入力シート!G29</f>
        <v/>
      </c>
      <c r="F28" s="27" t="str">
        <f>IF(出退社入力シート!K29=0,"",出退社入力シート!K29)</f>
        <v/>
      </c>
      <c r="G28" s="291">
        <f>IF(AND(E28="○",出退社入力シート!Q29=""),"入力漏れ！！",出退社入力シート!Q29)</f>
        <v>0</v>
      </c>
      <c r="H28" s="291"/>
      <c r="I28" s="292"/>
      <c r="J28" s="292"/>
      <c r="K28" s="293"/>
    </row>
    <row r="29" spans="2:11" ht="16.5" customHeight="1">
      <c r="B29" s="128">
        <f>出退社入力シート!C30</f>
        <v>44616</v>
      </c>
      <c r="C29" s="115" t="str">
        <f>出退社入力シート!D30</f>
        <v>木</v>
      </c>
      <c r="D29" s="129" t="str">
        <f>出退社入力シート!E30</f>
        <v/>
      </c>
      <c r="E29" s="115" t="str">
        <f>出退社入力シート!G30</f>
        <v>○</v>
      </c>
      <c r="F29" s="27">
        <f>IF(出退社入力シート!K30=0,"",出退社入力シート!K30)</f>
        <v>8</v>
      </c>
      <c r="G29" s="291" t="str">
        <f>IF(AND(E29="○",出退社入力シート!Q30=""),"入力漏れ！！",出退社入力シート!Q30)</f>
        <v>#27941 パンデミック対応（一括発注承認パターンマスタメンテナンス）テスト、レビュー参加</v>
      </c>
      <c r="H29" s="291"/>
      <c r="I29" s="292"/>
      <c r="J29" s="292"/>
      <c r="K29" s="293"/>
    </row>
    <row r="30" spans="2:11" ht="16.5" customHeight="1">
      <c r="B30" s="128">
        <f>出退社入力シート!C31</f>
        <v>44617</v>
      </c>
      <c r="C30" s="115" t="str">
        <f>出退社入力シート!D31</f>
        <v>金</v>
      </c>
      <c r="D30" s="129" t="str">
        <f>出退社入力シート!E31</f>
        <v/>
      </c>
      <c r="E30" s="115" t="str">
        <f>出退社入力シート!G31</f>
        <v>○</v>
      </c>
      <c r="F30" s="27">
        <f>IF(出退社入力シート!K31=0,"",出退社入力シート!K31)</f>
        <v>8</v>
      </c>
      <c r="G30" s="291" t="str">
        <f>IF(AND(E30="○",出退社入力シート!Q31=""),"入力漏れ！！",出退社入力シート!Q31)</f>
        <v>#27941 パンデミック対応（一括発注承認パターンマスタメンテナンス）テスト</v>
      </c>
      <c r="H30" s="291"/>
      <c r="I30" s="292"/>
      <c r="J30" s="292"/>
      <c r="K30" s="293"/>
    </row>
    <row r="31" spans="2:11" ht="16.5" customHeight="1">
      <c r="B31" s="128">
        <f>出退社入力シート!C32</f>
        <v>44618</v>
      </c>
      <c r="C31" s="115" t="str">
        <f>出退社入力シート!D32</f>
        <v>土</v>
      </c>
      <c r="D31" s="129" t="str">
        <f>出退社入力シート!E32</f>
        <v/>
      </c>
      <c r="E31" s="115" t="str">
        <f>出退社入力シート!G32</f>
        <v/>
      </c>
      <c r="F31" s="27" t="str">
        <f>IF(出退社入力シート!K32=0,"",出退社入力シート!K32)</f>
        <v/>
      </c>
      <c r="G31" s="291">
        <f>IF(AND(E31="○",出退社入力シート!Q32=""),"入力漏れ！！",出退社入力シート!Q32)</f>
        <v>0</v>
      </c>
      <c r="H31" s="291"/>
      <c r="I31" s="292"/>
      <c r="J31" s="292"/>
      <c r="K31" s="293"/>
    </row>
    <row r="32" spans="2:11" ht="16.5" customHeight="1">
      <c r="B32" s="128">
        <f>出退社入力シート!C33</f>
        <v>44619</v>
      </c>
      <c r="C32" s="115" t="str">
        <f>出退社入力シート!D33</f>
        <v>日</v>
      </c>
      <c r="D32" s="129" t="str">
        <f>出退社入力シート!E33</f>
        <v/>
      </c>
      <c r="E32" s="115" t="str">
        <f>出退社入力シート!G33</f>
        <v/>
      </c>
      <c r="F32" s="27" t="str">
        <f>IF(出退社入力シート!K33=0,"",出退社入力シート!K33)</f>
        <v/>
      </c>
      <c r="G32" s="291">
        <f>IF(AND(E32="○",出退社入力シート!Q33=""),"入力漏れ！！",出退社入力シート!Q33)</f>
        <v>0</v>
      </c>
      <c r="H32" s="291"/>
      <c r="I32" s="292"/>
      <c r="J32" s="292"/>
      <c r="K32" s="293"/>
    </row>
    <row r="33" spans="2:11" ht="16.5" customHeight="1">
      <c r="B33" s="128">
        <f>出退社入力シート!C34</f>
        <v>44620</v>
      </c>
      <c r="C33" s="115" t="str">
        <f>出退社入力シート!D34</f>
        <v>月</v>
      </c>
      <c r="D33" s="129" t="str">
        <f>出退社入力シート!E34</f>
        <v/>
      </c>
      <c r="E33" s="115" t="str">
        <f>出退社入力シート!G34</f>
        <v>○</v>
      </c>
      <c r="F33" s="27">
        <f>IF(出退社入力シート!K34=0,"",出退社入力シート!K34)</f>
        <v>8</v>
      </c>
      <c r="G33" s="291" t="str">
        <f>IF(AND(E33="○",出退社入力シート!Q34=""),"入力漏れ！！",出退社入力シート!Q34)</f>
        <v>#27941 パンデミック対応（一括発注承認パターンマスタメンテナンス）テスト</v>
      </c>
      <c r="H33" s="291"/>
      <c r="I33" s="292"/>
      <c r="J33" s="292"/>
      <c r="K33" s="293"/>
    </row>
    <row r="34" spans="2:11" ht="16.5" customHeight="1">
      <c r="B34" s="128" t="str">
        <f>出退社入力シート!C35</f>
        <v/>
      </c>
      <c r="C34" s="115" t="str">
        <f>出退社入力シート!D35</f>
        <v/>
      </c>
      <c r="D34" s="129" t="str">
        <f>出退社入力シート!E35</f>
        <v/>
      </c>
      <c r="E34" s="115" t="str">
        <f>出退社入力シート!G35</f>
        <v/>
      </c>
      <c r="F34" s="27" t="str">
        <f>IF(出退社入力シート!K35=0,"",出退社入力シート!K35)</f>
        <v/>
      </c>
      <c r="G34" s="291">
        <f>IF(AND(E34="○",出退社入力シート!Q35=""),"入力漏れ！！",出退社入力シート!Q35)</f>
        <v>0</v>
      </c>
      <c r="H34" s="291"/>
      <c r="I34" s="292"/>
      <c r="J34" s="292"/>
      <c r="K34" s="293"/>
    </row>
    <row r="35" spans="2:11" ht="16.5" customHeight="1">
      <c r="B35" s="128" t="str">
        <f>出退社入力シート!C36</f>
        <v/>
      </c>
      <c r="C35" s="115" t="str">
        <f>出退社入力シート!D36</f>
        <v/>
      </c>
      <c r="D35" s="129" t="str">
        <f>出退社入力シート!E36</f>
        <v/>
      </c>
      <c r="E35" s="115" t="str">
        <f>出退社入力シート!G36</f>
        <v/>
      </c>
      <c r="F35" s="27" t="str">
        <f>IF(出退社入力シート!K36=0,"",出退社入力シート!K36)</f>
        <v/>
      </c>
      <c r="G35" s="291">
        <f>IF(AND(E35="○",出退社入力シート!Q36=""),"入力漏れ！！",出退社入力シート!Q36)</f>
        <v>0</v>
      </c>
      <c r="H35" s="291"/>
      <c r="I35" s="292"/>
      <c r="J35" s="292"/>
      <c r="K35" s="293"/>
    </row>
    <row r="36" spans="2:11" ht="16.5" customHeight="1">
      <c r="B36" s="128" t="str">
        <f>出退社入力シート!C37</f>
        <v/>
      </c>
      <c r="C36" s="115" t="str">
        <f>出退社入力シート!D37</f>
        <v/>
      </c>
      <c r="D36" s="129" t="str">
        <f>出退社入力シート!E37</f>
        <v/>
      </c>
      <c r="E36" s="115" t="str">
        <f>出退社入力シート!G37</f>
        <v/>
      </c>
      <c r="F36" s="27" t="str">
        <f>IF(出退社入力シート!K37=0,"",出退社入力シート!K37)</f>
        <v/>
      </c>
      <c r="G36" s="291">
        <f>IF(AND(E36="○",出退社入力シート!Q37=""),"入力漏れ！！",出退社入力シート!Q37)</f>
        <v>0</v>
      </c>
      <c r="H36" s="291"/>
      <c r="I36" s="292"/>
      <c r="J36" s="292"/>
      <c r="K36" s="293"/>
    </row>
    <row r="37" spans="2:11" s="116" customFormat="1" ht="16.5" customHeight="1">
      <c r="B37" s="298" t="s">
        <v>29</v>
      </c>
      <c r="C37" s="299"/>
      <c r="D37" s="130"/>
      <c r="E37" s="130" t="s">
        <v>31</v>
      </c>
      <c r="F37" s="130" t="s">
        <v>32</v>
      </c>
      <c r="G37" s="300" t="s">
        <v>17</v>
      </c>
      <c r="H37" s="302"/>
      <c r="I37" s="303"/>
      <c r="J37" s="300" t="s">
        <v>33</v>
      </c>
      <c r="K37" s="301"/>
    </row>
    <row r="38" spans="2:11" ht="16.5" customHeight="1">
      <c r="B38" s="321">
        <f>出退社入力シート!F38</f>
        <v>18</v>
      </c>
      <c r="C38" s="322"/>
      <c r="D38" s="129"/>
      <c r="E38" s="129">
        <f>出退社入力シート!G38</f>
        <v>18</v>
      </c>
      <c r="F38" s="27">
        <f>出退社入力シート!K38</f>
        <v>159.5</v>
      </c>
      <c r="G38" s="131" t="str">
        <f>IF(出退社入力シート!K41="","",出退社入力シート!K41)</f>
        <v/>
      </c>
      <c r="H38" s="317" t="str">
        <f>IF(出退社入力シート!L41="","",出退社入力シート!L41)</f>
        <v/>
      </c>
      <c r="I38" s="318"/>
      <c r="J38" s="296">
        <f>出退社入力シート!P41</f>
        <v>159.5</v>
      </c>
      <c r="K38" s="297"/>
    </row>
    <row r="39" spans="2:11" ht="16.5" customHeight="1">
      <c r="B39" s="323" t="s">
        <v>34</v>
      </c>
      <c r="C39" s="324"/>
      <c r="D39" s="324"/>
      <c r="E39" s="324"/>
      <c r="F39" s="325"/>
      <c r="G39" s="131" t="str">
        <f>IF(OR(出退社入力シート!K42="",出退社入力シート!P42=""),"",出退社入力シート!K42)</f>
        <v/>
      </c>
      <c r="H39" s="317" t="str">
        <f>IF(OR(出退社入力シート!L42="",出退社入力シート!P42=""),"",出退社入力シート!L42)</f>
        <v/>
      </c>
      <c r="I39" s="318"/>
      <c r="J39" s="296" t="str">
        <f>出退社入力シート!P42</f>
        <v/>
      </c>
      <c r="K39" s="297"/>
    </row>
    <row r="40" spans="2:11" ht="16.5" customHeight="1">
      <c r="B40" s="326" t="str">
        <f>IF(出退社入力シート!D40="","入力漏れ！！",出退社入力シート!D40)</f>
        <v>株式会社　HTKエンジニアリング</v>
      </c>
      <c r="C40" s="327"/>
      <c r="D40" s="327"/>
      <c r="E40" s="327"/>
      <c r="F40" s="328"/>
      <c r="G40" s="131" t="str">
        <f>IF(OR(出退社入力シート!K43="",出退社入力シート!P43=""),"",出退社入力シート!K43)</f>
        <v/>
      </c>
      <c r="H40" s="317" t="str">
        <f>IF(OR(出退社入力シート!L43="",出退社入力シート!P43=""),"",出退社入力シート!L43)</f>
        <v/>
      </c>
      <c r="I40" s="318"/>
      <c r="J40" s="296" t="str">
        <f>出退社入力シート!P43</f>
        <v/>
      </c>
      <c r="K40" s="297"/>
    </row>
    <row r="41" spans="2:11" ht="16.5" customHeight="1">
      <c r="B41" s="311" t="str">
        <f>IF(出退社入力シート!D42="","",出退社入力シート!D42)</f>
        <v>史正韵</v>
      </c>
      <c r="C41" s="312"/>
      <c r="D41" s="312"/>
      <c r="E41" s="312"/>
      <c r="F41" s="313"/>
      <c r="G41" s="131" t="str">
        <f>IF(OR(出退社入力シート!K44="",出退社入力シート!P44=""),"",出退社入力シート!K44)</f>
        <v/>
      </c>
      <c r="H41" s="317" t="str">
        <f>IF(OR(出退社入力シート!L44="",出退社入力シート!P44=""),"",出退社入力シート!L44)</f>
        <v/>
      </c>
      <c r="I41" s="318"/>
      <c r="J41" s="296" t="str">
        <f>出退社入力シート!P44</f>
        <v/>
      </c>
      <c r="K41" s="297"/>
    </row>
    <row r="42" spans="2:11" ht="16.5" customHeight="1" thickBot="1">
      <c r="B42" s="314"/>
      <c r="C42" s="315"/>
      <c r="D42" s="315"/>
      <c r="E42" s="315"/>
      <c r="F42" s="316"/>
      <c r="G42" s="132" t="str">
        <f>IF(OR(出退社入力シート!K45="",出退社入力シート!P45=""),"",出退社入力シート!K45)</f>
        <v/>
      </c>
      <c r="H42" s="319" t="str">
        <f>IF(OR(出退社入力シート!L45="",出退社入力シート!P45=""),"",出退社入力シート!L45)</f>
        <v/>
      </c>
      <c r="I42" s="320"/>
      <c r="J42" s="294" t="str">
        <f>出退社入力シート!P45</f>
        <v/>
      </c>
      <c r="K42" s="295"/>
    </row>
    <row r="43" spans="2:11" ht="14.25" thickBot="1"/>
    <row r="44" spans="2:11">
      <c r="B44" s="137" t="s">
        <v>162</v>
      </c>
      <c r="C44" s="134"/>
      <c r="D44" s="135"/>
      <c r="E44" s="135"/>
      <c r="F44" s="135"/>
      <c r="G44" s="135"/>
      <c r="H44" s="136"/>
      <c r="I44" s="288" t="str">
        <f>出退社入力シート!J3&amp;"確認欄"</f>
        <v>tdi確認欄</v>
      </c>
      <c r="J44" s="289"/>
      <c r="K44" s="290"/>
    </row>
    <row r="45" spans="2:11">
      <c r="B45" s="338" t="str">
        <f>IF(出退社入力シート!Q41="","",出退社入力シート!Q41)</f>
        <v>2022/1/4 年末年始休暇</v>
      </c>
      <c r="C45" s="339"/>
      <c r="D45" s="339"/>
      <c r="E45" s="339"/>
      <c r="F45" s="339"/>
      <c r="G45" s="339"/>
      <c r="H45" s="340"/>
      <c r="I45" s="329" t="s">
        <v>37</v>
      </c>
      <c r="J45" s="332" t="s">
        <v>67</v>
      </c>
      <c r="K45" s="333"/>
    </row>
    <row r="46" spans="2:11">
      <c r="B46" s="338" t="str">
        <f>IF(出退社入力シート!Q42="","",出退社入力シート!Q42)</f>
        <v>2022/1/7 通院のためAM休み</v>
      </c>
      <c r="C46" s="339"/>
      <c r="D46" s="339"/>
      <c r="E46" s="339"/>
      <c r="F46" s="339"/>
      <c r="G46" s="339"/>
      <c r="H46" s="340"/>
      <c r="I46" s="330"/>
      <c r="J46" s="334"/>
      <c r="K46" s="335"/>
    </row>
    <row r="47" spans="2:11">
      <c r="B47" s="338" t="str">
        <f>IF(出退社入力シート!Q43="","",出退社入力シート!Q43)</f>
        <v>2022/1/24 自社作業のため14時早退</v>
      </c>
      <c r="C47" s="339"/>
      <c r="D47" s="339"/>
      <c r="E47" s="339"/>
      <c r="F47" s="339"/>
      <c r="G47" s="339"/>
      <c r="H47" s="340"/>
      <c r="I47" s="330"/>
      <c r="J47" s="334"/>
      <c r="K47" s="335"/>
    </row>
    <row r="48" spans="2:11" ht="13.5" customHeight="1">
      <c r="B48" s="338" t="str">
        <f>IF(出退社入力シート!Q44="","",出退社入力シート!Q44)</f>
        <v/>
      </c>
      <c r="C48" s="339"/>
      <c r="D48" s="339"/>
      <c r="E48" s="339"/>
      <c r="F48" s="339"/>
      <c r="G48" s="339"/>
      <c r="H48" s="340"/>
      <c r="I48" s="330"/>
      <c r="J48" s="334"/>
      <c r="K48" s="335"/>
    </row>
    <row r="49" spans="2:11" ht="14.25" thickBot="1">
      <c r="B49" s="341" t="str">
        <f>IF(出退社入力シート!Q45="","",出退社入力シート!Q45)</f>
        <v/>
      </c>
      <c r="C49" s="342"/>
      <c r="D49" s="342"/>
      <c r="E49" s="342"/>
      <c r="F49" s="342"/>
      <c r="G49" s="342"/>
      <c r="H49" s="343"/>
      <c r="I49" s="331"/>
      <c r="J49" s="336"/>
      <c r="K49" s="337"/>
    </row>
  </sheetData>
  <sheetProtection password="F6FE" sheet="1" selectLockedCells="1"/>
  <mergeCells count="62">
    <mergeCell ref="I45:I49"/>
    <mergeCell ref="J45:K49"/>
    <mergeCell ref="B45:H45"/>
    <mergeCell ref="B46:H46"/>
    <mergeCell ref="B47:H47"/>
    <mergeCell ref="B48:H48"/>
    <mergeCell ref="B49:H49"/>
    <mergeCell ref="B41:F42"/>
    <mergeCell ref="H38:I38"/>
    <mergeCell ref="H39:I39"/>
    <mergeCell ref="H40:I40"/>
    <mergeCell ref="H41:I41"/>
    <mergeCell ref="H42:I42"/>
    <mergeCell ref="B38:C38"/>
    <mergeCell ref="B39:F39"/>
    <mergeCell ref="B40:F40"/>
    <mergeCell ref="B2:C3"/>
    <mergeCell ref="E2:F3"/>
    <mergeCell ref="G2:H3"/>
    <mergeCell ref="G11:K11"/>
    <mergeCell ref="G12:K12"/>
    <mergeCell ref="I2:K2"/>
    <mergeCell ref="I4:J4"/>
    <mergeCell ref="G5:K5"/>
    <mergeCell ref="G8:K8"/>
    <mergeCell ref="G9:K9"/>
    <mergeCell ref="G10:K10"/>
    <mergeCell ref="G6:K6"/>
    <mergeCell ref="G7:K7"/>
    <mergeCell ref="G25:K25"/>
    <mergeCell ref="G27:K27"/>
    <mergeCell ref="G20:K20"/>
    <mergeCell ref="G21:K21"/>
    <mergeCell ref="B37:C37"/>
    <mergeCell ref="J37:K37"/>
    <mergeCell ref="G37:I37"/>
    <mergeCell ref="G24:K24"/>
    <mergeCell ref="G22:K22"/>
    <mergeCell ref="G23:K23"/>
    <mergeCell ref="G33:K33"/>
    <mergeCell ref="G26:K26"/>
    <mergeCell ref="G29:K29"/>
    <mergeCell ref="G16:K16"/>
    <mergeCell ref="G18:K18"/>
    <mergeCell ref="G19:K19"/>
    <mergeCell ref="G17:K17"/>
    <mergeCell ref="G13:K13"/>
    <mergeCell ref="G14:K14"/>
    <mergeCell ref="G15:K15"/>
    <mergeCell ref="I44:K44"/>
    <mergeCell ref="G32:K32"/>
    <mergeCell ref="J42:K42"/>
    <mergeCell ref="G28:K28"/>
    <mergeCell ref="G34:K34"/>
    <mergeCell ref="G35:K35"/>
    <mergeCell ref="G36:K36"/>
    <mergeCell ref="J41:K41"/>
    <mergeCell ref="G31:K31"/>
    <mergeCell ref="G30:K30"/>
    <mergeCell ref="J40:K40"/>
    <mergeCell ref="J38:K38"/>
    <mergeCell ref="J39:K39"/>
  </mergeCells>
  <phoneticPr fontId="2"/>
  <conditionalFormatting sqref="B6:B36">
    <cfRule type="expression" dxfId="24" priority="4" stopIfTrue="1">
      <formula>D6&lt;&gt;""</formula>
    </cfRule>
    <cfRule type="expression" dxfId="23" priority="5" stopIfTrue="1">
      <formula>C6="土"</formula>
    </cfRule>
    <cfRule type="expression" dxfId="22" priority="6" stopIfTrue="1">
      <formula>C6="日"</formula>
    </cfRule>
  </conditionalFormatting>
  <conditionalFormatting sqref="C6:C36">
    <cfRule type="expression" dxfId="21" priority="7" stopIfTrue="1">
      <formula>D6&lt;&gt;""</formula>
    </cfRule>
    <cfRule type="cellIs" dxfId="20" priority="8" stopIfTrue="1" operator="equal">
      <formula>"土"</formula>
    </cfRule>
    <cfRule type="cellIs" dxfId="19" priority="9" stopIfTrue="1" operator="equal">
      <formula>"日"</formula>
    </cfRule>
  </conditionalFormatting>
  <conditionalFormatting sqref="G6:K36">
    <cfRule type="expression" dxfId="18" priority="2" stopIfTrue="1">
      <formula>$G6="入力漏れ！！"</formula>
    </cfRule>
  </conditionalFormatting>
  <conditionalFormatting sqref="B40:F40">
    <cfRule type="expression" dxfId="17"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419" t="str">
        <f>出退社入力シート!C3&amp;"年"</f>
        <v>2022年</v>
      </c>
      <c r="C1" s="419"/>
      <c r="E1" s="420" t="str">
        <f>出退社入力シート!H3&amp;"月"</f>
        <v>2月</v>
      </c>
      <c r="F1" s="420"/>
      <c r="G1" s="54"/>
      <c r="H1" s="419" t="s">
        <v>44</v>
      </c>
      <c r="I1" s="419"/>
      <c r="J1" s="419"/>
      <c r="K1" s="419"/>
      <c r="L1" s="54"/>
      <c r="M1" s="421"/>
      <c r="N1" s="421"/>
      <c r="O1" s="421"/>
      <c r="P1" s="421"/>
      <c r="Q1" s="421"/>
      <c r="R1" s="421"/>
      <c r="S1" s="421"/>
    </row>
    <row r="2" spans="2:21" ht="13.5" customHeight="1">
      <c r="B2" s="419"/>
      <c r="C2" s="419"/>
      <c r="E2" s="420"/>
      <c r="F2" s="420"/>
      <c r="G2" s="54"/>
      <c r="H2" s="419"/>
      <c r="I2" s="419"/>
      <c r="J2" s="419"/>
      <c r="K2" s="419"/>
      <c r="L2" s="54"/>
      <c r="M2" s="422"/>
      <c r="N2" s="422"/>
      <c r="O2" s="422"/>
      <c r="P2" s="422"/>
      <c r="Q2" s="422"/>
      <c r="R2" s="422"/>
      <c r="S2" s="422"/>
    </row>
    <row r="3" spans="2:21" ht="7.5" customHeight="1" thickBot="1">
      <c r="M3" s="423"/>
      <c r="N3" s="423"/>
      <c r="O3" s="423"/>
      <c r="P3" s="423"/>
      <c r="Q3" s="423"/>
      <c r="R3" s="423"/>
      <c r="S3" s="423"/>
    </row>
    <row r="4" spans="2:21" ht="20.25" customHeight="1">
      <c r="B4" s="424" t="s">
        <v>20</v>
      </c>
      <c r="C4" s="408" t="s">
        <v>21</v>
      </c>
      <c r="D4" s="56" t="s">
        <v>39</v>
      </c>
      <c r="E4" s="408" t="s">
        <v>46</v>
      </c>
      <c r="F4" s="426" t="s">
        <v>40</v>
      </c>
      <c r="G4" s="427"/>
      <c r="H4" s="426" t="s">
        <v>14</v>
      </c>
      <c r="I4" s="427"/>
      <c r="J4" s="408" t="s">
        <v>15</v>
      </c>
      <c r="K4" s="408" t="s">
        <v>16</v>
      </c>
      <c r="L4" s="410" t="s">
        <v>19</v>
      </c>
      <c r="M4" s="411"/>
      <c r="N4" s="412"/>
      <c r="O4" s="413" t="str">
        <f>IF(出退社入力シート!G58="","入力漏れ！！",出退社入力シート!G58)</f>
        <v>情報処理システム開発</v>
      </c>
      <c r="P4" s="414"/>
      <c r="Q4" s="414"/>
      <c r="R4" s="414"/>
      <c r="S4" s="415"/>
    </row>
    <row r="5" spans="2:21" ht="18" customHeight="1">
      <c r="B5" s="425"/>
      <c r="C5" s="409"/>
      <c r="D5" s="57"/>
      <c r="E5" s="409"/>
      <c r="F5" s="428"/>
      <c r="G5" s="429"/>
      <c r="H5" s="428"/>
      <c r="I5" s="429"/>
      <c r="J5" s="409"/>
      <c r="K5" s="409"/>
      <c r="L5" s="416" t="s">
        <v>92</v>
      </c>
      <c r="M5" s="417"/>
      <c r="N5" s="417"/>
      <c r="O5" s="417"/>
      <c r="P5" s="417"/>
      <c r="Q5" s="417"/>
      <c r="R5" s="417"/>
      <c r="S5" s="418"/>
    </row>
    <row r="6" spans="2:21" ht="18" customHeight="1">
      <c r="B6" s="58">
        <f>出退社入力シート!C7</f>
        <v>44593</v>
      </c>
      <c r="C6" s="59" t="str">
        <f>出退社入力シート!D7</f>
        <v>火</v>
      </c>
      <c r="D6" s="60" t="str">
        <f>出退社入力シート!E7</f>
        <v/>
      </c>
      <c r="E6" s="59" t="str">
        <f>出退社入力シート!G7</f>
        <v>○</v>
      </c>
      <c r="F6" s="376">
        <f>IF(出退社入力シート!H7="","",出退社入力シート!H7)</f>
        <v>0.375</v>
      </c>
      <c r="G6" s="377"/>
      <c r="H6" s="376">
        <f>IF(出退社入力シート!I7="","",出退社入力シート!I7)</f>
        <v>0.75</v>
      </c>
      <c r="I6" s="377"/>
      <c r="J6" s="61">
        <f>IF(出退社入力シート!J7="","",出退社入力シート!J7)</f>
        <v>1</v>
      </c>
      <c r="K6" s="62">
        <f>IF(出退社入力シート!K7=0,"",出退社入力シート!K7)</f>
        <v>8</v>
      </c>
      <c r="L6" s="378" t="str">
        <f>IF(AND(E6="○",出退社入力シート!Q7=""),"入力漏れ！！",出退社入力シート!Q7)</f>
        <v>#27941 パンデミック対応（一括発注承認パターンマスタメンテナンス）テスト</v>
      </c>
      <c r="M6" s="379"/>
      <c r="N6" s="379"/>
      <c r="O6" s="379"/>
      <c r="P6" s="379"/>
      <c r="Q6" s="379"/>
      <c r="R6" s="379"/>
      <c r="S6" s="380"/>
    </row>
    <row r="7" spans="2:21" ht="18" customHeight="1">
      <c r="B7" s="58">
        <f>出退社入力シート!C8</f>
        <v>44594</v>
      </c>
      <c r="C7" s="59" t="str">
        <f>出退社入力シート!D8</f>
        <v>水</v>
      </c>
      <c r="D7" s="60" t="str">
        <f>出退社入力シート!E8</f>
        <v/>
      </c>
      <c r="E7" s="59" t="str">
        <f>出退社入力シート!G8</f>
        <v>○</v>
      </c>
      <c r="F7" s="376">
        <f>IF(出退社入力シート!H8="","",出退社入力シート!H8)</f>
        <v>0.375</v>
      </c>
      <c r="G7" s="377"/>
      <c r="H7" s="376">
        <f>IF(出退社入力シート!I8="","",出退社入力シート!I8)</f>
        <v>0.83333333333333337</v>
      </c>
      <c r="I7" s="377"/>
      <c r="J7" s="61">
        <f>IF(出退社入力シート!J8="","",出退社入力シート!J8)</f>
        <v>1.25</v>
      </c>
      <c r="K7" s="62">
        <f>IF(出退社入力シート!K8=0,"",出退社入力シート!K8)</f>
        <v>9.75</v>
      </c>
      <c r="L7" s="378" t="str">
        <f>IF(AND(E7="○",出退社入力シート!Q8=""),"入力漏れ！！",出退社入力シート!Q8)</f>
        <v>#27941 パンデミック対応（一括発注承認パターンマスタメンテナンス）テスト、レビュー参加</v>
      </c>
      <c r="M7" s="379"/>
      <c r="N7" s="379"/>
      <c r="O7" s="379"/>
      <c r="P7" s="379"/>
      <c r="Q7" s="379"/>
      <c r="R7" s="379"/>
      <c r="S7" s="380"/>
    </row>
    <row r="8" spans="2:21" ht="18" customHeight="1">
      <c r="B8" s="58">
        <f>出退社入力シート!C9</f>
        <v>44595</v>
      </c>
      <c r="C8" s="59" t="str">
        <f>出退社入力シート!D9</f>
        <v>木</v>
      </c>
      <c r="D8" s="60" t="str">
        <f>出退社入力シート!E9</f>
        <v/>
      </c>
      <c r="E8" s="59" t="str">
        <f>出退社入力シート!G9</f>
        <v>○</v>
      </c>
      <c r="F8" s="376">
        <f>IF(出退社入力シート!H9="","",出退社入力シート!H9)</f>
        <v>0.375</v>
      </c>
      <c r="G8" s="377"/>
      <c r="H8" s="376">
        <f>IF(出退社入力シート!I9="","",出退社入力シート!I9)</f>
        <v>0.77083333333333337</v>
      </c>
      <c r="I8" s="377"/>
      <c r="J8" s="61">
        <f>IF(出退社入力シート!J9="","",出退社入力シート!J9)</f>
        <v>1.25</v>
      </c>
      <c r="K8" s="62">
        <f>IF(出退社入力シート!K9=0,"",出退社入力シート!K9)</f>
        <v>8.25</v>
      </c>
      <c r="L8" s="378" t="str">
        <f>IF(AND(E8="○",出退社入力シート!Q9=""),"入力漏れ！！",出退社入力シート!Q9)</f>
        <v>#27941 パンデミック対応（一括発注承認パターンマスタメンテナンス）テスト</v>
      </c>
      <c r="M8" s="379"/>
      <c r="N8" s="379"/>
      <c r="O8" s="379"/>
      <c r="P8" s="379"/>
      <c r="Q8" s="379"/>
      <c r="R8" s="379"/>
      <c r="S8" s="380"/>
    </row>
    <row r="9" spans="2:21" ht="18" customHeight="1">
      <c r="B9" s="58">
        <f>出退社入力シート!C10</f>
        <v>44596</v>
      </c>
      <c r="C9" s="59" t="str">
        <f>出退社入力シート!D10</f>
        <v>金</v>
      </c>
      <c r="D9" s="60" t="str">
        <f>出退社入力シート!E10</f>
        <v/>
      </c>
      <c r="E9" s="59" t="str">
        <f>出退社入力シート!G10</f>
        <v>○</v>
      </c>
      <c r="F9" s="376">
        <f>IF(出退社入力シート!H10="","",出退社入力シート!H10)</f>
        <v>0.375</v>
      </c>
      <c r="G9" s="377"/>
      <c r="H9" s="376">
        <f>IF(出退社入力シート!I10="","",出退社入力シート!I10)</f>
        <v>0.79166666666666663</v>
      </c>
      <c r="I9" s="377"/>
      <c r="J9" s="61">
        <f>IF(出退社入力シート!J10="","",出退社入力シート!J10)</f>
        <v>1.25</v>
      </c>
      <c r="K9" s="62">
        <f>IF(出退社入力シート!K10=0,"",出退社入力シート!K10)</f>
        <v>8.75</v>
      </c>
      <c r="L9" s="378" t="str">
        <f>IF(AND(E9="○",出退社入力シート!Q10=""),"入力漏れ！！",出退社入力シート!Q10)</f>
        <v>#27941 パンデミック対応（一括発注承認パターンマスタメンテナンス）テスト、レビュー参加</v>
      </c>
      <c r="M9" s="379"/>
      <c r="N9" s="379"/>
      <c r="O9" s="379"/>
      <c r="P9" s="379"/>
      <c r="Q9" s="379"/>
      <c r="R9" s="379"/>
      <c r="S9" s="380"/>
      <c r="U9" s="79"/>
    </row>
    <row r="10" spans="2:21" ht="18" customHeight="1">
      <c r="B10" s="58">
        <f>出退社入力シート!C11</f>
        <v>44597</v>
      </c>
      <c r="C10" s="59" t="str">
        <f>出退社入力シート!D11</f>
        <v>土</v>
      </c>
      <c r="D10" s="60" t="str">
        <f>出退社入力シート!E11</f>
        <v/>
      </c>
      <c r="E10" s="59" t="str">
        <f>出退社入力シート!G11</f>
        <v/>
      </c>
      <c r="F10" s="376" t="str">
        <f>IF(出退社入力シート!H11="","",出退社入力シート!H11)</f>
        <v/>
      </c>
      <c r="G10" s="377"/>
      <c r="H10" s="376" t="str">
        <f>IF(出退社入力シート!I11="","",出退社入力シート!I11)</f>
        <v/>
      </c>
      <c r="I10" s="377"/>
      <c r="J10" s="61" t="str">
        <f>IF(出退社入力シート!J11="","",出退社入力シート!J11)</f>
        <v/>
      </c>
      <c r="K10" s="62" t="str">
        <f>IF(出退社入力シート!K11=0,"",出退社入力シート!K11)</f>
        <v/>
      </c>
      <c r="L10" s="378">
        <f>IF(AND(E10="○",出退社入力シート!Q11=""),"入力漏れ！！",出退社入力シート!Q11)</f>
        <v>0</v>
      </c>
      <c r="M10" s="379"/>
      <c r="N10" s="379"/>
      <c r="O10" s="379"/>
      <c r="P10" s="379"/>
      <c r="Q10" s="379"/>
      <c r="R10" s="379"/>
      <c r="S10" s="380"/>
    </row>
    <row r="11" spans="2:21" ht="18" customHeight="1">
      <c r="B11" s="58">
        <f>出退社入力シート!C12</f>
        <v>44598</v>
      </c>
      <c r="C11" s="59" t="str">
        <f>出退社入力シート!D12</f>
        <v>日</v>
      </c>
      <c r="D11" s="60" t="str">
        <f>出退社入力シート!E12</f>
        <v/>
      </c>
      <c r="E11" s="59" t="str">
        <f>出退社入力シート!G12</f>
        <v/>
      </c>
      <c r="F11" s="376" t="str">
        <f>IF(出退社入力シート!H12="","",出退社入力シート!H12)</f>
        <v/>
      </c>
      <c r="G11" s="377"/>
      <c r="H11" s="376" t="str">
        <f>IF(出退社入力シート!I12="","",出退社入力シート!I12)</f>
        <v/>
      </c>
      <c r="I11" s="377"/>
      <c r="J11" s="61" t="str">
        <f>IF(出退社入力シート!J12="","",出退社入力シート!J12)</f>
        <v/>
      </c>
      <c r="K11" s="62" t="str">
        <f>IF(出退社入力シート!K12=0,"",出退社入力シート!K12)</f>
        <v/>
      </c>
      <c r="L11" s="378">
        <f>IF(AND(E11="○",出退社入力シート!Q12=""),"入力漏れ！！",出退社入力シート!Q12)</f>
        <v>0</v>
      </c>
      <c r="M11" s="379"/>
      <c r="N11" s="379"/>
      <c r="O11" s="379"/>
      <c r="P11" s="379"/>
      <c r="Q11" s="379"/>
      <c r="R11" s="379"/>
      <c r="S11" s="380"/>
    </row>
    <row r="12" spans="2:21" ht="18" customHeight="1">
      <c r="B12" s="58">
        <f>出退社入力シート!C13</f>
        <v>44599</v>
      </c>
      <c r="C12" s="59" t="str">
        <f>出退社入力シート!D13</f>
        <v>月</v>
      </c>
      <c r="D12" s="60" t="str">
        <f>出退社入力シート!E13</f>
        <v/>
      </c>
      <c r="E12" s="59" t="str">
        <f>出退社入力シート!G13</f>
        <v>○</v>
      </c>
      <c r="F12" s="376">
        <f>IF(出退社入力シート!H13="","",出退社入力シート!H13)</f>
        <v>0.375</v>
      </c>
      <c r="G12" s="377"/>
      <c r="H12" s="376">
        <f>IF(出退社入力シート!I13="","",出退社入力シート!I13)</f>
        <v>0.83333333333333337</v>
      </c>
      <c r="I12" s="377"/>
      <c r="J12" s="61">
        <f>IF(出退社入力シート!J13="","",出退社入力シート!J13)</f>
        <v>1.25</v>
      </c>
      <c r="K12" s="62">
        <f>IF(出退社入力シート!K13=0,"",出退社入力シート!K13)</f>
        <v>9.75</v>
      </c>
      <c r="L12" s="378" t="str">
        <f>IF(AND(E12="○",出退社入力シート!Q13=""),"入力漏れ！！",出退社入力シート!Q13)</f>
        <v>#27941 パンデミック対応（一括発注承認パターンマスタメンテナンス）テスト</v>
      </c>
      <c r="M12" s="379"/>
      <c r="N12" s="379"/>
      <c r="O12" s="379"/>
      <c r="P12" s="379"/>
      <c r="Q12" s="379"/>
      <c r="R12" s="379"/>
      <c r="S12" s="380"/>
    </row>
    <row r="13" spans="2:21" ht="18" customHeight="1">
      <c r="B13" s="58">
        <f>出退社入力シート!C14</f>
        <v>44600</v>
      </c>
      <c r="C13" s="59" t="str">
        <f>出退社入力シート!D14</f>
        <v>火</v>
      </c>
      <c r="D13" s="60" t="str">
        <f>出退社入力シート!E14</f>
        <v/>
      </c>
      <c r="E13" s="59" t="str">
        <f>出退社入力シート!G14</f>
        <v>○</v>
      </c>
      <c r="F13" s="376">
        <f>IF(出退社入力シート!H14="","",出退社入力シート!H14)</f>
        <v>0.375</v>
      </c>
      <c r="G13" s="377"/>
      <c r="H13" s="376">
        <f>IF(出退社入力シート!I14="","",出退社入力シート!I14)</f>
        <v>0.83333333333333337</v>
      </c>
      <c r="I13" s="377"/>
      <c r="J13" s="61">
        <f>IF(出退社入力シート!J14="","",出退社入力シート!J14)</f>
        <v>1.25</v>
      </c>
      <c r="K13" s="62">
        <f>IF(出退社入力シート!K14=0,"",出退社入力シート!K14)</f>
        <v>9.75</v>
      </c>
      <c r="L13" s="378" t="str">
        <f>IF(AND(E13="○",出退社入力シート!Q14=""),"入力漏れ！！",出退社入力シート!Q14)</f>
        <v>#27941 パンデミック対応（一括発注承認パターンマスタメンテナンス）テスト、レビュー参加</v>
      </c>
      <c r="M13" s="379"/>
      <c r="N13" s="379"/>
      <c r="O13" s="379"/>
      <c r="P13" s="379"/>
      <c r="Q13" s="379"/>
      <c r="R13" s="379"/>
      <c r="S13" s="380"/>
    </row>
    <row r="14" spans="2:21" ht="18" customHeight="1">
      <c r="B14" s="58">
        <f>出退社入力シート!C15</f>
        <v>44601</v>
      </c>
      <c r="C14" s="59" t="str">
        <f>出退社入力シート!D15</f>
        <v>水</v>
      </c>
      <c r="D14" s="60" t="str">
        <f>出退社入力シート!E15</f>
        <v/>
      </c>
      <c r="E14" s="59" t="str">
        <f>出退社入力シート!G15</f>
        <v>○</v>
      </c>
      <c r="F14" s="376">
        <f>IF(出退社入力シート!H15="","",出退社入力シート!H15)</f>
        <v>0.375</v>
      </c>
      <c r="G14" s="377"/>
      <c r="H14" s="376">
        <f>IF(出退社入力シート!I15="","",出退社入力シート!I15)</f>
        <v>0.80208333333333337</v>
      </c>
      <c r="I14" s="377"/>
      <c r="J14" s="61">
        <f>IF(出退社入力シート!J15="","",出退社入力シート!J15)</f>
        <v>1.25</v>
      </c>
      <c r="K14" s="62">
        <f>IF(出退社入力シート!K15=0,"",出退社入力シート!K15)</f>
        <v>9</v>
      </c>
      <c r="L14" s="378" t="str">
        <f>IF(AND(E14="○",出退社入力シート!Q15=""),"入力漏れ！！",出退社入力シート!Q15)</f>
        <v>#27941 パンデミック対応（一括発注承認パターンマスタメンテナンス）テスト</v>
      </c>
      <c r="M14" s="379"/>
      <c r="N14" s="379"/>
      <c r="O14" s="379"/>
      <c r="P14" s="379"/>
      <c r="Q14" s="379"/>
      <c r="R14" s="379"/>
      <c r="S14" s="380"/>
    </row>
    <row r="15" spans="2:21" ht="18" customHeight="1">
      <c r="B15" s="58">
        <f>出退社入力シート!C16</f>
        <v>44602</v>
      </c>
      <c r="C15" s="59" t="str">
        <f>出退社入力シート!D16</f>
        <v>木</v>
      </c>
      <c r="D15" s="60" t="str">
        <f>出退社入力シート!E16</f>
        <v/>
      </c>
      <c r="E15" s="59" t="str">
        <f>出退社入力シート!G16</f>
        <v>○</v>
      </c>
      <c r="F15" s="376">
        <f>IF(出退社入力シート!H16="","",出退社入力シート!H16)</f>
        <v>0.375</v>
      </c>
      <c r="G15" s="377"/>
      <c r="H15" s="376">
        <f>IF(出退社入力シート!I16="","",出退社入力シート!I16)</f>
        <v>0.76041666666666663</v>
      </c>
      <c r="I15" s="377"/>
      <c r="J15" s="61">
        <f>IF(出退社入力シート!J16="","",出退社入力シート!J16)</f>
        <v>1</v>
      </c>
      <c r="K15" s="62">
        <f>IF(出退社入力シート!K16=0,"",出退社入力シート!K16)</f>
        <v>8.25</v>
      </c>
      <c r="L15" s="378" t="str">
        <f>IF(AND(E15="○",出退社入力シート!Q16=""),"入力漏れ！！",出退社入力シート!Q16)</f>
        <v>#27941 パンデミック対応（一括発注承認パターンマスタメンテナンス）テスト</v>
      </c>
      <c r="M15" s="379"/>
      <c r="N15" s="379"/>
      <c r="O15" s="379"/>
      <c r="P15" s="379"/>
      <c r="Q15" s="379"/>
      <c r="R15" s="379"/>
      <c r="S15" s="380"/>
    </row>
    <row r="16" spans="2:21" ht="18" customHeight="1">
      <c r="B16" s="58">
        <f>出退社入力シート!C17</f>
        <v>44603</v>
      </c>
      <c r="C16" s="59" t="str">
        <f>出退社入力シート!D17</f>
        <v>金</v>
      </c>
      <c r="D16" s="60" t="str">
        <f>出退社入力シート!E17</f>
        <v>建国記念日</v>
      </c>
      <c r="E16" s="59" t="str">
        <f>出退社入力シート!G17</f>
        <v/>
      </c>
      <c r="F16" s="376" t="str">
        <f>IF(出退社入力シート!H17="","",出退社入力シート!H17)</f>
        <v/>
      </c>
      <c r="G16" s="377"/>
      <c r="H16" s="376" t="str">
        <f>IF(出退社入力シート!I17="","",出退社入力シート!I17)</f>
        <v/>
      </c>
      <c r="I16" s="377"/>
      <c r="J16" s="61" t="str">
        <f>IF(出退社入力シート!J17="","",出退社入力シート!J17)</f>
        <v/>
      </c>
      <c r="K16" s="62" t="str">
        <f>IF(出退社入力シート!K17=0,"",出退社入力シート!K17)</f>
        <v/>
      </c>
      <c r="L16" s="378">
        <f>IF(AND(E16="○",出退社入力シート!Q17=""),"入力漏れ！！",出退社入力シート!Q17)</f>
        <v>0</v>
      </c>
      <c r="M16" s="379"/>
      <c r="N16" s="379"/>
      <c r="O16" s="379"/>
      <c r="P16" s="379"/>
      <c r="Q16" s="379"/>
      <c r="R16" s="379"/>
      <c r="S16" s="380"/>
    </row>
    <row r="17" spans="1:21" ht="18" customHeight="1">
      <c r="B17" s="58">
        <f>出退社入力シート!C18</f>
        <v>44604</v>
      </c>
      <c r="C17" s="59" t="str">
        <f>出退社入力シート!D18</f>
        <v>土</v>
      </c>
      <c r="D17" s="60" t="str">
        <f>出退社入力シート!E18</f>
        <v/>
      </c>
      <c r="E17" s="59" t="str">
        <f>出退社入力シート!G18</f>
        <v/>
      </c>
      <c r="F17" s="376" t="str">
        <f>IF(出退社入力シート!H18="","",出退社入力シート!H18)</f>
        <v/>
      </c>
      <c r="G17" s="377"/>
      <c r="H17" s="376" t="str">
        <f>IF(出退社入力シート!I18="","",出退社入力シート!I18)</f>
        <v/>
      </c>
      <c r="I17" s="377"/>
      <c r="J17" s="61" t="str">
        <f>IF(出退社入力シート!J18="","",出退社入力シート!J18)</f>
        <v/>
      </c>
      <c r="K17" s="62" t="str">
        <f>IF(出退社入力シート!K18=0,"",出退社入力シート!K18)</f>
        <v/>
      </c>
      <c r="L17" s="378">
        <f>IF(AND(E17="○",出退社入力シート!Q18=""),"入力漏れ！！",出退社入力シート!Q18)</f>
        <v>0</v>
      </c>
      <c r="M17" s="379"/>
      <c r="N17" s="379"/>
      <c r="O17" s="379"/>
      <c r="P17" s="379"/>
      <c r="Q17" s="379"/>
      <c r="R17" s="379"/>
      <c r="S17" s="380"/>
    </row>
    <row r="18" spans="1:21" ht="18" customHeight="1">
      <c r="B18" s="58">
        <f>出退社入力シート!C19</f>
        <v>44605</v>
      </c>
      <c r="C18" s="59" t="str">
        <f>出退社入力シート!D19</f>
        <v>日</v>
      </c>
      <c r="D18" s="60" t="str">
        <f>出退社入力シート!E19</f>
        <v/>
      </c>
      <c r="E18" s="59" t="str">
        <f>出退社入力シート!G19</f>
        <v/>
      </c>
      <c r="F18" s="376" t="str">
        <f>IF(出退社入力シート!H19="","",出退社入力シート!H19)</f>
        <v/>
      </c>
      <c r="G18" s="377"/>
      <c r="H18" s="376" t="str">
        <f>IF(出退社入力シート!I19="","",出退社入力シート!I19)</f>
        <v/>
      </c>
      <c r="I18" s="377"/>
      <c r="J18" s="61" t="str">
        <f>IF(出退社入力シート!J19="","",出退社入力シート!J19)</f>
        <v/>
      </c>
      <c r="K18" s="62" t="str">
        <f>IF(出退社入力シート!K19=0,"",出退社入力シート!K19)</f>
        <v/>
      </c>
      <c r="L18" s="378">
        <f>IF(AND(E18="○",出退社入力シート!Q19=""),"入力漏れ！！",出退社入力シート!Q19)</f>
        <v>0</v>
      </c>
      <c r="M18" s="379"/>
      <c r="N18" s="379"/>
      <c r="O18" s="379"/>
      <c r="P18" s="379"/>
      <c r="Q18" s="379"/>
      <c r="R18" s="379"/>
      <c r="S18" s="380"/>
    </row>
    <row r="19" spans="1:21" ht="18" customHeight="1">
      <c r="B19" s="58">
        <f>出退社入力シート!C20</f>
        <v>44606</v>
      </c>
      <c r="C19" s="59" t="str">
        <f>出退社入力シート!D20</f>
        <v>月</v>
      </c>
      <c r="D19" s="60" t="str">
        <f>出退社入力シート!E20</f>
        <v/>
      </c>
      <c r="E19" s="59" t="str">
        <f>出退社入力シート!G20</f>
        <v>○</v>
      </c>
      <c r="F19" s="376">
        <f>IF(出退社入力シート!H20="","",出退社入力シート!H20)</f>
        <v>0.375</v>
      </c>
      <c r="G19" s="377"/>
      <c r="H19" s="376">
        <f>IF(出退社入力シート!I20="","",出退社入力シート!I20)</f>
        <v>0.79166666666666663</v>
      </c>
      <c r="I19" s="377"/>
      <c r="J19" s="61">
        <f>IF(出退社入力シート!J20="","",出退社入力シート!J20)</f>
        <v>1.25</v>
      </c>
      <c r="K19" s="62">
        <f>IF(出退社入力シート!K20=0,"",出退社入力シート!K20)</f>
        <v>8.75</v>
      </c>
      <c r="L19" s="378" t="str">
        <f>IF(AND(E19="○",出退社入力シート!Q20=""),"入力漏れ！！",出退社入力シート!Q20)</f>
        <v>#27941 パンデミック対応（一括発注承認パターンマスタメンテナンス）テスト</v>
      </c>
      <c r="M19" s="379"/>
      <c r="N19" s="379"/>
      <c r="O19" s="379"/>
      <c r="P19" s="379"/>
      <c r="Q19" s="379"/>
      <c r="R19" s="379"/>
      <c r="S19" s="380"/>
      <c r="U19" s="80"/>
    </row>
    <row r="20" spans="1:21" ht="18" customHeight="1">
      <c r="B20" s="58">
        <f>出退社入力シート!C21</f>
        <v>44607</v>
      </c>
      <c r="C20" s="59" t="str">
        <f>出退社入力シート!D21</f>
        <v>火</v>
      </c>
      <c r="D20" s="60" t="str">
        <f>出退社入力シート!E21</f>
        <v/>
      </c>
      <c r="E20" s="59" t="str">
        <f>出退社入力シート!G21</f>
        <v>○</v>
      </c>
      <c r="F20" s="376">
        <f>IF(出退社入力シート!H21="","",出退社入力シート!H21)</f>
        <v>0.375</v>
      </c>
      <c r="G20" s="377"/>
      <c r="H20" s="376">
        <f>IF(出退社入力シート!I21="","",出退社入力シート!I21)</f>
        <v>0.875</v>
      </c>
      <c r="I20" s="377"/>
      <c r="J20" s="61">
        <f>IF(出退社入力シート!J21="","",出退社入力シート!J21)</f>
        <v>1.25</v>
      </c>
      <c r="K20" s="62">
        <f>IF(出退社入力シート!K21=0,"",出退社入力シート!K21)</f>
        <v>10.75</v>
      </c>
      <c r="L20" s="378" t="str">
        <f>IF(AND(E20="○",出退社入力シート!Q21=""),"入力漏れ！！",出退社入力シート!Q21)</f>
        <v>#27941 パンデミック対応（一括発注承認パターンマスタメンテナンス）テスト</v>
      </c>
      <c r="M20" s="379"/>
      <c r="N20" s="379"/>
      <c r="O20" s="379"/>
      <c r="P20" s="379"/>
      <c r="Q20" s="379"/>
      <c r="R20" s="379"/>
      <c r="S20" s="380"/>
    </row>
    <row r="21" spans="1:21" ht="18" customHeight="1">
      <c r="B21" s="58">
        <f>出退社入力シート!C22</f>
        <v>44608</v>
      </c>
      <c r="C21" s="59" t="str">
        <f>出退社入力シート!D22</f>
        <v>水</v>
      </c>
      <c r="D21" s="60" t="str">
        <f>出退社入力シート!E22</f>
        <v/>
      </c>
      <c r="E21" s="59" t="str">
        <f>出退社入力シート!G22</f>
        <v>○</v>
      </c>
      <c r="F21" s="376">
        <f>IF(出退社入力シート!H22="","",出退社入力シート!H22)</f>
        <v>0.375</v>
      </c>
      <c r="G21" s="377"/>
      <c r="H21" s="376">
        <f>IF(出退社入力シート!I22="","",出退社入力シート!I22)</f>
        <v>0.88541666666666663</v>
      </c>
      <c r="I21" s="377"/>
      <c r="J21" s="61">
        <f>IF(出退社入力シート!J22="","",出退社入力シート!J22)</f>
        <v>1.25</v>
      </c>
      <c r="K21" s="62">
        <f>IF(出退社入力シート!K22=0,"",出退社入力シート!K22)</f>
        <v>11</v>
      </c>
      <c r="L21" s="378" t="str">
        <f>IF(AND(E21="○",出退社入力シート!Q22=""),"入力漏れ！！",出退社入力シート!Q22)</f>
        <v>#27941 パンデミック対応（一括発注承認パターンマスタメンテナンス）テスト、他メンバーからの支援依頼作業</v>
      </c>
      <c r="M21" s="379"/>
      <c r="N21" s="379"/>
      <c r="O21" s="379"/>
      <c r="P21" s="379"/>
      <c r="Q21" s="379"/>
      <c r="R21" s="379"/>
      <c r="S21" s="380"/>
    </row>
    <row r="22" spans="1:21" ht="18" customHeight="1">
      <c r="B22" s="58">
        <f>出退社入力シート!C23</f>
        <v>44609</v>
      </c>
      <c r="C22" s="59" t="str">
        <f>出退社入力シート!D23</f>
        <v>木</v>
      </c>
      <c r="D22" s="60" t="str">
        <f>出退社入力シート!E23</f>
        <v/>
      </c>
      <c r="E22" s="59" t="str">
        <f>出退社入力シート!G23</f>
        <v>○</v>
      </c>
      <c r="F22" s="376">
        <f>IF(出退社入力シート!H23="","",出退社入力シート!H23)</f>
        <v>0.375</v>
      </c>
      <c r="G22" s="377"/>
      <c r="H22" s="376">
        <f>IF(出退社入力シート!I23="","",出退社入力シート!I23)</f>
        <v>0.77083333333333337</v>
      </c>
      <c r="I22" s="377"/>
      <c r="J22" s="61">
        <f>IF(出退社入力シート!J23="","",出退社入力シート!J23)</f>
        <v>1.25</v>
      </c>
      <c r="K22" s="62">
        <f>IF(出退社入力シート!K23=0,"",出退社入力シート!K23)</f>
        <v>8.25</v>
      </c>
      <c r="L22" s="378" t="str">
        <f>IF(AND(E22="○",出退社入力シート!Q23=""),"入力漏れ！！",出退社入力シート!Q23)</f>
        <v>#27941 パンデミック対応（一括発注承認パターンマスタメンテナンス）テスト、レビュー参加</v>
      </c>
      <c r="M22" s="379"/>
      <c r="N22" s="379"/>
      <c r="O22" s="379"/>
      <c r="P22" s="379"/>
      <c r="Q22" s="379"/>
      <c r="R22" s="379"/>
      <c r="S22" s="380"/>
    </row>
    <row r="23" spans="1:21" ht="18" customHeight="1">
      <c r="B23" s="58">
        <f>出退社入力シート!C24</f>
        <v>44610</v>
      </c>
      <c r="C23" s="59" t="str">
        <f>出退社入力シート!D24</f>
        <v>金</v>
      </c>
      <c r="D23" s="60" t="str">
        <f>出退社入力シート!E24</f>
        <v/>
      </c>
      <c r="E23" s="59" t="str">
        <f>出退社入力シート!G24</f>
        <v>○</v>
      </c>
      <c r="F23" s="376">
        <f>IF(出退社入力シート!H24="","",出退社入力シート!H24)</f>
        <v>0.375</v>
      </c>
      <c r="G23" s="377"/>
      <c r="H23" s="376">
        <f>IF(出退社入力シート!I24="","",出退社入力シート!I24)</f>
        <v>0.75</v>
      </c>
      <c r="I23" s="377"/>
      <c r="J23" s="61">
        <f>IF(出退社入力シート!J24="","",出退社入力シート!J24)</f>
        <v>1</v>
      </c>
      <c r="K23" s="62">
        <f>IF(出退社入力シート!K24=0,"",出退社入力シート!K24)</f>
        <v>8</v>
      </c>
      <c r="L23" s="378" t="str">
        <f>IF(AND(E23="○",出退社入力シート!Q24=""),"入力漏れ！！",出退社入力シート!Q24)</f>
        <v>#27941 パンデミック対応（一括発注承認パターンマスタメンテナンス）テスト</v>
      </c>
      <c r="M23" s="379"/>
      <c r="N23" s="379"/>
      <c r="O23" s="379"/>
      <c r="P23" s="379"/>
      <c r="Q23" s="379"/>
      <c r="R23" s="379"/>
      <c r="S23" s="380"/>
    </row>
    <row r="24" spans="1:21" ht="18" customHeight="1">
      <c r="B24" s="58">
        <f>出退社入力シート!C25</f>
        <v>44611</v>
      </c>
      <c r="C24" s="59" t="str">
        <f>出退社入力シート!D25</f>
        <v>土</v>
      </c>
      <c r="D24" s="60" t="str">
        <f>出退社入力シート!E25</f>
        <v/>
      </c>
      <c r="E24" s="59" t="str">
        <f>出退社入力シート!G25</f>
        <v/>
      </c>
      <c r="F24" s="376" t="str">
        <f>IF(出退社入力シート!H25="","",出退社入力シート!H25)</f>
        <v/>
      </c>
      <c r="G24" s="377"/>
      <c r="H24" s="376" t="str">
        <f>IF(出退社入力シート!I25="","",出退社入力シート!I25)</f>
        <v/>
      </c>
      <c r="I24" s="377"/>
      <c r="J24" s="61" t="str">
        <f>IF(出退社入力シート!J25="","",出退社入力シート!J25)</f>
        <v/>
      </c>
      <c r="K24" s="62" t="str">
        <f>IF(出退社入力シート!K25=0,"",出退社入力シート!K25)</f>
        <v/>
      </c>
      <c r="L24" s="378">
        <f>IF(AND(E24="○",出退社入力シート!Q25=""),"入力漏れ！！",出退社入力シート!Q25)</f>
        <v>0</v>
      </c>
      <c r="M24" s="379"/>
      <c r="N24" s="379"/>
      <c r="O24" s="379"/>
      <c r="P24" s="379"/>
      <c r="Q24" s="379"/>
      <c r="R24" s="379"/>
      <c r="S24" s="380"/>
    </row>
    <row r="25" spans="1:21" ht="18" customHeight="1">
      <c r="B25" s="58">
        <f>出退社入力シート!C26</f>
        <v>44612</v>
      </c>
      <c r="C25" s="59" t="str">
        <f>出退社入力シート!D26</f>
        <v>日</v>
      </c>
      <c r="D25" s="60" t="str">
        <f>出退社入力シート!E26</f>
        <v/>
      </c>
      <c r="E25" s="59" t="str">
        <f>出退社入力シート!G26</f>
        <v/>
      </c>
      <c r="F25" s="376" t="str">
        <f>IF(出退社入力シート!H26="","",出退社入力シート!H26)</f>
        <v/>
      </c>
      <c r="G25" s="377"/>
      <c r="H25" s="376" t="str">
        <f>IF(出退社入力シート!I26="","",出退社入力シート!I26)</f>
        <v/>
      </c>
      <c r="I25" s="377"/>
      <c r="J25" s="61" t="str">
        <f>IF(出退社入力シート!J26="","",出退社入力シート!J26)</f>
        <v/>
      </c>
      <c r="K25" s="62" t="str">
        <f>IF(出退社入力シート!K26=0,"",出退社入力シート!K26)</f>
        <v/>
      </c>
      <c r="L25" s="378">
        <f>IF(AND(E25="○",出退社入力シート!Q26=""),"入力漏れ！！",出退社入力シート!Q26)</f>
        <v>0</v>
      </c>
      <c r="M25" s="379"/>
      <c r="N25" s="379"/>
      <c r="O25" s="379"/>
      <c r="P25" s="379"/>
      <c r="Q25" s="379"/>
      <c r="R25" s="379"/>
      <c r="S25" s="380"/>
    </row>
    <row r="26" spans="1:21" ht="18" customHeight="1">
      <c r="B26" s="63">
        <f>出退社入力シート!C27</f>
        <v>44613</v>
      </c>
      <c r="C26" s="64" t="str">
        <f>出退社入力シート!D27</f>
        <v>月</v>
      </c>
      <c r="D26" s="65" t="str">
        <f>出退社入力シート!E27</f>
        <v/>
      </c>
      <c r="E26" s="64" t="str">
        <f>出退社入力シート!G27</f>
        <v>○</v>
      </c>
      <c r="F26" s="376">
        <f>IF(出退社入力シート!H27="","",出退社入力シート!H27)</f>
        <v>0.375</v>
      </c>
      <c r="G26" s="377"/>
      <c r="H26" s="376">
        <f>IF(出退社入力シート!I27="","",出退社入力シート!I27)</f>
        <v>0.80208333333333337</v>
      </c>
      <c r="I26" s="377"/>
      <c r="J26" s="66">
        <f>IF(出退社入力シート!J27="","",出退社入力シート!J27)</f>
        <v>1</v>
      </c>
      <c r="K26" s="67">
        <f>IF(出退社入力シート!K27=0,"",出退社入力シート!K27)</f>
        <v>9.25</v>
      </c>
      <c r="L26" s="378" t="str">
        <f>IF(AND(E26="○",出退社入力シート!Q27=""),"入力漏れ！！",出退社入力シート!Q27)</f>
        <v>#27941 パンデミック対応（一括発注承認パターンマスタメンテナンス）テスト</v>
      </c>
      <c r="M26" s="379"/>
      <c r="N26" s="379"/>
      <c r="O26" s="379"/>
      <c r="P26" s="379"/>
      <c r="Q26" s="379"/>
      <c r="R26" s="379"/>
      <c r="S26" s="380"/>
    </row>
    <row r="27" spans="1:21" ht="18" customHeight="1">
      <c r="B27" s="63">
        <f>出退社入力シート!C28</f>
        <v>44614</v>
      </c>
      <c r="C27" s="64" t="str">
        <f>出退社入力シート!D28</f>
        <v>火</v>
      </c>
      <c r="D27" s="65" t="str">
        <f>出退社入力シート!E28</f>
        <v/>
      </c>
      <c r="E27" s="64" t="str">
        <f>出退社入力シート!G28</f>
        <v>○</v>
      </c>
      <c r="F27" s="376">
        <f>IF(出退社入力シート!H28="","",出退社入力シート!H28)</f>
        <v>0.375</v>
      </c>
      <c r="G27" s="377"/>
      <c r="H27" s="376">
        <f>IF(出退社入力シート!I28="","",出退社入力シート!I28)</f>
        <v>0.75</v>
      </c>
      <c r="I27" s="377"/>
      <c r="J27" s="66">
        <f>IF(出退社入力シート!J28="","",出退社入力シート!J28)</f>
        <v>1</v>
      </c>
      <c r="K27" s="67">
        <f>IF(出退社入力シート!K28=0,"",出退社入力シート!K28)</f>
        <v>8</v>
      </c>
      <c r="L27" s="378" t="str">
        <f>IF(AND(E27="○",出退社入力シート!Q28=""),"入力漏れ！！",出退社入力シート!Q28)</f>
        <v>#27941 パンデミック対応（一括発注承認パターンマスタメンテナンス）テスト</v>
      </c>
      <c r="M27" s="379"/>
      <c r="N27" s="379"/>
      <c r="O27" s="379"/>
      <c r="P27" s="379"/>
      <c r="Q27" s="379"/>
      <c r="R27" s="379"/>
      <c r="S27" s="380"/>
    </row>
    <row r="28" spans="1:21" ht="18" customHeight="1">
      <c r="A28" s="26"/>
      <c r="B28" s="63">
        <f>出退社入力シート!C29</f>
        <v>44615</v>
      </c>
      <c r="C28" s="64" t="str">
        <f>出退社入力シート!D29</f>
        <v>水</v>
      </c>
      <c r="D28" s="65" t="str">
        <f>出退社入力シート!E29</f>
        <v>天皇誕生日</v>
      </c>
      <c r="E28" s="64" t="str">
        <f>出退社入力シート!G29</f>
        <v/>
      </c>
      <c r="F28" s="376" t="str">
        <f>IF(出退社入力シート!H29="","",出退社入力シート!H29)</f>
        <v/>
      </c>
      <c r="G28" s="377"/>
      <c r="H28" s="376" t="str">
        <f>IF(出退社入力シート!I29="","",出退社入力シート!I29)</f>
        <v/>
      </c>
      <c r="I28" s="377"/>
      <c r="J28" s="66" t="str">
        <f>IF(出退社入力シート!J29="","",出退社入力シート!J29)</f>
        <v/>
      </c>
      <c r="K28" s="67" t="str">
        <f>IF(出退社入力シート!K29=0,"",出退社入力シート!K29)</f>
        <v/>
      </c>
      <c r="L28" s="378">
        <f>IF(AND(E28="○",出退社入力シート!Q29=""),"入力漏れ！！",出退社入力シート!Q29)</f>
        <v>0</v>
      </c>
      <c r="M28" s="379"/>
      <c r="N28" s="379"/>
      <c r="O28" s="379"/>
      <c r="P28" s="379"/>
      <c r="Q28" s="379"/>
      <c r="R28" s="379"/>
      <c r="S28" s="380"/>
    </row>
    <row r="29" spans="1:21" ht="18" customHeight="1">
      <c r="B29" s="63">
        <f>出退社入力シート!C30</f>
        <v>44616</v>
      </c>
      <c r="C29" s="64" t="str">
        <f>出退社入力シート!D30</f>
        <v>木</v>
      </c>
      <c r="D29" s="65" t="str">
        <f>出退社入力シート!E30</f>
        <v/>
      </c>
      <c r="E29" s="64" t="str">
        <f>出退社入力シート!G30</f>
        <v>○</v>
      </c>
      <c r="F29" s="376">
        <f>IF(出退社入力シート!H30="","",出退社入力シート!H30)</f>
        <v>0.375</v>
      </c>
      <c r="G29" s="377"/>
      <c r="H29" s="376">
        <f>IF(出退社入力シート!I30="","",出退社入力シート!I30)</f>
        <v>0.75</v>
      </c>
      <c r="I29" s="377"/>
      <c r="J29" s="66">
        <f>IF(出退社入力シート!J30="","",出退社入力シート!J30)</f>
        <v>1</v>
      </c>
      <c r="K29" s="67">
        <f>IF(出退社入力シート!K30=0,"",出退社入力シート!K30)</f>
        <v>8</v>
      </c>
      <c r="L29" s="378" t="str">
        <f>IF(AND(E29="○",出退社入力シート!Q30=""),"入力漏れ！！",出退社入力シート!Q30)</f>
        <v>#27941 パンデミック対応（一括発注承認パターンマスタメンテナンス）テスト、レビュー参加</v>
      </c>
      <c r="M29" s="379"/>
      <c r="N29" s="379"/>
      <c r="O29" s="379"/>
      <c r="P29" s="379"/>
      <c r="Q29" s="379"/>
      <c r="R29" s="379"/>
      <c r="S29" s="380"/>
    </row>
    <row r="30" spans="1:21" ht="18" customHeight="1">
      <c r="B30" s="58">
        <f>出退社入力シート!C31</f>
        <v>44617</v>
      </c>
      <c r="C30" s="59" t="str">
        <f>出退社入力シート!D31</f>
        <v>金</v>
      </c>
      <c r="D30" s="60" t="str">
        <f>出退社入力シート!E31</f>
        <v/>
      </c>
      <c r="E30" s="59" t="str">
        <f>出退社入力シート!G31</f>
        <v>○</v>
      </c>
      <c r="F30" s="376">
        <f>IF(出退社入力シート!H31="","",出退社入力シート!H31)</f>
        <v>0.375</v>
      </c>
      <c r="G30" s="377"/>
      <c r="H30" s="376">
        <f>IF(出退社入力シート!I31="","",出退社入力シート!I31)</f>
        <v>0.75</v>
      </c>
      <c r="I30" s="377"/>
      <c r="J30" s="61">
        <f>IF(出退社入力シート!J31="","",出退社入力シート!J31)</f>
        <v>1</v>
      </c>
      <c r="K30" s="62">
        <f>IF(出退社入力シート!K31=0,"",出退社入力シート!K31)</f>
        <v>8</v>
      </c>
      <c r="L30" s="378" t="str">
        <f>IF(AND(E30="○",出退社入力シート!Q31=""),"入力漏れ！！",出退社入力シート!Q31)</f>
        <v>#27941 パンデミック対応（一括発注承認パターンマスタメンテナンス）テスト</v>
      </c>
      <c r="M30" s="379"/>
      <c r="N30" s="379"/>
      <c r="O30" s="379"/>
      <c r="P30" s="379"/>
      <c r="Q30" s="379"/>
      <c r="R30" s="379"/>
      <c r="S30" s="380"/>
    </row>
    <row r="31" spans="1:21" ht="18" customHeight="1">
      <c r="B31" s="58">
        <f>出退社入力シート!C32</f>
        <v>44618</v>
      </c>
      <c r="C31" s="59" t="str">
        <f>出退社入力シート!D32</f>
        <v>土</v>
      </c>
      <c r="D31" s="60" t="str">
        <f>出退社入力シート!E32</f>
        <v/>
      </c>
      <c r="E31" s="59" t="str">
        <f>出退社入力シート!G32</f>
        <v/>
      </c>
      <c r="F31" s="376" t="str">
        <f>IF(出退社入力シート!H32="","",出退社入力シート!H32)</f>
        <v/>
      </c>
      <c r="G31" s="377"/>
      <c r="H31" s="376" t="str">
        <f>IF(出退社入力シート!I32="","",出退社入力シート!I32)</f>
        <v/>
      </c>
      <c r="I31" s="377"/>
      <c r="J31" s="61" t="str">
        <f>IF(出退社入力シート!J32="","",出退社入力シート!J32)</f>
        <v/>
      </c>
      <c r="K31" s="62" t="str">
        <f>IF(出退社入力シート!K32=0,"",出退社入力シート!K32)</f>
        <v/>
      </c>
      <c r="L31" s="378">
        <f>IF(AND(E31="○",出退社入力シート!Q32=""),"入力漏れ！！",出退社入力シート!Q32)</f>
        <v>0</v>
      </c>
      <c r="M31" s="379"/>
      <c r="N31" s="379"/>
      <c r="O31" s="379"/>
      <c r="P31" s="379"/>
      <c r="Q31" s="379"/>
      <c r="R31" s="379"/>
      <c r="S31" s="380"/>
    </row>
    <row r="32" spans="1:21" ht="18" customHeight="1">
      <c r="B32" s="58">
        <f>出退社入力シート!C33</f>
        <v>44619</v>
      </c>
      <c r="C32" s="59" t="str">
        <f>出退社入力シート!D33</f>
        <v>日</v>
      </c>
      <c r="D32" s="60" t="str">
        <f>出退社入力シート!E33</f>
        <v/>
      </c>
      <c r="E32" s="59" t="str">
        <f>出退社入力シート!G33</f>
        <v/>
      </c>
      <c r="F32" s="376" t="str">
        <f>IF(出退社入力シート!H33="","",出退社入力シート!H33)</f>
        <v/>
      </c>
      <c r="G32" s="377"/>
      <c r="H32" s="376" t="str">
        <f>IF(出退社入力シート!I33="","",出退社入力シート!I33)</f>
        <v/>
      </c>
      <c r="I32" s="377"/>
      <c r="J32" s="61" t="str">
        <f>IF(出退社入力シート!J33="","",出退社入力シート!J33)</f>
        <v/>
      </c>
      <c r="K32" s="62" t="str">
        <f>IF(出退社入力シート!K33=0,"",出退社入力シート!K33)</f>
        <v/>
      </c>
      <c r="L32" s="378">
        <f>IF(AND(E32="○",出退社入力シート!Q33=""),"入力漏れ！！",出退社入力シート!Q33)</f>
        <v>0</v>
      </c>
      <c r="M32" s="379"/>
      <c r="N32" s="379"/>
      <c r="O32" s="379"/>
      <c r="P32" s="379"/>
      <c r="Q32" s="379"/>
      <c r="R32" s="379"/>
      <c r="S32" s="380"/>
    </row>
    <row r="33" spans="2:19" ht="18" customHeight="1">
      <c r="B33" s="58">
        <f>出退社入力シート!C34</f>
        <v>44620</v>
      </c>
      <c r="C33" s="59" t="str">
        <f>出退社入力シート!D34</f>
        <v>月</v>
      </c>
      <c r="D33" s="60" t="str">
        <f>出退社入力シート!E34</f>
        <v/>
      </c>
      <c r="E33" s="59" t="str">
        <f>出退社入力シート!G34</f>
        <v>○</v>
      </c>
      <c r="F33" s="376">
        <f>IF(出退社入力シート!H34="","",出退社入力シート!H34)</f>
        <v>0.375</v>
      </c>
      <c r="G33" s="377"/>
      <c r="H33" s="376">
        <f>IF(出退社入力シート!I34="","",出退社入力シート!I34)</f>
        <v>0.75</v>
      </c>
      <c r="I33" s="377"/>
      <c r="J33" s="61">
        <f>IF(出退社入力シート!J34="","",出退社入力シート!J34)</f>
        <v>1</v>
      </c>
      <c r="K33" s="62">
        <f>IF(出退社入力シート!K34=0,"",出退社入力シート!K34)</f>
        <v>8</v>
      </c>
      <c r="L33" s="378" t="str">
        <f>IF(AND(E33="○",出退社入力シート!Q34=""),"入力漏れ！！",出退社入力シート!Q34)</f>
        <v>#27941 パンデミック対応（一括発注承認パターンマスタメンテナンス）テスト</v>
      </c>
      <c r="M33" s="379"/>
      <c r="N33" s="379"/>
      <c r="O33" s="379"/>
      <c r="P33" s="379"/>
      <c r="Q33" s="379"/>
      <c r="R33" s="379"/>
      <c r="S33" s="380"/>
    </row>
    <row r="34" spans="2:19" ht="18" customHeight="1">
      <c r="B34" s="58" t="str">
        <f>出退社入力シート!C35</f>
        <v/>
      </c>
      <c r="C34" s="59" t="str">
        <f>出退社入力シート!D35</f>
        <v/>
      </c>
      <c r="D34" s="60" t="str">
        <f>出退社入力シート!E35</f>
        <v/>
      </c>
      <c r="E34" s="59" t="str">
        <f>出退社入力シート!G35</f>
        <v/>
      </c>
      <c r="F34" s="376" t="str">
        <f>IF(出退社入力シート!H35="","",出退社入力シート!H35)</f>
        <v/>
      </c>
      <c r="G34" s="377"/>
      <c r="H34" s="376" t="str">
        <f>IF(出退社入力シート!I35="","",出退社入力シート!I35)</f>
        <v/>
      </c>
      <c r="I34" s="377"/>
      <c r="J34" s="61" t="str">
        <f>IF(出退社入力シート!J35="","",出退社入力シート!J35)</f>
        <v/>
      </c>
      <c r="K34" s="62" t="str">
        <f>IF(出退社入力シート!K35=0,"",出退社入力シート!K35)</f>
        <v/>
      </c>
      <c r="L34" s="378">
        <f>IF(AND(E34="○",出退社入力シート!Q35=""),"入力漏れ！！",出退社入力シート!Q35)</f>
        <v>0</v>
      </c>
      <c r="M34" s="379"/>
      <c r="N34" s="379"/>
      <c r="O34" s="379"/>
      <c r="P34" s="379"/>
      <c r="Q34" s="379"/>
      <c r="R34" s="379"/>
      <c r="S34" s="380"/>
    </row>
    <row r="35" spans="2:19" ht="18" customHeight="1">
      <c r="B35" s="58" t="str">
        <f>出退社入力シート!C36</f>
        <v/>
      </c>
      <c r="C35" s="59" t="str">
        <f>出退社入力シート!D36</f>
        <v/>
      </c>
      <c r="D35" s="60" t="str">
        <f>出退社入力シート!E36</f>
        <v/>
      </c>
      <c r="E35" s="59" t="str">
        <f>出退社入力シート!G36</f>
        <v/>
      </c>
      <c r="F35" s="376" t="str">
        <f>IF(出退社入力シート!H36="","",出退社入力シート!H36)</f>
        <v/>
      </c>
      <c r="G35" s="377"/>
      <c r="H35" s="376" t="str">
        <f>IF(出退社入力シート!I36="","",出退社入力シート!I36)</f>
        <v/>
      </c>
      <c r="I35" s="377"/>
      <c r="J35" s="61" t="str">
        <f>IF(出退社入力シート!J36="","",出退社入力シート!J36)</f>
        <v/>
      </c>
      <c r="K35" s="62" t="str">
        <f>IF(出退社入力シート!K36=0,"",出退社入力シート!K36)</f>
        <v/>
      </c>
      <c r="L35" s="378">
        <f>IF(AND(E35="○",出退社入力シート!Q36=""),"入力漏れ！！",出退社入力シート!Q36)</f>
        <v>0</v>
      </c>
      <c r="M35" s="379"/>
      <c r="N35" s="379"/>
      <c r="O35" s="379"/>
      <c r="P35" s="379"/>
      <c r="Q35" s="379"/>
      <c r="R35" s="379"/>
      <c r="S35" s="380"/>
    </row>
    <row r="36" spans="2:19" ht="18" customHeight="1" thickBot="1">
      <c r="B36" s="58" t="str">
        <f>出退社入力シート!C37</f>
        <v/>
      </c>
      <c r="C36" s="59" t="str">
        <f>出退社入力シート!D37</f>
        <v/>
      </c>
      <c r="D36" s="60" t="str">
        <f>出退社入力シート!E37</f>
        <v/>
      </c>
      <c r="E36" s="59" t="str">
        <f>出退社入力シート!G37</f>
        <v/>
      </c>
      <c r="F36" s="376" t="str">
        <f>IF(出退社入力シート!H37="","",出退社入力シート!H37)</f>
        <v/>
      </c>
      <c r="G36" s="377"/>
      <c r="H36" s="376" t="str">
        <f>IF(出退社入力シート!I37="","",出退社入力シート!I37)</f>
        <v/>
      </c>
      <c r="I36" s="377"/>
      <c r="J36" s="61" t="str">
        <f>IF(出退社入力シート!J37="","",出退社入力シート!J37)</f>
        <v/>
      </c>
      <c r="K36" s="62" t="str">
        <f>IF(出退社入力シート!K37=0,"",出退社入力シート!K37)</f>
        <v/>
      </c>
      <c r="L36" s="405">
        <f>IF(AND(E36="○",出退社入力シート!Q37=""),"入力漏れ！！",出退社入力シート!Q37)</f>
        <v>0</v>
      </c>
      <c r="M36" s="406"/>
      <c r="N36" s="406"/>
      <c r="O36" s="406"/>
      <c r="P36" s="406"/>
      <c r="Q36" s="406"/>
      <c r="R36" s="406"/>
      <c r="S36" s="407"/>
    </row>
    <row r="37" spans="2:19" ht="18" customHeight="1" thickBot="1">
      <c r="B37" s="349" t="s">
        <v>128</v>
      </c>
      <c r="C37" s="350"/>
      <c r="D37" s="69"/>
      <c r="E37" s="68" t="s">
        <v>30</v>
      </c>
      <c r="F37" s="351"/>
      <c r="G37" s="352"/>
      <c r="H37" s="351"/>
      <c r="I37" s="352"/>
      <c r="J37" s="70" t="s">
        <v>41</v>
      </c>
      <c r="K37" s="71" t="s">
        <v>42</v>
      </c>
      <c r="L37" s="72"/>
      <c r="M37" s="72"/>
      <c r="N37" s="72"/>
      <c r="O37" s="72"/>
      <c r="P37" s="72"/>
      <c r="Q37" s="72"/>
      <c r="R37" s="72"/>
      <c r="S37" s="72"/>
    </row>
    <row r="38" spans="2:19" ht="17.25" customHeight="1">
      <c r="B38" s="355">
        <f>出退社入力シート!F38</f>
        <v>18</v>
      </c>
      <c r="C38" s="356"/>
      <c r="D38" s="73"/>
      <c r="E38" s="64">
        <f>COUNTIF(E6:E29,"○")+COUNTIF(E30:E36,"○")</f>
        <v>18</v>
      </c>
      <c r="F38" s="353"/>
      <c r="G38" s="354"/>
      <c r="H38" s="353"/>
      <c r="I38" s="354"/>
      <c r="J38" s="74">
        <f>出退社入力シート!J38</f>
        <v>20.5</v>
      </c>
      <c r="K38" s="75">
        <f>出退社入力シート!K38</f>
        <v>159.5</v>
      </c>
      <c r="L38" s="72"/>
      <c r="M38" s="109" t="s">
        <v>129</v>
      </c>
      <c r="N38" s="110"/>
      <c r="O38" s="110"/>
      <c r="P38" s="110"/>
      <c r="Q38" s="110"/>
      <c r="R38" s="110"/>
      <c r="S38" s="111"/>
    </row>
    <row r="39" spans="2:19" ht="17.25" customHeight="1">
      <c r="B39" s="357" t="s">
        <v>17</v>
      </c>
      <c r="C39" s="358"/>
      <c r="D39" s="358"/>
      <c r="E39" s="358"/>
      <c r="F39" s="358"/>
      <c r="G39" s="358"/>
      <c r="H39" s="358"/>
      <c r="I39" s="358"/>
      <c r="J39" s="358"/>
      <c r="K39" s="76" t="s">
        <v>33</v>
      </c>
      <c r="L39" s="72"/>
      <c r="M39" s="381"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82"/>
      <c r="O39" s="382"/>
      <c r="P39" s="382"/>
      <c r="Q39" s="382"/>
      <c r="R39" s="382"/>
      <c r="S39" s="383"/>
    </row>
    <row r="40" spans="2:19" ht="17.25" customHeight="1">
      <c r="B40" s="362" t="str">
        <f>IF(出退社入力シート!K41="","",出退社入力シート!K41)</f>
        <v/>
      </c>
      <c r="C40" s="363" t="s">
        <v>131</v>
      </c>
      <c r="D40" s="176"/>
      <c r="E40" s="359" t="str">
        <f>IF(出退社入力シート!L41="","",出退社入力シート!L41)</f>
        <v/>
      </c>
      <c r="F40" s="359"/>
      <c r="G40" s="359"/>
      <c r="H40" s="359"/>
      <c r="I40" s="359"/>
      <c r="J40" s="359"/>
      <c r="K40" s="78">
        <f>出退社入力シート!P41</f>
        <v>159.5</v>
      </c>
      <c r="L40" s="72"/>
      <c r="M40" s="384"/>
      <c r="N40" s="385"/>
      <c r="O40" s="385"/>
      <c r="P40" s="385"/>
      <c r="Q40" s="385"/>
      <c r="R40" s="385"/>
      <c r="S40" s="386"/>
    </row>
    <row r="41" spans="2:19" ht="17.25" customHeight="1">
      <c r="B41" s="362" t="str">
        <f>IF(OR(出退社入力シート!K42="",出退社入力シート!P42=""),"",出退社入力シート!K42)</f>
        <v/>
      </c>
      <c r="C41" s="363" t="s">
        <v>131</v>
      </c>
      <c r="D41" s="176"/>
      <c r="E41" s="359" t="str">
        <f>IF(OR(出退社入力シート!L42="",出退社入力シート!P42=""),"",出退社入力シート!L42)</f>
        <v/>
      </c>
      <c r="F41" s="359"/>
      <c r="G41" s="359"/>
      <c r="H41" s="359"/>
      <c r="I41" s="359"/>
      <c r="J41" s="359"/>
      <c r="K41" s="78" t="str">
        <f>出退社入力シート!P42</f>
        <v/>
      </c>
      <c r="L41" s="72"/>
      <c r="M41" s="112" t="s">
        <v>130</v>
      </c>
      <c r="N41" s="113"/>
      <c r="O41" s="113"/>
      <c r="P41" s="113"/>
      <c r="Q41" s="113"/>
      <c r="R41" s="113"/>
      <c r="S41" s="114"/>
    </row>
    <row r="42" spans="2:19" ht="17.25" customHeight="1">
      <c r="B42" s="362" t="str">
        <f>IF(OR(出退社入力シート!K43="",出退社入力シート!P43=""),"",出退社入力シート!K43)</f>
        <v/>
      </c>
      <c r="C42" s="363" t="s">
        <v>131</v>
      </c>
      <c r="D42" s="176"/>
      <c r="E42" s="359" t="str">
        <f>IF(OR(出退社入力シート!L43="",出退社入力シート!P43=""),"",出退社入力シート!L43)</f>
        <v/>
      </c>
      <c r="F42" s="359"/>
      <c r="G42" s="359"/>
      <c r="H42" s="359"/>
      <c r="I42" s="359"/>
      <c r="J42" s="359"/>
      <c r="K42" s="78" t="str">
        <f>出退社入力シート!P43</f>
        <v/>
      </c>
      <c r="L42" s="72"/>
      <c r="M42" s="395" t="str">
        <f>出退社入力シート!G48</f>
        <v>情報技術開発株式会社</v>
      </c>
      <c r="N42" s="396"/>
      <c r="O42" s="396"/>
      <c r="P42" s="396"/>
      <c r="Q42" s="396"/>
      <c r="R42" s="396"/>
      <c r="S42" s="397"/>
    </row>
    <row r="43" spans="2:19" ht="17.25" customHeight="1">
      <c r="B43" s="362" t="str">
        <f>IF(OR(出退社入力シート!K44="",出退社入力シート!P44=""),"",出退社入力シート!K44)</f>
        <v/>
      </c>
      <c r="C43" s="363" t="s">
        <v>131</v>
      </c>
      <c r="D43" s="176"/>
      <c r="E43" s="359" t="str">
        <f>IF(OR(出退社入力シート!L44="",出退社入力シート!P44=""),"",出退社入力シート!L44)</f>
        <v/>
      </c>
      <c r="F43" s="359"/>
      <c r="G43" s="359"/>
      <c r="H43" s="359"/>
      <c r="I43" s="359"/>
      <c r="J43" s="359"/>
      <c r="K43" s="78" t="str">
        <f>出退社入力シート!P44</f>
        <v/>
      </c>
      <c r="L43" s="72"/>
      <c r="M43" s="398"/>
      <c r="N43" s="399"/>
      <c r="O43" s="399"/>
      <c r="P43" s="399"/>
      <c r="Q43" s="399"/>
      <c r="R43" s="399"/>
      <c r="S43" s="400"/>
    </row>
    <row r="44" spans="2:19" ht="17.25" customHeight="1">
      <c r="B44" s="362" t="str">
        <f>IF(OR(出退社入力シート!K45="",出退社入力シート!P45=""),"",出退社入力シート!K45)</f>
        <v/>
      </c>
      <c r="C44" s="363" t="s">
        <v>131</v>
      </c>
      <c r="D44" s="176"/>
      <c r="E44" s="359" t="str">
        <f>IF(OR(出退社入力シート!L45="",出退社入力シート!P45=""),"",出退社入力シート!L45)</f>
        <v/>
      </c>
      <c r="F44" s="359"/>
      <c r="G44" s="359"/>
      <c r="H44" s="359"/>
      <c r="I44" s="359"/>
      <c r="J44" s="359"/>
      <c r="K44" s="78" t="str">
        <f>出退社入力シート!P45</f>
        <v/>
      </c>
      <c r="L44" s="72"/>
      <c r="M44" s="112" t="s">
        <v>292</v>
      </c>
      <c r="N44" s="113"/>
      <c r="O44" s="113"/>
      <c r="P44" s="113"/>
      <c r="Q44" s="113"/>
      <c r="R44" s="113"/>
      <c r="S44" s="114"/>
    </row>
    <row r="45" spans="2:19" ht="14.25" customHeight="1">
      <c r="B45" s="364" t="s">
        <v>72</v>
      </c>
      <c r="C45" s="365"/>
      <c r="D45" s="365"/>
      <c r="E45" s="365"/>
      <c r="F45" s="365"/>
      <c r="G45" s="365"/>
      <c r="H45" s="365"/>
      <c r="I45" s="365"/>
      <c r="J45" s="365"/>
      <c r="K45" s="366"/>
      <c r="L45" s="72"/>
      <c r="M45" s="369" t="str">
        <f>IF(出退社入力シート!G50="","入力漏れ！！",出退社入力シート!G50)</f>
        <v>入力漏れ！！</v>
      </c>
      <c r="N45" s="370"/>
      <c r="O45" s="370"/>
      <c r="P45" s="370"/>
      <c r="Q45" s="370"/>
      <c r="R45" s="370"/>
      <c r="S45" s="401"/>
    </row>
    <row r="46" spans="2:19" ht="14.25" customHeight="1">
      <c r="B46" s="346" t="str">
        <f>IF(出退社入力シート!Q41="","",出退社入力シート!Q41)</f>
        <v>2022/1/4 年末年始休暇</v>
      </c>
      <c r="C46" s="347"/>
      <c r="D46" s="347"/>
      <c r="E46" s="347"/>
      <c r="F46" s="347"/>
      <c r="G46" s="347"/>
      <c r="H46" s="347"/>
      <c r="I46" s="347"/>
      <c r="J46" s="347"/>
      <c r="K46" s="348"/>
      <c r="L46" s="72"/>
      <c r="M46" s="402" t="str">
        <f>IF(出退社入力シート!G51="","入力漏れ！！",出退社入力シート!G51)</f>
        <v>入力漏れ！！</v>
      </c>
      <c r="N46" s="403"/>
      <c r="O46" s="403"/>
      <c r="P46" s="403"/>
      <c r="Q46" s="403"/>
      <c r="R46" s="403"/>
      <c r="S46" s="404"/>
    </row>
    <row r="47" spans="2:19" ht="14.25" customHeight="1">
      <c r="B47" s="346" t="str">
        <f>IF(出退社入力シート!Q42="","",出退社入力シート!Q42)</f>
        <v>2022/1/7 通院のためAM休み</v>
      </c>
      <c r="C47" s="347"/>
      <c r="D47" s="347"/>
      <c r="E47" s="347"/>
      <c r="F47" s="347"/>
      <c r="G47" s="347"/>
      <c r="H47" s="347"/>
      <c r="I47" s="347"/>
      <c r="J47" s="347"/>
      <c r="K47" s="348"/>
      <c r="L47" s="72"/>
      <c r="M47" s="112" t="s">
        <v>146</v>
      </c>
      <c r="N47" s="113"/>
      <c r="O47" s="113"/>
      <c r="P47" s="113"/>
      <c r="Q47" s="113"/>
      <c r="R47" s="113"/>
      <c r="S47" s="114"/>
    </row>
    <row r="48" spans="2:19" ht="14.25" customHeight="1">
      <c r="B48" s="346" t="str">
        <f>IF(出退社入力シート!Q43="","",出退社入力シート!Q43)</f>
        <v>2022/1/24 自社作業のため14時早退</v>
      </c>
      <c r="C48" s="347"/>
      <c r="D48" s="347"/>
      <c r="E48" s="347"/>
      <c r="F48" s="347"/>
      <c r="G48" s="347"/>
      <c r="H48" s="347"/>
      <c r="I48" s="347"/>
      <c r="J48" s="347"/>
      <c r="K48" s="348"/>
      <c r="L48" s="72"/>
      <c r="M48" s="369" t="str">
        <f>IF(出退社入力シート!H55="","入力漏れ！！","　"&amp;出退社入力シート!H55)</f>
        <v>入力漏れ！！</v>
      </c>
      <c r="N48" s="370"/>
      <c r="O48" s="370"/>
      <c r="P48" s="370"/>
      <c r="Q48" s="370"/>
      <c r="R48" s="370"/>
      <c r="S48" s="401"/>
    </row>
    <row r="49" spans="2:19" ht="14.25" customHeight="1" thickBot="1">
      <c r="B49" s="346" t="str">
        <f>IF(出退社入力シート!Q44="","",出退社入力シート!Q44)</f>
        <v/>
      </c>
      <c r="C49" s="347"/>
      <c r="D49" s="347"/>
      <c r="E49" s="347"/>
      <c r="F49" s="347"/>
      <c r="G49" s="347"/>
      <c r="H49" s="347"/>
      <c r="I49" s="347"/>
      <c r="J49" s="347"/>
      <c r="K49" s="348"/>
      <c r="L49" s="72"/>
      <c r="M49" s="392" t="str">
        <f>IF(出退社入力シート!H56="","","　"&amp;出退社入力シート!H56)</f>
        <v/>
      </c>
      <c r="N49" s="393"/>
      <c r="O49" s="393"/>
      <c r="P49" s="393"/>
      <c r="Q49" s="393"/>
      <c r="R49" s="393"/>
      <c r="S49" s="394"/>
    </row>
    <row r="50" spans="2:19" ht="14.25" customHeight="1">
      <c r="B50" s="346" t="str">
        <f>IF(出退社入力シート!Q45="","",出退社入力シート!Q45)</f>
        <v/>
      </c>
      <c r="C50" s="347"/>
      <c r="D50" s="347"/>
      <c r="E50" s="347"/>
      <c r="F50" s="347"/>
      <c r="G50" s="347"/>
      <c r="H50" s="347"/>
      <c r="I50" s="347"/>
      <c r="J50" s="347"/>
      <c r="K50" s="348"/>
      <c r="L50" s="72"/>
      <c r="M50" s="72"/>
      <c r="N50" s="72"/>
      <c r="O50" s="72"/>
      <c r="P50" s="72"/>
      <c r="Q50" s="72"/>
      <c r="R50" s="72"/>
      <c r="S50" s="77"/>
    </row>
    <row r="51" spans="2:19" ht="17.25" customHeight="1">
      <c r="B51" s="387" t="str">
        <f>IF(出退社入力シート!D40=0,"入力漏れ！！",出退社入力シート!D40)</f>
        <v>株式会社　HTKエンジニアリング</v>
      </c>
      <c r="C51" s="388"/>
      <c r="D51" s="388"/>
      <c r="E51" s="388"/>
      <c r="F51" s="388"/>
      <c r="G51" s="388"/>
      <c r="H51" s="388"/>
      <c r="I51" s="389"/>
      <c r="J51" s="390" t="str">
        <f>M42</f>
        <v>情報技術開発株式会社</v>
      </c>
      <c r="K51" s="391"/>
      <c r="L51" s="72"/>
      <c r="S51" s="72"/>
    </row>
    <row r="52" spans="2:19" ht="18" customHeight="1">
      <c r="B52" s="373" t="s">
        <v>43</v>
      </c>
      <c r="C52" s="374"/>
      <c r="D52" s="374"/>
      <c r="E52" s="374"/>
      <c r="F52" s="374"/>
      <c r="G52" s="374"/>
      <c r="H52" s="374"/>
      <c r="I52" s="375"/>
      <c r="J52" s="138" t="s">
        <v>163</v>
      </c>
      <c r="K52" s="139" t="s">
        <v>61</v>
      </c>
      <c r="L52" s="72"/>
      <c r="S52" s="72"/>
    </row>
    <row r="53" spans="2:19" ht="22.5" customHeight="1">
      <c r="B53" s="369" t="str">
        <f>出退社入力シート!D42</f>
        <v>史正韵</v>
      </c>
      <c r="C53" s="370"/>
      <c r="D53" s="370"/>
      <c r="E53" s="370"/>
      <c r="F53" s="370"/>
      <c r="G53" s="370"/>
      <c r="H53" s="370"/>
      <c r="I53" s="367" t="s">
        <v>37</v>
      </c>
      <c r="J53" s="344" t="s">
        <v>37</v>
      </c>
      <c r="K53" s="360" t="s">
        <v>66</v>
      </c>
      <c r="L53" s="72"/>
      <c r="S53" s="77"/>
    </row>
    <row r="54" spans="2:19" ht="22.5" customHeight="1" thickBot="1">
      <c r="B54" s="371"/>
      <c r="C54" s="372"/>
      <c r="D54" s="372"/>
      <c r="E54" s="372"/>
      <c r="F54" s="372"/>
      <c r="G54" s="372"/>
      <c r="H54" s="372"/>
      <c r="I54" s="368"/>
      <c r="J54" s="345"/>
      <c r="K54" s="361"/>
      <c r="L54" s="72"/>
      <c r="S54" s="77"/>
    </row>
  </sheetData>
  <sheetProtection password="F6FE" sheet="1" selectLockedCells="1"/>
  <mergeCells count="142">
    <mergeCell ref="B1:C2"/>
    <mergeCell ref="E1:F2"/>
    <mergeCell ref="H1:K2"/>
    <mergeCell ref="M1:S1"/>
    <mergeCell ref="M2:S3"/>
    <mergeCell ref="B4:B5"/>
    <mergeCell ref="C4:C5"/>
    <mergeCell ref="E4:E5"/>
    <mergeCell ref="F4:G5"/>
    <mergeCell ref="H4:I5"/>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s>
  <phoneticPr fontId="2"/>
  <conditionalFormatting sqref="B6:B36">
    <cfRule type="expression" dxfId="16" priority="20" stopIfTrue="1">
      <formula>D6&lt;&gt;""</formula>
    </cfRule>
    <cfRule type="expression" dxfId="15" priority="21" stopIfTrue="1">
      <formula>C6="土"</formula>
    </cfRule>
    <cfRule type="expression" dxfId="14" priority="22" stopIfTrue="1">
      <formula>C6="日"</formula>
    </cfRule>
  </conditionalFormatting>
  <conditionalFormatting sqref="C6:C36">
    <cfRule type="expression" dxfId="13" priority="17" stopIfTrue="1">
      <formula>D6&lt;&gt;""</formula>
    </cfRule>
    <cfRule type="cellIs" dxfId="12" priority="18" stopIfTrue="1" operator="equal">
      <formula>"土"</formula>
    </cfRule>
    <cfRule type="cellIs" dxfId="11" priority="19" stopIfTrue="1" operator="equal">
      <formula>"日"</formula>
    </cfRule>
  </conditionalFormatting>
  <conditionalFormatting sqref="L6:S6">
    <cfRule type="expression" dxfId="10" priority="16" stopIfTrue="1">
      <formula>$L6="入力漏れ！！"</formula>
    </cfRule>
  </conditionalFormatting>
  <conditionalFormatting sqref="L7:S36">
    <cfRule type="expression" dxfId="9" priority="14" stopIfTrue="1">
      <formula>$L7="入力漏れ！！"</formula>
    </cfRule>
  </conditionalFormatting>
  <conditionalFormatting sqref="M39">
    <cfRule type="expression" dxfId="8" priority="13" stopIfTrue="1">
      <formula>$M$39="入力漏れ！！"</formula>
    </cfRule>
  </conditionalFormatting>
  <conditionalFormatting sqref="M45">
    <cfRule type="expression" dxfId="7" priority="12" stopIfTrue="1">
      <formula>$M$45="入力漏れ！！"</formula>
    </cfRule>
  </conditionalFormatting>
  <conditionalFormatting sqref="M49">
    <cfRule type="expression" dxfId="6" priority="10" stopIfTrue="1">
      <formula>$M49="入力漏れ！！"</formula>
    </cfRule>
  </conditionalFormatting>
  <conditionalFormatting sqref="M49">
    <cfRule type="expression" dxfId="5" priority="9" stopIfTrue="1">
      <formula>$M49="入力漏れ！！"</formula>
    </cfRule>
  </conditionalFormatting>
  <conditionalFormatting sqref="B51:I51">
    <cfRule type="expression" dxfId="4" priority="7" stopIfTrue="1">
      <formula>$B$51="入力漏れ！！"</formula>
    </cfRule>
  </conditionalFormatting>
  <conditionalFormatting sqref="O4:S4">
    <cfRule type="expression" dxfId="3" priority="6" stopIfTrue="1">
      <formula>$O$4="入力漏れ！！"</formula>
    </cfRule>
  </conditionalFormatting>
  <conditionalFormatting sqref="M46">
    <cfRule type="expression" dxfId="2" priority="5" stopIfTrue="1">
      <formula>$M$46="入力漏れ！！"</formula>
    </cfRule>
  </conditionalFormatting>
  <conditionalFormatting sqref="L7:S36">
    <cfRule type="expression" dxfId="1" priority="4" stopIfTrue="1">
      <formula>$L7="入力漏れ！！"</formula>
    </cfRule>
  </conditionalFormatting>
  <conditionalFormatting sqref="M48">
    <cfRule type="expression" dxfId="0"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0">
        <v>1</v>
      </c>
      <c r="M1" s="430"/>
    </row>
    <row r="2" spans="1:13" ht="16.5" customHeight="1">
      <c r="A2" s="42"/>
      <c r="B2" s="305" t="str">
        <f>出退社入力シート!C3&amp;"年"&amp;出退社入力シート!H3&amp;"月"</f>
        <v>2022年2月</v>
      </c>
      <c r="C2" s="305"/>
      <c r="D2" s="305"/>
      <c r="E2" s="304" t="s">
        <v>52</v>
      </c>
      <c r="F2" s="304"/>
      <c r="G2" s="304"/>
      <c r="H2" s="304"/>
      <c r="I2" s="304"/>
      <c r="J2" s="119" t="s">
        <v>58</v>
      </c>
      <c r="K2" s="431" t="str">
        <f>IF(出退社入力シート!D40="","",出退社入力シート!D40)</f>
        <v>株式会社　HTKエンジニアリング</v>
      </c>
      <c r="L2" s="431"/>
      <c r="M2" s="431"/>
    </row>
    <row r="3" spans="1:13" ht="16.5" customHeight="1">
      <c r="A3" s="42"/>
      <c r="B3" s="305"/>
      <c r="C3" s="305"/>
      <c r="D3" s="305"/>
      <c r="E3" s="304"/>
      <c r="F3" s="304"/>
      <c r="G3" s="304"/>
      <c r="H3" s="304"/>
      <c r="I3" s="304"/>
      <c r="J3" s="119" t="s">
        <v>36</v>
      </c>
      <c r="K3" s="431" t="str">
        <f>IF(出退社入力シート!D42="","",出退社入力シート!D42)</f>
        <v>史正韵</v>
      </c>
      <c r="L3" s="431"/>
      <c r="M3" s="117" t="s">
        <v>37</v>
      </c>
    </row>
    <row r="4" spans="1:13" ht="22.5" customHeight="1" thickBot="1">
      <c r="A4" s="42"/>
      <c r="B4" s="120"/>
      <c r="C4" s="120"/>
      <c r="D4" s="120"/>
      <c r="E4" s="120"/>
      <c r="F4" s="120"/>
      <c r="G4" s="42"/>
      <c r="H4" s="42"/>
      <c r="I4" s="42"/>
      <c r="J4" s="42"/>
      <c r="K4" s="42"/>
      <c r="L4" s="42"/>
      <c r="M4" s="42"/>
    </row>
    <row r="5" spans="1:13" ht="22.5" customHeight="1">
      <c r="A5" s="42"/>
      <c r="B5" s="432" t="s">
        <v>20</v>
      </c>
      <c r="C5" s="434" t="s">
        <v>21</v>
      </c>
      <c r="D5" s="436" t="s">
        <v>57</v>
      </c>
      <c r="E5" s="438" t="s">
        <v>60</v>
      </c>
      <c r="F5" s="438"/>
      <c r="G5" s="438"/>
      <c r="H5" s="438"/>
      <c r="I5" s="438"/>
      <c r="J5" s="438" t="s">
        <v>77</v>
      </c>
      <c r="K5" s="438"/>
      <c r="L5" s="439" t="s">
        <v>23</v>
      </c>
      <c r="M5" s="440"/>
    </row>
    <row r="6" spans="1:13" ht="22.5" customHeight="1">
      <c r="A6" s="42"/>
      <c r="B6" s="433"/>
      <c r="C6" s="435"/>
      <c r="D6" s="437"/>
      <c r="E6" s="121" t="s">
        <v>56</v>
      </c>
      <c r="F6" s="443" t="s">
        <v>53</v>
      </c>
      <c r="G6" s="443"/>
      <c r="H6" s="443"/>
      <c r="I6" s="121" t="s">
        <v>55</v>
      </c>
      <c r="J6" s="121" t="s">
        <v>65</v>
      </c>
      <c r="K6" s="121" t="s">
        <v>55</v>
      </c>
      <c r="L6" s="441"/>
      <c r="M6" s="442"/>
    </row>
    <row r="7" spans="1:13" ht="30" customHeight="1">
      <c r="B7" s="140"/>
      <c r="C7" s="38" t="str">
        <f>IF(B7="","",VLOOKUP(B7,出退社入力シート!A7:D37,4))</f>
        <v/>
      </c>
      <c r="D7" s="35"/>
      <c r="E7" s="36"/>
      <c r="F7" s="36"/>
      <c r="G7" s="115" t="s">
        <v>54</v>
      </c>
      <c r="H7" s="36"/>
      <c r="I7" s="37"/>
      <c r="J7" s="35"/>
      <c r="K7" s="37"/>
      <c r="L7" s="444" t="str">
        <f>IF(I7+K7=0,"",I7+K7)</f>
        <v/>
      </c>
      <c r="M7" s="445"/>
    </row>
    <row r="8" spans="1:13" ht="30" customHeight="1">
      <c r="B8" s="140"/>
      <c r="C8" s="38" t="str">
        <f>IF(B8="","",VLOOKUP(B8,出退社入力シート!A7:D37,4))</f>
        <v/>
      </c>
      <c r="D8" s="35"/>
      <c r="E8" s="36"/>
      <c r="F8" s="36"/>
      <c r="G8" s="115" t="s">
        <v>54</v>
      </c>
      <c r="H8" s="36"/>
      <c r="I8" s="37"/>
      <c r="J8" s="35"/>
      <c r="K8" s="37"/>
      <c r="L8" s="444" t="str">
        <f>IF(I8+K8=0,"",I8+K8)</f>
        <v/>
      </c>
      <c r="M8" s="445"/>
    </row>
    <row r="9" spans="1:13" ht="30" customHeight="1">
      <c r="B9" s="140"/>
      <c r="C9" s="38" t="str">
        <f>IF(B9="","",VLOOKUP(B9,出退社入力シート!A7:D37,4))</f>
        <v/>
      </c>
      <c r="D9" s="35"/>
      <c r="E9" s="36"/>
      <c r="F9" s="36"/>
      <c r="G9" s="115" t="s">
        <v>54</v>
      </c>
      <c r="H9" s="36"/>
      <c r="I9" s="37"/>
      <c r="J9" s="35"/>
      <c r="K9" s="37"/>
      <c r="L9" s="444" t="str">
        <f>IF(I9+K9=0,"",I9+K9)</f>
        <v/>
      </c>
      <c r="M9" s="445"/>
    </row>
    <row r="10" spans="1:13" ht="30" customHeight="1">
      <c r="B10" s="140"/>
      <c r="C10" s="38" t="str">
        <f>IF(B10="","",VLOOKUP(B10,出退社入力シート!A7:D37,4))</f>
        <v/>
      </c>
      <c r="D10" s="35"/>
      <c r="E10" s="36"/>
      <c r="F10" s="36"/>
      <c r="G10" s="115" t="s">
        <v>54</v>
      </c>
      <c r="H10" s="36"/>
      <c r="I10" s="37"/>
      <c r="J10" s="35"/>
      <c r="K10" s="37"/>
      <c r="L10" s="444" t="str">
        <f>IF(I10+K10=0,"",I10+K10)</f>
        <v/>
      </c>
      <c r="M10" s="445"/>
    </row>
    <row r="11" spans="1:13" ht="30" customHeight="1">
      <c r="B11" s="140"/>
      <c r="C11" s="38" t="str">
        <f>IF(B11="","",VLOOKUP(B11,出退社入力シート!A7:D37,4))</f>
        <v/>
      </c>
      <c r="D11" s="35"/>
      <c r="E11" s="36"/>
      <c r="F11" s="36"/>
      <c r="G11" s="115" t="s">
        <v>54</v>
      </c>
      <c r="H11" s="36"/>
      <c r="I11" s="37"/>
      <c r="J11" s="35"/>
      <c r="K11" s="37"/>
      <c r="L11" s="444" t="str">
        <f>IF(I11+K11=0,"",I11+K11)</f>
        <v/>
      </c>
      <c r="M11" s="445"/>
    </row>
    <row r="12" spans="1:13" ht="30" customHeight="1">
      <c r="B12" s="140"/>
      <c r="C12" s="38" t="str">
        <f>IF(B12="","",VLOOKUP(B12,出退社入力シート!A7:D37,4))</f>
        <v/>
      </c>
      <c r="D12" s="35"/>
      <c r="E12" s="36"/>
      <c r="F12" s="36"/>
      <c r="G12" s="115" t="s">
        <v>54</v>
      </c>
      <c r="H12" s="36"/>
      <c r="I12" s="37"/>
      <c r="J12" s="35"/>
      <c r="K12" s="37"/>
      <c r="L12" s="444" t="str">
        <f t="shared" ref="L12:L32" si="0">IF(I12+K12=0,"",I12+K12)</f>
        <v/>
      </c>
      <c r="M12" s="445"/>
    </row>
    <row r="13" spans="1:13" ht="30" customHeight="1">
      <c r="B13" s="140"/>
      <c r="C13" s="38" t="str">
        <f>IF(B13="","",VLOOKUP(B13,出退社入力シート!A7:D37,4))</f>
        <v/>
      </c>
      <c r="D13" s="35"/>
      <c r="E13" s="36"/>
      <c r="F13" s="36"/>
      <c r="G13" s="115" t="s">
        <v>54</v>
      </c>
      <c r="H13" s="36"/>
      <c r="I13" s="37"/>
      <c r="J13" s="35"/>
      <c r="K13" s="37"/>
      <c r="L13" s="444" t="str">
        <f>IF(I13+K13=0,"",I13+K13)</f>
        <v/>
      </c>
      <c r="M13" s="445"/>
    </row>
    <row r="14" spans="1:13" ht="30" customHeight="1">
      <c r="B14" s="140"/>
      <c r="C14" s="38" t="str">
        <f>IF(B14="","",VLOOKUP(B14,出退社入力シート!A7:D37,4))</f>
        <v/>
      </c>
      <c r="D14" s="35"/>
      <c r="E14" s="36"/>
      <c r="F14" s="36"/>
      <c r="G14" s="115" t="s">
        <v>54</v>
      </c>
      <c r="H14" s="36"/>
      <c r="I14" s="37"/>
      <c r="J14" s="35"/>
      <c r="K14" s="37"/>
      <c r="L14" s="444" t="str">
        <f t="shared" si="0"/>
        <v/>
      </c>
      <c r="M14" s="445"/>
    </row>
    <row r="15" spans="1:13" ht="30" customHeight="1">
      <c r="B15" s="140"/>
      <c r="C15" s="38" t="str">
        <f>IF(B15="","",VLOOKUP(B15,出退社入力シート!A7:D37,4))</f>
        <v/>
      </c>
      <c r="D15" s="35"/>
      <c r="E15" s="36"/>
      <c r="F15" s="36"/>
      <c r="G15" s="115" t="s">
        <v>54</v>
      </c>
      <c r="H15" s="36"/>
      <c r="I15" s="37"/>
      <c r="J15" s="35"/>
      <c r="K15" s="37"/>
      <c r="L15" s="444" t="str">
        <f t="shared" si="0"/>
        <v/>
      </c>
      <c r="M15" s="445"/>
    </row>
    <row r="16" spans="1:13" ht="30" customHeight="1">
      <c r="B16" s="140"/>
      <c r="C16" s="38" t="str">
        <f>IF(B16="","",VLOOKUP(B16,出退社入力シート!A7:D37,4))</f>
        <v/>
      </c>
      <c r="D16" s="35"/>
      <c r="E16" s="36"/>
      <c r="F16" s="36"/>
      <c r="G16" s="115" t="s">
        <v>54</v>
      </c>
      <c r="H16" s="36"/>
      <c r="I16" s="37"/>
      <c r="J16" s="35"/>
      <c r="K16" s="37"/>
      <c r="L16" s="444" t="str">
        <f>IF(I16+K16=0,"",I16+K16)</f>
        <v/>
      </c>
      <c r="M16" s="445"/>
    </row>
    <row r="17" spans="2:13" ht="30" customHeight="1">
      <c r="B17" s="140"/>
      <c r="C17" s="38" t="str">
        <f>IF(B17="","",VLOOKUP(B17,出退社入力シート!A7:D37,4))</f>
        <v/>
      </c>
      <c r="D17" s="35"/>
      <c r="E17" s="36"/>
      <c r="F17" s="36"/>
      <c r="G17" s="115" t="s">
        <v>54</v>
      </c>
      <c r="H17" s="36"/>
      <c r="I17" s="37"/>
      <c r="J17" s="35"/>
      <c r="K17" s="37"/>
      <c r="L17" s="444" t="str">
        <f t="shared" si="0"/>
        <v/>
      </c>
      <c r="M17" s="445"/>
    </row>
    <row r="18" spans="2:13" ht="30" customHeight="1">
      <c r="B18" s="140"/>
      <c r="C18" s="38" t="str">
        <f>IF(B18="","",VLOOKUP(B18,出退社入力シート!A7:D37,4))</f>
        <v/>
      </c>
      <c r="D18" s="35"/>
      <c r="E18" s="36"/>
      <c r="F18" s="36"/>
      <c r="G18" s="115" t="s">
        <v>54</v>
      </c>
      <c r="H18" s="36"/>
      <c r="I18" s="37"/>
      <c r="J18" s="35"/>
      <c r="K18" s="37"/>
      <c r="L18" s="444" t="str">
        <f t="shared" si="0"/>
        <v/>
      </c>
      <c r="M18" s="445"/>
    </row>
    <row r="19" spans="2:13" ht="30" customHeight="1">
      <c r="B19" s="140"/>
      <c r="C19" s="38" t="str">
        <f>IF(B19="","",VLOOKUP(B19,出退社入力シート!A7:D37,4))</f>
        <v/>
      </c>
      <c r="D19" s="35"/>
      <c r="E19" s="36"/>
      <c r="F19" s="36"/>
      <c r="G19" s="115" t="s">
        <v>54</v>
      </c>
      <c r="H19" s="36"/>
      <c r="I19" s="37"/>
      <c r="J19" s="35"/>
      <c r="K19" s="37"/>
      <c r="L19" s="444" t="str">
        <f t="shared" si="0"/>
        <v/>
      </c>
      <c r="M19" s="445"/>
    </row>
    <row r="20" spans="2:13" ht="30" customHeight="1">
      <c r="B20" s="140"/>
      <c r="C20" s="38" t="str">
        <f>IF(B20="","",VLOOKUP(B20,出退社入力シート!A7:D37,4))</f>
        <v/>
      </c>
      <c r="D20" s="35"/>
      <c r="E20" s="36"/>
      <c r="F20" s="36"/>
      <c r="G20" s="115" t="s">
        <v>54</v>
      </c>
      <c r="H20" s="36"/>
      <c r="I20" s="37"/>
      <c r="J20" s="35"/>
      <c r="K20" s="37"/>
      <c r="L20" s="444" t="str">
        <f t="shared" si="0"/>
        <v/>
      </c>
      <c r="M20" s="445"/>
    </row>
    <row r="21" spans="2:13" ht="30" customHeight="1">
      <c r="B21" s="140"/>
      <c r="C21" s="38" t="str">
        <f>IF(B21="","",VLOOKUP(B21,出退社入力シート!A7:D37,4))</f>
        <v/>
      </c>
      <c r="D21" s="35"/>
      <c r="E21" s="36"/>
      <c r="F21" s="36"/>
      <c r="G21" s="115" t="s">
        <v>54</v>
      </c>
      <c r="H21" s="36"/>
      <c r="I21" s="37"/>
      <c r="J21" s="35"/>
      <c r="K21" s="37"/>
      <c r="L21" s="444" t="str">
        <f t="shared" si="0"/>
        <v/>
      </c>
      <c r="M21" s="445"/>
    </row>
    <row r="22" spans="2:13" ht="30" customHeight="1">
      <c r="B22" s="140"/>
      <c r="C22" s="38" t="str">
        <f>IF(B22="","",VLOOKUP(B22,出退社入力シート!A7:D37,4))</f>
        <v/>
      </c>
      <c r="D22" s="35"/>
      <c r="E22" s="36"/>
      <c r="F22" s="36"/>
      <c r="G22" s="115" t="s">
        <v>54</v>
      </c>
      <c r="H22" s="36"/>
      <c r="I22" s="37"/>
      <c r="J22" s="35"/>
      <c r="K22" s="37"/>
      <c r="L22" s="444" t="str">
        <f t="shared" si="0"/>
        <v/>
      </c>
      <c r="M22" s="445"/>
    </row>
    <row r="23" spans="2:13" ht="30" customHeight="1">
      <c r="B23" s="140"/>
      <c r="C23" s="38" t="str">
        <f>IF(B23="","",VLOOKUP(B23,出退社入力シート!A7:D37,4))</f>
        <v/>
      </c>
      <c r="D23" s="35"/>
      <c r="E23" s="36"/>
      <c r="F23" s="36"/>
      <c r="G23" s="115" t="s">
        <v>54</v>
      </c>
      <c r="H23" s="36"/>
      <c r="I23" s="37"/>
      <c r="J23" s="35"/>
      <c r="K23" s="37"/>
      <c r="L23" s="444" t="str">
        <f t="shared" si="0"/>
        <v/>
      </c>
      <c r="M23" s="445"/>
    </row>
    <row r="24" spans="2:13" ht="30" customHeight="1">
      <c r="B24" s="140"/>
      <c r="C24" s="38" t="str">
        <f>IF(B24="","",VLOOKUP(B24,出退社入力シート!A7:D37,4))</f>
        <v/>
      </c>
      <c r="D24" s="35"/>
      <c r="E24" s="36"/>
      <c r="F24" s="36"/>
      <c r="G24" s="115" t="s">
        <v>54</v>
      </c>
      <c r="H24" s="36"/>
      <c r="I24" s="37"/>
      <c r="J24" s="35"/>
      <c r="K24" s="37"/>
      <c r="L24" s="444" t="str">
        <f t="shared" si="0"/>
        <v/>
      </c>
      <c r="M24" s="445"/>
    </row>
    <row r="25" spans="2:13" ht="30" customHeight="1">
      <c r="B25" s="140"/>
      <c r="C25" s="38" t="str">
        <f>IF(B25="","",VLOOKUP(B25,出退社入力シート!A7:D37,4))</f>
        <v/>
      </c>
      <c r="D25" s="35"/>
      <c r="E25" s="36"/>
      <c r="F25" s="36"/>
      <c r="G25" s="115" t="s">
        <v>54</v>
      </c>
      <c r="H25" s="36"/>
      <c r="I25" s="37"/>
      <c r="J25" s="35"/>
      <c r="K25" s="37"/>
      <c r="L25" s="444" t="str">
        <f t="shared" si="0"/>
        <v/>
      </c>
      <c r="M25" s="445"/>
    </row>
    <row r="26" spans="2:13" ht="30" customHeight="1">
      <c r="B26" s="140"/>
      <c r="C26" s="38" t="str">
        <f>IF(B26="","",VLOOKUP(B26,出退社入力シート!A7:D37,4))</f>
        <v/>
      </c>
      <c r="D26" s="35"/>
      <c r="E26" s="36"/>
      <c r="F26" s="36"/>
      <c r="G26" s="115" t="s">
        <v>54</v>
      </c>
      <c r="H26" s="36"/>
      <c r="I26" s="37"/>
      <c r="J26" s="35"/>
      <c r="K26" s="37"/>
      <c r="L26" s="444" t="str">
        <f t="shared" si="0"/>
        <v/>
      </c>
      <c r="M26" s="445"/>
    </row>
    <row r="27" spans="2:13" ht="30" customHeight="1">
      <c r="B27" s="140"/>
      <c r="C27" s="38" t="str">
        <f>IF(B27="","",VLOOKUP(B27,出退社入力シート!A7:D37,4))</f>
        <v/>
      </c>
      <c r="D27" s="35"/>
      <c r="E27" s="36"/>
      <c r="F27" s="36"/>
      <c r="G27" s="115" t="s">
        <v>54</v>
      </c>
      <c r="H27" s="36"/>
      <c r="I27" s="37"/>
      <c r="J27" s="35"/>
      <c r="K27" s="37"/>
      <c r="L27" s="444" t="str">
        <f t="shared" si="0"/>
        <v/>
      </c>
      <c r="M27" s="445"/>
    </row>
    <row r="28" spans="2:13" ht="30" customHeight="1">
      <c r="B28" s="140"/>
      <c r="C28" s="38" t="str">
        <f>IF(B28="","",VLOOKUP(B28,出退社入力シート!A7:D37,4))</f>
        <v/>
      </c>
      <c r="D28" s="35"/>
      <c r="E28" s="36"/>
      <c r="F28" s="36"/>
      <c r="G28" s="115" t="s">
        <v>54</v>
      </c>
      <c r="H28" s="36"/>
      <c r="I28" s="37"/>
      <c r="J28" s="35"/>
      <c r="K28" s="37"/>
      <c r="L28" s="444" t="str">
        <f t="shared" si="0"/>
        <v/>
      </c>
      <c r="M28" s="445"/>
    </row>
    <row r="29" spans="2:13" ht="30" customHeight="1">
      <c r="B29" s="140"/>
      <c r="C29" s="38" t="str">
        <f>IF(B29="","",VLOOKUP(B29,出退社入力シート!A7:D37,4))</f>
        <v/>
      </c>
      <c r="D29" s="35"/>
      <c r="E29" s="36"/>
      <c r="F29" s="36"/>
      <c r="G29" s="115" t="s">
        <v>54</v>
      </c>
      <c r="H29" s="36"/>
      <c r="I29" s="37"/>
      <c r="J29" s="35"/>
      <c r="K29" s="37"/>
      <c r="L29" s="444" t="str">
        <f t="shared" si="0"/>
        <v/>
      </c>
      <c r="M29" s="445"/>
    </row>
    <row r="30" spans="2:13" ht="30" customHeight="1">
      <c r="B30" s="140"/>
      <c r="C30" s="38" t="str">
        <f>IF(B30="","",VLOOKUP(B30,出退社入力シート!A7:D37,4))</f>
        <v/>
      </c>
      <c r="D30" s="35"/>
      <c r="E30" s="36"/>
      <c r="F30" s="36"/>
      <c r="G30" s="115" t="s">
        <v>54</v>
      </c>
      <c r="H30" s="36"/>
      <c r="I30" s="37"/>
      <c r="J30" s="35"/>
      <c r="K30" s="37"/>
      <c r="L30" s="444" t="str">
        <f t="shared" si="0"/>
        <v/>
      </c>
      <c r="M30" s="445"/>
    </row>
    <row r="31" spans="2:13" ht="30" customHeight="1">
      <c r="B31" s="140"/>
      <c r="C31" s="38" t="str">
        <f>IF(B31="","",VLOOKUP(B31,出退社入力シート!A7:D37,4))</f>
        <v/>
      </c>
      <c r="D31" s="35"/>
      <c r="E31" s="36"/>
      <c r="F31" s="36"/>
      <c r="G31" s="115" t="s">
        <v>54</v>
      </c>
      <c r="H31" s="36"/>
      <c r="I31" s="37"/>
      <c r="J31" s="35"/>
      <c r="K31" s="37"/>
      <c r="L31" s="444" t="str">
        <f t="shared" si="0"/>
        <v/>
      </c>
      <c r="M31" s="445"/>
    </row>
    <row r="32" spans="2:13" ht="30" customHeight="1">
      <c r="B32" s="140"/>
      <c r="C32" s="38" t="str">
        <f>IF(B32="","",VLOOKUP(B32,出退社入力シート!A7:D37,4))</f>
        <v/>
      </c>
      <c r="D32" s="35"/>
      <c r="E32" s="36"/>
      <c r="F32" s="36"/>
      <c r="G32" s="115" t="s">
        <v>54</v>
      </c>
      <c r="H32" s="36"/>
      <c r="I32" s="37"/>
      <c r="J32" s="35"/>
      <c r="K32" s="37"/>
      <c r="L32" s="444" t="str">
        <f t="shared" si="0"/>
        <v/>
      </c>
      <c r="M32" s="445"/>
    </row>
    <row r="33" spans="2:13" ht="37.5" customHeight="1" thickBot="1">
      <c r="B33" s="446"/>
      <c r="C33" s="447"/>
      <c r="D33" s="447"/>
      <c r="E33" s="447"/>
      <c r="F33" s="447"/>
      <c r="G33" s="447"/>
      <c r="H33" s="447"/>
      <c r="I33" s="448"/>
      <c r="J33" s="449" t="s">
        <v>59</v>
      </c>
      <c r="K33" s="449"/>
      <c r="L33" s="450">
        <f>SUM(L7:L32)</f>
        <v>0</v>
      </c>
      <c r="M33" s="451"/>
    </row>
    <row r="34" spans="2:13" ht="15" customHeight="1"/>
    <row r="35" spans="2:13" ht="15" customHeight="1" thickBot="1">
      <c r="B35" s="39" t="s">
        <v>73</v>
      </c>
    </row>
    <row r="36" spans="2:13" ht="15" customHeight="1">
      <c r="B36" s="455" t="str">
        <f>IF(出退社入力シート!K41="","",出退社入力シート!K41)</f>
        <v/>
      </c>
      <c r="C36" s="455"/>
      <c r="D36" s="452" t="str">
        <f>IF(出退社入力シート!L41="","",出退社入力シート!L41)</f>
        <v/>
      </c>
      <c r="E36" s="452"/>
      <c r="F36" s="49">
        <f>L33-F37-F38-F39-F40</f>
        <v>0</v>
      </c>
      <c r="K36" s="453" t="str">
        <f>出退社入力シート!J3&amp;"確認欄"</f>
        <v>tdi確認欄</v>
      </c>
      <c r="L36" s="454"/>
      <c r="M36" s="440"/>
    </row>
    <row r="37" spans="2:13" ht="15" customHeight="1">
      <c r="B37" s="455" t="str">
        <f>IF(OR(出退社入力シート!K42="",出退社入力シート!P42=""),"",出退社入力シート!K42)</f>
        <v/>
      </c>
      <c r="C37" s="455"/>
      <c r="D37" s="452" t="str">
        <f>IF(OR(出退社入力シート!L42="",出退社入力シート!P42=""),"",出退社入力シート!L42)</f>
        <v/>
      </c>
      <c r="E37" s="452"/>
      <c r="F37" s="49"/>
      <c r="K37" s="456" t="s">
        <v>37</v>
      </c>
      <c r="L37" s="459" t="s">
        <v>37</v>
      </c>
      <c r="M37" s="460"/>
    </row>
    <row r="38" spans="2:13" ht="15" customHeight="1">
      <c r="B38" s="455" t="str">
        <f>IF(OR(出退社入力シート!K43="",出退社入力シート!P43=""),"",出退社入力シート!K43)</f>
        <v/>
      </c>
      <c r="C38" s="455"/>
      <c r="D38" s="452" t="str">
        <f>IF(OR(出退社入力シート!L43="",出退社入力シート!P43=""),"",出退社入力シート!L43)</f>
        <v/>
      </c>
      <c r="E38" s="452"/>
      <c r="F38" s="49"/>
      <c r="K38" s="457"/>
      <c r="L38" s="461"/>
      <c r="M38" s="462"/>
    </row>
    <row r="39" spans="2:13" ht="15" customHeight="1">
      <c r="B39" s="455" t="str">
        <f>IF(OR(出退社入力シート!K44="",出退社入力シート!P44=""),"",出退社入力シート!K44)</f>
        <v/>
      </c>
      <c r="C39" s="455"/>
      <c r="D39" s="452" t="str">
        <f>IF(OR(出退社入力シート!L44="",出退社入力シート!P44=""),"",出退社入力シート!L44)</f>
        <v/>
      </c>
      <c r="E39" s="452"/>
      <c r="F39" s="49"/>
      <c r="K39" s="457"/>
      <c r="L39" s="461"/>
      <c r="M39" s="462"/>
    </row>
    <row r="40" spans="2:13" ht="15" customHeight="1" thickBot="1">
      <c r="B40" s="455" t="str">
        <f>IF(OR(出退社入力シート!K45="",出退社入力シート!P45=""),"",出退社入力シート!K45)</f>
        <v/>
      </c>
      <c r="C40" s="455"/>
      <c r="D40" s="452" t="str">
        <f>IF(OR(出退社入力シート!L45="",出退社入力シート!P45=""),"",出退社入力シート!L45)</f>
        <v/>
      </c>
      <c r="E40" s="452"/>
      <c r="F40" s="49"/>
      <c r="K40" s="458"/>
      <c r="L40" s="463"/>
      <c r="M40" s="464"/>
    </row>
  </sheetData>
  <sheetProtection password="F6FE" sheet="1" objects="1" scenarios="1" selectLockedCells="1"/>
  <mergeCells count="54">
    <mergeCell ref="D36:E36"/>
    <mergeCell ref="K36:M36"/>
    <mergeCell ref="B37:C37"/>
    <mergeCell ref="D37:E37"/>
    <mergeCell ref="K37:K40"/>
    <mergeCell ref="L37:M40"/>
    <mergeCell ref="B38:C38"/>
    <mergeCell ref="D38:E38"/>
    <mergeCell ref="B39:C39"/>
    <mergeCell ref="D39:E39"/>
    <mergeCell ref="B40:C40"/>
    <mergeCell ref="D40:E40"/>
    <mergeCell ref="B36:C36"/>
    <mergeCell ref="L30:M30"/>
    <mergeCell ref="L31:M31"/>
    <mergeCell ref="L32:M32"/>
    <mergeCell ref="B33:I33"/>
    <mergeCell ref="J33:K33"/>
    <mergeCell ref="L33:M33"/>
    <mergeCell ref="L25:M25"/>
    <mergeCell ref="L26:M26"/>
    <mergeCell ref="L27:M27"/>
    <mergeCell ref="L28:M28"/>
    <mergeCell ref="L29:M29"/>
    <mergeCell ref="L20:M20"/>
    <mergeCell ref="L21:M21"/>
    <mergeCell ref="L22:M22"/>
    <mergeCell ref="L23:M23"/>
    <mergeCell ref="L24:M24"/>
    <mergeCell ref="L15:M15"/>
    <mergeCell ref="L16:M16"/>
    <mergeCell ref="L17:M17"/>
    <mergeCell ref="L18:M18"/>
    <mergeCell ref="L19:M19"/>
    <mergeCell ref="L10:M10"/>
    <mergeCell ref="L11:M11"/>
    <mergeCell ref="L12:M12"/>
    <mergeCell ref="L13:M13"/>
    <mergeCell ref="L14:M14"/>
    <mergeCell ref="L5:M6"/>
    <mergeCell ref="F6:H6"/>
    <mergeCell ref="L7:M7"/>
    <mergeCell ref="L8:M8"/>
    <mergeCell ref="L9:M9"/>
    <mergeCell ref="B5:B6"/>
    <mergeCell ref="C5:C6"/>
    <mergeCell ref="D5:D6"/>
    <mergeCell ref="E5:I5"/>
    <mergeCell ref="J5:K5"/>
    <mergeCell ref="L1:M1"/>
    <mergeCell ref="E2:I3"/>
    <mergeCell ref="K2:M2"/>
    <mergeCell ref="K3:L3"/>
    <mergeCell ref="B2:D3"/>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0">
        <v>2</v>
      </c>
      <c r="M1" s="430"/>
    </row>
    <row r="2" spans="1:13" ht="16.5" customHeight="1">
      <c r="A2" s="42"/>
      <c r="B2" s="305" t="str">
        <f>出退社入力シート!C3&amp;"年"&amp;出退社入力シート!H3&amp;"月"</f>
        <v>2022年2月</v>
      </c>
      <c r="C2" s="305"/>
      <c r="D2" s="305"/>
      <c r="E2" s="304" t="s">
        <v>52</v>
      </c>
      <c r="F2" s="304"/>
      <c r="G2" s="304"/>
      <c r="H2" s="304"/>
      <c r="I2" s="304"/>
      <c r="J2" s="119" t="s">
        <v>58</v>
      </c>
      <c r="K2" s="431" t="str">
        <f>IF(出退社入力シート!D40="","",出退社入力シート!D40)</f>
        <v>株式会社　HTKエンジニアリング</v>
      </c>
      <c r="L2" s="431"/>
      <c r="M2" s="431"/>
    </row>
    <row r="3" spans="1:13" ht="16.5" customHeight="1">
      <c r="A3" s="42"/>
      <c r="B3" s="305"/>
      <c r="C3" s="305"/>
      <c r="D3" s="305"/>
      <c r="E3" s="304"/>
      <c r="F3" s="304"/>
      <c r="G3" s="304"/>
      <c r="H3" s="304"/>
      <c r="I3" s="304"/>
      <c r="J3" s="119" t="s">
        <v>36</v>
      </c>
      <c r="K3" s="431" t="str">
        <f>IF(出退社入力シート!D42="","",出退社入力シート!D42)</f>
        <v>史正韵</v>
      </c>
      <c r="L3" s="431"/>
      <c r="M3" s="117" t="s">
        <v>37</v>
      </c>
    </row>
    <row r="4" spans="1:13" ht="22.5" customHeight="1" thickBot="1">
      <c r="A4" s="42"/>
      <c r="B4" s="120"/>
      <c r="C4" s="120"/>
      <c r="D4" s="120"/>
      <c r="E4" s="120"/>
      <c r="F4" s="120"/>
      <c r="G4" s="42"/>
      <c r="H4" s="42"/>
      <c r="I4" s="42"/>
      <c r="J4" s="42"/>
      <c r="K4" s="42"/>
      <c r="L4" s="42"/>
      <c r="M4" s="42"/>
    </row>
    <row r="5" spans="1:13" ht="22.5" customHeight="1">
      <c r="A5" s="42"/>
      <c r="B5" s="432" t="s">
        <v>20</v>
      </c>
      <c r="C5" s="434" t="s">
        <v>21</v>
      </c>
      <c r="D5" s="436" t="s">
        <v>57</v>
      </c>
      <c r="E5" s="438" t="s">
        <v>60</v>
      </c>
      <c r="F5" s="438"/>
      <c r="G5" s="438"/>
      <c r="H5" s="438"/>
      <c r="I5" s="438"/>
      <c r="J5" s="438" t="s">
        <v>77</v>
      </c>
      <c r="K5" s="438"/>
      <c r="L5" s="439" t="s">
        <v>23</v>
      </c>
      <c r="M5" s="440"/>
    </row>
    <row r="6" spans="1:13" ht="22.5" customHeight="1">
      <c r="A6" s="42"/>
      <c r="B6" s="433"/>
      <c r="C6" s="435"/>
      <c r="D6" s="437"/>
      <c r="E6" s="145" t="s">
        <v>56</v>
      </c>
      <c r="F6" s="443" t="s">
        <v>53</v>
      </c>
      <c r="G6" s="443"/>
      <c r="H6" s="443"/>
      <c r="I6" s="145" t="s">
        <v>55</v>
      </c>
      <c r="J6" s="145" t="s">
        <v>65</v>
      </c>
      <c r="K6" s="145" t="s">
        <v>55</v>
      </c>
      <c r="L6" s="441"/>
      <c r="M6" s="442"/>
    </row>
    <row r="7" spans="1:13" ht="30" customHeight="1">
      <c r="B7" s="140"/>
      <c r="C7" s="38" t="str">
        <f>IF(B7="","",VLOOKUP(B7,出退社入力シート!A7:D37,4))</f>
        <v/>
      </c>
      <c r="D7" s="35"/>
      <c r="E7" s="36"/>
      <c r="F7" s="36"/>
      <c r="G7" s="115" t="s">
        <v>54</v>
      </c>
      <c r="H7" s="36"/>
      <c r="I7" s="37"/>
      <c r="J7" s="35"/>
      <c r="K7" s="37"/>
      <c r="L7" s="444" t="str">
        <f>IF(I7+K7=0,"",I7+K7)</f>
        <v/>
      </c>
      <c r="M7" s="445"/>
    </row>
    <row r="8" spans="1:13" ht="30" customHeight="1">
      <c r="B8" s="141"/>
      <c r="C8" s="38" t="str">
        <f>IF(B8="","",VLOOKUP(B8,出退社入力シート!A7:D37,4))</f>
        <v/>
      </c>
      <c r="D8" s="35"/>
      <c r="E8" s="36"/>
      <c r="F8" s="36"/>
      <c r="G8" s="115" t="s">
        <v>54</v>
      </c>
      <c r="H8" s="36"/>
      <c r="I8" s="37"/>
      <c r="J8" s="35"/>
      <c r="K8" s="37"/>
      <c r="L8" s="444" t="str">
        <f>IF(I8+K8=0,"",I8+K8)</f>
        <v/>
      </c>
      <c r="M8" s="445"/>
    </row>
    <row r="9" spans="1:13" ht="30" customHeight="1">
      <c r="B9" s="141"/>
      <c r="C9" s="38" t="str">
        <f>IF(B9="","",VLOOKUP(B9,出退社入力シート!A7:D37,4))</f>
        <v/>
      </c>
      <c r="D9" s="35"/>
      <c r="E9" s="36"/>
      <c r="F9" s="36"/>
      <c r="G9" s="115" t="s">
        <v>54</v>
      </c>
      <c r="H9" s="36"/>
      <c r="I9" s="37"/>
      <c r="J9" s="35"/>
      <c r="K9" s="37"/>
      <c r="L9" s="444" t="str">
        <f>IF(I9+K9=0,"",I9+K9)</f>
        <v/>
      </c>
      <c r="M9" s="445"/>
    </row>
    <row r="10" spans="1:13" ht="30" customHeight="1">
      <c r="B10" s="141"/>
      <c r="C10" s="38" t="str">
        <f>IF(B10="","",VLOOKUP(B10,出退社入力シート!A7:D37,4))</f>
        <v/>
      </c>
      <c r="D10" s="35"/>
      <c r="E10" s="36"/>
      <c r="F10" s="36"/>
      <c r="G10" s="115" t="s">
        <v>54</v>
      </c>
      <c r="H10" s="36"/>
      <c r="I10" s="37"/>
      <c r="J10" s="35"/>
      <c r="K10" s="37"/>
      <c r="L10" s="444" t="str">
        <f>IF(I10+K10=0,"",I10+K10)</f>
        <v/>
      </c>
      <c r="M10" s="445"/>
    </row>
    <row r="11" spans="1:13" ht="30" customHeight="1">
      <c r="B11" s="141"/>
      <c r="C11" s="38" t="str">
        <f>IF(B11="","",VLOOKUP(B11,出退社入力シート!A7:D37,4))</f>
        <v/>
      </c>
      <c r="D11" s="35"/>
      <c r="E11" s="36"/>
      <c r="F11" s="36"/>
      <c r="G11" s="115" t="s">
        <v>54</v>
      </c>
      <c r="H11" s="36"/>
      <c r="I11" s="37"/>
      <c r="J11" s="35"/>
      <c r="K11" s="37"/>
      <c r="L11" s="444" t="str">
        <f>IF(I11+K11=0,"",I11+K11)</f>
        <v/>
      </c>
      <c r="M11" s="445"/>
    </row>
    <row r="12" spans="1:13" ht="30" customHeight="1">
      <c r="B12" s="141"/>
      <c r="C12" s="38" t="str">
        <f>IF(B12="","",VLOOKUP(B12,出退社入力シート!A7:D37,4))</f>
        <v/>
      </c>
      <c r="D12" s="35"/>
      <c r="E12" s="36"/>
      <c r="F12" s="36"/>
      <c r="G12" s="115" t="s">
        <v>54</v>
      </c>
      <c r="H12" s="36"/>
      <c r="I12" s="37"/>
      <c r="J12" s="35"/>
      <c r="K12" s="37"/>
      <c r="L12" s="444" t="str">
        <f t="shared" ref="L12:L32" si="0">IF(I12+K12=0,"",I12+K12)</f>
        <v/>
      </c>
      <c r="M12" s="445"/>
    </row>
    <row r="13" spans="1:13" ht="30" customHeight="1">
      <c r="B13" s="141"/>
      <c r="C13" s="38" t="str">
        <f>IF(B13="","",VLOOKUP(B13,出退社入力シート!A7:D37,4))</f>
        <v/>
      </c>
      <c r="D13" s="35"/>
      <c r="E13" s="36"/>
      <c r="F13" s="36"/>
      <c r="G13" s="115" t="s">
        <v>54</v>
      </c>
      <c r="H13" s="36"/>
      <c r="I13" s="37"/>
      <c r="J13" s="35"/>
      <c r="K13" s="37"/>
      <c r="L13" s="444" t="str">
        <f>IF(I13+K13=0,"",I13+K13)</f>
        <v/>
      </c>
      <c r="M13" s="445"/>
    </row>
    <row r="14" spans="1:13" ht="30" customHeight="1">
      <c r="B14" s="141"/>
      <c r="C14" s="38" t="str">
        <f>IF(B14="","",VLOOKUP(B14,出退社入力シート!A7:D37,4))</f>
        <v/>
      </c>
      <c r="D14" s="35"/>
      <c r="E14" s="36"/>
      <c r="F14" s="36"/>
      <c r="G14" s="115" t="s">
        <v>54</v>
      </c>
      <c r="H14" s="36"/>
      <c r="I14" s="37"/>
      <c r="J14" s="35"/>
      <c r="K14" s="37"/>
      <c r="L14" s="444" t="str">
        <f t="shared" si="0"/>
        <v/>
      </c>
      <c r="M14" s="445"/>
    </row>
    <row r="15" spans="1:13" ht="30" customHeight="1">
      <c r="B15" s="141"/>
      <c r="C15" s="38" t="str">
        <f>IF(B15="","",VLOOKUP(B15,出退社入力シート!A7:D37,4))</f>
        <v/>
      </c>
      <c r="D15" s="35"/>
      <c r="E15" s="36"/>
      <c r="F15" s="36"/>
      <c r="G15" s="115" t="s">
        <v>54</v>
      </c>
      <c r="H15" s="36"/>
      <c r="I15" s="37"/>
      <c r="J15" s="35"/>
      <c r="K15" s="37"/>
      <c r="L15" s="444" t="str">
        <f t="shared" si="0"/>
        <v/>
      </c>
      <c r="M15" s="445"/>
    </row>
    <row r="16" spans="1:13" ht="30" customHeight="1">
      <c r="B16" s="141"/>
      <c r="C16" s="38" t="str">
        <f>IF(B16="","",VLOOKUP(B16,出退社入力シート!A7:D37,4))</f>
        <v/>
      </c>
      <c r="D16" s="35"/>
      <c r="E16" s="36"/>
      <c r="F16" s="36"/>
      <c r="G16" s="115" t="s">
        <v>54</v>
      </c>
      <c r="H16" s="36"/>
      <c r="I16" s="37"/>
      <c r="J16" s="35"/>
      <c r="K16" s="37"/>
      <c r="L16" s="444" t="str">
        <f>IF(I16+K16=0,"",I16+K16)</f>
        <v/>
      </c>
      <c r="M16" s="445"/>
    </row>
    <row r="17" spans="2:13" ht="30" customHeight="1">
      <c r="B17" s="141"/>
      <c r="C17" s="38" t="str">
        <f>IF(B17="","",VLOOKUP(B17,出退社入力シート!A7:D37,4))</f>
        <v/>
      </c>
      <c r="D17" s="35"/>
      <c r="E17" s="36"/>
      <c r="F17" s="36"/>
      <c r="G17" s="115" t="s">
        <v>54</v>
      </c>
      <c r="H17" s="36"/>
      <c r="I17" s="37"/>
      <c r="J17" s="35"/>
      <c r="K17" s="37"/>
      <c r="L17" s="444" t="str">
        <f t="shared" si="0"/>
        <v/>
      </c>
      <c r="M17" s="445"/>
    </row>
    <row r="18" spans="2:13" ht="30" customHeight="1">
      <c r="B18" s="141"/>
      <c r="C18" s="38" t="str">
        <f>IF(B18="","",VLOOKUP(B18,出退社入力シート!A7:D37,4))</f>
        <v/>
      </c>
      <c r="D18" s="35"/>
      <c r="E18" s="36"/>
      <c r="F18" s="36"/>
      <c r="G18" s="115" t="s">
        <v>54</v>
      </c>
      <c r="H18" s="36"/>
      <c r="I18" s="37"/>
      <c r="J18" s="35"/>
      <c r="K18" s="37"/>
      <c r="L18" s="444" t="str">
        <f t="shared" si="0"/>
        <v/>
      </c>
      <c r="M18" s="445"/>
    </row>
    <row r="19" spans="2:13" ht="30" customHeight="1">
      <c r="B19" s="141"/>
      <c r="C19" s="38" t="str">
        <f>IF(B19="","",VLOOKUP(B19,出退社入力シート!A7:D37,4))</f>
        <v/>
      </c>
      <c r="D19" s="35"/>
      <c r="E19" s="36"/>
      <c r="F19" s="36"/>
      <c r="G19" s="115" t="s">
        <v>54</v>
      </c>
      <c r="H19" s="36"/>
      <c r="I19" s="37"/>
      <c r="J19" s="35"/>
      <c r="K19" s="37"/>
      <c r="L19" s="444" t="str">
        <f t="shared" si="0"/>
        <v/>
      </c>
      <c r="M19" s="445"/>
    </row>
    <row r="20" spans="2:13" ht="30" customHeight="1">
      <c r="B20" s="141"/>
      <c r="C20" s="38" t="str">
        <f>IF(B20="","",VLOOKUP(B20,出退社入力シート!A7:D37,4))</f>
        <v/>
      </c>
      <c r="D20" s="35"/>
      <c r="E20" s="36"/>
      <c r="F20" s="36"/>
      <c r="G20" s="115" t="s">
        <v>54</v>
      </c>
      <c r="H20" s="36"/>
      <c r="I20" s="37"/>
      <c r="J20" s="35"/>
      <c r="K20" s="37"/>
      <c r="L20" s="444" t="str">
        <f t="shared" si="0"/>
        <v/>
      </c>
      <c r="M20" s="445"/>
    </row>
    <row r="21" spans="2:13" ht="30" customHeight="1">
      <c r="B21" s="141"/>
      <c r="C21" s="38" t="str">
        <f>IF(B21="","",VLOOKUP(B21,出退社入力シート!A7:D37,4))</f>
        <v/>
      </c>
      <c r="D21" s="35"/>
      <c r="E21" s="36"/>
      <c r="F21" s="36"/>
      <c r="G21" s="115" t="s">
        <v>54</v>
      </c>
      <c r="H21" s="36"/>
      <c r="I21" s="37"/>
      <c r="J21" s="35"/>
      <c r="K21" s="37"/>
      <c r="L21" s="444" t="str">
        <f t="shared" si="0"/>
        <v/>
      </c>
      <c r="M21" s="445"/>
    </row>
    <row r="22" spans="2:13" ht="30" customHeight="1">
      <c r="B22" s="141"/>
      <c r="C22" s="38" t="str">
        <f>IF(B22="","",VLOOKUP(B22,出退社入力シート!A7:D37,4))</f>
        <v/>
      </c>
      <c r="D22" s="35"/>
      <c r="E22" s="36"/>
      <c r="F22" s="36"/>
      <c r="G22" s="115" t="s">
        <v>54</v>
      </c>
      <c r="H22" s="36"/>
      <c r="I22" s="37"/>
      <c r="J22" s="35"/>
      <c r="K22" s="37"/>
      <c r="L22" s="444" t="str">
        <f t="shared" si="0"/>
        <v/>
      </c>
      <c r="M22" s="445"/>
    </row>
    <row r="23" spans="2:13" ht="30" customHeight="1">
      <c r="B23" s="141"/>
      <c r="C23" s="38" t="str">
        <f>IF(B23="","",VLOOKUP(B23,出退社入力シート!A7:D37,4))</f>
        <v/>
      </c>
      <c r="D23" s="35"/>
      <c r="E23" s="36"/>
      <c r="F23" s="36"/>
      <c r="G23" s="115" t="s">
        <v>54</v>
      </c>
      <c r="H23" s="36"/>
      <c r="I23" s="37"/>
      <c r="J23" s="35"/>
      <c r="K23" s="37"/>
      <c r="L23" s="444" t="str">
        <f t="shared" si="0"/>
        <v/>
      </c>
      <c r="M23" s="445"/>
    </row>
    <row r="24" spans="2:13" ht="30" customHeight="1">
      <c r="B24" s="141"/>
      <c r="C24" s="38" t="str">
        <f>IF(B24="","",VLOOKUP(B24,出退社入力シート!A7:D37,4))</f>
        <v/>
      </c>
      <c r="D24" s="35"/>
      <c r="E24" s="36"/>
      <c r="F24" s="36"/>
      <c r="G24" s="115" t="s">
        <v>54</v>
      </c>
      <c r="H24" s="36"/>
      <c r="I24" s="37"/>
      <c r="J24" s="35"/>
      <c r="K24" s="37"/>
      <c r="L24" s="444" t="str">
        <f t="shared" si="0"/>
        <v/>
      </c>
      <c r="M24" s="445"/>
    </row>
    <row r="25" spans="2:13" ht="30" customHeight="1">
      <c r="B25" s="141"/>
      <c r="C25" s="38" t="str">
        <f>IF(B25="","",VLOOKUP(B25,出退社入力シート!A7:D37,4))</f>
        <v/>
      </c>
      <c r="D25" s="35"/>
      <c r="E25" s="36"/>
      <c r="F25" s="36"/>
      <c r="G25" s="115" t="s">
        <v>54</v>
      </c>
      <c r="H25" s="36"/>
      <c r="I25" s="37"/>
      <c r="J25" s="35"/>
      <c r="K25" s="37"/>
      <c r="L25" s="444" t="str">
        <f t="shared" si="0"/>
        <v/>
      </c>
      <c r="M25" s="445"/>
    </row>
    <row r="26" spans="2:13" ht="30" customHeight="1">
      <c r="B26" s="141"/>
      <c r="C26" s="38" t="str">
        <f>IF(B26="","",VLOOKUP(B26,出退社入力シート!A7:D37,4))</f>
        <v/>
      </c>
      <c r="D26" s="35"/>
      <c r="E26" s="36"/>
      <c r="F26" s="36"/>
      <c r="G26" s="115" t="s">
        <v>54</v>
      </c>
      <c r="H26" s="36"/>
      <c r="I26" s="37"/>
      <c r="J26" s="35"/>
      <c r="K26" s="37"/>
      <c r="L26" s="444" t="str">
        <f t="shared" si="0"/>
        <v/>
      </c>
      <c r="M26" s="445"/>
    </row>
    <row r="27" spans="2:13" ht="30" customHeight="1">
      <c r="B27" s="141"/>
      <c r="C27" s="38" t="str">
        <f>IF(B27="","",VLOOKUP(B27,出退社入力シート!A7:D37,4))</f>
        <v/>
      </c>
      <c r="D27" s="35"/>
      <c r="E27" s="36"/>
      <c r="F27" s="36"/>
      <c r="G27" s="115" t="s">
        <v>54</v>
      </c>
      <c r="H27" s="36"/>
      <c r="I27" s="37"/>
      <c r="J27" s="35"/>
      <c r="K27" s="37"/>
      <c r="L27" s="444" t="str">
        <f t="shared" si="0"/>
        <v/>
      </c>
      <c r="M27" s="445"/>
    </row>
    <row r="28" spans="2:13" ht="30" customHeight="1">
      <c r="B28" s="141"/>
      <c r="C28" s="38" t="str">
        <f>IF(B28="","",VLOOKUP(B28,出退社入力シート!A7:D37,4))</f>
        <v/>
      </c>
      <c r="D28" s="35"/>
      <c r="E28" s="36"/>
      <c r="F28" s="36"/>
      <c r="G28" s="115" t="s">
        <v>54</v>
      </c>
      <c r="H28" s="36"/>
      <c r="I28" s="37"/>
      <c r="J28" s="35"/>
      <c r="K28" s="37"/>
      <c r="L28" s="444" t="str">
        <f t="shared" si="0"/>
        <v/>
      </c>
      <c r="M28" s="445"/>
    </row>
    <row r="29" spans="2:13" ht="30" customHeight="1">
      <c r="B29" s="141"/>
      <c r="C29" s="38" t="str">
        <f>IF(B29="","",VLOOKUP(B29,出退社入力シート!A7:D37,4))</f>
        <v/>
      </c>
      <c r="D29" s="35"/>
      <c r="E29" s="36"/>
      <c r="F29" s="36"/>
      <c r="G29" s="115" t="s">
        <v>54</v>
      </c>
      <c r="H29" s="36"/>
      <c r="I29" s="37"/>
      <c r="J29" s="35"/>
      <c r="K29" s="37"/>
      <c r="L29" s="444" t="str">
        <f t="shared" si="0"/>
        <v/>
      </c>
      <c r="M29" s="445"/>
    </row>
    <row r="30" spans="2:13" ht="30" customHeight="1">
      <c r="B30" s="141"/>
      <c r="C30" s="38" t="str">
        <f>IF(B30="","",VLOOKUP(B30,出退社入力シート!A7:D37,4))</f>
        <v/>
      </c>
      <c r="D30" s="35"/>
      <c r="E30" s="36"/>
      <c r="F30" s="36"/>
      <c r="G30" s="115" t="s">
        <v>54</v>
      </c>
      <c r="H30" s="36"/>
      <c r="I30" s="37"/>
      <c r="J30" s="35"/>
      <c r="K30" s="37"/>
      <c r="L30" s="444" t="str">
        <f t="shared" si="0"/>
        <v/>
      </c>
      <c r="M30" s="445"/>
    </row>
    <row r="31" spans="2:13" ht="30" customHeight="1">
      <c r="B31" s="141"/>
      <c r="C31" s="38" t="str">
        <f>IF(B31="","",VLOOKUP(B31,出退社入力シート!A7:D37,4))</f>
        <v/>
      </c>
      <c r="D31" s="35"/>
      <c r="E31" s="36"/>
      <c r="F31" s="36"/>
      <c r="G31" s="115" t="s">
        <v>54</v>
      </c>
      <c r="H31" s="36"/>
      <c r="I31" s="37"/>
      <c r="J31" s="35"/>
      <c r="K31" s="37"/>
      <c r="L31" s="444" t="str">
        <f t="shared" si="0"/>
        <v/>
      </c>
      <c r="M31" s="445"/>
    </row>
    <row r="32" spans="2:13" ht="30" customHeight="1">
      <c r="B32" s="141"/>
      <c r="C32" s="38" t="str">
        <f>IF(B32="","",VLOOKUP(B32,出退社入力シート!A7:D37,4))</f>
        <v/>
      </c>
      <c r="D32" s="35"/>
      <c r="E32" s="36"/>
      <c r="F32" s="36"/>
      <c r="G32" s="115" t="s">
        <v>54</v>
      </c>
      <c r="H32" s="36"/>
      <c r="I32" s="37"/>
      <c r="J32" s="35"/>
      <c r="K32" s="37"/>
      <c r="L32" s="444" t="str">
        <f t="shared" si="0"/>
        <v/>
      </c>
      <c r="M32" s="445"/>
    </row>
    <row r="33" spans="2:13" ht="37.5" customHeight="1" thickBot="1">
      <c r="B33" s="446"/>
      <c r="C33" s="447"/>
      <c r="D33" s="447"/>
      <c r="E33" s="447"/>
      <c r="F33" s="447"/>
      <c r="G33" s="447"/>
      <c r="H33" s="447"/>
      <c r="I33" s="448"/>
      <c r="J33" s="449" t="s">
        <v>59</v>
      </c>
      <c r="K33" s="449"/>
      <c r="L33" s="450">
        <f>SUM(L7:L32)</f>
        <v>0</v>
      </c>
      <c r="M33" s="451"/>
    </row>
    <row r="34" spans="2:13" ht="15" customHeight="1"/>
    <row r="35" spans="2:13" ht="15" customHeight="1" thickBot="1">
      <c r="B35" s="39" t="s">
        <v>73</v>
      </c>
    </row>
    <row r="36" spans="2:13" ht="15" customHeight="1">
      <c r="B36" s="455" t="str">
        <f>IF(出退社入力シート!K41="","",出退社入力シート!K41)</f>
        <v/>
      </c>
      <c r="C36" s="455"/>
      <c r="D36" s="452" t="str">
        <f>IF(出退社入力シート!L41="","",出退社入力シート!L41)</f>
        <v/>
      </c>
      <c r="E36" s="452"/>
      <c r="F36" s="49">
        <f>L33-F37-F38-F39-F40</f>
        <v>0</v>
      </c>
      <c r="K36" s="453" t="str">
        <f>出退社入力シート!J3&amp;"確認欄"</f>
        <v>tdi確認欄</v>
      </c>
      <c r="L36" s="454"/>
      <c r="M36" s="440"/>
    </row>
    <row r="37" spans="2:13" ht="15" customHeight="1">
      <c r="B37" s="455" t="str">
        <f>IF(OR(出退社入力シート!K42="",出退社入力シート!P42=""),"",出退社入力シート!K42)</f>
        <v/>
      </c>
      <c r="C37" s="455"/>
      <c r="D37" s="452" t="str">
        <f>IF(OR(出退社入力シート!L42="",出退社入力シート!P42=""),"",出退社入力シート!L42)</f>
        <v/>
      </c>
      <c r="E37" s="452"/>
      <c r="F37" s="49"/>
      <c r="K37" s="456" t="s">
        <v>37</v>
      </c>
      <c r="L37" s="459" t="s">
        <v>37</v>
      </c>
      <c r="M37" s="460"/>
    </row>
    <row r="38" spans="2:13" ht="15" customHeight="1">
      <c r="B38" s="455" t="str">
        <f>IF(OR(出退社入力シート!K43="",出退社入力シート!P43=""),"",出退社入力シート!K43)</f>
        <v/>
      </c>
      <c r="C38" s="455"/>
      <c r="D38" s="452" t="str">
        <f>IF(OR(出退社入力シート!L43="",出退社入力シート!P43=""),"",出退社入力シート!L43)</f>
        <v/>
      </c>
      <c r="E38" s="452"/>
      <c r="F38" s="49"/>
      <c r="K38" s="457"/>
      <c r="L38" s="461"/>
      <c r="M38" s="462"/>
    </row>
    <row r="39" spans="2:13" ht="15" customHeight="1">
      <c r="B39" s="455" t="str">
        <f>IF(OR(出退社入力シート!K44="",出退社入力シート!P44=""),"",出退社入力シート!K44)</f>
        <v/>
      </c>
      <c r="C39" s="455"/>
      <c r="D39" s="452" t="str">
        <f>IF(OR(出退社入力シート!L44="",出退社入力シート!P44=""),"",出退社入力シート!L44)</f>
        <v/>
      </c>
      <c r="E39" s="452"/>
      <c r="F39" s="49"/>
      <c r="K39" s="457"/>
      <c r="L39" s="461"/>
      <c r="M39" s="462"/>
    </row>
    <row r="40" spans="2:13" ht="15" customHeight="1" thickBot="1">
      <c r="B40" s="455" t="str">
        <f>IF(OR(出退社入力シート!K45="",出退社入力シート!P45=""),"",出退社入力シート!K45)</f>
        <v/>
      </c>
      <c r="C40" s="455"/>
      <c r="D40" s="452" t="str">
        <f>IF(OR(出退社入力シート!L45="",出退社入力シート!P45=""),"",出退社入力シート!L45)</f>
        <v/>
      </c>
      <c r="E40" s="452"/>
      <c r="F40" s="49"/>
      <c r="K40" s="458"/>
      <c r="L40" s="463"/>
      <c r="M40" s="464"/>
    </row>
  </sheetData>
  <sheetProtection password="F6FE" sheet="1" objects="1" scenarios="1" selectLockedCells="1"/>
  <mergeCells count="54">
    <mergeCell ref="K36:M36"/>
    <mergeCell ref="B37:C37"/>
    <mergeCell ref="D37:E37"/>
    <mergeCell ref="K37:K40"/>
    <mergeCell ref="L37:M40"/>
    <mergeCell ref="B38:C38"/>
    <mergeCell ref="D38:E38"/>
    <mergeCell ref="B39:C39"/>
    <mergeCell ref="D39:E39"/>
    <mergeCell ref="B40:C40"/>
    <mergeCell ref="D40:E40"/>
    <mergeCell ref="B36:C36"/>
    <mergeCell ref="D36:E36"/>
    <mergeCell ref="L29:M29"/>
    <mergeCell ref="L30:M30"/>
    <mergeCell ref="L31:M31"/>
    <mergeCell ref="L32:M32"/>
    <mergeCell ref="B33:I33"/>
    <mergeCell ref="J33:K33"/>
    <mergeCell ref="L33:M33"/>
    <mergeCell ref="L28:M28"/>
    <mergeCell ref="L17:M17"/>
    <mergeCell ref="L18:M18"/>
    <mergeCell ref="L19:M19"/>
    <mergeCell ref="L20:M20"/>
    <mergeCell ref="L21:M21"/>
    <mergeCell ref="L22:M22"/>
    <mergeCell ref="L23:M23"/>
    <mergeCell ref="L24:M24"/>
    <mergeCell ref="L25:M25"/>
    <mergeCell ref="L26:M26"/>
    <mergeCell ref="L27:M27"/>
    <mergeCell ref="L16:M16"/>
    <mergeCell ref="L5:M6"/>
    <mergeCell ref="F6:H6"/>
    <mergeCell ref="L7:M7"/>
    <mergeCell ref="L8:M8"/>
    <mergeCell ref="L9:M9"/>
    <mergeCell ref="L10:M10"/>
    <mergeCell ref="L11:M11"/>
    <mergeCell ref="L12:M12"/>
    <mergeCell ref="L13:M13"/>
    <mergeCell ref="L14:M14"/>
    <mergeCell ref="L15:M15"/>
    <mergeCell ref="L1:M1"/>
    <mergeCell ref="B2:D3"/>
    <mergeCell ref="E2:I3"/>
    <mergeCell ref="K2:M2"/>
    <mergeCell ref="K3:L3"/>
    <mergeCell ref="B5:B6"/>
    <mergeCell ref="C5:C6"/>
    <mergeCell ref="D5:D6"/>
    <mergeCell ref="E5:I5"/>
    <mergeCell ref="J5:K5"/>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30">
        <v>3</v>
      </c>
      <c r="M1" s="430"/>
    </row>
    <row r="2" spans="1:13" ht="16.5" customHeight="1">
      <c r="A2" s="42"/>
      <c r="B2" s="305" t="str">
        <f>出退社入力シート!C3&amp;"年"&amp;出退社入力シート!H3&amp;"月"</f>
        <v>2022年2月</v>
      </c>
      <c r="C2" s="305"/>
      <c r="D2" s="305"/>
      <c r="E2" s="304" t="s">
        <v>52</v>
      </c>
      <c r="F2" s="304"/>
      <c r="G2" s="304"/>
      <c r="H2" s="304"/>
      <c r="I2" s="304"/>
      <c r="J2" s="119" t="s">
        <v>58</v>
      </c>
      <c r="K2" s="431" t="str">
        <f>IF(出退社入力シート!D40="","",出退社入力シート!D40)</f>
        <v>株式会社　HTKエンジニアリング</v>
      </c>
      <c r="L2" s="431"/>
      <c r="M2" s="431"/>
    </row>
    <row r="3" spans="1:13" ht="16.5" customHeight="1">
      <c r="A3" s="42"/>
      <c r="B3" s="305"/>
      <c r="C3" s="305"/>
      <c r="D3" s="305"/>
      <c r="E3" s="304"/>
      <c r="F3" s="304"/>
      <c r="G3" s="304"/>
      <c r="H3" s="304"/>
      <c r="I3" s="304"/>
      <c r="J3" s="119" t="s">
        <v>36</v>
      </c>
      <c r="K3" s="431" t="str">
        <f>IF(出退社入力シート!D42="","",出退社入力シート!D42)</f>
        <v>史正韵</v>
      </c>
      <c r="L3" s="431"/>
      <c r="M3" s="117" t="s">
        <v>37</v>
      </c>
    </row>
    <row r="4" spans="1:13" ht="22.5" customHeight="1" thickBot="1">
      <c r="A4" s="42"/>
      <c r="B4" s="120"/>
      <c r="C4" s="120"/>
      <c r="D4" s="120"/>
      <c r="E4" s="120"/>
      <c r="F4" s="120"/>
      <c r="G4" s="42"/>
      <c r="H4" s="42"/>
      <c r="I4" s="42"/>
      <c r="J4" s="42"/>
      <c r="K4" s="42"/>
      <c r="L4" s="42"/>
      <c r="M4" s="42"/>
    </row>
    <row r="5" spans="1:13" ht="22.5" customHeight="1">
      <c r="A5" s="42"/>
      <c r="B5" s="432" t="s">
        <v>20</v>
      </c>
      <c r="C5" s="434" t="s">
        <v>21</v>
      </c>
      <c r="D5" s="436" t="s">
        <v>57</v>
      </c>
      <c r="E5" s="438" t="s">
        <v>60</v>
      </c>
      <c r="F5" s="438"/>
      <c r="G5" s="438"/>
      <c r="H5" s="438"/>
      <c r="I5" s="438"/>
      <c r="J5" s="438" t="s">
        <v>77</v>
      </c>
      <c r="K5" s="438"/>
      <c r="L5" s="439" t="s">
        <v>23</v>
      </c>
      <c r="M5" s="440"/>
    </row>
    <row r="6" spans="1:13" ht="22.5" customHeight="1">
      <c r="A6" s="42"/>
      <c r="B6" s="433"/>
      <c r="C6" s="435"/>
      <c r="D6" s="437"/>
      <c r="E6" s="145" t="s">
        <v>56</v>
      </c>
      <c r="F6" s="443" t="s">
        <v>53</v>
      </c>
      <c r="G6" s="443"/>
      <c r="H6" s="443"/>
      <c r="I6" s="145" t="s">
        <v>55</v>
      </c>
      <c r="J6" s="145" t="s">
        <v>65</v>
      </c>
      <c r="K6" s="145" t="s">
        <v>55</v>
      </c>
      <c r="L6" s="441"/>
      <c r="M6" s="442"/>
    </row>
    <row r="7" spans="1:13" ht="30" customHeight="1">
      <c r="B7" s="140"/>
      <c r="C7" s="38" t="str">
        <f>IF(B7="","",VLOOKUP(B7,出退社入力シート!A7:D37,4))</f>
        <v/>
      </c>
      <c r="D7" s="35"/>
      <c r="E7" s="36"/>
      <c r="F7" s="36"/>
      <c r="G7" s="115" t="s">
        <v>54</v>
      </c>
      <c r="H7" s="36"/>
      <c r="I7" s="37"/>
      <c r="J7" s="35"/>
      <c r="K7" s="37"/>
      <c r="L7" s="444" t="str">
        <f>IF(I7+K7=0,"",I7+K7)</f>
        <v/>
      </c>
      <c r="M7" s="445"/>
    </row>
    <row r="8" spans="1:13" ht="30" customHeight="1">
      <c r="B8" s="141"/>
      <c r="C8" s="38" t="str">
        <f>IF(B8="","",VLOOKUP(B8,出退社入力シート!A7:D37,4))</f>
        <v/>
      </c>
      <c r="D8" s="35"/>
      <c r="E8" s="36"/>
      <c r="F8" s="36"/>
      <c r="G8" s="115" t="s">
        <v>54</v>
      </c>
      <c r="H8" s="36"/>
      <c r="I8" s="37"/>
      <c r="J8" s="35"/>
      <c r="K8" s="37"/>
      <c r="L8" s="444" t="str">
        <f>IF(I8+K8=0,"",I8+K8)</f>
        <v/>
      </c>
      <c r="M8" s="445"/>
    </row>
    <row r="9" spans="1:13" ht="30" customHeight="1">
      <c r="B9" s="141"/>
      <c r="C9" s="38" t="str">
        <f>IF(B9="","",VLOOKUP(B9,出退社入力シート!A7:D37,4))</f>
        <v/>
      </c>
      <c r="D9" s="35"/>
      <c r="E9" s="36"/>
      <c r="F9" s="36"/>
      <c r="G9" s="115" t="s">
        <v>54</v>
      </c>
      <c r="H9" s="36"/>
      <c r="I9" s="37"/>
      <c r="J9" s="35"/>
      <c r="K9" s="37"/>
      <c r="L9" s="444" t="str">
        <f>IF(I9+K9=0,"",I9+K9)</f>
        <v/>
      </c>
      <c r="M9" s="445"/>
    </row>
    <row r="10" spans="1:13" ht="30" customHeight="1">
      <c r="B10" s="141"/>
      <c r="C10" s="38" t="str">
        <f>IF(B10="","",VLOOKUP(B10,出退社入力シート!A7:D37,4))</f>
        <v/>
      </c>
      <c r="D10" s="35"/>
      <c r="E10" s="36"/>
      <c r="F10" s="36"/>
      <c r="G10" s="115" t="s">
        <v>54</v>
      </c>
      <c r="H10" s="36"/>
      <c r="I10" s="37"/>
      <c r="J10" s="35"/>
      <c r="K10" s="37"/>
      <c r="L10" s="444" t="str">
        <f>IF(I10+K10=0,"",I10+K10)</f>
        <v/>
      </c>
      <c r="M10" s="445"/>
    </row>
    <row r="11" spans="1:13" ht="30" customHeight="1">
      <c r="B11" s="141"/>
      <c r="C11" s="38" t="str">
        <f>IF(B11="","",VLOOKUP(B11,出退社入力シート!A7:D37,4))</f>
        <v/>
      </c>
      <c r="D11" s="35"/>
      <c r="E11" s="36"/>
      <c r="F11" s="36"/>
      <c r="G11" s="115" t="s">
        <v>54</v>
      </c>
      <c r="H11" s="36"/>
      <c r="I11" s="37"/>
      <c r="J11" s="35"/>
      <c r="K11" s="37"/>
      <c r="L11" s="444" t="str">
        <f>IF(I11+K11=0,"",I11+K11)</f>
        <v/>
      </c>
      <c r="M11" s="445"/>
    </row>
    <row r="12" spans="1:13" ht="30" customHeight="1">
      <c r="B12" s="141"/>
      <c r="C12" s="38" t="str">
        <f>IF(B12="","",VLOOKUP(B12,出退社入力シート!A7:D37,4))</f>
        <v/>
      </c>
      <c r="D12" s="35"/>
      <c r="E12" s="36"/>
      <c r="F12" s="36"/>
      <c r="G12" s="115" t="s">
        <v>54</v>
      </c>
      <c r="H12" s="36"/>
      <c r="I12" s="37"/>
      <c r="J12" s="35"/>
      <c r="K12" s="37"/>
      <c r="L12" s="444" t="str">
        <f t="shared" ref="L12:L32" si="0">IF(I12+K12=0,"",I12+K12)</f>
        <v/>
      </c>
      <c r="M12" s="445"/>
    </row>
    <row r="13" spans="1:13" ht="30" customHeight="1">
      <c r="B13" s="141"/>
      <c r="C13" s="38" t="str">
        <f>IF(B13="","",VLOOKUP(B13,出退社入力シート!A7:D37,4))</f>
        <v/>
      </c>
      <c r="D13" s="35"/>
      <c r="E13" s="36"/>
      <c r="F13" s="36"/>
      <c r="G13" s="115" t="s">
        <v>54</v>
      </c>
      <c r="H13" s="36"/>
      <c r="I13" s="37"/>
      <c r="J13" s="35"/>
      <c r="K13" s="37"/>
      <c r="L13" s="444" t="str">
        <f>IF(I13+K13=0,"",I13+K13)</f>
        <v/>
      </c>
      <c r="M13" s="445"/>
    </row>
    <row r="14" spans="1:13" ht="30" customHeight="1">
      <c r="B14" s="141"/>
      <c r="C14" s="38" t="str">
        <f>IF(B14="","",VLOOKUP(B14,出退社入力シート!A7:D37,4))</f>
        <v/>
      </c>
      <c r="D14" s="35"/>
      <c r="E14" s="36"/>
      <c r="F14" s="36"/>
      <c r="G14" s="115" t="s">
        <v>54</v>
      </c>
      <c r="H14" s="36"/>
      <c r="I14" s="37"/>
      <c r="J14" s="35"/>
      <c r="K14" s="37"/>
      <c r="L14" s="444" t="str">
        <f t="shared" si="0"/>
        <v/>
      </c>
      <c r="M14" s="445"/>
    </row>
    <row r="15" spans="1:13" ht="30" customHeight="1">
      <c r="B15" s="141"/>
      <c r="C15" s="38" t="str">
        <f>IF(B15="","",VLOOKUP(B15,出退社入力シート!A7:D37,4))</f>
        <v/>
      </c>
      <c r="D15" s="35"/>
      <c r="E15" s="36"/>
      <c r="F15" s="36"/>
      <c r="G15" s="115" t="s">
        <v>54</v>
      </c>
      <c r="H15" s="36"/>
      <c r="I15" s="37"/>
      <c r="J15" s="35"/>
      <c r="K15" s="37"/>
      <c r="L15" s="444" t="str">
        <f t="shared" si="0"/>
        <v/>
      </c>
      <c r="M15" s="445"/>
    </row>
    <row r="16" spans="1:13" ht="30" customHeight="1">
      <c r="B16" s="141"/>
      <c r="C16" s="38" t="str">
        <f>IF(B16="","",VLOOKUP(B16,出退社入力シート!A7:D37,4))</f>
        <v/>
      </c>
      <c r="D16" s="35"/>
      <c r="E16" s="36"/>
      <c r="F16" s="36"/>
      <c r="G16" s="115" t="s">
        <v>54</v>
      </c>
      <c r="H16" s="36"/>
      <c r="I16" s="37"/>
      <c r="J16" s="35"/>
      <c r="K16" s="37"/>
      <c r="L16" s="444" t="str">
        <f>IF(I16+K16=0,"",I16+K16)</f>
        <v/>
      </c>
      <c r="M16" s="445"/>
    </row>
    <row r="17" spans="2:13" ht="30" customHeight="1">
      <c r="B17" s="141"/>
      <c r="C17" s="38" t="str">
        <f>IF(B17="","",VLOOKUP(B17,出退社入力シート!A7:D37,4))</f>
        <v/>
      </c>
      <c r="D17" s="35"/>
      <c r="E17" s="36"/>
      <c r="F17" s="36"/>
      <c r="G17" s="115" t="s">
        <v>54</v>
      </c>
      <c r="H17" s="36"/>
      <c r="I17" s="37"/>
      <c r="J17" s="35"/>
      <c r="K17" s="37"/>
      <c r="L17" s="444" t="str">
        <f t="shared" si="0"/>
        <v/>
      </c>
      <c r="M17" s="445"/>
    </row>
    <row r="18" spans="2:13" ht="30" customHeight="1">
      <c r="B18" s="141"/>
      <c r="C18" s="38" t="str">
        <f>IF(B18="","",VLOOKUP(B18,出退社入力シート!A7:D37,4))</f>
        <v/>
      </c>
      <c r="D18" s="35"/>
      <c r="E18" s="36"/>
      <c r="F18" s="36"/>
      <c r="G18" s="115" t="s">
        <v>54</v>
      </c>
      <c r="H18" s="36"/>
      <c r="I18" s="37"/>
      <c r="J18" s="35"/>
      <c r="K18" s="37"/>
      <c r="L18" s="444" t="str">
        <f t="shared" si="0"/>
        <v/>
      </c>
      <c r="M18" s="445"/>
    </row>
    <row r="19" spans="2:13" ht="30" customHeight="1">
      <c r="B19" s="141"/>
      <c r="C19" s="38" t="str">
        <f>IF(B19="","",VLOOKUP(B19,出退社入力シート!A7:D37,4))</f>
        <v/>
      </c>
      <c r="D19" s="35"/>
      <c r="E19" s="36"/>
      <c r="F19" s="36"/>
      <c r="G19" s="115" t="s">
        <v>54</v>
      </c>
      <c r="H19" s="36"/>
      <c r="I19" s="37"/>
      <c r="J19" s="35"/>
      <c r="K19" s="37"/>
      <c r="L19" s="444" t="str">
        <f t="shared" si="0"/>
        <v/>
      </c>
      <c r="M19" s="445"/>
    </row>
    <row r="20" spans="2:13" ht="30" customHeight="1">
      <c r="B20" s="141"/>
      <c r="C20" s="38" t="str">
        <f>IF(B20="","",VLOOKUP(B20,出退社入力シート!A7:D37,4))</f>
        <v/>
      </c>
      <c r="D20" s="35"/>
      <c r="E20" s="36"/>
      <c r="F20" s="36"/>
      <c r="G20" s="115" t="s">
        <v>54</v>
      </c>
      <c r="H20" s="36"/>
      <c r="I20" s="37"/>
      <c r="J20" s="35"/>
      <c r="K20" s="37"/>
      <c r="L20" s="444" t="str">
        <f t="shared" si="0"/>
        <v/>
      </c>
      <c r="M20" s="445"/>
    </row>
    <row r="21" spans="2:13" ht="30" customHeight="1">
      <c r="B21" s="141"/>
      <c r="C21" s="38" t="str">
        <f>IF(B21="","",VLOOKUP(B21,出退社入力シート!A7:D37,4))</f>
        <v/>
      </c>
      <c r="D21" s="35"/>
      <c r="E21" s="36"/>
      <c r="F21" s="36"/>
      <c r="G21" s="115" t="s">
        <v>54</v>
      </c>
      <c r="H21" s="36"/>
      <c r="I21" s="37"/>
      <c r="J21" s="35"/>
      <c r="K21" s="37"/>
      <c r="L21" s="444" t="str">
        <f t="shared" si="0"/>
        <v/>
      </c>
      <c r="M21" s="445"/>
    </row>
    <row r="22" spans="2:13" ht="30" customHeight="1">
      <c r="B22" s="141"/>
      <c r="C22" s="38" t="str">
        <f>IF(B22="","",VLOOKUP(B22,出退社入力シート!A7:D37,4))</f>
        <v/>
      </c>
      <c r="D22" s="35"/>
      <c r="E22" s="36"/>
      <c r="F22" s="36"/>
      <c r="G22" s="115" t="s">
        <v>54</v>
      </c>
      <c r="H22" s="36"/>
      <c r="I22" s="37"/>
      <c r="J22" s="35"/>
      <c r="K22" s="37"/>
      <c r="L22" s="444" t="str">
        <f t="shared" si="0"/>
        <v/>
      </c>
      <c r="M22" s="445"/>
    </row>
    <row r="23" spans="2:13" ht="30" customHeight="1">
      <c r="B23" s="141"/>
      <c r="C23" s="38" t="str">
        <f>IF(B23="","",VLOOKUP(B23,出退社入力シート!A7:D37,4))</f>
        <v/>
      </c>
      <c r="D23" s="35"/>
      <c r="E23" s="36"/>
      <c r="F23" s="36"/>
      <c r="G23" s="115" t="s">
        <v>54</v>
      </c>
      <c r="H23" s="36"/>
      <c r="I23" s="37"/>
      <c r="J23" s="35"/>
      <c r="K23" s="37"/>
      <c r="L23" s="444" t="str">
        <f t="shared" si="0"/>
        <v/>
      </c>
      <c r="M23" s="445"/>
    </row>
    <row r="24" spans="2:13" ht="30" customHeight="1">
      <c r="B24" s="141"/>
      <c r="C24" s="38" t="str">
        <f>IF(B24="","",VLOOKUP(B24,出退社入力シート!A7:D37,4))</f>
        <v/>
      </c>
      <c r="D24" s="35"/>
      <c r="E24" s="36"/>
      <c r="F24" s="36"/>
      <c r="G24" s="115" t="s">
        <v>54</v>
      </c>
      <c r="H24" s="36"/>
      <c r="I24" s="37"/>
      <c r="J24" s="35"/>
      <c r="K24" s="37"/>
      <c r="L24" s="444" t="str">
        <f t="shared" si="0"/>
        <v/>
      </c>
      <c r="M24" s="445"/>
    </row>
    <row r="25" spans="2:13" ht="30" customHeight="1">
      <c r="B25" s="141"/>
      <c r="C25" s="38" t="str">
        <f>IF(B25="","",VLOOKUP(B25,出退社入力シート!A7:D37,4))</f>
        <v/>
      </c>
      <c r="D25" s="35"/>
      <c r="E25" s="36"/>
      <c r="F25" s="36"/>
      <c r="G25" s="115" t="s">
        <v>54</v>
      </c>
      <c r="H25" s="36"/>
      <c r="I25" s="37"/>
      <c r="J25" s="35"/>
      <c r="K25" s="37"/>
      <c r="L25" s="444" t="str">
        <f t="shared" si="0"/>
        <v/>
      </c>
      <c r="M25" s="445"/>
    </row>
    <row r="26" spans="2:13" ht="30" customHeight="1">
      <c r="B26" s="141"/>
      <c r="C26" s="38" t="str">
        <f>IF(B26="","",VLOOKUP(B26,出退社入力シート!A7:D37,4))</f>
        <v/>
      </c>
      <c r="D26" s="35"/>
      <c r="E26" s="36"/>
      <c r="F26" s="36"/>
      <c r="G26" s="115" t="s">
        <v>54</v>
      </c>
      <c r="H26" s="36"/>
      <c r="I26" s="37"/>
      <c r="J26" s="35"/>
      <c r="K26" s="37"/>
      <c r="L26" s="444" t="str">
        <f t="shared" si="0"/>
        <v/>
      </c>
      <c r="M26" s="445"/>
    </row>
    <row r="27" spans="2:13" ht="30" customHeight="1">
      <c r="B27" s="141"/>
      <c r="C27" s="38" t="str">
        <f>IF(B27="","",VLOOKUP(B27,出退社入力シート!A7:D37,4))</f>
        <v/>
      </c>
      <c r="D27" s="35"/>
      <c r="E27" s="36"/>
      <c r="F27" s="36"/>
      <c r="G27" s="115" t="s">
        <v>54</v>
      </c>
      <c r="H27" s="36"/>
      <c r="I27" s="37"/>
      <c r="J27" s="35"/>
      <c r="K27" s="37"/>
      <c r="L27" s="444" t="str">
        <f t="shared" si="0"/>
        <v/>
      </c>
      <c r="M27" s="445"/>
    </row>
    <row r="28" spans="2:13" ht="30" customHeight="1">
      <c r="B28" s="141"/>
      <c r="C28" s="38" t="str">
        <f>IF(B28="","",VLOOKUP(B28,出退社入力シート!A7:D37,4))</f>
        <v/>
      </c>
      <c r="D28" s="35"/>
      <c r="E28" s="36"/>
      <c r="F28" s="36"/>
      <c r="G28" s="115" t="s">
        <v>54</v>
      </c>
      <c r="H28" s="36"/>
      <c r="I28" s="37"/>
      <c r="J28" s="35"/>
      <c r="K28" s="37"/>
      <c r="L28" s="444" t="str">
        <f t="shared" si="0"/>
        <v/>
      </c>
      <c r="M28" s="445"/>
    </row>
    <row r="29" spans="2:13" ht="30" customHeight="1">
      <c r="B29" s="141"/>
      <c r="C29" s="38" t="str">
        <f>IF(B29="","",VLOOKUP(B29,出退社入力シート!A7:D37,4))</f>
        <v/>
      </c>
      <c r="D29" s="35"/>
      <c r="E29" s="36"/>
      <c r="F29" s="36"/>
      <c r="G29" s="115" t="s">
        <v>54</v>
      </c>
      <c r="H29" s="36"/>
      <c r="I29" s="37"/>
      <c r="J29" s="35"/>
      <c r="K29" s="37"/>
      <c r="L29" s="444" t="str">
        <f t="shared" si="0"/>
        <v/>
      </c>
      <c r="M29" s="445"/>
    </row>
    <row r="30" spans="2:13" ht="30" customHeight="1">
      <c r="B30" s="141"/>
      <c r="C30" s="38" t="str">
        <f>IF(B30="","",VLOOKUP(B30,出退社入力シート!A7:D37,4))</f>
        <v/>
      </c>
      <c r="D30" s="35"/>
      <c r="E30" s="36"/>
      <c r="F30" s="36"/>
      <c r="G30" s="115" t="s">
        <v>54</v>
      </c>
      <c r="H30" s="36"/>
      <c r="I30" s="37"/>
      <c r="J30" s="35"/>
      <c r="K30" s="37"/>
      <c r="L30" s="444" t="str">
        <f t="shared" si="0"/>
        <v/>
      </c>
      <c r="M30" s="445"/>
    </row>
    <row r="31" spans="2:13" ht="30" customHeight="1">
      <c r="B31" s="141"/>
      <c r="C31" s="38" t="str">
        <f>IF(B31="","",VLOOKUP(B31,出退社入力シート!A7:D37,4))</f>
        <v/>
      </c>
      <c r="D31" s="35"/>
      <c r="E31" s="36"/>
      <c r="F31" s="36"/>
      <c r="G31" s="115" t="s">
        <v>54</v>
      </c>
      <c r="H31" s="36"/>
      <c r="I31" s="37"/>
      <c r="J31" s="35"/>
      <c r="K31" s="37"/>
      <c r="L31" s="444" t="str">
        <f t="shared" si="0"/>
        <v/>
      </c>
      <c r="M31" s="445"/>
    </row>
    <row r="32" spans="2:13" ht="30" customHeight="1">
      <c r="B32" s="141"/>
      <c r="C32" s="38" t="str">
        <f>IF(B32="","",VLOOKUP(B32,出退社入力シート!A7:D37,4))</f>
        <v/>
      </c>
      <c r="D32" s="35"/>
      <c r="E32" s="36"/>
      <c r="F32" s="36"/>
      <c r="G32" s="115" t="s">
        <v>54</v>
      </c>
      <c r="H32" s="36"/>
      <c r="I32" s="37"/>
      <c r="J32" s="35"/>
      <c r="K32" s="37"/>
      <c r="L32" s="444" t="str">
        <f t="shared" si="0"/>
        <v/>
      </c>
      <c r="M32" s="445"/>
    </row>
    <row r="33" spans="2:13" ht="37.5" customHeight="1" thickBot="1">
      <c r="B33" s="446"/>
      <c r="C33" s="447"/>
      <c r="D33" s="447"/>
      <c r="E33" s="447"/>
      <c r="F33" s="447"/>
      <c r="G33" s="447"/>
      <c r="H33" s="447"/>
      <c r="I33" s="448"/>
      <c r="J33" s="449" t="s">
        <v>59</v>
      </c>
      <c r="K33" s="449"/>
      <c r="L33" s="450">
        <f>SUM(L7:L32)</f>
        <v>0</v>
      </c>
      <c r="M33" s="451"/>
    </row>
    <row r="34" spans="2:13" ht="15" customHeight="1"/>
    <row r="35" spans="2:13" ht="15" customHeight="1" thickBot="1">
      <c r="B35" s="39" t="s">
        <v>73</v>
      </c>
    </row>
    <row r="36" spans="2:13" ht="15" customHeight="1">
      <c r="B36" s="455" t="str">
        <f>IF(出退社入力シート!K41="","",出退社入力シート!K41)</f>
        <v/>
      </c>
      <c r="C36" s="455"/>
      <c r="D36" s="452" t="str">
        <f>IF(出退社入力シート!L41="","",出退社入力シート!L41)</f>
        <v/>
      </c>
      <c r="E36" s="452"/>
      <c r="F36" s="49">
        <f>L33-F37-F38-F39-F40</f>
        <v>0</v>
      </c>
      <c r="K36" s="453" t="str">
        <f>出退社入力シート!J3&amp;"確認欄"</f>
        <v>tdi確認欄</v>
      </c>
      <c r="L36" s="454"/>
      <c r="M36" s="440"/>
    </row>
    <row r="37" spans="2:13" ht="15" customHeight="1">
      <c r="B37" s="455" t="str">
        <f>IF(OR(出退社入力シート!K42="",出退社入力シート!P42=""),"",出退社入力シート!K42)</f>
        <v/>
      </c>
      <c r="C37" s="455"/>
      <c r="D37" s="452" t="str">
        <f>IF(OR(出退社入力シート!L42="",出退社入力シート!P42=""),"",出退社入力シート!L42)</f>
        <v/>
      </c>
      <c r="E37" s="452"/>
      <c r="F37" s="49"/>
      <c r="K37" s="456" t="s">
        <v>37</v>
      </c>
      <c r="L37" s="459" t="s">
        <v>37</v>
      </c>
      <c r="M37" s="460"/>
    </row>
    <row r="38" spans="2:13" ht="15" customHeight="1">
      <c r="B38" s="455" t="str">
        <f>IF(OR(出退社入力シート!K43="",出退社入力シート!P43=""),"",出退社入力シート!K43)</f>
        <v/>
      </c>
      <c r="C38" s="455"/>
      <c r="D38" s="452" t="str">
        <f>IF(OR(出退社入力シート!L43="",出退社入力シート!P43=""),"",出退社入力シート!L43)</f>
        <v/>
      </c>
      <c r="E38" s="452"/>
      <c r="F38" s="49"/>
      <c r="K38" s="457"/>
      <c r="L38" s="461"/>
      <c r="M38" s="462"/>
    </row>
    <row r="39" spans="2:13" ht="15" customHeight="1">
      <c r="B39" s="455" t="str">
        <f>IF(OR(出退社入力シート!K44="",出退社入力シート!P44=""),"",出退社入力シート!K44)</f>
        <v/>
      </c>
      <c r="C39" s="455"/>
      <c r="D39" s="452" t="str">
        <f>IF(OR(出退社入力シート!L44="",出退社入力シート!P44=""),"",出退社入力シート!L44)</f>
        <v/>
      </c>
      <c r="E39" s="452"/>
      <c r="F39" s="49"/>
      <c r="K39" s="457"/>
      <c r="L39" s="461"/>
      <c r="M39" s="462"/>
    </row>
    <row r="40" spans="2:13" ht="15" customHeight="1" thickBot="1">
      <c r="B40" s="455" t="str">
        <f>IF(OR(出退社入力シート!K45="",出退社入力シート!P45=""),"",出退社入力シート!K45)</f>
        <v/>
      </c>
      <c r="C40" s="455"/>
      <c r="D40" s="452" t="str">
        <f>IF(OR(出退社入力シート!L45="",出退社入力シート!P45=""),"",出退社入力シート!L45)</f>
        <v/>
      </c>
      <c r="E40" s="452"/>
      <c r="F40" s="49"/>
      <c r="K40" s="458"/>
      <c r="L40" s="463"/>
      <c r="M40" s="464"/>
    </row>
  </sheetData>
  <sheetProtection password="F6FE" sheet="1" objects="1" scenarios="1" selectLockedCells="1"/>
  <mergeCells count="54">
    <mergeCell ref="K36:M36"/>
    <mergeCell ref="B37:C37"/>
    <mergeCell ref="D37:E37"/>
    <mergeCell ref="K37:K40"/>
    <mergeCell ref="L37:M40"/>
    <mergeCell ref="B38:C38"/>
    <mergeCell ref="D38:E38"/>
    <mergeCell ref="B39:C39"/>
    <mergeCell ref="D39:E39"/>
    <mergeCell ref="B40:C40"/>
    <mergeCell ref="D40:E40"/>
    <mergeCell ref="B36:C36"/>
    <mergeCell ref="D36:E36"/>
    <mergeCell ref="L29:M29"/>
    <mergeCell ref="L30:M30"/>
    <mergeCell ref="L31:M31"/>
    <mergeCell ref="L32:M32"/>
    <mergeCell ref="B33:I33"/>
    <mergeCell ref="J33:K33"/>
    <mergeCell ref="L33:M33"/>
    <mergeCell ref="L28:M28"/>
    <mergeCell ref="L17:M17"/>
    <mergeCell ref="L18:M18"/>
    <mergeCell ref="L19:M19"/>
    <mergeCell ref="L20:M20"/>
    <mergeCell ref="L21:M21"/>
    <mergeCell ref="L22:M22"/>
    <mergeCell ref="L23:M23"/>
    <mergeCell ref="L24:M24"/>
    <mergeCell ref="L25:M25"/>
    <mergeCell ref="L26:M26"/>
    <mergeCell ref="L27:M27"/>
    <mergeCell ref="L16:M16"/>
    <mergeCell ref="L5:M6"/>
    <mergeCell ref="F6:H6"/>
    <mergeCell ref="L7:M7"/>
    <mergeCell ref="L8:M8"/>
    <mergeCell ref="L9:M9"/>
    <mergeCell ref="L10:M10"/>
    <mergeCell ref="L11:M11"/>
    <mergeCell ref="L12:M12"/>
    <mergeCell ref="L13:M13"/>
    <mergeCell ref="L14:M14"/>
    <mergeCell ref="L15:M15"/>
    <mergeCell ref="L1:M1"/>
    <mergeCell ref="B2:D3"/>
    <mergeCell ref="E2:I3"/>
    <mergeCell ref="K2:M2"/>
    <mergeCell ref="K3:L3"/>
    <mergeCell ref="B5:B6"/>
    <mergeCell ref="C5:C6"/>
    <mergeCell ref="D5:D6"/>
    <mergeCell ref="E5:I5"/>
    <mergeCell ref="J5:K5"/>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44562</v>
      </c>
      <c r="B1" s="159" t="str">
        <f>IF(A1="","",CHOOSE(WEEKDAY(A1,1),"日","月","火","水","木","金","土"))</f>
        <v>土</v>
      </c>
      <c r="C1" s="160" t="s">
        <v>2</v>
      </c>
      <c r="D1" s="42"/>
    </row>
    <row r="2" spans="1:7">
      <c r="A2" s="43">
        <f>DATE(出退社入力シート!C3,1,2)</f>
        <v>44563</v>
      </c>
      <c r="B2" s="44" t="str">
        <f>IF(A2="","",CHOOSE(WEEKDAY(A2,1),"日","月","火","水","木","金","土"))</f>
        <v>日</v>
      </c>
      <c r="C2" s="45" t="s">
        <v>168</v>
      </c>
    </row>
    <row r="3" spans="1:7">
      <c r="A3" s="180">
        <f>DATE(出退社入力シート!C3,1,3)</f>
        <v>44564</v>
      </c>
      <c r="B3" s="44" t="str">
        <f>IF(A3="","",CHOOSE(WEEKDAY(A3,1),"日","月","火","水","木","金","土"))</f>
        <v>月</v>
      </c>
      <c r="C3" s="181" t="s">
        <v>168</v>
      </c>
    </row>
    <row r="4" spans="1:7">
      <c r="A4" s="177">
        <f>IF(出退社入力シート!C3="","",DATE(出退社入力シート!C3,1,14)-WEEKDAY(DATE(出退社入力シート!C3,1,14),3))</f>
        <v>44571</v>
      </c>
      <c r="B4" s="178" t="str">
        <f>IF(A4="","",CHOOSE(WEEKDAY(A4,1),"日","月","火","水","木","金","土"))</f>
        <v>月</v>
      </c>
      <c r="C4" s="179" t="s">
        <v>3</v>
      </c>
      <c r="D4" s="42" t="s">
        <v>47</v>
      </c>
    </row>
    <row r="5" spans="1:7">
      <c r="A5" s="43">
        <f>DATE(出退社入力シート!C3,2,11)</f>
        <v>44603</v>
      </c>
      <c r="B5" s="44" t="str">
        <f t="shared" ref="B5:B21" si="0">IF(A5="","",CHOOSE(WEEKDAY(A5,1),"日","月","火","水","木","金","土"))</f>
        <v>金</v>
      </c>
      <c r="C5" s="45" t="s">
        <v>4</v>
      </c>
      <c r="D5" s="42"/>
    </row>
    <row r="6" spans="1:7">
      <c r="A6" s="43" t="str">
        <f>IF(B5="日",A5+1,"")</f>
        <v/>
      </c>
      <c r="B6" s="44" t="str">
        <f>IF(A6="","",CHOOSE(WEEKDAY(A6,1),"日","月","火","水","木","金","土"))</f>
        <v/>
      </c>
      <c r="C6" s="45" t="str">
        <f>IF(B5="日","振替休日","")</f>
        <v/>
      </c>
      <c r="D6" s="42"/>
    </row>
    <row r="7" spans="1:7">
      <c r="A7" s="43">
        <f>DATE(出退社入力シート!C3,2,23)</f>
        <v>44615</v>
      </c>
      <c r="B7" s="44" t="str">
        <f>IF(A7="","",CHOOSE(WEEKDAY(A7,1),"日","月","火","水","木","金","土"))</f>
        <v>水</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44641</v>
      </c>
      <c r="B9" s="44" t="str">
        <f t="shared" si="0"/>
        <v>月</v>
      </c>
      <c r="C9" s="45" t="s">
        <v>5</v>
      </c>
      <c r="D9" s="42"/>
      <c r="G9" s="40"/>
    </row>
    <row r="10" spans="1:7">
      <c r="A10" s="43" t="str">
        <f>IF(B9="日",A9+1,"")</f>
        <v/>
      </c>
      <c r="B10" s="44" t="str">
        <f t="shared" si="0"/>
        <v/>
      </c>
      <c r="C10" s="45" t="str">
        <f>IF(B9="日","振替休日","")</f>
        <v/>
      </c>
      <c r="D10" s="42"/>
      <c r="G10" s="40"/>
    </row>
    <row r="11" spans="1:7">
      <c r="A11" s="43">
        <f>DATE(出退社入力シート!C3,4,29)</f>
        <v>44680</v>
      </c>
      <c r="B11" s="44" t="str">
        <f t="shared" si="0"/>
        <v>金</v>
      </c>
      <c r="C11" s="45" t="s">
        <v>6</v>
      </c>
      <c r="D11" s="42"/>
    </row>
    <row r="12" spans="1:7">
      <c r="A12" s="43">
        <f>DATE(出退社入力シート!C3,5,3)</f>
        <v>44684</v>
      </c>
      <c r="B12" s="44" t="str">
        <f t="shared" si="0"/>
        <v>火</v>
      </c>
      <c r="C12" s="45" t="s">
        <v>7</v>
      </c>
      <c r="D12" s="42"/>
    </row>
    <row r="13" spans="1:7">
      <c r="A13" s="43">
        <f>DATE(出退社入力シート!C3,5,4)</f>
        <v>44685</v>
      </c>
      <c r="B13" s="44" t="str">
        <f t="shared" si="0"/>
        <v>水</v>
      </c>
      <c r="C13" s="45" t="s">
        <v>8</v>
      </c>
      <c r="D13" s="42"/>
    </row>
    <row r="14" spans="1:7">
      <c r="A14" s="43">
        <f>DATE(出退社入力シート!C3,5,5)</f>
        <v>44686</v>
      </c>
      <c r="B14" s="44" t="str">
        <f t="shared" si="0"/>
        <v>木</v>
      </c>
      <c r="C14" s="45" t="s">
        <v>9</v>
      </c>
      <c r="D14" s="42"/>
    </row>
    <row r="15" spans="1:7">
      <c r="A15" s="43" t="str">
        <f>IF(OR(B12="日",B13="日",B14="日"),A14+1,"")</f>
        <v/>
      </c>
      <c r="B15" s="44" t="str">
        <f t="shared" si="0"/>
        <v/>
      </c>
      <c r="C15" s="45" t="str">
        <f>IF(OR(B12="日",B13="日",B14="日"),"振替休日","")</f>
        <v/>
      </c>
      <c r="D15" s="42"/>
    </row>
    <row r="16" spans="1:7">
      <c r="A16" s="43">
        <f>DATE(出退社入力シート!C3,7,22)</f>
        <v>44764</v>
      </c>
      <c r="B16" s="44" t="str">
        <f t="shared" si="0"/>
        <v>金</v>
      </c>
      <c r="C16" s="45" t="s">
        <v>10</v>
      </c>
      <c r="D16" s="42" t="s">
        <v>298</v>
      </c>
    </row>
    <row r="17" spans="1:4">
      <c r="A17" s="43">
        <f>DATE(出退社入力シート!C3,7,23)</f>
        <v>44765</v>
      </c>
      <c r="B17" s="44" t="str">
        <f t="shared" ref="B17" si="1">IF(A17="","",CHOOSE(WEEKDAY(A17,1),"日","月","火","水","木","金","土"))</f>
        <v>土</v>
      </c>
      <c r="C17" s="45" t="s">
        <v>291</v>
      </c>
      <c r="D17" s="42" t="s">
        <v>298</v>
      </c>
    </row>
    <row r="18" spans="1:4">
      <c r="A18" s="43">
        <f>DATE(出退社入力シート!C3,8,8)</f>
        <v>44781</v>
      </c>
      <c r="B18" s="44" t="str">
        <f t="shared" si="0"/>
        <v>月</v>
      </c>
      <c r="C18" s="45" t="s">
        <v>167</v>
      </c>
      <c r="D18" s="42" t="s">
        <v>298</v>
      </c>
    </row>
    <row r="19" spans="1:4">
      <c r="A19" s="43" t="str">
        <f>IF(B18="日",A18+1,"")</f>
        <v/>
      </c>
      <c r="B19" s="44" t="str">
        <f t="shared" ref="B19" si="2">IF(A19="","",CHOOSE(WEEKDAY(A19,1),"日","月","火","水","木","金","土"))</f>
        <v/>
      </c>
      <c r="C19" s="45" t="str">
        <f>IF(B18="日","振替休日","")</f>
        <v/>
      </c>
      <c r="D19" s="42"/>
    </row>
    <row r="20" spans="1:4">
      <c r="A20" s="43">
        <f>IF(出退社入力シート!C3="","",DATE(出退社入力シート!C3,9,21)-WEEKDAY(DATE(出退社入力シート!C3,9,21),3))</f>
        <v>44823</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44827</v>
      </c>
      <c r="B22" s="44" t="str">
        <f t="shared" ref="B22:B29" si="3">IF(A22="","",CHOOSE(WEEKDAY(A22,1),"日","月","火","水","木","金","土"))</f>
        <v>金</v>
      </c>
      <c r="C22" s="45" t="s">
        <v>303</v>
      </c>
      <c r="D22" s="42"/>
    </row>
    <row r="23" spans="1:4">
      <c r="A23" s="43" t="str">
        <f>IF(B22="日",A22+1,"")</f>
        <v/>
      </c>
      <c r="B23" s="44" t="str">
        <f t="shared" si="3"/>
        <v/>
      </c>
      <c r="C23" s="45" t="str">
        <f>IF(B22="日","振替休日","")</f>
        <v/>
      </c>
      <c r="D23" s="42"/>
    </row>
    <row r="24" spans="1:4">
      <c r="A24" s="43">
        <f>DATE(出退社入力シート!C3,11,3)</f>
        <v>44868</v>
      </c>
      <c r="B24" s="44" t="str">
        <f t="shared" si="3"/>
        <v>木</v>
      </c>
      <c r="C24" s="45" t="s">
        <v>11</v>
      </c>
      <c r="D24" s="42"/>
    </row>
    <row r="25" spans="1:4">
      <c r="A25" s="43" t="str">
        <f>IF(B24="日",A24+1,"")</f>
        <v/>
      </c>
      <c r="B25" s="44" t="str">
        <f t="shared" si="3"/>
        <v/>
      </c>
      <c r="C25" s="45" t="str">
        <f>IF(B24="日","振替休日","")</f>
        <v/>
      </c>
      <c r="D25" s="42"/>
    </row>
    <row r="26" spans="1:4">
      <c r="A26" s="43">
        <f>DATE(出退社入力シート!C3,11,23)</f>
        <v>44888</v>
      </c>
      <c r="B26" s="44" t="str">
        <f t="shared" si="3"/>
        <v>水</v>
      </c>
      <c r="C26" s="45" t="s">
        <v>12</v>
      </c>
      <c r="D26" s="42"/>
    </row>
    <row r="27" spans="1:4">
      <c r="A27" s="43" t="str">
        <f>IF(B26="日",A26+1,"")</f>
        <v/>
      </c>
      <c r="B27" s="44" t="str">
        <f t="shared" si="3"/>
        <v/>
      </c>
      <c r="C27" s="45" t="str">
        <f>IF(B26="日","振替休日","")</f>
        <v/>
      </c>
      <c r="D27" s="42"/>
    </row>
    <row r="28" spans="1:4">
      <c r="A28" s="43">
        <f>DATE(出退社入力シート!C3,12,29)</f>
        <v>44924</v>
      </c>
      <c r="B28" s="44" t="str">
        <f t="shared" si="3"/>
        <v>木</v>
      </c>
      <c r="C28" s="45" t="s">
        <v>168</v>
      </c>
      <c r="D28" s="42"/>
    </row>
    <row r="29" spans="1:4">
      <c r="A29" s="43">
        <f>DATE(出退社入力シート!C3,12,30)</f>
        <v>44925</v>
      </c>
      <c r="B29" s="44" t="str">
        <f t="shared" si="3"/>
        <v>金</v>
      </c>
      <c r="C29" s="45" t="s">
        <v>168</v>
      </c>
      <c r="D29" s="42"/>
    </row>
    <row r="30" spans="1:4" ht="14.25" thickBot="1">
      <c r="A30" s="182">
        <f>DATE(出退社入力シート!C3,12,31)</f>
        <v>44926</v>
      </c>
      <c r="B30" s="183" t="str">
        <f t="shared" ref="B30" si="4">IF(A30="","",CHOOSE(WEEKDAY(A30,1),"日","月","火","水","木","金","土"))</f>
        <v>土</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安田 裕貴</dc:creator>
  <cp:lastModifiedBy>史 正韵</cp:lastModifiedBy>
  <cp:lastPrinted>2021-03-12T06:22:54Z</cp:lastPrinted>
  <dcterms:created xsi:type="dcterms:W3CDTF">2010-08-16T07:09:11Z</dcterms:created>
  <dcterms:modified xsi:type="dcterms:W3CDTF">2022-02-24T05:15:52Z</dcterms:modified>
</cp:coreProperties>
</file>