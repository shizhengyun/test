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10.12.41.11\kbk(購買物流改革)プロジェクト\99.個人フォルダ\TDI\001_TDI管理業務\003_勤務表\202205\"/>
    </mc:Choice>
  </mc:AlternateContent>
  <bookViews>
    <workbookView xWindow="0" yWindow="0" windowWidth="20490" windowHeight="6255" tabRatio="814" firstSheet="1" activeTab="1"/>
  </bookViews>
  <sheets>
    <sheet name="運用方法" sheetId="20" r:id="rId1"/>
    <sheet name="出退社入力シート" sheetId="5" r:id="rId2"/>
    <sheet name="準委任用" sheetId="3" r:id="rId3"/>
    <sheet name="派遣用" sheetId="13" r:id="rId4"/>
    <sheet name="交通費・出張費明細書" sheetId="15" r:id="rId5"/>
    <sheet name="交通費・出張費明細書 (2)" sheetId="18" r:id="rId6"/>
    <sheet name="交通費・出張費明細書 (3)" sheetId="19" r:id="rId7"/>
    <sheet name="祝日・休日設定" sheetId="2" r:id="rId8"/>
    <sheet name="変更履歴" sheetId="11" r:id="rId9"/>
  </sheets>
  <functionGroups builtInGroupCount="18"/>
  <externalReferences>
    <externalReference r:id="rId10"/>
  </externalReferences>
  <definedNames>
    <definedName name="_xlnm.Print_Area" localSheetId="4">交通費・出張費明細書!$A$1:$N$41</definedName>
    <definedName name="_xlnm.Print_Area" localSheetId="5">'交通費・出張費明細書 (2)'!$A$1:$N$41</definedName>
    <definedName name="_xlnm.Print_Area" localSheetId="6">'交通費・出張費明細書 (3)'!$A$1:$N$41</definedName>
    <definedName name="_xlnm.Print_Area" localSheetId="2">準委任用!$A$1:$K$49</definedName>
    <definedName name="_xlnm.Print_Area" localSheetId="3">派遣用!$B$1:$S$54</definedName>
    <definedName name="実績値" localSheetId="0">[1]出退社入力シート!$H$7:$J$37,[1]出退社入力シート!$M$7:$R$37</definedName>
    <definedName name="実績値">出退社入力シート!$H$7:$J$37,出退社入力シート!$M$7:$R$37</definedName>
    <definedName name="祝日一覧" localSheetId="0">[1]祝日・休日設定!$A$1:$C$31</definedName>
    <definedName name="祝日一覧">祝日・休日設定!$A$1:$C$30</definedName>
    <definedName name="日付">出退社入力シート!$C$7:$C$37</definedName>
    <definedName name="明細" localSheetId="0">[1]交通費・出張費明細書!$B$7:$B$32,[1]交通費・出張費明細書!$D$7:$F$32,[1]交通費・出張費明細書!$H$7:$K$32,[1]交通費・出張費明細書!$F$37:$F$40</definedName>
    <definedName name="明細" localSheetId="5">'交通費・出張費明細書 (2)'!$B$7:$B$32,'交通費・出張費明細書 (2)'!$D$7:$F$32,'交通費・出張費明細書 (2)'!$H$7:$K$32,'交通費・出張費明細書 (2)'!$F$37:$F$40</definedName>
    <definedName name="明細" localSheetId="6">'交通費・出張費明細書 (3)'!$B$7:$B$32,'交通費・出張費明細書 (3)'!$D$7:$F$32,'交通費・出張費明細書 (3)'!$H$7:$K$32,'交通費・出張費明細書 (3)'!$F$37:$F$40</definedName>
    <definedName name="明細">交通費・出張費明細書!$B$7:$B$32,交通費・出張費明細書!$D$7:$F$32,交通費・出張費明細書!$H$7:$K$32,交通費・出張費明細書!$F$37:$F$40</definedName>
    <definedName name="曜日">出退社入力シート!$D$7:$D$37</definedName>
  </definedNames>
  <calcPr calcId="162913"/>
</workbook>
</file>

<file path=xl/calcChain.xml><?xml version="1.0" encoding="utf-8"?>
<calcChain xmlns="http://schemas.openxmlformats.org/spreadsheetml/2006/main">
  <c r="G48" i="5" l="1"/>
  <c r="A18" i="2" l="1"/>
  <c r="A17" i="2"/>
  <c r="A16" i="2"/>
  <c r="B17" i="2" l="1"/>
  <c r="A7" i="2" l="1"/>
  <c r="B7" i="2" s="1"/>
  <c r="C8" i="2" l="1"/>
  <c r="A8" i="2"/>
  <c r="B8" i="2" s="1"/>
  <c r="A5" i="2" l="1"/>
  <c r="A4" i="2"/>
  <c r="H53" i="5" l="1"/>
  <c r="K36" i="19" l="1"/>
  <c r="D36" i="19"/>
  <c r="B36" i="19"/>
  <c r="L32" i="19"/>
  <c r="C32" i="19"/>
  <c r="L31" i="19"/>
  <c r="C31" i="19"/>
  <c r="L30" i="19"/>
  <c r="C30" i="19"/>
  <c r="L29" i="19"/>
  <c r="C29" i="19"/>
  <c r="L28" i="19"/>
  <c r="C28" i="19"/>
  <c r="L27" i="19"/>
  <c r="C27" i="19"/>
  <c r="L26" i="19"/>
  <c r="C26" i="19"/>
  <c r="L25" i="19"/>
  <c r="C25" i="19"/>
  <c r="L24" i="19"/>
  <c r="C24" i="19"/>
  <c r="L23" i="19"/>
  <c r="C23" i="19"/>
  <c r="L22" i="19"/>
  <c r="C22" i="19"/>
  <c r="L21" i="19"/>
  <c r="C21" i="19"/>
  <c r="L20" i="19"/>
  <c r="C20" i="19"/>
  <c r="L19" i="19"/>
  <c r="C19" i="19"/>
  <c r="L18" i="19"/>
  <c r="C18" i="19"/>
  <c r="L17" i="19"/>
  <c r="C17" i="19"/>
  <c r="L16" i="19"/>
  <c r="C16" i="19"/>
  <c r="L15" i="19"/>
  <c r="C15" i="19"/>
  <c r="L14" i="19"/>
  <c r="C14" i="19"/>
  <c r="L13" i="19"/>
  <c r="C13" i="19"/>
  <c r="L12" i="19"/>
  <c r="C12" i="19"/>
  <c r="L11" i="19"/>
  <c r="C11" i="19"/>
  <c r="L10" i="19"/>
  <c r="C10" i="19"/>
  <c r="L9" i="19"/>
  <c r="C9" i="19"/>
  <c r="L8" i="19"/>
  <c r="L7" i="19"/>
  <c r="K3" i="19"/>
  <c r="K2" i="19"/>
  <c r="B2" i="19"/>
  <c r="B1" i="19"/>
  <c r="K36" i="18"/>
  <c r="D36" i="18"/>
  <c r="B36" i="18"/>
  <c r="L32" i="18"/>
  <c r="C32" i="18"/>
  <c r="L31" i="18"/>
  <c r="C31" i="18"/>
  <c r="L30" i="18"/>
  <c r="C30" i="18"/>
  <c r="L29" i="18"/>
  <c r="C29" i="18"/>
  <c r="L28" i="18"/>
  <c r="C28" i="18"/>
  <c r="L27" i="18"/>
  <c r="C27" i="18"/>
  <c r="L26" i="18"/>
  <c r="C26" i="18"/>
  <c r="L25" i="18"/>
  <c r="C25" i="18"/>
  <c r="L24" i="18"/>
  <c r="C24" i="18"/>
  <c r="L23" i="18"/>
  <c r="C23" i="18"/>
  <c r="L22" i="18"/>
  <c r="C22" i="18"/>
  <c r="L21" i="18"/>
  <c r="C21" i="18"/>
  <c r="L20" i="18"/>
  <c r="C20" i="18"/>
  <c r="L19" i="18"/>
  <c r="C19" i="18"/>
  <c r="L18" i="18"/>
  <c r="C18" i="18"/>
  <c r="L17" i="18"/>
  <c r="C17" i="18"/>
  <c r="L16" i="18"/>
  <c r="C16" i="18"/>
  <c r="L15" i="18"/>
  <c r="C15" i="18"/>
  <c r="L14" i="18"/>
  <c r="C14" i="18"/>
  <c r="L13" i="18"/>
  <c r="C13" i="18"/>
  <c r="L12" i="18"/>
  <c r="L11" i="18"/>
  <c r="L10" i="18"/>
  <c r="L9" i="18"/>
  <c r="L8" i="18"/>
  <c r="L7" i="18"/>
  <c r="K3" i="18"/>
  <c r="K2" i="18"/>
  <c r="B2" i="18"/>
  <c r="B1" i="18"/>
  <c r="L33" i="19" l="1"/>
  <c r="F36" i="19" s="1"/>
  <c r="L33" i="18"/>
  <c r="F36" i="18" s="1"/>
  <c r="B18" i="2"/>
  <c r="A19" i="2" s="1"/>
  <c r="A3" i="2"/>
  <c r="B3" i="2" s="1"/>
  <c r="A2" i="2"/>
  <c r="B2" i="2" s="1"/>
  <c r="A30" i="2"/>
  <c r="B30" i="2" s="1"/>
  <c r="A29" i="2"/>
  <c r="B29" i="2" s="1"/>
  <c r="A28" i="2"/>
  <c r="B28" i="2" s="1"/>
  <c r="A26" i="2"/>
  <c r="B26" i="2" s="1"/>
  <c r="A27" i="2" s="1"/>
  <c r="A24" i="2"/>
  <c r="B24" i="2" s="1"/>
  <c r="A25" i="2" s="1"/>
  <c r="A22" i="2"/>
  <c r="A20" i="2"/>
  <c r="M49" i="13"/>
  <c r="M48" i="13"/>
  <c r="B7" i="5"/>
  <c r="B49" i="3"/>
  <c r="B48" i="3"/>
  <c r="B47" i="3"/>
  <c r="B46" i="3"/>
  <c r="B45" i="3"/>
  <c r="B1" i="15"/>
  <c r="B2" i="15"/>
  <c r="B19" i="2" l="1"/>
  <c r="C19" i="2"/>
  <c r="A21" i="2"/>
  <c r="B21" i="2" s="1"/>
  <c r="C25" i="2"/>
  <c r="C27" i="2"/>
  <c r="B27" i="2"/>
  <c r="B22" i="2"/>
  <c r="A23" i="2" s="1"/>
  <c r="B20" i="2"/>
  <c r="A1" i="3"/>
  <c r="K36" i="15"/>
  <c r="D36" i="15"/>
  <c r="B36" i="15"/>
  <c r="L32" i="15"/>
  <c r="L31" i="15"/>
  <c r="L30" i="15"/>
  <c r="L29" i="15"/>
  <c r="L28" i="15"/>
  <c r="L27" i="15"/>
  <c r="L26" i="15"/>
  <c r="L25" i="15"/>
  <c r="L24" i="15"/>
  <c r="L23" i="15"/>
  <c r="L22" i="15"/>
  <c r="L21" i="15"/>
  <c r="L20" i="15"/>
  <c r="L19" i="15"/>
  <c r="L18" i="15"/>
  <c r="L17" i="15"/>
  <c r="L16" i="15"/>
  <c r="L15" i="15"/>
  <c r="L14" i="15"/>
  <c r="L13" i="15"/>
  <c r="L12" i="15"/>
  <c r="L11" i="15"/>
  <c r="L10" i="15"/>
  <c r="L9" i="15"/>
  <c r="L8" i="15"/>
  <c r="L7" i="15"/>
  <c r="K3" i="15"/>
  <c r="K2" i="15"/>
  <c r="M45" i="13"/>
  <c r="M46" i="13"/>
  <c r="B40" i="3"/>
  <c r="O4" i="13"/>
  <c r="B51" i="13"/>
  <c r="G53" i="5"/>
  <c r="M42" i="13"/>
  <c r="J51" i="13" s="1"/>
  <c r="B53" i="13"/>
  <c r="B50" i="13"/>
  <c r="B49" i="13"/>
  <c r="B48" i="13"/>
  <c r="B47" i="13"/>
  <c r="B46" i="13"/>
  <c r="E40" i="13"/>
  <c r="B40" i="13"/>
  <c r="J36" i="13"/>
  <c r="H36" i="13"/>
  <c r="F36" i="13"/>
  <c r="J35" i="13"/>
  <c r="H35" i="13"/>
  <c r="F35" i="13"/>
  <c r="J34" i="13"/>
  <c r="H34" i="13"/>
  <c r="F34" i="13"/>
  <c r="J33" i="13"/>
  <c r="H33" i="13"/>
  <c r="F33" i="13"/>
  <c r="J32" i="13"/>
  <c r="H32" i="13"/>
  <c r="F32" i="13"/>
  <c r="J31" i="13"/>
  <c r="H31" i="13"/>
  <c r="F31" i="13"/>
  <c r="J30" i="13"/>
  <c r="H30" i="13"/>
  <c r="F30" i="13"/>
  <c r="J29" i="13"/>
  <c r="H29" i="13"/>
  <c r="F29" i="13"/>
  <c r="J28" i="13"/>
  <c r="H28" i="13"/>
  <c r="F28" i="13"/>
  <c r="J27" i="13"/>
  <c r="H27" i="13"/>
  <c r="F27" i="13"/>
  <c r="J26" i="13"/>
  <c r="H26" i="13"/>
  <c r="F26" i="13"/>
  <c r="J25" i="13"/>
  <c r="H25" i="13"/>
  <c r="F25" i="13"/>
  <c r="J24" i="13"/>
  <c r="H24" i="13"/>
  <c r="F24" i="13"/>
  <c r="J23" i="13"/>
  <c r="H23" i="13"/>
  <c r="F23" i="13"/>
  <c r="J22" i="13"/>
  <c r="H22" i="13"/>
  <c r="F22" i="13"/>
  <c r="J21" i="13"/>
  <c r="H21" i="13"/>
  <c r="F21" i="13"/>
  <c r="J20" i="13"/>
  <c r="H20" i="13"/>
  <c r="F20" i="13"/>
  <c r="J19" i="13"/>
  <c r="H19" i="13"/>
  <c r="F19" i="13"/>
  <c r="J18" i="13"/>
  <c r="H18" i="13"/>
  <c r="F18" i="13"/>
  <c r="J17" i="13"/>
  <c r="H17" i="13"/>
  <c r="F17" i="13"/>
  <c r="J16" i="13"/>
  <c r="H16" i="13"/>
  <c r="F16" i="13"/>
  <c r="J15" i="13"/>
  <c r="H15" i="13"/>
  <c r="F15" i="13"/>
  <c r="J14" i="13"/>
  <c r="H14" i="13"/>
  <c r="F14" i="13"/>
  <c r="J13" i="13"/>
  <c r="H13" i="13"/>
  <c r="F13" i="13"/>
  <c r="J12" i="13"/>
  <c r="H12" i="13"/>
  <c r="F12" i="13"/>
  <c r="J11" i="13"/>
  <c r="H11" i="13"/>
  <c r="F11" i="13"/>
  <c r="J10" i="13"/>
  <c r="H10" i="13"/>
  <c r="F10" i="13"/>
  <c r="J9" i="13"/>
  <c r="H9" i="13"/>
  <c r="F9" i="13"/>
  <c r="J8" i="13"/>
  <c r="H8" i="13"/>
  <c r="F8" i="13"/>
  <c r="J7" i="13"/>
  <c r="H7" i="13"/>
  <c r="F7" i="13"/>
  <c r="J6" i="13"/>
  <c r="H6" i="13"/>
  <c r="F6" i="13"/>
  <c r="E1" i="13"/>
  <c r="B1" i="13"/>
  <c r="B8" i="5"/>
  <c r="A1" i="2"/>
  <c r="B4" i="2"/>
  <c r="B5" i="2"/>
  <c r="A9" i="2"/>
  <c r="B9" i="2" s="1"/>
  <c r="A10" i="2" s="1"/>
  <c r="A11" i="2"/>
  <c r="B11" i="2" s="1"/>
  <c r="A12" i="2"/>
  <c r="B12" i="2" s="1"/>
  <c r="A13" i="2"/>
  <c r="B13" i="2" s="1"/>
  <c r="A14" i="2"/>
  <c r="B14" i="2" s="1"/>
  <c r="B16" i="2"/>
  <c r="J38" i="5"/>
  <c r="J38" i="13" s="1"/>
  <c r="M38" i="5"/>
  <c r="P42" i="5" s="1"/>
  <c r="P38" i="5"/>
  <c r="P45" i="5" s="1"/>
  <c r="O38" i="5"/>
  <c r="P44" i="5" s="1"/>
  <c r="N38" i="5"/>
  <c r="P43" i="5" s="1"/>
  <c r="H38" i="3"/>
  <c r="G38" i="3"/>
  <c r="I2" i="3"/>
  <c r="B41" i="3"/>
  <c r="I44" i="3"/>
  <c r="E2" i="3"/>
  <c r="B2" i="3"/>
  <c r="C6" i="2" l="1"/>
  <c r="A6" i="2"/>
  <c r="B6" i="2" s="1"/>
  <c r="A15" i="2"/>
  <c r="B15" i="2" s="1"/>
  <c r="B38" i="18"/>
  <c r="D38" i="19"/>
  <c r="B38" i="19"/>
  <c r="D38" i="18"/>
  <c r="D40" i="19"/>
  <c r="B40" i="18"/>
  <c r="B40" i="19"/>
  <c r="D40" i="18"/>
  <c r="D37" i="19"/>
  <c r="B37" i="19"/>
  <c r="D37" i="18"/>
  <c r="B37" i="18"/>
  <c r="D39" i="18"/>
  <c r="D39" i="19"/>
  <c r="B39" i="18"/>
  <c r="B39" i="19"/>
  <c r="C23" i="2"/>
  <c r="C21" i="2"/>
  <c r="B23" i="2"/>
  <c r="B25" i="2" s="1"/>
  <c r="L33" i="15"/>
  <c r="F36" i="15" s="1"/>
  <c r="K44" i="13"/>
  <c r="J42" i="3"/>
  <c r="G40" i="3"/>
  <c r="N6" i="5"/>
  <c r="J40" i="3"/>
  <c r="D38" i="15"/>
  <c r="H40" i="3"/>
  <c r="B42" i="13"/>
  <c r="E44" i="13"/>
  <c r="D40" i="15"/>
  <c r="H42" i="3"/>
  <c r="J39" i="3"/>
  <c r="E41" i="13"/>
  <c r="B41" i="13"/>
  <c r="B37" i="15"/>
  <c r="D37" i="15"/>
  <c r="M6" i="5"/>
  <c r="K41" i="13"/>
  <c r="G39" i="3"/>
  <c r="H39" i="3"/>
  <c r="J41" i="3"/>
  <c r="O6" i="5"/>
  <c r="B43" i="13"/>
  <c r="E43" i="13"/>
  <c r="D39" i="15"/>
  <c r="G41" i="3"/>
  <c r="B39" i="15"/>
  <c r="H41" i="3"/>
  <c r="K43" i="13"/>
  <c r="B44" i="13"/>
  <c r="B40" i="15"/>
  <c r="G42" i="3"/>
  <c r="B38" i="15"/>
  <c r="K42" i="13"/>
  <c r="P6" i="5"/>
  <c r="E42" i="13"/>
  <c r="B9" i="5"/>
  <c r="C8" i="5"/>
  <c r="K8" i="5" s="1"/>
  <c r="C7" i="5"/>
  <c r="K7" i="5" s="1"/>
  <c r="C10" i="2"/>
  <c r="B10" i="2"/>
  <c r="C15" i="2"/>
  <c r="B1" i="2"/>
  <c r="S8" i="5" l="1"/>
  <c r="AA8" i="5" s="1"/>
  <c r="C9" i="5"/>
  <c r="K9" i="5" s="1"/>
  <c r="B10" i="5"/>
  <c r="A8" i="5"/>
  <c r="D8" i="5"/>
  <c r="B7" i="13"/>
  <c r="B7" i="3"/>
  <c r="D7" i="5"/>
  <c r="B6" i="3"/>
  <c r="B6" i="13"/>
  <c r="A7" i="5"/>
  <c r="E7" i="5"/>
  <c r="E8" i="5"/>
  <c r="L7" i="5" l="1"/>
  <c r="G7" i="5"/>
  <c r="F6" i="3"/>
  <c r="K6" i="13"/>
  <c r="G8" i="5"/>
  <c r="L8" i="5"/>
  <c r="K7" i="13"/>
  <c r="F7" i="3"/>
  <c r="S9" i="5"/>
  <c r="AA9" i="5" s="1"/>
  <c r="S7" i="5"/>
  <c r="AA7" i="5" s="1"/>
  <c r="C10" i="5"/>
  <c r="K10" i="5" s="1"/>
  <c r="B11" i="5"/>
  <c r="C6" i="13"/>
  <c r="C6" i="3"/>
  <c r="B8" i="13"/>
  <c r="D9" i="5"/>
  <c r="A9" i="5"/>
  <c r="B8" i="3"/>
  <c r="C7" i="13"/>
  <c r="C7" i="3"/>
  <c r="E9" i="5"/>
  <c r="D8" i="13" s="1"/>
  <c r="D7" i="13"/>
  <c r="D7" i="3"/>
  <c r="F8" i="5"/>
  <c r="F7" i="5"/>
  <c r="D6" i="3"/>
  <c r="D6" i="13"/>
  <c r="G9" i="5" l="1"/>
  <c r="L9" i="5"/>
  <c r="F8" i="3"/>
  <c r="K8" i="13"/>
  <c r="E7" i="3"/>
  <c r="G7" i="3" s="1"/>
  <c r="E7" i="13"/>
  <c r="L7" i="13" s="1"/>
  <c r="E6" i="13"/>
  <c r="E6" i="3"/>
  <c r="G6" i="3" s="1"/>
  <c r="D8" i="3"/>
  <c r="F9" i="5"/>
  <c r="C8" i="3"/>
  <c r="C8" i="13"/>
  <c r="B12" i="5"/>
  <c r="C11" i="5"/>
  <c r="K11" i="5" s="1"/>
  <c r="B9" i="13"/>
  <c r="D10" i="5"/>
  <c r="A10" i="5"/>
  <c r="B9" i="3"/>
  <c r="E10" i="5"/>
  <c r="L10" i="5" l="1"/>
  <c r="G10" i="5"/>
  <c r="F9" i="3"/>
  <c r="K9" i="13"/>
  <c r="L6" i="13"/>
  <c r="S10" i="5"/>
  <c r="AA10" i="5" s="1"/>
  <c r="E8" i="3"/>
  <c r="G8" i="3" s="1"/>
  <c r="E8" i="13"/>
  <c r="L8" i="13" s="1"/>
  <c r="C9" i="3"/>
  <c r="C9" i="13"/>
  <c r="B13" i="5"/>
  <c r="C12" i="5"/>
  <c r="K12" i="5" s="1"/>
  <c r="B10" i="3"/>
  <c r="A11" i="5"/>
  <c r="B10" i="13"/>
  <c r="D11" i="5"/>
  <c r="E11" i="5"/>
  <c r="D9" i="3"/>
  <c r="D9" i="13"/>
  <c r="F10" i="5"/>
  <c r="G11" i="5" l="1"/>
  <c r="L11" i="5"/>
  <c r="F10" i="3"/>
  <c r="K10" i="13"/>
  <c r="S11" i="5"/>
  <c r="AA11" i="5" s="1"/>
  <c r="E9" i="3"/>
  <c r="G9" i="3" s="1"/>
  <c r="E9" i="13"/>
  <c r="C10" i="3"/>
  <c r="C10" i="13"/>
  <c r="B11" i="13"/>
  <c r="B11" i="3"/>
  <c r="A12" i="5"/>
  <c r="D12" i="5"/>
  <c r="E12" i="5"/>
  <c r="D10" i="13"/>
  <c r="D10" i="3"/>
  <c r="C13" i="5"/>
  <c r="K13" i="5" s="1"/>
  <c r="B14" i="5"/>
  <c r="F11" i="5"/>
  <c r="L12" i="5" l="1"/>
  <c r="G12" i="5"/>
  <c r="K11" i="13"/>
  <c r="F11" i="3"/>
  <c r="L9" i="13"/>
  <c r="S12" i="5"/>
  <c r="AA12" i="5" s="1"/>
  <c r="E10" i="3"/>
  <c r="G10" i="3" s="1"/>
  <c r="E10" i="13"/>
  <c r="L10" i="13" s="1"/>
  <c r="F12" i="5"/>
  <c r="B15" i="5"/>
  <c r="C14" i="5"/>
  <c r="K14" i="5" s="1"/>
  <c r="C11" i="13"/>
  <c r="C11" i="3"/>
  <c r="B12" i="13"/>
  <c r="D13" i="5"/>
  <c r="B12" i="3"/>
  <c r="A13" i="5"/>
  <c r="E13" i="5"/>
  <c r="D11" i="3"/>
  <c r="D11" i="13"/>
  <c r="L13" i="5" l="1"/>
  <c r="G13" i="5"/>
  <c r="K12" i="13"/>
  <c r="F12" i="3"/>
  <c r="E11" i="13"/>
  <c r="E11" i="3"/>
  <c r="G11" i="3" s="1"/>
  <c r="S13" i="5"/>
  <c r="AA13" i="5" s="1"/>
  <c r="D12" i="3"/>
  <c r="D12" i="13"/>
  <c r="B16" i="5"/>
  <c r="C15" i="5"/>
  <c r="K15" i="5" s="1"/>
  <c r="C12" i="3"/>
  <c r="C12" i="13"/>
  <c r="B13" i="13"/>
  <c r="D14" i="5"/>
  <c r="B13" i="3"/>
  <c r="A14" i="5"/>
  <c r="E14" i="5"/>
  <c r="F13" i="5"/>
  <c r="L14" i="5" l="1"/>
  <c r="G14" i="5"/>
  <c r="F13" i="3"/>
  <c r="K13" i="13"/>
  <c r="L11" i="13"/>
  <c r="E12" i="3"/>
  <c r="G12" i="3" s="1"/>
  <c r="E12" i="13"/>
  <c r="L12" i="13" s="1"/>
  <c r="S14" i="5"/>
  <c r="AA14" i="5" s="1"/>
  <c r="F14" i="5"/>
  <c r="C13" i="3"/>
  <c r="C13" i="13"/>
  <c r="B14" i="13"/>
  <c r="A15" i="5"/>
  <c r="B14" i="3"/>
  <c r="D15" i="5"/>
  <c r="E15" i="5"/>
  <c r="D13" i="13"/>
  <c r="D13" i="3"/>
  <c r="B17" i="5"/>
  <c r="C16" i="5"/>
  <c r="K16" i="5" s="1"/>
  <c r="L15" i="5" l="1"/>
  <c r="G15" i="5"/>
  <c r="K14" i="13"/>
  <c r="F14" i="3"/>
  <c r="E13" i="3"/>
  <c r="G13" i="3" s="1"/>
  <c r="E13" i="13"/>
  <c r="S15" i="5"/>
  <c r="AA15" i="5" s="1"/>
  <c r="F15" i="5"/>
  <c r="D16" i="5"/>
  <c r="A16" i="5"/>
  <c r="B15" i="3"/>
  <c r="B15" i="13"/>
  <c r="E16" i="5"/>
  <c r="C14" i="3"/>
  <c r="C14" i="13"/>
  <c r="C17" i="5"/>
  <c r="K17" i="5" s="1"/>
  <c r="B18" i="5"/>
  <c r="D14" i="3"/>
  <c r="D14" i="13"/>
  <c r="E14" i="13" l="1"/>
  <c r="L14" i="13" s="1"/>
  <c r="E14" i="3"/>
  <c r="G14" i="3" s="1"/>
  <c r="L16" i="5"/>
  <c r="G16" i="5"/>
  <c r="K15" i="13"/>
  <c r="F15" i="3"/>
  <c r="L13" i="13"/>
  <c r="S16" i="5"/>
  <c r="AA16" i="5" s="1"/>
  <c r="D17" i="5"/>
  <c r="B16" i="13"/>
  <c r="B16" i="3"/>
  <c r="A17" i="5"/>
  <c r="E17" i="5"/>
  <c r="D15" i="13"/>
  <c r="D15" i="3"/>
  <c r="C15" i="3"/>
  <c r="C15" i="13"/>
  <c r="B19" i="5"/>
  <c r="C18" i="5"/>
  <c r="K18" i="5" s="1"/>
  <c r="F16" i="5"/>
  <c r="E15" i="3" l="1"/>
  <c r="G15" i="3" s="1"/>
  <c r="E15" i="13"/>
  <c r="G17" i="5"/>
  <c r="L17" i="5"/>
  <c r="F16" i="3"/>
  <c r="K16" i="13"/>
  <c r="S18" i="5"/>
  <c r="AA18" i="5" s="1"/>
  <c r="S17" i="5"/>
  <c r="AA17" i="5" s="1"/>
  <c r="B17" i="13"/>
  <c r="D18" i="5"/>
  <c r="A18" i="5"/>
  <c r="B17" i="3"/>
  <c r="E18" i="5"/>
  <c r="D16" i="3"/>
  <c r="D16" i="13"/>
  <c r="C16" i="13"/>
  <c r="C16" i="3"/>
  <c r="B20" i="5"/>
  <c r="C19" i="5"/>
  <c r="K19" i="5" s="1"/>
  <c r="F17" i="5"/>
  <c r="L15" i="13" l="1"/>
  <c r="E16" i="13"/>
  <c r="L16" i="13" s="1"/>
  <c r="E16" i="3"/>
  <c r="G16" i="3" s="1"/>
  <c r="L18" i="5"/>
  <c r="G18" i="5"/>
  <c r="K17" i="13"/>
  <c r="F17" i="3"/>
  <c r="A19" i="5"/>
  <c r="B18" i="3"/>
  <c r="B18" i="13"/>
  <c r="D19" i="5"/>
  <c r="E19" i="5"/>
  <c r="D17" i="13"/>
  <c r="D17" i="3"/>
  <c r="C17" i="13"/>
  <c r="C17" i="3"/>
  <c r="B21" i="5"/>
  <c r="C20" i="5"/>
  <c r="K20" i="5" s="1"/>
  <c r="F18" i="5"/>
  <c r="E17" i="13" l="1"/>
  <c r="L17" i="13" s="1"/>
  <c r="E17" i="3"/>
  <c r="G17" i="3" s="1"/>
  <c r="G19" i="5"/>
  <c r="L19" i="5"/>
  <c r="K18" i="13"/>
  <c r="F18" i="3"/>
  <c r="S19" i="5"/>
  <c r="AA19" i="5" s="1"/>
  <c r="D20" i="5"/>
  <c r="B19" i="13"/>
  <c r="B19" i="3"/>
  <c r="A20" i="5"/>
  <c r="E20" i="5"/>
  <c r="C18" i="3"/>
  <c r="C18" i="13"/>
  <c r="D18" i="13"/>
  <c r="D18" i="3"/>
  <c r="B22" i="5"/>
  <c r="C21" i="5"/>
  <c r="K21" i="5" s="1"/>
  <c r="F19" i="5"/>
  <c r="G20" i="5" l="1"/>
  <c r="L20" i="5"/>
  <c r="K19" i="13"/>
  <c r="F19" i="3"/>
  <c r="S20" i="5"/>
  <c r="AA20" i="5" s="1"/>
  <c r="E18" i="13"/>
  <c r="L18" i="13" s="1"/>
  <c r="E18" i="3"/>
  <c r="G18" i="3" s="1"/>
  <c r="A21" i="5"/>
  <c r="D21" i="5"/>
  <c r="B20" i="3"/>
  <c r="B20" i="13"/>
  <c r="E21" i="5"/>
  <c r="D19" i="13"/>
  <c r="D19" i="3"/>
  <c r="C19" i="3"/>
  <c r="C19" i="13"/>
  <c r="C22" i="5"/>
  <c r="K22" i="5" s="1"/>
  <c r="B23" i="5"/>
  <c r="F20" i="5"/>
  <c r="G21" i="5" l="1"/>
  <c r="L21" i="5"/>
  <c r="K20" i="13"/>
  <c r="F20" i="3"/>
  <c r="S21" i="5"/>
  <c r="AA21" i="5" s="1"/>
  <c r="S22" i="5"/>
  <c r="AA22" i="5" s="1"/>
  <c r="E19" i="3"/>
  <c r="G19" i="3" s="1"/>
  <c r="E19" i="13"/>
  <c r="L19" i="13" s="1"/>
  <c r="C23" i="5"/>
  <c r="K23" i="5" s="1"/>
  <c r="B24" i="5"/>
  <c r="D20" i="3"/>
  <c r="D20" i="13"/>
  <c r="C20" i="13"/>
  <c r="C20" i="3"/>
  <c r="B21" i="13"/>
  <c r="B21" i="3"/>
  <c r="A22" i="5"/>
  <c r="D22" i="5"/>
  <c r="E22" i="5"/>
  <c r="F21" i="5"/>
  <c r="G22" i="5" l="1"/>
  <c r="L22" i="5"/>
  <c r="K21" i="13"/>
  <c r="F21" i="3"/>
  <c r="E20" i="3"/>
  <c r="G20" i="3" s="1"/>
  <c r="E20" i="13"/>
  <c r="L20" i="13" s="1"/>
  <c r="C16" i="15"/>
  <c r="C14" i="15"/>
  <c r="C15" i="15"/>
  <c r="C7" i="15"/>
  <c r="F22" i="5"/>
  <c r="A23" i="5"/>
  <c r="C7" i="18" s="1"/>
  <c r="B22" i="13"/>
  <c r="B22" i="3"/>
  <c r="D23" i="5"/>
  <c r="E23" i="5"/>
  <c r="C21" i="3"/>
  <c r="C21" i="13"/>
  <c r="B25" i="5"/>
  <c r="C24" i="5"/>
  <c r="K24" i="5" s="1"/>
  <c r="D21" i="3"/>
  <c r="D21" i="13"/>
  <c r="G23" i="5" l="1"/>
  <c r="L23" i="5"/>
  <c r="K22" i="13"/>
  <c r="F22" i="3"/>
  <c r="S23" i="5"/>
  <c r="AA23" i="5" s="1"/>
  <c r="E21" i="3"/>
  <c r="G21" i="3" s="1"/>
  <c r="E21" i="13"/>
  <c r="L21" i="13" s="1"/>
  <c r="C17" i="15"/>
  <c r="C7" i="19"/>
  <c r="C22" i="13"/>
  <c r="C22" i="3"/>
  <c r="B26" i="5"/>
  <c r="C25" i="5"/>
  <c r="K25" i="5" s="1"/>
  <c r="D22" i="13"/>
  <c r="D22" i="3"/>
  <c r="B23" i="13"/>
  <c r="B23" i="3"/>
  <c r="D24" i="5"/>
  <c r="A24" i="5"/>
  <c r="E24" i="5"/>
  <c r="F23" i="5"/>
  <c r="E22" i="3" l="1"/>
  <c r="G22" i="3" s="1"/>
  <c r="E22" i="13"/>
  <c r="L22" i="13" s="1"/>
  <c r="L24" i="5"/>
  <c r="G24" i="5"/>
  <c r="F23" i="3"/>
  <c r="K23" i="13"/>
  <c r="S24" i="5"/>
  <c r="AA24" i="5" s="1"/>
  <c r="F24" i="5"/>
  <c r="D25" i="5"/>
  <c r="B24" i="3"/>
  <c r="A25" i="5"/>
  <c r="B24" i="13"/>
  <c r="E25" i="5"/>
  <c r="C23" i="3"/>
  <c r="C23" i="13"/>
  <c r="D23" i="3"/>
  <c r="D23" i="13"/>
  <c r="B27" i="5"/>
  <c r="C26" i="5"/>
  <c r="K26" i="5" s="1"/>
  <c r="E23" i="3" l="1"/>
  <c r="G23" i="3" s="1"/>
  <c r="E23" i="13"/>
  <c r="L23" i="13" s="1"/>
  <c r="G25" i="5"/>
  <c r="L25" i="5"/>
  <c r="K24" i="13"/>
  <c r="F24" i="3"/>
  <c r="S25" i="5"/>
  <c r="AA25" i="5" s="1"/>
  <c r="A26" i="5"/>
  <c r="D26" i="5"/>
  <c r="B25" i="13"/>
  <c r="B25" i="3"/>
  <c r="E26" i="5"/>
  <c r="D24" i="3"/>
  <c r="D24" i="13"/>
  <c r="C24" i="3"/>
  <c r="C24" i="13"/>
  <c r="B28" i="5"/>
  <c r="C27" i="5"/>
  <c r="K27" i="5" s="1"/>
  <c r="F25" i="5"/>
  <c r="L26" i="5" l="1"/>
  <c r="G26" i="5"/>
  <c r="F25" i="3"/>
  <c r="K25" i="13"/>
  <c r="S26" i="5"/>
  <c r="AA26" i="5" s="1"/>
  <c r="E24" i="3"/>
  <c r="G24" i="3" s="1"/>
  <c r="E24" i="13"/>
  <c r="L24" i="13" s="1"/>
  <c r="B26" i="3"/>
  <c r="B26" i="13"/>
  <c r="A27" i="5"/>
  <c r="D27" i="5"/>
  <c r="E27" i="5"/>
  <c r="D25" i="13"/>
  <c r="D25" i="3"/>
  <c r="C25" i="3"/>
  <c r="C25" i="13"/>
  <c r="C28" i="5"/>
  <c r="K28" i="5" s="1"/>
  <c r="B29" i="5"/>
  <c r="F26" i="5"/>
  <c r="E25" i="13" l="1"/>
  <c r="L25" i="13" s="1"/>
  <c r="E25" i="3"/>
  <c r="G25" i="3" s="1"/>
  <c r="G27" i="5"/>
  <c r="L27" i="5"/>
  <c r="F26" i="3"/>
  <c r="K26" i="13"/>
  <c r="S27" i="5"/>
  <c r="AA27" i="5" s="1"/>
  <c r="B30" i="5"/>
  <c r="C29" i="5"/>
  <c r="K29" i="5" s="1"/>
  <c r="C26" i="3"/>
  <c r="C26" i="13"/>
  <c r="D26" i="13"/>
  <c r="D26" i="3"/>
  <c r="B27" i="3"/>
  <c r="A28" i="5"/>
  <c r="D28" i="5"/>
  <c r="B27" i="13"/>
  <c r="E28" i="5"/>
  <c r="F27" i="5"/>
  <c r="G28" i="5" l="1"/>
  <c r="L28" i="5"/>
  <c r="F27" i="3"/>
  <c r="K27" i="13"/>
  <c r="S28" i="5"/>
  <c r="AA28" i="5" s="1"/>
  <c r="E26" i="3"/>
  <c r="G26" i="3" s="1"/>
  <c r="E26" i="13"/>
  <c r="L26" i="13" s="1"/>
  <c r="F28" i="5"/>
  <c r="C27" i="13"/>
  <c r="C27" i="3"/>
  <c r="C30" i="5"/>
  <c r="K30" i="5" s="1"/>
  <c r="B31" i="5"/>
  <c r="B28" i="3"/>
  <c r="A29" i="5"/>
  <c r="B28" i="13"/>
  <c r="D29" i="5"/>
  <c r="E29" i="5"/>
  <c r="D27" i="13"/>
  <c r="D27" i="3"/>
  <c r="G29" i="5" l="1"/>
  <c r="L29" i="5"/>
  <c r="F28" i="3"/>
  <c r="K28" i="13"/>
  <c r="S29" i="5"/>
  <c r="AA29" i="5" s="1"/>
  <c r="E27" i="3"/>
  <c r="G27" i="3" s="1"/>
  <c r="E27" i="13"/>
  <c r="L27" i="13" s="1"/>
  <c r="C28" i="13"/>
  <c r="C28" i="3"/>
  <c r="B32" i="5"/>
  <c r="C31" i="5"/>
  <c r="K31" i="5" s="1"/>
  <c r="D28" i="13"/>
  <c r="D28" i="3"/>
  <c r="D30" i="5"/>
  <c r="A30" i="5"/>
  <c r="B29" i="3"/>
  <c r="B29" i="13"/>
  <c r="E30" i="5"/>
  <c r="F29" i="5"/>
  <c r="L30" i="5" l="1"/>
  <c r="G30" i="5"/>
  <c r="K29" i="13"/>
  <c r="F29" i="3"/>
  <c r="S30" i="5"/>
  <c r="AA30" i="5" s="1"/>
  <c r="E28" i="3"/>
  <c r="G28" i="3" s="1"/>
  <c r="E28" i="13"/>
  <c r="L28" i="13" s="1"/>
  <c r="C18" i="15"/>
  <c r="C21" i="15"/>
  <c r="C24" i="15"/>
  <c r="C23" i="15"/>
  <c r="C22" i="15"/>
  <c r="C19" i="15"/>
  <c r="C20" i="15"/>
  <c r="C8" i="18"/>
  <c r="C8" i="19"/>
  <c r="C10" i="15"/>
  <c r="C11" i="18"/>
  <c r="C11" i="15"/>
  <c r="C8" i="15"/>
  <c r="C9" i="18"/>
  <c r="C10" i="18"/>
  <c r="C9" i="15"/>
  <c r="F30" i="5"/>
  <c r="D31" i="5"/>
  <c r="B30" i="13"/>
  <c r="B30" i="3"/>
  <c r="A31" i="5"/>
  <c r="C25" i="15" s="1"/>
  <c r="E31" i="5"/>
  <c r="D29" i="3"/>
  <c r="D29" i="13"/>
  <c r="C29" i="13"/>
  <c r="C29" i="3"/>
  <c r="C32" i="5"/>
  <c r="K32" i="5" s="1"/>
  <c r="B33" i="5"/>
  <c r="L31" i="5" l="1"/>
  <c r="G31" i="5"/>
  <c r="K30" i="13"/>
  <c r="F30" i="3"/>
  <c r="E29" i="13"/>
  <c r="E29" i="3"/>
  <c r="G29" i="3" s="1"/>
  <c r="S31" i="5"/>
  <c r="AA31" i="5" s="1"/>
  <c r="B34" i="5"/>
  <c r="C33" i="5"/>
  <c r="K33" i="5" s="1"/>
  <c r="D30" i="13"/>
  <c r="D30" i="3"/>
  <c r="C30" i="13"/>
  <c r="C30" i="3"/>
  <c r="B31" i="13"/>
  <c r="A32" i="5"/>
  <c r="D32" i="5"/>
  <c r="B31" i="3"/>
  <c r="E32" i="5"/>
  <c r="F31" i="5"/>
  <c r="L32" i="5" l="1"/>
  <c r="G32" i="5"/>
  <c r="F31" i="3"/>
  <c r="K31" i="13"/>
  <c r="S32" i="5"/>
  <c r="AA32" i="5" s="1"/>
  <c r="E30" i="13"/>
  <c r="L30" i="13" s="1"/>
  <c r="E30" i="3"/>
  <c r="G30" i="3" s="1"/>
  <c r="L29" i="13"/>
  <c r="F32" i="5"/>
  <c r="C31" i="3"/>
  <c r="C31" i="13"/>
  <c r="C34" i="5"/>
  <c r="K34" i="5" s="1"/>
  <c r="B35" i="5"/>
  <c r="D33" i="5"/>
  <c r="B32" i="13"/>
  <c r="A33" i="5"/>
  <c r="B32" i="3"/>
  <c r="E33" i="5"/>
  <c r="D31" i="13"/>
  <c r="D31" i="3"/>
  <c r="L33" i="5" l="1"/>
  <c r="G33" i="5"/>
  <c r="F32" i="3"/>
  <c r="K32" i="13"/>
  <c r="E31" i="3"/>
  <c r="G31" i="3" s="1"/>
  <c r="E31" i="13"/>
  <c r="L31" i="13" s="1"/>
  <c r="S33" i="5"/>
  <c r="AA33" i="5" s="1"/>
  <c r="B36" i="5"/>
  <c r="C35" i="5"/>
  <c r="K35" i="5" s="1"/>
  <c r="D32" i="13"/>
  <c r="D32" i="3"/>
  <c r="C32" i="13"/>
  <c r="C32" i="3"/>
  <c r="B33" i="3"/>
  <c r="D34" i="5"/>
  <c r="A34" i="5"/>
  <c r="B33" i="13"/>
  <c r="E34" i="5"/>
  <c r="F33" i="5"/>
  <c r="E32" i="13" l="1"/>
  <c r="E32" i="3"/>
  <c r="G32" i="3" s="1"/>
  <c r="L34" i="5"/>
  <c r="G34" i="5"/>
  <c r="F33" i="3"/>
  <c r="K33" i="13"/>
  <c r="S35" i="5"/>
  <c r="AA35" i="5" s="1"/>
  <c r="S34" i="5"/>
  <c r="AA34" i="5" s="1"/>
  <c r="C28" i="15"/>
  <c r="C27" i="15"/>
  <c r="C26" i="15"/>
  <c r="C12" i="15"/>
  <c r="C12" i="18"/>
  <c r="F34" i="5"/>
  <c r="C33" i="13"/>
  <c r="C33" i="3"/>
  <c r="C36" i="5"/>
  <c r="K36" i="5" s="1"/>
  <c r="B37" i="5"/>
  <c r="B34" i="13"/>
  <c r="D35" i="5"/>
  <c r="A35" i="5"/>
  <c r="C29" i="15" s="1"/>
  <c r="B34" i="3"/>
  <c r="E35" i="5"/>
  <c r="D33" i="3"/>
  <c r="D33" i="13"/>
  <c r="L35" i="5" l="1"/>
  <c r="G35" i="5"/>
  <c r="F34" i="3"/>
  <c r="K34" i="13"/>
  <c r="E33" i="3"/>
  <c r="G33" i="3" s="1"/>
  <c r="E33" i="13"/>
  <c r="L33" i="13" s="1"/>
  <c r="L32" i="13"/>
  <c r="C37" i="5"/>
  <c r="K37" i="5" s="1"/>
  <c r="D34" i="3"/>
  <c r="D34" i="13"/>
  <c r="C34" i="3"/>
  <c r="C34" i="13"/>
  <c r="A36" i="5"/>
  <c r="B35" i="13"/>
  <c r="B35" i="3"/>
  <c r="D36" i="5"/>
  <c r="E36" i="5"/>
  <c r="F35" i="5"/>
  <c r="L36" i="5" l="1"/>
  <c r="G36" i="5"/>
  <c r="K35" i="13"/>
  <c r="F35" i="3"/>
  <c r="S36" i="5"/>
  <c r="AA36" i="5" s="1"/>
  <c r="E34" i="3"/>
  <c r="G34" i="3" s="1"/>
  <c r="E34" i="13"/>
  <c r="C13" i="15"/>
  <c r="C30" i="15"/>
  <c r="D37" i="5"/>
  <c r="C36" i="13" s="1"/>
  <c r="B36" i="3"/>
  <c r="E37" i="5"/>
  <c r="D36" i="13" s="1"/>
  <c r="A37" i="5"/>
  <c r="C31" i="15" s="1"/>
  <c r="B36" i="13"/>
  <c r="M39" i="13"/>
  <c r="F36" i="5"/>
  <c r="C35" i="3"/>
  <c r="C35" i="13"/>
  <c r="D35" i="3"/>
  <c r="D35" i="13"/>
  <c r="G37" i="5" l="1"/>
  <c r="L37" i="5"/>
  <c r="L38" i="5" s="1"/>
  <c r="P41" i="5" s="1"/>
  <c r="F36" i="3"/>
  <c r="K36" i="13"/>
  <c r="K38" i="5"/>
  <c r="E35" i="3"/>
  <c r="G35" i="3" s="1"/>
  <c r="E35" i="13"/>
  <c r="L35" i="13" s="1"/>
  <c r="L34" i="13"/>
  <c r="S37" i="5"/>
  <c r="AA37" i="5" s="1"/>
  <c r="C32" i="15"/>
  <c r="C36" i="3"/>
  <c r="F37" i="5"/>
  <c r="F38" i="5" s="1"/>
  <c r="B38" i="13" s="1"/>
  <c r="D36" i="3"/>
  <c r="L6" i="5" l="1"/>
  <c r="J38" i="3"/>
  <c r="K40" i="13"/>
  <c r="F38" i="3"/>
  <c r="K38" i="13"/>
  <c r="E36" i="3"/>
  <c r="G36" i="3" s="1"/>
  <c r="E36" i="13"/>
  <c r="G38" i="5"/>
  <c r="E38" i="3" s="1"/>
  <c r="B38" i="3"/>
  <c r="L36" i="13" l="1"/>
  <c r="E38" i="13"/>
</calcChain>
</file>

<file path=xl/comments1.xml><?xml version="1.0" encoding="utf-8"?>
<comments xmlns="http://schemas.openxmlformats.org/spreadsheetml/2006/main">
  <authors>
    <author>宮田 哲</author>
    <author>野口 玲子</author>
    <author>tdi4608</author>
  </authors>
  <commentList>
    <comment ref="Q5" authorId="0" shapeId="0">
      <text>
        <r>
          <rPr>
            <b/>
            <sz val="9"/>
            <color indexed="81"/>
            <rFont val="ＭＳ Ｐゴシック"/>
            <family val="3"/>
            <charset val="128"/>
          </rPr>
          <t>業務内容以外の文言（「休暇」等）は備考欄にご記入ください。</t>
        </r>
      </text>
    </comment>
    <comment ref="J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Q40" authorId="2" shapeId="0">
      <text>
        <r>
          <rPr>
            <b/>
            <sz val="9"/>
            <color indexed="81"/>
            <rFont val="MS P ゴシック"/>
            <family val="3"/>
            <charset val="128"/>
          </rPr>
          <t>「休暇」等はこちらにご入力ください</t>
        </r>
        <r>
          <rPr>
            <sz val="9"/>
            <color indexed="81"/>
            <rFont val="MS P ゴシック"/>
            <family val="3"/>
            <charset val="128"/>
          </rPr>
          <t xml:space="preserve">
</t>
        </r>
      </text>
    </comment>
  </commentList>
</comments>
</file>

<file path=xl/comments2.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3.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4.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sharedStrings.xml><?xml version="1.0" encoding="utf-8"?>
<sst xmlns="http://schemas.openxmlformats.org/spreadsheetml/2006/main" count="526" uniqueCount="317">
  <si>
    <t>年</t>
    <rPh sb="0" eb="1">
      <t>ネン</t>
    </rPh>
    <phoneticPr fontId="2"/>
  </si>
  <si>
    <t>月</t>
    <rPh sb="0" eb="1">
      <t>ガツ</t>
    </rPh>
    <phoneticPr fontId="2"/>
  </si>
  <si>
    <t>元旦</t>
    <rPh sb="0" eb="2">
      <t>ガンタン</t>
    </rPh>
    <phoneticPr fontId="2"/>
  </si>
  <si>
    <t>成人の日</t>
    <rPh sb="0" eb="2">
      <t>セイジン</t>
    </rPh>
    <rPh sb="3" eb="4">
      <t>ヒ</t>
    </rPh>
    <phoneticPr fontId="2"/>
  </si>
  <si>
    <t>建国記念日</t>
    <rPh sb="0" eb="2">
      <t>ケンコク</t>
    </rPh>
    <rPh sb="2" eb="5">
      <t>キネンビ</t>
    </rPh>
    <phoneticPr fontId="2"/>
  </si>
  <si>
    <t>春分の日</t>
    <rPh sb="0" eb="2">
      <t>シュンブン</t>
    </rPh>
    <rPh sb="3" eb="4">
      <t>ヒ</t>
    </rPh>
    <phoneticPr fontId="2"/>
  </si>
  <si>
    <t>昭和の日</t>
    <rPh sb="0" eb="2">
      <t>ショウワ</t>
    </rPh>
    <rPh sb="3" eb="4">
      <t>ヒ</t>
    </rPh>
    <phoneticPr fontId="2"/>
  </si>
  <si>
    <t>憲法記念日</t>
    <rPh sb="0" eb="2">
      <t>ケンポウ</t>
    </rPh>
    <rPh sb="2" eb="5">
      <t>キネンビ</t>
    </rPh>
    <phoneticPr fontId="2"/>
  </si>
  <si>
    <t>みどりの日</t>
    <rPh sb="4" eb="5">
      <t>ヒ</t>
    </rPh>
    <phoneticPr fontId="2"/>
  </si>
  <si>
    <t>こどもの日</t>
    <rPh sb="4" eb="5">
      <t>ヒ</t>
    </rPh>
    <phoneticPr fontId="2"/>
  </si>
  <si>
    <t>海の日</t>
    <rPh sb="0" eb="1">
      <t>ウミ</t>
    </rPh>
    <rPh sb="2" eb="3">
      <t>ヒ</t>
    </rPh>
    <phoneticPr fontId="2"/>
  </si>
  <si>
    <t>文化の日</t>
    <rPh sb="0" eb="2">
      <t>ブンカ</t>
    </rPh>
    <rPh sb="3" eb="4">
      <t>ヒ</t>
    </rPh>
    <phoneticPr fontId="2"/>
  </si>
  <si>
    <t>勤労感謝の日</t>
    <rPh sb="0" eb="2">
      <t>キンロウ</t>
    </rPh>
    <rPh sb="2" eb="4">
      <t>カンシャ</t>
    </rPh>
    <rPh sb="5" eb="6">
      <t>ヒ</t>
    </rPh>
    <phoneticPr fontId="2"/>
  </si>
  <si>
    <t>出社時刻</t>
    <phoneticPr fontId="2"/>
  </si>
  <si>
    <t>退社時刻</t>
    <rPh sb="0" eb="2">
      <t>タイシャ</t>
    </rPh>
    <rPh sb="2" eb="4">
      <t>ジコク</t>
    </rPh>
    <phoneticPr fontId="2"/>
  </si>
  <si>
    <t>休憩時間</t>
    <rPh sb="0" eb="2">
      <t>キュウケイ</t>
    </rPh>
    <rPh sb="2" eb="4">
      <t>ジカン</t>
    </rPh>
    <phoneticPr fontId="2"/>
  </si>
  <si>
    <t>実働時間</t>
    <rPh sb="0" eb="2">
      <t>ジツドウ</t>
    </rPh>
    <rPh sb="2" eb="4">
      <t>ジカン</t>
    </rPh>
    <phoneticPr fontId="2"/>
  </si>
  <si>
    <t>プロジェクト</t>
    <phoneticPr fontId="2"/>
  </si>
  <si>
    <t>プロジェクト</t>
    <phoneticPr fontId="2"/>
  </si>
  <si>
    <t>業務内容</t>
    <rPh sb="0" eb="2">
      <t>ギョウム</t>
    </rPh>
    <rPh sb="2" eb="4">
      <t>ナイヨウ</t>
    </rPh>
    <phoneticPr fontId="2"/>
  </si>
  <si>
    <t>日付</t>
    <rPh sb="0" eb="2">
      <t>ヒヅケ</t>
    </rPh>
    <phoneticPr fontId="2"/>
  </si>
  <si>
    <t>曜日</t>
    <rPh sb="0" eb="2">
      <t>ヨウビ</t>
    </rPh>
    <phoneticPr fontId="2"/>
  </si>
  <si>
    <t>コード</t>
    <phoneticPr fontId="2"/>
  </si>
  <si>
    <t>合計</t>
    <rPh sb="0" eb="2">
      <t>ゴウケイ</t>
    </rPh>
    <phoneticPr fontId="2"/>
  </si>
  <si>
    <t>PJ①</t>
    <phoneticPr fontId="2"/>
  </si>
  <si>
    <t>PJ②</t>
    <phoneticPr fontId="2"/>
  </si>
  <si>
    <t>PJ③</t>
    <phoneticPr fontId="2"/>
  </si>
  <si>
    <t>PJ④</t>
    <phoneticPr fontId="2"/>
  </si>
  <si>
    <t>PJ⑤</t>
    <phoneticPr fontId="2"/>
  </si>
  <si>
    <t>所勤</t>
    <rPh sb="0" eb="1">
      <t>ショ</t>
    </rPh>
    <rPh sb="1" eb="2">
      <t>キン</t>
    </rPh>
    <phoneticPr fontId="2"/>
  </si>
  <si>
    <t>出勤</t>
  </si>
  <si>
    <t>出勤</t>
    <rPh sb="0" eb="2">
      <t>シュッキン</t>
    </rPh>
    <phoneticPr fontId="2"/>
  </si>
  <si>
    <t>実働計</t>
    <rPh sb="0" eb="2">
      <t>ジツドウ</t>
    </rPh>
    <rPh sb="2" eb="3">
      <t>ケイ</t>
    </rPh>
    <phoneticPr fontId="2"/>
  </si>
  <si>
    <t>作業時間</t>
    <phoneticPr fontId="2"/>
  </si>
  <si>
    <t>作業担当者</t>
    <rPh sb="0" eb="2">
      <t>サギョウ</t>
    </rPh>
    <rPh sb="2" eb="5">
      <t>タントウシャ</t>
    </rPh>
    <phoneticPr fontId="2"/>
  </si>
  <si>
    <t>業務報告書</t>
    <rPh sb="0" eb="2">
      <t>ギョウム</t>
    </rPh>
    <rPh sb="2" eb="4">
      <t>ホウコク</t>
    </rPh>
    <rPh sb="4" eb="5">
      <t>ショ</t>
    </rPh>
    <phoneticPr fontId="2"/>
  </si>
  <si>
    <t>氏名：</t>
    <rPh sb="0" eb="2">
      <t>シメイ</t>
    </rPh>
    <phoneticPr fontId="2"/>
  </si>
  <si>
    <t>印</t>
    <rPh sb="0" eb="1">
      <t>イン</t>
    </rPh>
    <phoneticPr fontId="2"/>
  </si>
  <si>
    <t>業務遂行責任者</t>
    <rPh sb="0" eb="2">
      <t>ギョウム</t>
    </rPh>
    <rPh sb="2" eb="4">
      <t>スイコウ</t>
    </rPh>
    <rPh sb="4" eb="7">
      <t>セキニンシャ</t>
    </rPh>
    <phoneticPr fontId="2"/>
  </si>
  <si>
    <t>祝日</t>
    <rPh sb="0" eb="2">
      <t>シュクジツ</t>
    </rPh>
    <phoneticPr fontId="2"/>
  </si>
  <si>
    <t>出社時刻</t>
    <rPh sb="0" eb="2">
      <t>シュッシャ</t>
    </rPh>
    <rPh sb="2" eb="4">
      <t>ジコク</t>
    </rPh>
    <phoneticPr fontId="2"/>
  </si>
  <si>
    <t>休憩計</t>
    <rPh sb="2" eb="3">
      <t>ケイ</t>
    </rPh>
    <phoneticPr fontId="2"/>
  </si>
  <si>
    <t>実動計</t>
  </si>
  <si>
    <t>派遣労働者</t>
    <rPh sb="0" eb="2">
      <t>ハケン</t>
    </rPh>
    <rPh sb="2" eb="5">
      <t>ロウドウシャ</t>
    </rPh>
    <phoneticPr fontId="2"/>
  </si>
  <si>
    <t>勤務状況報告書</t>
    <rPh sb="0" eb="2">
      <t>キンム</t>
    </rPh>
    <rPh sb="2" eb="4">
      <t>ジョウキョウ</t>
    </rPh>
    <rPh sb="4" eb="6">
      <t>ホウコク</t>
    </rPh>
    <rPh sb="6" eb="7">
      <t>ショ</t>
    </rPh>
    <phoneticPr fontId="2"/>
  </si>
  <si>
    <t>出勤日</t>
    <rPh sb="0" eb="2">
      <t>シュッキン</t>
    </rPh>
    <rPh sb="2" eb="3">
      <t>ビ</t>
    </rPh>
    <phoneticPr fontId="2"/>
  </si>
  <si>
    <t>出勤日</t>
    <rPh sb="0" eb="2">
      <t>シュッキン</t>
    </rPh>
    <rPh sb="2" eb="3">
      <t>ヒ</t>
    </rPh>
    <phoneticPr fontId="2"/>
  </si>
  <si>
    <t>１月の第２月曜日</t>
    <phoneticPr fontId="2"/>
  </si>
  <si>
    <t>９月の第３月曜日</t>
    <phoneticPr fontId="2"/>
  </si>
  <si>
    <t>※プロジェクトは優先度の高い順に上から入力して下さい。</t>
    <rPh sb="16" eb="17">
      <t>ウエ</t>
    </rPh>
    <rPh sb="19" eb="21">
      <t>ニュウリョク</t>
    </rPh>
    <rPh sb="23" eb="24">
      <t>クダ</t>
    </rPh>
    <phoneticPr fontId="2"/>
  </si>
  <si>
    <t>※プロジェクトが複数に分かれる場合のみ、時間を入力して下さい</t>
    <rPh sb="8" eb="10">
      <t>フクスウ</t>
    </rPh>
    <rPh sb="11" eb="12">
      <t>ワ</t>
    </rPh>
    <rPh sb="15" eb="17">
      <t>バアイ</t>
    </rPh>
    <rPh sb="20" eb="22">
      <t>ジカン</t>
    </rPh>
    <rPh sb="23" eb="25">
      <t>ニュウリョク</t>
    </rPh>
    <rPh sb="27" eb="28">
      <t>クダ</t>
    </rPh>
    <phoneticPr fontId="2"/>
  </si>
  <si>
    <t>（図Ⅰ）</t>
    <rPh sb="1" eb="2">
      <t>ズ</t>
    </rPh>
    <phoneticPr fontId="2"/>
  </si>
  <si>
    <t>交通費・出張費明細書</t>
    <rPh sb="7" eb="9">
      <t>メイサイ</t>
    </rPh>
    <phoneticPr fontId="2"/>
  </si>
  <si>
    <t>区間</t>
    <rPh sb="0" eb="2">
      <t>クカン</t>
    </rPh>
    <phoneticPr fontId="2"/>
  </si>
  <si>
    <t>～</t>
    <phoneticPr fontId="2"/>
  </si>
  <si>
    <t>金額</t>
    <rPh sb="0" eb="2">
      <t>キンガク</t>
    </rPh>
    <phoneticPr fontId="2"/>
  </si>
  <si>
    <t>交通機関</t>
    <phoneticPr fontId="2"/>
  </si>
  <si>
    <t>用件</t>
    <rPh sb="0" eb="2">
      <t>ヨウケン</t>
    </rPh>
    <phoneticPr fontId="2"/>
  </si>
  <si>
    <t>所属会社：</t>
    <rPh sb="0" eb="2">
      <t>ショゾク</t>
    </rPh>
    <rPh sb="2" eb="4">
      <t>カイシャ</t>
    </rPh>
    <phoneticPr fontId="2"/>
  </si>
  <si>
    <t>交通費・出張費計</t>
    <rPh sb="7" eb="8">
      <t>ケイ</t>
    </rPh>
    <phoneticPr fontId="2"/>
  </si>
  <si>
    <t>交通費</t>
    <rPh sb="0" eb="3">
      <t>コウツウヒ</t>
    </rPh>
    <phoneticPr fontId="2"/>
  </si>
  <si>
    <t>派遣先責任者</t>
    <rPh sb="0" eb="2">
      <t>ハケン</t>
    </rPh>
    <rPh sb="2" eb="3">
      <t>サキ</t>
    </rPh>
    <rPh sb="3" eb="6">
      <t>セキニンシャ</t>
    </rPh>
    <phoneticPr fontId="2"/>
  </si>
  <si>
    <t>＜交通費・出張費が発生した場合（図Ⅳ）＞</t>
    <rPh sb="1" eb="4">
      <t>コウツウヒ</t>
    </rPh>
    <rPh sb="5" eb="8">
      <t>シュッチョウヒ</t>
    </rPh>
    <rPh sb="9" eb="11">
      <t>ハッセイ</t>
    </rPh>
    <rPh sb="13" eb="15">
      <t>バアイ</t>
    </rPh>
    <rPh sb="16" eb="17">
      <t>ズ</t>
    </rPh>
    <phoneticPr fontId="2"/>
  </si>
  <si>
    <t>１．『準委任用』シート（業務報告書）を出力</t>
    <rPh sb="3" eb="6">
      <t>ジュンイニン</t>
    </rPh>
    <rPh sb="6" eb="7">
      <t>ヨウ</t>
    </rPh>
    <rPh sb="12" eb="14">
      <t>ギョウム</t>
    </rPh>
    <rPh sb="14" eb="17">
      <t>ホウコクショ</t>
    </rPh>
    <rPh sb="19" eb="21">
      <t>シュツリョク</t>
    </rPh>
    <phoneticPr fontId="2"/>
  </si>
  <si>
    <t>１．『派遣用』シート（勤務状況報告書）を出力</t>
    <rPh sb="3" eb="5">
      <t>ハケン</t>
    </rPh>
    <rPh sb="5" eb="6">
      <t>ヨウ</t>
    </rPh>
    <rPh sb="11" eb="13">
      <t>キンム</t>
    </rPh>
    <rPh sb="13" eb="15">
      <t>ジョウキョウ</t>
    </rPh>
    <rPh sb="15" eb="18">
      <t>ホウコクショ</t>
    </rPh>
    <rPh sb="20" eb="22">
      <t>シュツリョク</t>
    </rPh>
    <phoneticPr fontId="2"/>
  </si>
  <si>
    <t>宿泊先等</t>
    <rPh sb="0" eb="2">
      <t>シュクハク</t>
    </rPh>
    <rPh sb="2" eb="3">
      <t>サキ</t>
    </rPh>
    <rPh sb="3" eb="4">
      <t>トウ</t>
    </rPh>
    <phoneticPr fontId="2"/>
  </si>
  <si>
    <t>印</t>
    <phoneticPr fontId="2"/>
  </si>
  <si>
    <t>印</t>
    <phoneticPr fontId="2"/>
  </si>
  <si>
    <t>作業時間</t>
    <rPh sb="0" eb="2">
      <t>サギョウ</t>
    </rPh>
    <rPh sb="2" eb="4">
      <t>ジカン</t>
    </rPh>
    <phoneticPr fontId="2"/>
  </si>
  <si>
    <t>氏名</t>
    <phoneticPr fontId="2"/>
  </si>
  <si>
    <t>要員コード</t>
    <phoneticPr fontId="2"/>
  </si>
  <si>
    <t>名称</t>
    <rPh sb="0" eb="2">
      <t>メイショウ</t>
    </rPh>
    <phoneticPr fontId="2"/>
  </si>
  <si>
    <t>【備考】</t>
    <rPh sb="1" eb="3">
      <t>ビコウ</t>
    </rPh>
    <phoneticPr fontId="2"/>
  </si>
  <si>
    <t>※PJが複数の場合は内訳を入力</t>
    <rPh sb="4" eb="6">
      <t>フクスウ</t>
    </rPh>
    <rPh sb="7" eb="9">
      <t>バアイ</t>
    </rPh>
    <rPh sb="10" eb="12">
      <t>ウチワケ</t>
    </rPh>
    <rPh sb="13" eb="15">
      <t>ニュウリョク</t>
    </rPh>
    <phoneticPr fontId="2"/>
  </si>
  <si>
    <t>１．『交通費・出張費明細書』シートの明細を入力（①）</t>
    <rPh sb="3" eb="6">
      <t>コウツウヒ</t>
    </rPh>
    <rPh sb="7" eb="10">
      <t>シュッチョウヒ</t>
    </rPh>
    <rPh sb="10" eb="12">
      <t>メイサイ</t>
    </rPh>
    <rPh sb="12" eb="13">
      <t>ショ</t>
    </rPh>
    <rPh sb="18" eb="20">
      <t>メイサイ</t>
    </rPh>
    <rPh sb="21" eb="23">
      <t>ニュウリョク</t>
    </rPh>
    <phoneticPr fontId="2"/>
  </si>
  <si>
    <t>　　プロジェクトが複数の場合はどのプロジェクトに振るかを入力（②）</t>
    <rPh sb="9" eb="11">
      <t>フクスウ</t>
    </rPh>
    <rPh sb="12" eb="14">
      <t>バアイ</t>
    </rPh>
    <rPh sb="24" eb="25">
      <t>フ</t>
    </rPh>
    <rPh sb="28" eb="30">
      <t>ニュウリョク</t>
    </rPh>
    <phoneticPr fontId="2"/>
  </si>
  <si>
    <t>２．出力し、技術者本人が捺印（④）</t>
    <rPh sb="2" eb="4">
      <t>シュツリョク</t>
    </rPh>
    <rPh sb="6" eb="9">
      <t>ギジュツシャ</t>
    </rPh>
    <rPh sb="9" eb="10">
      <t>ホン</t>
    </rPh>
    <rPh sb="10" eb="11">
      <t>ジン</t>
    </rPh>
    <rPh sb="12" eb="14">
      <t>ナツイン</t>
    </rPh>
    <phoneticPr fontId="2"/>
  </si>
  <si>
    <t>宿泊費等</t>
    <rPh sb="0" eb="3">
      <t>シュクハクヒ</t>
    </rPh>
    <rPh sb="3" eb="4">
      <t>トウ</t>
    </rPh>
    <phoneticPr fontId="2"/>
  </si>
  <si>
    <t>変更内容</t>
    <rPh sb="0" eb="2">
      <t>ヘンコウ</t>
    </rPh>
    <rPh sb="2" eb="4">
      <t>ナイヨウ</t>
    </rPh>
    <phoneticPr fontId="2"/>
  </si>
  <si>
    <t>様式</t>
    <rPh sb="0" eb="2">
      <t>ヨウシキ</t>
    </rPh>
    <phoneticPr fontId="2"/>
  </si>
  <si>
    <t>作業担当</t>
    <rPh sb="0" eb="2">
      <t>サギョウ</t>
    </rPh>
    <rPh sb="2" eb="4">
      <t>タントウ</t>
    </rPh>
    <phoneticPr fontId="2"/>
  </si>
  <si>
    <t>2014年5月6日の振り替え休日が反映されない点を改善
・「祝日・休日設定」シート13行目の関数を修正</t>
    <rPh sb="4" eb="5">
      <t>ネン</t>
    </rPh>
    <rPh sb="6" eb="7">
      <t>ガツ</t>
    </rPh>
    <rPh sb="8" eb="9">
      <t>ニチ</t>
    </rPh>
    <rPh sb="10" eb="11">
      <t>フ</t>
    </rPh>
    <rPh sb="12" eb="13">
      <t>カ</t>
    </rPh>
    <rPh sb="14" eb="16">
      <t>キュウジツ</t>
    </rPh>
    <rPh sb="17" eb="19">
      <t>ハンエイ</t>
    </rPh>
    <rPh sb="23" eb="24">
      <t>テン</t>
    </rPh>
    <rPh sb="25" eb="27">
      <t>カイゼン</t>
    </rPh>
    <rPh sb="30" eb="32">
      <t>シュクジツ</t>
    </rPh>
    <rPh sb="33" eb="35">
      <t>キュウジツ</t>
    </rPh>
    <rPh sb="35" eb="37">
      <t>セッテイ</t>
    </rPh>
    <rPh sb="43" eb="44">
      <t>オコナ</t>
    </rPh>
    <rPh sb="44" eb="45">
      <t>メ</t>
    </rPh>
    <rPh sb="46" eb="48">
      <t>カンスウ</t>
    </rPh>
    <rPh sb="49" eb="51">
      <t>シュウセイ</t>
    </rPh>
    <phoneticPr fontId="2"/>
  </si>
  <si>
    <t>10_kintai_201405.xls</t>
    <phoneticPr fontId="2"/>
  </si>
  <si>
    <t>若原</t>
    <rPh sb="0" eb="2">
      <t>ワカハラ</t>
    </rPh>
    <phoneticPr fontId="2"/>
  </si>
  <si>
    <t>安橋</t>
    <rPh sb="0" eb="1">
      <t>アン</t>
    </rPh>
    <rPh sb="1" eb="2">
      <t>バシ</t>
    </rPh>
    <phoneticPr fontId="2"/>
  </si>
  <si>
    <t>記入</t>
    <rPh sb="0" eb="2">
      <t>キニュウ</t>
    </rPh>
    <phoneticPr fontId="2"/>
  </si>
  <si>
    <t>2015年以降の振り替え休日にすべて対応
・「祝日・休日設定」シートの関数を修正
・2015年5月連休、9月連休等</t>
    <rPh sb="4" eb="5">
      <t>ネン</t>
    </rPh>
    <rPh sb="8" eb="9">
      <t>フ</t>
    </rPh>
    <rPh sb="10" eb="11">
      <t>カ</t>
    </rPh>
    <rPh sb="12" eb="14">
      <t>キュウジツ</t>
    </rPh>
    <rPh sb="18" eb="20">
      <t>タイオウ</t>
    </rPh>
    <rPh sb="23" eb="25">
      <t>シュクジツ</t>
    </rPh>
    <rPh sb="26" eb="28">
      <t>キュウジツ</t>
    </rPh>
    <rPh sb="28" eb="30">
      <t>セッテイ</t>
    </rPh>
    <rPh sb="35" eb="37">
      <t>カンスウ</t>
    </rPh>
    <rPh sb="38" eb="40">
      <t>シュウセイ</t>
    </rPh>
    <rPh sb="46" eb="47">
      <t>ネン</t>
    </rPh>
    <rPh sb="48" eb="49">
      <t>ガツ</t>
    </rPh>
    <rPh sb="49" eb="51">
      <t>レンキュウ</t>
    </rPh>
    <rPh sb="53" eb="54">
      <t>ガツ</t>
    </rPh>
    <rPh sb="54" eb="56">
      <t>レンキュウ</t>
    </rPh>
    <rPh sb="56" eb="57">
      <t>ナド</t>
    </rPh>
    <phoneticPr fontId="2"/>
  </si>
  <si>
    <t>10_kintai_20140502.xls</t>
    <phoneticPr fontId="2"/>
  </si>
  <si>
    <t>「出退社入力シート」の入力制限のパスワードが
かかっていない点を修正</t>
    <rPh sb="1" eb="2">
      <t>シュツ</t>
    </rPh>
    <rPh sb="2" eb="4">
      <t>タイシャ</t>
    </rPh>
    <rPh sb="4" eb="6">
      <t>ニュウリョク</t>
    </rPh>
    <rPh sb="11" eb="13">
      <t>ニュウリョク</t>
    </rPh>
    <rPh sb="13" eb="15">
      <t>セイゲン</t>
    </rPh>
    <rPh sb="30" eb="31">
      <t>テン</t>
    </rPh>
    <rPh sb="32" eb="34">
      <t>シュウセイ</t>
    </rPh>
    <phoneticPr fontId="2"/>
  </si>
  <si>
    <t>10_kintai_20140507.xls</t>
    <phoneticPr fontId="2"/>
  </si>
  <si>
    <t>「出退社入力シート」の契約先選択の表記変更
”ＴＤＩ”→”tdi”</t>
    <rPh sb="1" eb="2">
      <t>シュツ</t>
    </rPh>
    <rPh sb="2" eb="4">
      <t>タイシャ</t>
    </rPh>
    <rPh sb="4" eb="6">
      <t>ニュウリョク</t>
    </rPh>
    <rPh sb="11" eb="14">
      <t>ケイヤクサキ</t>
    </rPh>
    <rPh sb="14" eb="16">
      <t>センタク</t>
    </rPh>
    <rPh sb="17" eb="19">
      <t>ヒョウキ</t>
    </rPh>
    <rPh sb="19" eb="21">
      <t>ヘンコウ</t>
    </rPh>
    <phoneticPr fontId="2"/>
  </si>
  <si>
    <t>10_kintai_20140827.xls</t>
    <phoneticPr fontId="2"/>
  </si>
  <si>
    <t>作業内容</t>
    <rPh sb="0" eb="2">
      <t>サギョウ</t>
    </rPh>
    <rPh sb="2" eb="4">
      <t>ナイヨウ</t>
    </rPh>
    <phoneticPr fontId="2"/>
  </si>
  <si>
    <t>号数</t>
    <rPh sb="0" eb="2">
      <t>ゴウスウ</t>
    </rPh>
    <phoneticPr fontId="2"/>
  </si>
  <si>
    <t>令第4条第1項第1号　</t>
    <rPh sb="0" eb="1">
      <t>レイ</t>
    </rPh>
    <rPh sb="1" eb="2">
      <t>ダイ</t>
    </rPh>
    <rPh sb="3" eb="4">
      <t>ジョウ</t>
    </rPh>
    <rPh sb="4" eb="5">
      <t>ダイ</t>
    </rPh>
    <rPh sb="6" eb="7">
      <t>コウ</t>
    </rPh>
    <rPh sb="7" eb="8">
      <t>ダイ</t>
    </rPh>
    <rPh sb="9" eb="10">
      <t>ゴウ</t>
    </rPh>
    <phoneticPr fontId="2"/>
  </si>
  <si>
    <t>令第4条第1項第2号　</t>
    <rPh sb="0" eb="1">
      <t>レイ</t>
    </rPh>
    <rPh sb="1" eb="2">
      <t>ダイ</t>
    </rPh>
    <rPh sb="3" eb="4">
      <t>ジョウ</t>
    </rPh>
    <rPh sb="4" eb="5">
      <t>ダイ</t>
    </rPh>
    <rPh sb="6" eb="7">
      <t>コウ</t>
    </rPh>
    <rPh sb="7" eb="8">
      <t>ダイ</t>
    </rPh>
    <phoneticPr fontId="2"/>
  </si>
  <si>
    <t>機械設計</t>
    <rPh sb="0" eb="2">
      <t>キカイ</t>
    </rPh>
    <rPh sb="2" eb="4">
      <t>セッケイ</t>
    </rPh>
    <phoneticPr fontId="2"/>
  </si>
  <si>
    <t>令第4条第1項第3号</t>
    <rPh sb="0" eb="1">
      <t>レイ</t>
    </rPh>
    <rPh sb="1" eb="2">
      <t>ダイ</t>
    </rPh>
    <rPh sb="3" eb="4">
      <t>ジョウ</t>
    </rPh>
    <rPh sb="4" eb="5">
      <t>ダイ</t>
    </rPh>
    <rPh sb="6" eb="7">
      <t>コウ</t>
    </rPh>
    <rPh sb="7" eb="8">
      <t>ダイ</t>
    </rPh>
    <phoneticPr fontId="2"/>
  </si>
  <si>
    <t>機器操作</t>
    <rPh sb="0" eb="2">
      <t>キキ</t>
    </rPh>
    <rPh sb="2" eb="4">
      <t>ソウサ</t>
    </rPh>
    <phoneticPr fontId="2"/>
  </si>
  <si>
    <t>←運用保守</t>
    <rPh sb="1" eb="3">
      <t>ウンヨウ</t>
    </rPh>
    <rPh sb="3" eb="5">
      <t>ホシュ</t>
    </rPh>
    <phoneticPr fontId="2"/>
  </si>
  <si>
    <t>令第4条第1項第4号</t>
    <rPh sb="0" eb="1">
      <t>レイ</t>
    </rPh>
    <rPh sb="1" eb="2">
      <t>ダイ</t>
    </rPh>
    <rPh sb="3" eb="4">
      <t>ジョウ</t>
    </rPh>
    <rPh sb="4" eb="5">
      <t>ダイ</t>
    </rPh>
    <rPh sb="6" eb="7">
      <t>コウ</t>
    </rPh>
    <rPh sb="7" eb="8">
      <t>ダイ</t>
    </rPh>
    <phoneticPr fontId="2"/>
  </si>
  <si>
    <t>通訳、翻訳、速記</t>
    <rPh sb="0" eb="2">
      <t>ツウヤク</t>
    </rPh>
    <rPh sb="3" eb="5">
      <t>ホンヤク</t>
    </rPh>
    <rPh sb="6" eb="8">
      <t>ソッキ</t>
    </rPh>
    <phoneticPr fontId="2"/>
  </si>
  <si>
    <t>令第4条第1項第5号　</t>
    <rPh sb="0" eb="1">
      <t>レイ</t>
    </rPh>
    <rPh sb="1" eb="2">
      <t>ダイ</t>
    </rPh>
    <rPh sb="3" eb="4">
      <t>ジョウ</t>
    </rPh>
    <rPh sb="4" eb="5">
      <t>ダイ</t>
    </rPh>
    <rPh sb="6" eb="7">
      <t>コウ</t>
    </rPh>
    <rPh sb="7" eb="8">
      <t>ダイ</t>
    </rPh>
    <phoneticPr fontId="2"/>
  </si>
  <si>
    <t>秘書</t>
    <rPh sb="0" eb="2">
      <t>ヒショ</t>
    </rPh>
    <phoneticPr fontId="2"/>
  </si>
  <si>
    <t>令第4条第1項第6号</t>
    <rPh sb="0" eb="1">
      <t>レイ</t>
    </rPh>
    <rPh sb="1" eb="2">
      <t>ダイ</t>
    </rPh>
    <rPh sb="3" eb="4">
      <t>ジョウ</t>
    </rPh>
    <rPh sb="4" eb="5">
      <t>ダイ</t>
    </rPh>
    <rPh sb="6" eb="7">
      <t>コウ</t>
    </rPh>
    <rPh sb="7" eb="8">
      <t>ダイ</t>
    </rPh>
    <phoneticPr fontId="2"/>
  </si>
  <si>
    <t>ファイリング</t>
    <phoneticPr fontId="2"/>
  </si>
  <si>
    <t>令第4条第1項第7号</t>
    <rPh sb="0" eb="1">
      <t>レイ</t>
    </rPh>
    <rPh sb="1" eb="2">
      <t>ダイ</t>
    </rPh>
    <rPh sb="3" eb="4">
      <t>ジョウ</t>
    </rPh>
    <rPh sb="4" eb="5">
      <t>ダイ</t>
    </rPh>
    <rPh sb="6" eb="7">
      <t>コウ</t>
    </rPh>
    <rPh sb="7" eb="8">
      <t>ダイ</t>
    </rPh>
    <phoneticPr fontId="2"/>
  </si>
  <si>
    <t>調査</t>
    <rPh sb="0" eb="2">
      <t>チョウサ</t>
    </rPh>
    <phoneticPr fontId="2"/>
  </si>
  <si>
    <t>令第4条第1項第8号</t>
    <rPh sb="0" eb="1">
      <t>レイ</t>
    </rPh>
    <rPh sb="1" eb="2">
      <t>ダイ</t>
    </rPh>
    <rPh sb="3" eb="4">
      <t>ジョウ</t>
    </rPh>
    <rPh sb="4" eb="5">
      <t>ダイ</t>
    </rPh>
    <rPh sb="6" eb="7">
      <t>コウ</t>
    </rPh>
    <rPh sb="7" eb="8">
      <t>ダイ</t>
    </rPh>
    <phoneticPr fontId="2"/>
  </si>
  <si>
    <t>令第4条第1項第9号</t>
    <rPh sb="0" eb="1">
      <t>レイ</t>
    </rPh>
    <rPh sb="1" eb="2">
      <t>ダイ</t>
    </rPh>
    <rPh sb="3" eb="4">
      <t>ジョウ</t>
    </rPh>
    <rPh sb="4" eb="5">
      <t>ダイ</t>
    </rPh>
    <rPh sb="6" eb="7">
      <t>コウ</t>
    </rPh>
    <rPh sb="7" eb="8">
      <t>ダイ</t>
    </rPh>
    <phoneticPr fontId="2"/>
  </si>
  <si>
    <t>貿易</t>
    <rPh sb="0" eb="2">
      <t>ボウエキ</t>
    </rPh>
    <phoneticPr fontId="2"/>
  </si>
  <si>
    <t>令第4条第1項第10号　</t>
    <rPh sb="0" eb="1">
      <t>レイ</t>
    </rPh>
    <rPh sb="1" eb="2">
      <t>ダイ</t>
    </rPh>
    <rPh sb="3" eb="4">
      <t>ジョウ</t>
    </rPh>
    <rPh sb="4" eb="5">
      <t>ダイ</t>
    </rPh>
    <rPh sb="6" eb="7">
      <t>コウ</t>
    </rPh>
    <rPh sb="7" eb="8">
      <t>ダイ</t>
    </rPh>
    <phoneticPr fontId="2"/>
  </si>
  <si>
    <t>デモンストレーション</t>
    <phoneticPr fontId="2"/>
  </si>
  <si>
    <t>令第4条第1項第11号</t>
    <rPh sb="0" eb="1">
      <t>レイ</t>
    </rPh>
    <rPh sb="1" eb="2">
      <t>ダイ</t>
    </rPh>
    <rPh sb="3" eb="4">
      <t>ジョウ</t>
    </rPh>
    <rPh sb="4" eb="5">
      <t>ダイ</t>
    </rPh>
    <rPh sb="6" eb="7">
      <t>コウ</t>
    </rPh>
    <rPh sb="7" eb="8">
      <t>ダイ</t>
    </rPh>
    <phoneticPr fontId="2"/>
  </si>
  <si>
    <t>添乗</t>
    <rPh sb="0" eb="2">
      <t>テンジョウ</t>
    </rPh>
    <phoneticPr fontId="2"/>
  </si>
  <si>
    <t>令第4条第1項第12号</t>
    <rPh sb="0" eb="1">
      <t>レイ</t>
    </rPh>
    <rPh sb="1" eb="2">
      <t>ダイ</t>
    </rPh>
    <rPh sb="3" eb="4">
      <t>ジョウ</t>
    </rPh>
    <rPh sb="4" eb="5">
      <t>ダイ</t>
    </rPh>
    <rPh sb="6" eb="7">
      <t>コウ</t>
    </rPh>
    <rPh sb="7" eb="8">
      <t>ダイ</t>
    </rPh>
    <phoneticPr fontId="2"/>
  </si>
  <si>
    <t>受付・案内</t>
    <rPh sb="0" eb="2">
      <t>ウケツケ</t>
    </rPh>
    <rPh sb="3" eb="5">
      <t>アンナイ</t>
    </rPh>
    <phoneticPr fontId="2"/>
  </si>
  <si>
    <t>令第4条第1項第13号</t>
    <rPh sb="0" eb="1">
      <t>レイ</t>
    </rPh>
    <rPh sb="1" eb="2">
      <t>ダイ</t>
    </rPh>
    <rPh sb="3" eb="4">
      <t>ジョウ</t>
    </rPh>
    <rPh sb="4" eb="5">
      <t>ダイ</t>
    </rPh>
    <rPh sb="6" eb="7">
      <t>コウ</t>
    </rPh>
    <rPh sb="7" eb="8">
      <t>ダイ</t>
    </rPh>
    <phoneticPr fontId="2"/>
  </si>
  <si>
    <t>研究開発</t>
    <rPh sb="0" eb="2">
      <t>ケンキュウ</t>
    </rPh>
    <rPh sb="2" eb="4">
      <t>カイハツ</t>
    </rPh>
    <phoneticPr fontId="2"/>
  </si>
  <si>
    <t>←実験、計測、解析</t>
    <rPh sb="1" eb="3">
      <t>ジッケン</t>
    </rPh>
    <rPh sb="4" eb="6">
      <t>ケイソク</t>
    </rPh>
    <rPh sb="7" eb="9">
      <t>カイセキ</t>
    </rPh>
    <phoneticPr fontId="2"/>
  </si>
  <si>
    <t>令第4条第1項第14号　</t>
    <rPh sb="0" eb="1">
      <t>レイ</t>
    </rPh>
    <rPh sb="1" eb="2">
      <t>ダイ</t>
    </rPh>
    <rPh sb="3" eb="4">
      <t>ジョウ</t>
    </rPh>
    <rPh sb="4" eb="5">
      <t>ダイ</t>
    </rPh>
    <rPh sb="6" eb="7">
      <t>コウ</t>
    </rPh>
    <rPh sb="7" eb="8">
      <t>ダイ</t>
    </rPh>
    <phoneticPr fontId="2"/>
  </si>
  <si>
    <t>事業の実施体制の企画、立案</t>
    <rPh sb="0" eb="2">
      <t>ジギョウ</t>
    </rPh>
    <rPh sb="3" eb="5">
      <t>ジッシ</t>
    </rPh>
    <rPh sb="5" eb="7">
      <t>タイセイ</t>
    </rPh>
    <rPh sb="8" eb="10">
      <t>キカク</t>
    </rPh>
    <rPh sb="11" eb="13">
      <t>リツアン</t>
    </rPh>
    <phoneticPr fontId="2"/>
  </si>
  <si>
    <t>令第4条第1項第15号　</t>
    <rPh sb="0" eb="1">
      <t>レイ</t>
    </rPh>
    <rPh sb="1" eb="2">
      <t>ダイ</t>
    </rPh>
    <rPh sb="3" eb="4">
      <t>ジョウ</t>
    </rPh>
    <rPh sb="4" eb="5">
      <t>ダイ</t>
    </rPh>
    <rPh sb="6" eb="7">
      <t>コウ</t>
    </rPh>
    <rPh sb="7" eb="8">
      <t>ダイ</t>
    </rPh>
    <phoneticPr fontId="2"/>
  </si>
  <si>
    <t>書籍等の制作・編集</t>
    <rPh sb="0" eb="2">
      <t>ショセキ</t>
    </rPh>
    <rPh sb="2" eb="3">
      <t>トウ</t>
    </rPh>
    <rPh sb="4" eb="6">
      <t>セイサク</t>
    </rPh>
    <rPh sb="7" eb="9">
      <t>ヘンシュウ</t>
    </rPh>
    <phoneticPr fontId="2"/>
  </si>
  <si>
    <t>令第4条第1項第16号　</t>
    <rPh sb="0" eb="1">
      <t>レイ</t>
    </rPh>
    <rPh sb="1" eb="2">
      <t>ダイ</t>
    </rPh>
    <rPh sb="3" eb="4">
      <t>ジョウ</t>
    </rPh>
    <rPh sb="4" eb="5">
      <t>ダイ</t>
    </rPh>
    <rPh sb="6" eb="7">
      <t>コウ</t>
    </rPh>
    <rPh sb="7" eb="8">
      <t>ダイ</t>
    </rPh>
    <phoneticPr fontId="2"/>
  </si>
  <si>
    <t>広告デザイン</t>
    <rPh sb="0" eb="2">
      <t>コウコク</t>
    </rPh>
    <phoneticPr fontId="2"/>
  </si>
  <si>
    <t>令第4条第1項第17号</t>
    <rPh sb="0" eb="1">
      <t>レイ</t>
    </rPh>
    <rPh sb="1" eb="2">
      <t>ダイ</t>
    </rPh>
    <rPh sb="3" eb="4">
      <t>ジョウ</t>
    </rPh>
    <rPh sb="4" eb="5">
      <t>ダイ</t>
    </rPh>
    <rPh sb="6" eb="7">
      <t>コウ</t>
    </rPh>
    <rPh sb="7" eb="8">
      <t>ダイ</t>
    </rPh>
    <phoneticPr fontId="2"/>
  </si>
  <si>
    <t>OAインストラクション</t>
    <phoneticPr fontId="2"/>
  </si>
  <si>
    <t>所勤</t>
    <phoneticPr fontId="2"/>
  </si>
  <si>
    <t>派遣対象期間</t>
    <rPh sb="0" eb="2">
      <t>ハケン</t>
    </rPh>
    <rPh sb="2" eb="4">
      <t>タイショウ</t>
    </rPh>
    <rPh sb="4" eb="6">
      <t>キカン</t>
    </rPh>
    <phoneticPr fontId="2"/>
  </si>
  <si>
    <t>派遣先会社名</t>
    <rPh sb="0" eb="2">
      <t>ハケン</t>
    </rPh>
    <rPh sb="2" eb="3">
      <t>サキ</t>
    </rPh>
    <rPh sb="3" eb="6">
      <t>カイシャメイ</t>
    </rPh>
    <phoneticPr fontId="2"/>
  </si>
  <si>
    <t/>
  </si>
  <si>
    <t>セールスエンジニアの営業、金融商品の営業</t>
    <rPh sb="10" eb="12">
      <t>エイギョウ</t>
    </rPh>
    <rPh sb="13" eb="15">
      <t>キンユウ</t>
    </rPh>
    <rPh sb="15" eb="17">
      <t>ショウヒン</t>
    </rPh>
    <rPh sb="18" eb="20">
      <t>エイギョウ</t>
    </rPh>
    <phoneticPr fontId="2"/>
  </si>
  <si>
    <t>↓派遣契約の場合は下記も必ず入力してください。</t>
    <rPh sb="1" eb="3">
      <t>ハケン</t>
    </rPh>
    <rPh sb="3" eb="5">
      <t>ケイヤク</t>
    </rPh>
    <rPh sb="6" eb="8">
      <t>バアイ</t>
    </rPh>
    <rPh sb="9" eb="11">
      <t>カキ</t>
    </rPh>
    <rPh sb="12" eb="13">
      <t>カナラ</t>
    </rPh>
    <rPh sb="14" eb="16">
      <t>ニュウリョク</t>
    </rPh>
    <phoneticPr fontId="2"/>
  </si>
  <si>
    <t>派遣対象期間</t>
    <phoneticPr fontId="2"/>
  </si>
  <si>
    <t>～</t>
  </si>
  <si>
    <t>住所</t>
    <rPh sb="0" eb="2">
      <t>ジュウショ</t>
    </rPh>
    <phoneticPr fontId="2"/>
  </si>
  <si>
    <t>ビル名</t>
    <rPh sb="2" eb="3">
      <t>メイ</t>
    </rPh>
    <phoneticPr fontId="2"/>
  </si>
  <si>
    <t>日</t>
    <rPh sb="0" eb="1">
      <t>ニチ</t>
    </rPh>
    <phoneticPr fontId="2"/>
  </si>
  <si>
    <t>終了日</t>
    <rPh sb="0" eb="3">
      <t>シュウリョウビ</t>
    </rPh>
    <phoneticPr fontId="2"/>
  </si>
  <si>
    <t>開始日</t>
    <rPh sb="0" eb="3">
      <t>カイシビ</t>
    </rPh>
    <phoneticPr fontId="2"/>
  </si>
  <si>
    <t>業務区分</t>
    <rPh sb="0" eb="2">
      <t>ギョウム</t>
    </rPh>
    <rPh sb="2" eb="4">
      <t>クブン</t>
    </rPh>
    <phoneticPr fontId="2"/>
  </si>
  <si>
    <t>参考</t>
    <rPh sb="0" eb="2">
      <t>サンコウ</t>
    </rPh>
    <phoneticPr fontId="2"/>
  </si>
  <si>
    <t>←開発業務</t>
    <rPh sb="1" eb="3">
      <t>カイハツ</t>
    </rPh>
    <rPh sb="3" eb="5">
      <t>ギョウム</t>
    </rPh>
    <phoneticPr fontId="2"/>
  </si>
  <si>
    <t>業務内容</t>
    <phoneticPr fontId="2"/>
  </si>
  <si>
    <t>・「派遣用」を変更（P事90101001-03）
・「東京派遣kintai 20131111.xls」から
　「派遣用(修正20131111)」シートを転記
・入力必須項目未入力のエラー表示を追加
・「出退社入力シート」に派遣用の入力必須項目を追加
・「運用方法」に追記変更</t>
    <rPh sb="2" eb="4">
      <t>ハケン</t>
    </rPh>
    <rPh sb="4" eb="5">
      <t>ヨウ</t>
    </rPh>
    <rPh sb="7" eb="9">
      <t>ヘンコウ</t>
    </rPh>
    <rPh sb="11" eb="12">
      <t>コト</t>
    </rPh>
    <rPh sb="27" eb="29">
      <t>トウキョウ</t>
    </rPh>
    <rPh sb="29" eb="31">
      <t>ハケン</t>
    </rPh>
    <rPh sb="56" eb="58">
      <t>ハケン</t>
    </rPh>
    <rPh sb="58" eb="59">
      <t>ヨウ</t>
    </rPh>
    <rPh sb="60" eb="62">
      <t>シュウセイ</t>
    </rPh>
    <rPh sb="76" eb="78">
      <t>テンキ</t>
    </rPh>
    <rPh sb="80" eb="82">
      <t>ニュウリョク</t>
    </rPh>
    <rPh sb="82" eb="84">
      <t>ヒッス</t>
    </rPh>
    <rPh sb="84" eb="86">
      <t>コウモク</t>
    </rPh>
    <rPh sb="86" eb="89">
      <t>ミニュウリョク</t>
    </rPh>
    <rPh sb="93" eb="95">
      <t>ヒョウジ</t>
    </rPh>
    <rPh sb="96" eb="98">
      <t>ツイカ</t>
    </rPh>
    <rPh sb="101" eb="104">
      <t>シュッタイシャ</t>
    </rPh>
    <rPh sb="104" eb="106">
      <t>ニュウリョク</t>
    </rPh>
    <rPh sb="111" eb="113">
      <t>ハケン</t>
    </rPh>
    <rPh sb="113" eb="114">
      <t>ヨウ</t>
    </rPh>
    <rPh sb="115" eb="117">
      <t>ニュウリョク</t>
    </rPh>
    <rPh sb="117" eb="119">
      <t>ヒッス</t>
    </rPh>
    <rPh sb="119" eb="121">
      <t>コウモク</t>
    </rPh>
    <rPh sb="122" eb="124">
      <t>ツイカ</t>
    </rPh>
    <rPh sb="127" eb="129">
      <t>ウンヨウ</t>
    </rPh>
    <rPh sb="129" eb="131">
      <t>ホウホウ</t>
    </rPh>
    <rPh sb="133" eb="135">
      <t>ツイキ</t>
    </rPh>
    <rPh sb="135" eb="137">
      <t>ヘンコウ</t>
    </rPh>
    <phoneticPr fontId="2"/>
  </si>
  <si>
    <t>就業先住所</t>
    <rPh sb="0" eb="2">
      <t>シュウギョウ</t>
    </rPh>
    <rPh sb="2" eb="3">
      <t>サキ</t>
    </rPh>
    <rPh sb="3" eb="5">
      <t>ジュウショ</t>
    </rPh>
    <phoneticPr fontId="2"/>
  </si>
  <si>
    <t>部署</t>
    <phoneticPr fontId="2"/>
  </si>
  <si>
    <t>派遣先</t>
    <rPh sb="0" eb="2">
      <t>ハケン</t>
    </rPh>
    <rPh sb="2" eb="3">
      <t>サキ</t>
    </rPh>
    <phoneticPr fontId="2"/>
  </si>
  <si>
    <t>社名</t>
    <rPh sb="0" eb="2">
      <t>シャメイ</t>
    </rPh>
    <phoneticPr fontId="2"/>
  </si>
  <si>
    <t>10_kintai_20140917.xls</t>
    <phoneticPr fontId="2"/>
  </si>
  <si>
    <t>３．tdiグループの現場責任者が確認欄（⑤）に捺印</t>
    <rPh sb="10" eb="12">
      <t>ゲンバ</t>
    </rPh>
    <rPh sb="12" eb="15">
      <t>セキニンシャ</t>
    </rPh>
    <rPh sb="16" eb="18">
      <t>カクニン</t>
    </rPh>
    <rPh sb="18" eb="19">
      <t>ラン</t>
    </rPh>
    <rPh sb="23" eb="25">
      <t>ナツイン</t>
    </rPh>
    <phoneticPr fontId="2"/>
  </si>
  <si>
    <t>会社名</t>
    <rPh sb="2" eb="3">
      <t>メイ</t>
    </rPh>
    <phoneticPr fontId="2"/>
  </si>
  <si>
    <r>
      <t>①</t>
    </r>
    <r>
      <rPr>
        <sz val="11"/>
        <color indexed="10"/>
        <rFont val="ＭＳ Ｐゴシック"/>
        <family val="3"/>
        <charset val="128"/>
      </rPr>
      <t>※必須</t>
    </r>
    <phoneticPr fontId="2"/>
  </si>
  <si>
    <t>プロジェクトコード・名称　（複数に分かれる場合は優先度の高い順に上から入力）</t>
    <rPh sb="10" eb="12">
      <t>メイショウ</t>
    </rPh>
    <phoneticPr fontId="2"/>
  </si>
  <si>
    <t>派遣契約で、主な就業場所以外での作業が発生した場合は、</t>
    <rPh sb="0" eb="2">
      <t>ハケン</t>
    </rPh>
    <rPh sb="2" eb="4">
      <t>ケイヤク</t>
    </rPh>
    <rPh sb="6" eb="7">
      <t>オモ</t>
    </rPh>
    <rPh sb="8" eb="10">
      <t>シュウギョウ</t>
    </rPh>
    <rPh sb="10" eb="12">
      <t>バショ</t>
    </rPh>
    <rPh sb="12" eb="14">
      <t>イガイ</t>
    </rPh>
    <rPh sb="16" eb="18">
      <t>サギョウ</t>
    </rPh>
    <rPh sb="19" eb="21">
      <t>ハッセイ</t>
    </rPh>
    <rPh sb="23" eb="25">
      <t>バアイ</t>
    </rPh>
    <phoneticPr fontId="2"/>
  </si>
  <si>
    <r>
      <t>⑭</t>
    </r>
    <r>
      <rPr>
        <sz val="11"/>
        <color indexed="10"/>
        <rFont val="ＭＳ Ｐゴシック"/>
        <family val="3"/>
        <charset val="128"/>
      </rPr>
      <t>※必須</t>
    </r>
    <rPh sb="2" eb="4">
      <t>ヒッス</t>
    </rPh>
    <phoneticPr fontId="2"/>
  </si>
  <si>
    <r>
      <t>⑮</t>
    </r>
    <r>
      <rPr>
        <sz val="11"/>
        <color indexed="10"/>
        <rFont val="ＭＳ Ｐゴシック"/>
        <family val="3"/>
        <charset val="128"/>
      </rPr>
      <t>※必須</t>
    </r>
    <rPh sb="2" eb="4">
      <t>ヒッス</t>
    </rPh>
    <phoneticPr fontId="2"/>
  </si>
  <si>
    <r>
      <t>⑯</t>
    </r>
    <r>
      <rPr>
        <sz val="11"/>
        <color indexed="10"/>
        <rFont val="ＭＳ Ｐゴシック"/>
        <family val="3"/>
        <charset val="128"/>
      </rPr>
      <t>※必須</t>
    </r>
    <rPh sb="2" eb="4">
      <t>ヒッス</t>
    </rPh>
    <phoneticPr fontId="2"/>
  </si>
  <si>
    <t>10_kintai_20141119.xls</t>
    <phoneticPr fontId="2"/>
  </si>
  <si>
    <t>「運用方法」変更
派遣契約時、主な就業先以外の就業先住所・事業所名を
備考欄に記載する旨を追記</t>
    <rPh sb="1" eb="3">
      <t>ウンヨウ</t>
    </rPh>
    <rPh sb="3" eb="5">
      <t>ホウホウ</t>
    </rPh>
    <rPh sb="6" eb="8">
      <t>ヘンコウ</t>
    </rPh>
    <rPh sb="9" eb="11">
      <t>ハケン</t>
    </rPh>
    <rPh sb="11" eb="13">
      <t>ケイヤク</t>
    </rPh>
    <rPh sb="13" eb="14">
      <t>ジ</t>
    </rPh>
    <rPh sb="15" eb="16">
      <t>オモ</t>
    </rPh>
    <rPh sb="17" eb="19">
      <t>シュウギョウ</t>
    </rPh>
    <rPh sb="19" eb="20">
      <t>サキ</t>
    </rPh>
    <rPh sb="20" eb="22">
      <t>イガイ</t>
    </rPh>
    <rPh sb="23" eb="25">
      <t>シュウギョウ</t>
    </rPh>
    <rPh sb="25" eb="26">
      <t>サキ</t>
    </rPh>
    <rPh sb="26" eb="28">
      <t>ジュウショ</t>
    </rPh>
    <rPh sb="29" eb="32">
      <t>ジギョウショ</t>
    </rPh>
    <rPh sb="32" eb="33">
      <t>メイ</t>
    </rPh>
    <rPh sb="35" eb="37">
      <t>ビコウ</t>
    </rPh>
    <rPh sb="37" eb="38">
      <t>ラン</t>
    </rPh>
    <rPh sb="39" eb="41">
      <t>キサイ</t>
    </rPh>
    <rPh sb="43" eb="44">
      <t>ムネ</t>
    </rPh>
    <rPh sb="45" eb="47">
      <t>ツイキ</t>
    </rPh>
    <phoneticPr fontId="2"/>
  </si>
  <si>
    <t>事業部</t>
    <rPh sb="2" eb="3">
      <t>ブ</t>
    </rPh>
    <phoneticPr fontId="2"/>
  </si>
  <si>
    <t>【備考】</t>
    <phoneticPr fontId="2"/>
  </si>
  <si>
    <t>指揮命令者</t>
    <rPh sb="0" eb="2">
      <t>シキ</t>
    </rPh>
    <rPh sb="2" eb="4">
      <t>メイレイ</t>
    </rPh>
    <rPh sb="4" eb="5">
      <t>シャ</t>
    </rPh>
    <phoneticPr fontId="2"/>
  </si>
  <si>
    <t>就業先住所</t>
    <phoneticPr fontId="2"/>
  </si>
  <si>
    <t>10_kintai_20150625.xlms</t>
    <phoneticPr fontId="2"/>
  </si>
  <si>
    <t>「派遣用」シート（様式P309150625）
　・「派遣先担当者」を「指揮命令者」に変更
　・「事業所」を「事業部」に変更
　・実働時間無しでも「作業内容」欄を表示（休暇理由等)
　・「就業先住所」の「〒」欄を削除
　・捺印枠を広げる
「準委任用」シート（様式P209150625）
　・備考欄を追加
　・実働時間無しでも「作業内容」欄を表示（休暇理由等)
「出退社入力シート」
　・開始日・終了日をマクロで削除
　・派遣項目の「事業所」を「事業部」に変更
　・「就業先住所」の「〒」欄を削除
「交通費・出張費明細書」
　・右上№欄の入力許可</t>
    <rPh sb="1" eb="4">
      <t>ハケンヨウ</t>
    </rPh>
    <rPh sb="9" eb="11">
      <t>ヨウシキ</t>
    </rPh>
    <rPh sb="26" eb="28">
      <t>ハケン</t>
    </rPh>
    <rPh sb="28" eb="29">
      <t>サキ</t>
    </rPh>
    <rPh sb="29" eb="32">
      <t>タントウシャ</t>
    </rPh>
    <rPh sb="35" eb="37">
      <t>シキ</t>
    </rPh>
    <rPh sb="37" eb="39">
      <t>メイレイ</t>
    </rPh>
    <rPh sb="39" eb="40">
      <t>シャ</t>
    </rPh>
    <rPh sb="42" eb="44">
      <t>ヘンコウ</t>
    </rPh>
    <rPh sb="68" eb="69">
      <t>ナシ</t>
    </rPh>
    <rPh sb="73" eb="75">
      <t>サギョウ</t>
    </rPh>
    <rPh sb="75" eb="77">
      <t>ナイヨウ</t>
    </rPh>
    <rPh sb="78" eb="79">
      <t>ラン</t>
    </rPh>
    <rPh sb="93" eb="95">
      <t>シュウギョウ</t>
    </rPh>
    <rPh sb="103" eb="104">
      <t>ラン</t>
    </rPh>
    <rPh sb="105" eb="107">
      <t>サクジョ</t>
    </rPh>
    <rPh sb="110" eb="112">
      <t>ナツイン</t>
    </rPh>
    <rPh sb="112" eb="113">
      <t>ワク</t>
    </rPh>
    <rPh sb="114" eb="115">
      <t>ヒロ</t>
    </rPh>
    <rPh sb="129" eb="131">
      <t>ヨウシキ</t>
    </rPh>
    <rPh sb="182" eb="185">
      <t>シュッタイシャ</t>
    </rPh>
    <rPh sb="185" eb="187">
      <t>ニュウリョク</t>
    </rPh>
    <rPh sb="194" eb="196">
      <t>カイシ</t>
    </rPh>
    <rPh sb="196" eb="197">
      <t>ニチ</t>
    </rPh>
    <rPh sb="198" eb="200">
      <t>シュウリョウ</t>
    </rPh>
    <rPh sb="200" eb="201">
      <t>ビ</t>
    </rPh>
    <rPh sb="206" eb="208">
      <t>サクジョ</t>
    </rPh>
    <rPh sb="211" eb="213">
      <t>ハケン</t>
    </rPh>
    <rPh sb="213" eb="215">
      <t>コウモク</t>
    </rPh>
    <rPh sb="217" eb="220">
      <t>ジギョウショ</t>
    </rPh>
    <rPh sb="223" eb="225">
      <t>ジギョウ</t>
    </rPh>
    <rPh sb="225" eb="226">
      <t>ブ</t>
    </rPh>
    <rPh sb="228" eb="230">
      <t>ヘンコウ</t>
    </rPh>
    <rPh sb="251" eb="254">
      <t>コウツウヒ</t>
    </rPh>
    <rPh sb="255" eb="258">
      <t>シュッチョウヒ</t>
    </rPh>
    <rPh sb="258" eb="261">
      <t>メイサイショ</t>
    </rPh>
    <rPh sb="265" eb="267">
      <t>ミギウエ</t>
    </rPh>
    <rPh sb="268" eb="269">
      <t>ラン</t>
    </rPh>
    <rPh sb="270" eb="272">
      <t>ニュウリョク</t>
    </rPh>
    <rPh sb="272" eb="274">
      <t>キョカ</t>
    </rPh>
    <phoneticPr fontId="2"/>
  </si>
  <si>
    <t>山の日</t>
    <rPh sb="0" eb="1">
      <t>ヤマ</t>
    </rPh>
    <rPh sb="2" eb="3">
      <t>ニチ</t>
    </rPh>
    <phoneticPr fontId="2"/>
  </si>
  <si>
    <t>冬期休暇</t>
    <phoneticPr fontId="2"/>
  </si>
  <si>
    <t>「祝日・休日設定」シート
　・5/6振替休日を5/3～5が日曜の場合に設定
　・8/11山の日を設定</t>
    <rPh sb="1" eb="2">
      <t>イワイ</t>
    </rPh>
    <rPh sb="2" eb="3">
      <t>ニチ</t>
    </rPh>
    <rPh sb="4" eb="6">
      <t>キュウジツ</t>
    </rPh>
    <rPh sb="6" eb="8">
      <t>セッテイ</t>
    </rPh>
    <rPh sb="18" eb="20">
      <t>フリカエ</t>
    </rPh>
    <rPh sb="20" eb="22">
      <t>キュウジツ</t>
    </rPh>
    <rPh sb="29" eb="31">
      <t>ニチヨウ</t>
    </rPh>
    <rPh sb="32" eb="34">
      <t>バアイ</t>
    </rPh>
    <rPh sb="35" eb="37">
      <t>セッテイ</t>
    </rPh>
    <rPh sb="44" eb="45">
      <t>ヤマ</t>
    </rPh>
    <rPh sb="46" eb="47">
      <t>ヒ</t>
    </rPh>
    <rPh sb="48" eb="50">
      <t>セッテイ</t>
    </rPh>
    <phoneticPr fontId="2"/>
  </si>
  <si>
    <t>10_kintai_20160112.xlms</t>
    <phoneticPr fontId="2"/>
  </si>
  <si>
    <t>「祝日・休日設定」シート
　・「祝日・休日設定」シートの定義範囲を修正</t>
    <rPh sb="1" eb="2">
      <t>イワイ</t>
    </rPh>
    <rPh sb="2" eb="3">
      <t>ニチ</t>
    </rPh>
    <rPh sb="4" eb="6">
      <t>キュウジツ</t>
    </rPh>
    <rPh sb="6" eb="8">
      <t>セッテイ</t>
    </rPh>
    <rPh sb="16" eb="18">
      <t>シュクジツ</t>
    </rPh>
    <rPh sb="19" eb="21">
      <t>キュウジツ</t>
    </rPh>
    <rPh sb="21" eb="23">
      <t>セッテイ</t>
    </rPh>
    <rPh sb="28" eb="30">
      <t>テイギ</t>
    </rPh>
    <rPh sb="30" eb="32">
      <t>ハンイ</t>
    </rPh>
    <rPh sb="33" eb="35">
      <t>シュウセイ</t>
    </rPh>
    <phoneticPr fontId="2"/>
  </si>
  <si>
    <t>10_kintai_20161213.xlms</t>
    <phoneticPr fontId="2"/>
  </si>
  <si>
    <t>宮田</t>
    <rPh sb="0" eb="2">
      <t>ミヤタ</t>
    </rPh>
    <phoneticPr fontId="2"/>
  </si>
  <si>
    <t>tdi</t>
  </si>
  <si>
    <t>10_kintai_20170920.xlsm</t>
    <phoneticPr fontId="2"/>
  </si>
  <si>
    <t>　　★１枚で収まらない場合はNo.2、3に入力、</t>
    <rPh sb="4" eb="5">
      <t>マイ</t>
    </rPh>
    <rPh sb="6" eb="7">
      <t>オサ</t>
    </rPh>
    <rPh sb="11" eb="13">
      <t>バアイ</t>
    </rPh>
    <rPh sb="21" eb="23">
      <t>ニュウリョク</t>
    </rPh>
    <phoneticPr fontId="2"/>
  </si>
  <si>
    <t>　　　 ４枚以上の場合はシートをコピーして増やしていく</t>
    <rPh sb="5" eb="6">
      <t>マイ</t>
    </rPh>
    <rPh sb="9" eb="11">
      <t>バアイ</t>
    </rPh>
    <phoneticPr fontId="2"/>
  </si>
  <si>
    <r>
      <t>その就業先の住所、事業所名を入力</t>
    </r>
    <r>
      <rPr>
        <sz val="11"/>
        <color indexed="10"/>
        <rFont val="ＭＳ Ｐゴシック"/>
        <family val="3"/>
        <charset val="128"/>
      </rPr>
      <t>※必須</t>
    </r>
    <rPh sb="2" eb="4">
      <t>シュウギョウ</t>
    </rPh>
    <rPh sb="4" eb="5">
      <t>サキ</t>
    </rPh>
    <rPh sb="6" eb="8">
      <t>ジュウショ</t>
    </rPh>
    <rPh sb="9" eb="12">
      <t>ジギョウショ</t>
    </rPh>
    <rPh sb="12" eb="13">
      <t>メイ</t>
    </rPh>
    <rPh sb="14" eb="16">
      <t>ニュウリョク</t>
    </rPh>
    <rPh sb="17" eb="19">
      <t>ヒッス</t>
    </rPh>
    <phoneticPr fontId="2"/>
  </si>
  <si>
    <t>「運用方法」シート</t>
    <rPh sb="1" eb="3">
      <t>ウンヨウ</t>
    </rPh>
    <rPh sb="3" eb="5">
      <t>ホウホウ</t>
    </rPh>
    <phoneticPr fontId="2"/>
  </si>
  <si>
    <t>野口</t>
    <rPh sb="0" eb="2">
      <t>ノグチ</t>
    </rPh>
    <phoneticPr fontId="2"/>
  </si>
  <si>
    <t>10_kintai_20170921.xlsm</t>
    <phoneticPr fontId="2"/>
  </si>
  <si>
    <r>
      <t>契約形態を選択して下さい</t>
    </r>
    <r>
      <rPr>
        <sz val="10"/>
        <rFont val="ＭＳ Ｐゴシック"/>
        <family val="3"/>
        <charset val="128"/>
      </rPr>
      <t xml:space="preserve">
↓</t>
    </r>
    <rPh sb="0" eb="2">
      <t>ケイヤク</t>
    </rPh>
    <rPh sb="2" eb="4">
      <t>ケイタイ</t>
    </rPh>
    <phoneticPr fontId="2"/>
  </si>
  <si>
    <r>
      <t>契約先を選択して下さい</t>
    </r>
    <r>
      <rPr>
        <sz val="10"/>
        <rFont val="ＭＳ Ｐゴシック"/>
        <family val="3"/>
        <charset val="128"/>
      </rPr>
      <t xml:space="preserve">
↓</t>
    </r>
    <rPh sb="0" eb="2">
      <t>ケイヤク</t>
    </rPh>
    <rPh sb="2" eb="3">
      <t>サキ</t>
    </rPh>
    <phoneticPr fontId="2"/>
  </si>
  <si>
    <r>
      <t>月を選択して下さい</t>
    </r>
    <r>
      <rPr>
        <sz val="10"/>
        <rFont val="ＭＳ Ｐゴシック"/>
        <family val="3"/>
        <charset val="128"/>
      </rPr>
      <t xml:space="preserve">
↓</t>
    </r>
    <phoneticPr fontId="2"/>
  </si>
  <si>
    <r>
      <t>年を入力して下さい</t>
    </r>
    <r>
      <rPr>
        <sz val="10"/>
        <rFont val="ＭＳ Ｐゴシック"/>
        <family val="3"/>
        <charset val="128"/>
      </rPr>
      <t xml:space="preserve">
↓</t>
    </r>
    <phoneticPr fontId="2"/>
  </si>
  <si>
    <t>「出退社入力シート」シート
・契約形態により、入力する必須項目、任意項目を変更</t>
    <rPh sb="15" eb="19">
      <t>ケイヤクケイタイ</t>
    </rPh>
    <rPh sb="23" eb="25">
      <t>ニュウリョク</t>
    </rPh>
    <rPh sb="27" eb="29">
      <t>ヒッス</t>
    </rPh>
    <rPh sb="29" eb="31">
      <t>コウモク</t>
    </rPh>
    <rPh sb="32" eb="36">
      <t>ニンイコウモク</t>
    </rPh>
    <rPh sb="37" eb="39">
      <t>ヘンコウ</t>
    </rPh>
    <phoneticPr fontId="2"/>
  </si>
  <si>
    <t>「出退社入力シート」シート
　・要員コード欄を必須入力項目の色に変更
　・業務内容以外の文言（休暇等）は備考欄に記入するようにコメント追加
※2016/6/25付変更内容にある"実働時間無しでも「作業内容」欄を表示（休暇理由等)"は不適切だったため、訂正
「交通費・出張明細書」シート
　・3シートに変更
　・保存時に日付、用件等の未入力チェックを追加</t>
    <rPh sb="1" eb="4">
      <t>シュッタイシャ</t>
    </rPh>
    <rPh sb="4" eb="6">
      <t>ニュウリョク</t>
    </rPh>
    <rPh sb="16" eb="18">
      <t>ヨウイン</t>
    </rPh>
    <rPh sb="21" eb="22">
      <t>ラン</t>
    </rPh>
    <rPh sb="23" eb="25">
      <t>ヒッス</t>
    </rPh>
    <rPh sb="25" eb="27">
      <t>ニュウリョク</t>
    </rPh>
    <rPh sb="27" eb="29">
      <t>コウモク</t>
    </rPh>
    <rPh sb="30" eb="31">
      <t>イロ</t>
    </rPh>
    <rPh sb="32" eb="34">
      <t>ヘンコウ</t>
    </rPh>
    <rPh sb="37" eb="39">
      <t>ギョウム</t>
    </rPh>
    <rPh sb="39" eb="41">
      <t>ナイヨウ</t>
    </rPh>
    <rPh sb="41" eb="43">
      <t>イガイ</t>
    </rPh>
    <rPh sb="44" eb="46">
      <t>モンゴン</t>
    </rPh>
    <rPh sb="47" eb="49">
      <t>キュウカ</t>
    </rPh>
    <rPh sb="49" eb="50">
      <t>トウ</t>
    </rPh>
    <rPh sb="52" eb="55">
      <t>ビコウラン</t>
    </rPh>
    <rPh sb="56" eb="58">
      <t>キニュウ</t>
    </rPh>
    <rPh sb="67" eb="69">
      <t>ツイカ</t>
    </rPh>
    <rPh sb="80" eb="81">
      <t>ヅケ</t>
    </rPh>
    <rPh sb="81" eb="83">
      <t>ヘンコウ</t>
    </rPh>
    <rPh sb="83" eb="85">
      <t>ナイヨウ</t>
    </rPh>
    <rPh sb="116" eb="119">
      <t>フテキセツ</t>
    </rPh>
    <rPh sb="125" eb="127">
      <t>テイセイ</t>
    </rPh>
    <rPh sb="130" eb="133">
      <t>コウツウヒ</t>
    </rPh>
    <rPh sb="134" eb="136">
      <t>シュッチョウ</t>
    </rPh>
    <rPh sb="136" eb="139">
      <t>メイサイショ</t>
    </rPh>
    <rPh sb="151" eb="153">
      <t>ヘンコウ</t>
    </rPh>
    <rPh sb="156" eb="159">
      <t>ホゾンジ</t>
    </rPh>
    <rPh sb="160" eb="162">
      <t>ヒヅケ</t>
    </rPh>
    <rPh sb="163" eb="165">
      <t>ヨウケン</t>
    </rPh>
    <rPh sb="165" eb="166">
      <t>トウ</t>
    </rPh>
    <rPh sb="167" eb="170">
      <t>ミニュウリョク</t>
    </rPh>
    <rPh sb="175" eb="177">
      <t>ツイカ</t>
    </rPh>
    <phoneticPr fontId="2"/>
  </si>
  <si>
    <t>10_kintai_20171214.xlsm</t>
    <phoneticPr fontId="2"/>
  </si>
  <si>
    <r>
      <t>⑨</t>
    </r>
    <r>
      <rPr>
        <sz val="11"/>
        <color indexed="10"/>
        <rFont val="ＭＳ Ｐゴシック"/>
        <family val="3"/>
        <charset val="128"/>
      </rPr>
      <t>※必須</t>
    </r>
    <rPh sb="2" eb="4">
      <t>ヒッス</t>
    </rPh>
    <phoneticPr fontId="2"/>
  </si>
  <si>
    <r>
      <t>⑰</t>
    </r>
    <r>
      <rPr>
        <sz val="11"/>
        <color indexed="10"/>
        <rFont val="ＭＳ Ｐゴシック"/>
        <family val="3"/>
        <charset val="128"/>
      </rPr>
      <t>※必須</t>
    </r>
    <rPh sb="2" eb="4">
      <t>ヒッス</t>
    </rPh>
    <phoneticPr fontId="2"/>
  </si>
  <si>
    <t>「出退社入力シート」シート
・契約形態選択の場所変更</t>
    <rPh sb="15" eb="19">
      <t>ケイヤクケイタイ</t>
    </rPh>
    <rPh sb="19" eb="21">
      <t>センタク</t>
    </rPh>
    <rPh sb="22" eb="24">
      <t>バショ</t>
    </rPh>
    <rPh sb="24" eb="26">
      <t>ヘンコウ</t>
    </rPh>
    <phoneticPr fontId="2"/>
  </si>
  <si>
    <t>10_kintai_20171218.xlsm</t>
    <phoneticPr fontId="2"/>
  </si>
  <si>
    <t>10_kintai_20180420.xlsm</t>
    <phoneticPr fontId="2"/>
  </si>
  <si>
    <t>【出退社入力シートの入力方法】（図Ⅰ）</t>
    <rPh sb="1" eb="4">
      <t>シュッタイシャ</t>
    </rPh>
    <rPh sb="4" eb="6">
      <t>ニュウリョク</t>
    </rPh>
    <rPh sb="10" eb="12">
      <t>ニュウリョク</t>
    </rPh>
    <rPh sb="12" eb="14">
      <t>ホウホウ</t>
    </rPh>
    <phoneticPr fontId="2"/>
  </si>
  <si>
    <t>年（西暦）を入力</t>
    <rPh sb="6" eb="8">
      <t>ニュウリョク</t>
    </rPh>
    <phoneticPr fontId="2"/>
  </si>
  <si>
    <r>
      <t>②</t>
    </r>
    <r>
      <rPr>
        <sz val="11"/>
        <color indexed="10"/>
        <rFont val="ＭＳ Ｐゴシック"/>
        <family val="3"/>
        <charset val="128"/>
      </rPr>
      <t>※必須</t>
    </r>
    <phoneticPr fontId="2"/>
  </si>
  <si>
    <t>月を選択</t>
    <rPh sb="2" eb="4">
      <t>センタク</t>
    </rPh>
    <phoneticPr fontId="2"/>
  </si>
  <si>
    <r>
      <t>③</t>
    </r>
    <r>
      <rPr>
        <sz val="11"/>
        <color indexed="10"/>
        <rFont val="ＭＳ Ｐゴシック"/>
        <family val="3"/>
        <charset val="128"/>
      </rPr>
      <t>※必須</t>
    </r>
    <phoneticPr fontId="2"/>
  </si>
  <si>
    <r>
      <t>④</t>
    </r>
    <r>
      <rPr>
        <sz val="11"/>
        <color indexed="10"/>
        <rFont val="ＭＳ Ｐゴシック"/>
        <family val="3"/>
        <charset val="128"/>
      </rPr>
      <t>※必須</t>
    </r>
    <phoneticPr fontId="2"/>
  </si>
  <si>
    <t>契約形態（派遣or準委任）を選択</t>
    <rPh sb="0" eb="2">
      <t>ケイヤク</t>
    </rPh>
    <rPh sb="2" eb="4">
      <t>ケイタイ</t>
    </rPh>
    <rPh sb="5" eb="7">
      <t>ハケン</t>
    </rPh>
    <rPh sb="9" eb="10">
      <t>ジュン</t>
    </rPh>
    <rPh sb="10" eb="12">
      <t>イニン</t>
    </rPh>
    <rPh sb="14" eb="16">
      <t>センタク</t>
    </rPh>
    <phoneticPr fontId="2"/>
  </si>
  <si>
    <r>
      <t>⑤</t>
    </r>
    <r>
      <rPr>
        <sz val="11"/>
        <color indexed="10"/>
        <rFont val="ＭＳ Ｐゴシック"/>
        <family val="3"/>
        <charset val="128"/>
      </rPr>
      <t>※必須</t>
    </r>
    <phoneticPr fontId="2"/>
  </si>
  <si>
    <t>日々の出退社時刻・休憩時間を入力</t>
    <phoneticPr fontId="2"/>
  </si>
  <si>
    <t>派遣：出社・退社時間入力は必須</t>
    <rPh sb="0" eb="2">
      <t>ハケン</t>
    </rPh>
    <rPh sb="3" eb="5">
      <t>シュッシャ</t>
    </rPh>
    <rPh sb="6" eb="8">
      <t>タイシャ</t>
    </rPh>
    <rPh sb="8" eb="10">
      <t>ジカン</t>
    </rPh>
    <rPh sb="10" eb="12">
      <t>ニュウリョク</t>
    </rPh>
    <rPh sb="13" eb="15">
      <t>ヒッス</t>
    </rPh>
    <phoneticPr fontId="2"/>
  </si>
  <si>
    <t>準委任：実働時間のみの入力でも可</t>
    <rPh sb="0" eb="1">
      <t>ジュン</t>
    </rPh>
    <rPh sb="1" eb="3">
      <t>イニン</t>
    </rPh>
    <rPh sb="4" eb="6">
      <t>ジツドウ</t>
    </rPh>
    <rPh sb="6" eb="8">
      <t>ジカン</t>
    </rPh>
    <rPh sb="11" eb="13">
      <t>ニュウリョク</t>
    </rPh>
    <rPh sb="15" eb="16">
      <t>カ</t>
    </rPh>
    <phoneticPr fontId="2"/>
  </si>
  <si>
    <t>⑥</t>
    <phoneticPr fontId="2"/>
  </si>
  <si>
    <t>プロジェクトが複数に分かれる場合はプロジェクト毎に時間を入力</t>
    <phoneticPr fontId="2"/>
  </si>
  <si>
    <r>
      <t>⑦</t>
    </r>
    <r>
      <rPr>
        <sz val="11"/>
        <color indexed="10"/>
        <rFont val="ＭＳ Ｐゴシック"/>
        <family val="3"/>
        <charset val="128"/>
      </rPr>
      <t>※必須</t>
    </r>
    <phoneticPr fontId="2"/>
  </si>
  <si>
    <t>業務内容を入力</t>
    <phoneticPr fontId="2"/>
  </si>
  <si>
    <t>業務内容以外の文言は⑫備考欄に入力</t>
    <rPh sb="0" eb="2">
      <t>ギョウム</t>
    </rPh>
    <rPh sb="2" eb="4">
      <t>ナイヨウ</t>
    </rPh>
    <rPh sb="4" eb="6">
      <t>イガイ</t>
    </rPh>
    <rPh sb="7" eb="9">
      <t>モンゴン</t>
    </rPh>
    <rPh sb="11" eb="13">
      <t>ビコウ</t>
    </rPh>
    <rPh sb="13" eb="14">
      <t>ラン</t>
    </rPh>
    <rPh sb="15" eb="17">
      <t>ニュウリョク</t>
    </rPh>
    <phoneticPr fontId="2"/>
  </si>
  <si>
    <r>
      <t>⑧</t>
    </r>
    <r>
      <rPr>
        <sz val="11"/>
        <color indexed="10"/>
        <rFont val="ＭＳ Ｐゴシック"/>
        <family val="3"/>
        <charset val="128"/>
      </rPr>
      <t>※必須</t>
    </r>
    <rPh sb="2" eb="4">
      <t>ヒッス</t>
    </rPh>
    <phoneticPr fontId="2"/>
  </si>
  <si>
    <t>会社名を入力（tdiグループと契約している会社名　再委託先企業名はNG）</t>
    <rPh sb="0" eb="2">
      <t>カイシャ</t>
    </rPh>
    <rPh sb="2" eb="3">
      <t>メイ</t>
    </rPh>
    <rPh sb="4" eb="6">
      <t>ニュウリョク</t>
    </rPh>
    <rPh sb="15" eb="17">
      <t>ケイヤク</t>
    </rPh>
    <rPh sb="21" eb="23">
      <t>カイシャ</t>
    </rPh>
    <rPh sb="23" eb="24">
      <t>メイ</t>
    </rPh>
    <rPh sb="25" eb="28">
      <t>サイイタク</t>
    </rPh>
    <rPh sb="28" eb="29">
      <t>サキ</t>
    </rPh>
    <rPh sb="29" eb="31">
      <t>キギョウ</t>
    </rPh>
    <rPh sb="31" eb="32">
      <t>メイ</t>
    </rPh>
    <phoneticPr fontId="2"/>
  </si>
  <si>
    <t>氏名を入力</t>
    <rPh sb="0" eb="2">
      <t>シメイ</t>
    </rPh>
    <rPh sb="3" eb="5">
      <t>ニュウリョク</t>
    </rPh>
    <phoneticPr fontId="2"/>
  </si>
  <si>
    <r>
      <rPr>
        <sz val="11"/>
        <rFont val="ＭＳ Ｐゴシック"/>
        <family val="3"/>
        <charset val="128"/>
      </rPr>
      <t>⑩</t>
    </r>
    <r>
      <rPr>
        <sz val="11"/>
        <color rgb="FFFF0000"/>
        <rFont val="ＭＳ Ｐゴシック"/>
        <family val="3"/>
        <charset val="128"/>
      </rPr>
      <t>※必須</t>
    </r>
    <phoneticPr fontId="2"/>
  </si>
  <si>
    <t>要員コード（現場にて確認）を入力</t>
    <rPh sb="14" eb="16">
      <t>ニュウリョク</t>
    </rPh>
    <phoneticPr fontId="2"/>
  </si>
  <si>
    <r>
      <t>⑪</t>
    </r>
    <r>
      <rPr>
        <sz val="11"/>
        <color indexed="10"/>
        <rFont val="ＭＳ Ｐゴシック"/>
        <family val="3"/>
        <charset val="128"/>
      </rPr>
      <t>※必須</t>
    </r>
    <phoneticPr fontId="2"/>
  </si>
  <si>
    <r>
      <t>⑫</t>
    </r>
    <r>
      <rPr>
        <sz val="11"/>
        <color indexed="10"/>
        <rFont val="ＭＳ Ｐゴシック"/>
        <family val="3"/>
        <charset val="128"/>
      </rPr>
      <t>※</t>
    </r>
    <phoneticPr fontId="2"/>
  </si>
  <si>
    <t>特筆すべき事項があれば入力</t>
    <rPh sb="0" eb="2">
      <t>トクヒツ</t>
    </rPh>
    <rPh sb="5" eb="7">
      <t>ジコウ</t>
    </rPh>
    <rPh sb="11" eb="13">
      <t>ニュウリョク</t>
    </rPh>
    <phoneticPr fontId="2"/>
  </si>
  <si>
    <t>その他、業務内容以外で特筆すべき事項（休暇等）があれば入力</t>
    <rPh sb="2" eb="3">
      <t>タ</t>
    </rPh>
    <rPh sb="4" eb="6">
      <t>ギョウム</t>
    </rPh>
    <rPh sb="6" eb="8">
      <t>ナイヨウ</t>
    </rPh>
    <rPh sb="8" eb="10">
      <t>イガイ</t>
    </rPh>
    <rPh sb="11" eb="13">
      <t>トクヒツ</t>
    </rPh>
    <rPh sb="16" eb="18">
      <t>ジコウ</t>
    </rPh>
    <rPh sb="19" eb="21">
      <t>キュウカ</t>
    </rPh>
    <rPh sb="21" eb="22">
      <t>トウ</t>
    </rPh>
    <rPh sb="27" eb="29">
      <t>ニュウリョク</t>
    </rPh>
    <phoneticPr fontId="2"/>
  </si>
  <si>
    <r>
      <t>⑬</t>
    </r>
    <r>
      <rPr>
        <sz val="11"/>
        <color indexed="10"/>
        <rFont val="ＭＳ Ｐゴシック"/>
        <family val="3"/>
        <charset val="128"/>
      </rPr>
      <t>※必須</t>
    </r>
    <rPh sb="2" eb="4">
      <t>ヒッス</t>
    </rPh>
    <phoneticPr fontId="2"/>
  </si>
  <si>
    <t>契約開始日を入力</t>
    <rPh sb="0" eb="2">
      <t>ケイヤク</t>
    </rPh>
    <rPh sb="2" eb="5">
      <t>カイシビ</t>
    </rPh>
    <rPh sb="6" eb="8">
      <t>ニュウリョク</t>
    </rPh>
    <phoneticPr fontId="2"/>
  </si>
  <si>
    <t>契約終了日を入力</t>
    <rPh sb="0" eb="2">
      <t>ケイヤク</t>
    </rPh>
    <rPh sb="2" eb="4">
      <t>シュウリョウ</t>
    </rPh>
    <rPh sb="4" eb="5">
      <t>ビ</t>
    </rPh>
    <rPh sb="6" eb="8">
      <t>ニュウリョク</t>
    </rPh>
    <phoneticPr fontId="2"/>
  </si>
  <si>
    <t>就業先住所入力</t>
    <rPh sb="0" eb="2">
      <t>シュウギョウ</t>
    </rPh>
    <rPh sb="2" eb="3">
      <t>サキ</t>
    </rPh>
    <rPh sb="3" eb="5">
      <t>ジュウショ</t>
    </rPh>
    <rPh sb="5" eb="7">
      <t>ニュウリョク</t>
    </rPh>
    <phoneticPr fontId="2"/>
  </si>
  <si>
    <t>業務の種類をリストから選択を入力（「参考」を参照）</t>
    <phoneticPr fontId="2"/>
  </si>
  <si>
    <t>※購買管理システムのEDI化に伴う変更点</t>
    <rPh sb="1" eb="3">
      <t>コウバイ</t>
    </rPh>
    <rPh sb="3" eb="5">
      <t>カンリ</t>
    </rPh>
    <rPh sb="13" eb="14">
      <t>カ</t>
    </rPh>
    <rPh sb="15" eb="16">
      <t>トモナ</t>
    </rPh>
    <rPh sb="17" eb="19">
      <t>ヘンコウ</t>
    </rPh>
    <rPh sb="19" eb="20">
      <t>テン</t>
    </rPh>
    <phoneticPr fontId="2"/>
  </si>
  <si>
    <t>　・EDI対象企業の業務報告書／勤務状況報告書は電子データ管理となるので紙管理は不要</t>
    <rPh sb="5" eb="7">
      <t>タイショウ</t>
    </rPh>
    <rPh sb="7" eb="9">
      <t>キギョウ</t>
    </rPh>
    <rPh sb="10" eb="12">
      <t>ギョウム</t>
    </rPh>
    <rPh sb="12" eb="14">
      <t>ホウコク</t>
    </rPh>
    <rPh sb="14" eb="15">
      <t>ショ</t>
    </rPh>
    <rPh sb="16" eb="18">
      <t>キンム</t>
    </rPh>
    <rPh sb="18" eb="20">
      <t>ジョウキョウ</t>
    </rPh>
    <rPh sb="20" eb="23">
      <t>ホウコクショ</t>
    </rPh>
    <rPh sb="24" eb="26">
      <t>デンシ</t>
    </rPh>
    <rPh sb="29" eb="31">
      <t>カンリ</t>
    </rPh>
    <rPh sb="36" eb="37">
      <t>カミ</t>
    </rPh>
    <rPh sb="37" eb="39">
      <t>カンリ</t>
    </rPh>
    <rPh sb="40" eb="42">
      <t>フヨウ</t>
    </rPh>
    <phoneticPr fontId="2"/>
  </si>
  <si>
    <t>　　（EDI対象外企業は従来どおり紙管理のため要捺印）</t>
    <rPh sb="6" eb="9">
      <t>タイショウガイ</t>
    </rPh>
    <rPh sb="9" eb="11">
      <t>キギョウ</t>
    </rPh>
    <rPh sb="12" eb="14">
      <t>ジュウライ</t>
    </rPh>
    <rPh sb="17" eb="18">
      <t>カミ</t>
    </rPh>
    <rPh sb="18" eb="20">
      <t>カンリ</t>
    </rPh>
    <rPh sb="23" eb="24">
      <t>ヨウ</t>
    </rPh>
    <rPh sb="24" eb="26">
      <t>ナツイン</t>
    </rPh>
    <phoneticPr fontId="2"/>
  </si>
  <si>
    <t>＜業務報告書／勤務状況報告書の流れ＞</t>
    <rPh sb="15" eb="16">
      <t>ナガ</t>
    </rPh>
    <phoneticPr fontId="2"/>
  </si>
  <si>
    <t>【準委任】</t>
    <rPh sb="1" eb="2">
      <t>ジュン</t>
    </rPh>
    <rPh sb="2" eb="4">
      <t>イニン</t>
    </rPh>
    <phoneticPr fontId="2"/>
  </si>
  <si>
    <t>【派遣】</t>
    <rPh sb="1" eb="3">
      <t>ハケン</t>
    </rPh>
    <phoneticPr fontId="2"/>
  </si>
  <si>
    <t>BP技術者が作成</t>
    <rPh sb="2" eb="5">
      <t>ギジュツシャ</t>
    </rPh>
    <rPh sb="6" eb="8">
      <t>サクセイ</t>
    </rPh>
    <phoneticPr fontId="2"/>
  </si>
  <si>
    <t>↓</t>
    <phoneticPr fontId="2"/>
  </si>
  <si>
    <t>↓</t>
    <phoneticPr fontId="2"/>
  </si>
  <si>
    <t>tdiグループの現場担当者が</t>
    <rPh sb="8" eb="10">
      <t>ゲンバ</t>
    </rPh>
    <rPh sb="10" eb="13">
      <t>タントウシャ</t>
    </rPh>
    <phoneticPr fontId="2"/>
  </si>
  <si>
    <t>システムへ取り込み</t>
    <phoneticPr fontId="2"/>
  </si>
  <si>
    <t>システムへ取り込み</t>
    <phoneticPr fontId="2"/>
  </si>
  <si>
    <t>BP企業による承認</t>
    <rPh sb="2" eb="4">
      <t>キギョウ</t>
    </rPh>
    <rPh sb="7" eb="9">
      <t>ショウニン</t>
    </rPh>
    <phoneticPr fontId="2"/>
  </si>
  <si>
    <t>パートナー推進部による確認</t>
    <rPh sb="5" eb="8">
      <t>スイシンブ</t>
    </rPh>
    <rPh sb="11" eb="13">
      <t>カクニン</t>
    </rPh>
    <phoneticPr fontId="2"/>
  </si>
  <si>
    <t>現場責任者／業務遂行責任者</t>
    <rPh sb="0" eb="2">
      <t>ゲンバ</t>
    </rPh>
    <rPh sb="2" eb="5">
      <t>セキニンシャ</t>
    </rPh>
    <rPh sb="6" eb="8">
      <t>ギョウム</t>
    </rPh>
    <rPh sb="8" eb="10">
      <t>スイコウ</t>
    </rPh>
    <rPh sb="10" eb="13">
      <t>セキニンシャ</t>
    </rPh>
    <phoneticPr fontId="2"/>
  </si>
  <si>
    <t>BP企業による確認</t>
    <rPh sb="2" eb="4">
      <t>キギョウ</t>
    </rPh>
    <rPh sb="7" eb="9">
      <t>カクニン</t>
    </rPh>
    <phoneticPr fontId="2"/>
  </si>
  <si>
    <t>による確認</t>
    <rPh sb="3" eb="5">
      <t>カクニン</t>
    </rPh>
    <phoneticPr fontId="2"/>
  </si>
  <si>
    <t>↓</t>
    <phoneticPr fontId="2"/>
  </si>
  <si>
    <t>【シートの提出方法】（図Ⅱ、Ⅲ、Ⅳ）</t>
    <rPh sb="5" eb="7">
      <t>テイシュツ</t>
    </rPh>
    <rPh sb="7" eb="9">
      <t>ホウホウ</t>
    </rPh>
    <phoneticPr fontId="2"/>
  </si>
  <si>
    <t>＜準委任契約の場合（図Ⅱ）＞【EDI対象】</t>
    <rPh sb="1" eb="2">
      <t>ジュン</t>
    </rPh>
    <rPh sb="2" eb="4">
      <t>イニン</t>
    </rPh>
    <rPh sb="4" eb="6">
      <t>ケイヤク</t>
    </rPh>
    <rPh sb="7" eb="9">
      <t>バアイ</t>
    </rPh>
    <phoneticPr fontId="2"/>
  </si>
  <si>
    <t>＜派遣契約の場合（図Ⅲ）＞【EDI対象】</t>
    <rPh sb="1" eb="3">
      <t>ハケン</t>
    </rPh>
    <rPh sb="3" eb="5">
      <t>ケイヤク</t>
    </rPh>
    <rPh sb="6" eb="8">
      <t>バアイ</t>
    </rPh>
    <phoneticPr fontId="2"/>
  </si>
  <si>
    <t>１．現場：購買管理システムに取り込み（所定フォルダに格納）</t>
    <rPh sb="2" eb="4">
      <t>ゲンバ</t>
    </rPh>
    <rPh sb="5" eb="7">
      <t>コウバイ</t>
    </rPh>
    <rPh sb="7" eb="9">
      <t>カンリ</t>
    </rPh>
    <rPh sb="14" eb="15">
      <t>ト</t>
    </rPh>
    <rPh sb="16" eb="17">
      <t>コ</t>
    </rPh>
    <rPh sb="19" eb="21">
      <t>ショテイ</t>
    </rPh>
    <rPh sb="26" eb="28">
      <t>カクノウ</t>
    </rPh>
    <phoneticPr fontId="2"/>
  </si>
  <si>
    <t>２．【EDI】BP：業務遂行責任者による確認</t>
    <rPh sb="10" eb="12">
      <t>ギョウム</t>
    </rPh>
    <rPh sb="12" eb="14">
      <t>スイコウ</t>
    </rPh>
    <rPh sb="14" eb="17">
      <t>セキニンシャ</t>
    </rPh>
    <rPh sb="20" eb="22">
      <t>カクニン</t>
    </rPh>
    <phoneticPr fontId="2"/>
  </si>
  <si>
    <t>２．【EDI】現場：業務報告一括確認依頼</t>
    <rPh sb="7" eb="9">
      <t>ゲンバ</t>
    </rPh>
    <rPh sb="10" eb="12">
      <t>ギョウム</t>
    </rPh>
    <rPh sb="12" eb="14">
      <t>ホウコク</t>
    </rPh>
    <rPh sb="14" eb="16">
      <t>イッカツ</t>
    </rPh>
    <rPh sb="16" eb="20">
      <t>カクニンイライ</t>
    </rPh>
    <phoneticPr fontId="2"/>
  </si>
  <si>
    <t>　　　②の業務遂行責任者の名前が入る</t>
    <rPh sb="5" eb="7">
      <t>ギョウム</t>
    </rPh>
    <rPh sb="7" eb="9">
      <t>スイコウ</t>
    </rPh>
    <rPh sb="9" eb="12">
      <t>セキニンシャ</t>
    </rPh>
    <rPh sb="13" eb="15">
      <t>ナマエ</t>
    </rPh>
    <rPh sb="16" eb="17">
      <t>ハイ</t>
    </rPh>
    <phoneticPr fontId="2"/>
  </si>
  <si>
    <t>３．【EDI】パートナー推進部：業務報告一括確認</t>
    <rPh sb="14" eb="15">
      <t>ブ</t>
    </rPh>
    <phoneticPr fontId="2"/>
  </si>
  <si>
    <t>３．【EDI】現場（業務遂行責任者or現場担当者）：確認</t>
    <rPh sb="7" eb="9">
      <t>ゲンバ</t>
    </rPh>
    <rPh sb="26" eb="28">
      <t>カクニン</t>
    </rPh>
    <phoneticPr fontId="2"/>
  </si>
  <si>
    <t>４．【EDI】BP：確認</t>
    <phoneticPr fontId="2"/>
  </si>
  <si>
    <t>４．【EDI】現場：業務報告一括確認依頼</t>
    <rPh sb="7" eb="9">
      <t>ゲンバ</t>
    </rPh>
    <phoneticPr fontId="2"/>
  </si>
  <si>
    <t>５．【EDI】パートナー推進部：業務報告一括確認</t>
    <rPh sb="12" eb="14">
      <t>スイシン</t>
    </rPh>
    <rPh sb="14" eb="15">
      <t>ブ</t>
    </rPh>
    <phoneticPr fontId="2"/>
  </si>
  <si>
    <t>＜準委任契約の場合（図Ⅱ）＞【EDI対象外】</t>
    <rPh sb="1" eb="2">
      <t>ジュン</t>
    </rPh>
    <rPh sb="2" eb="4">
      <t>イニン</t>
    </rPh>
    <rPh sb="4" eb="6">
      <t>ケイヤク</t>
    </rPh>
    <rPh sb="7" eb="9">
      <t>バアイ</t>
    </rPh>
    <phoneticPr fontId="2"/>
  </si>
  <si>
    <t>＜派遣契約の場合（図Ⅲ）＞【EDI対象外】</t>
    <rPh sb="1" eb="3">
      <t>ハケン</t>
    </rPh>
    <rPh sb="3" eb="5">
      <t>ケイヤク</t>
    </rPh>
    <rPh sb="6" eb="8">
      <t>バアイ</t>
    </rPh>
    <phoneticPr fontId="2"/>
  </si>
  <si>
    <t>２．購買管理システムに取り込み、</t>
    <rPh sb="2" eb="4">
      <t>コウバイ</t>
    </rPh>
    <rPh sb="4" eb="6">
      <t>カンリ</t>
    </rPh>
    <rPh sb="11" eb="12">
      <t>ト</t>
    </rPh>
    <rPh sb="13" eb="14">
      <t>コ</t>
    </rPh>
    <phoneticPr fontId="2"/>
  </si>
  <si>
    <t>　　技術者本人が捺印（③）</t>
    <rPh sb="2" eb="5">
      <t>ギジュツシャ</t>
    </rPh>
    <rPh sb="5" eb="6">
      <t>ホン</t>
    </rPh>
    <rPh sb="6" eb="7">
      <t>ジン</t>
    </rPh>
    <rPh sb="8" eb="10">
      <t>ナツイン</t>
    </rPh>
    <phoneticPr fontId="2"/>
  </si>
  <si>
    <t>　　購買管理システムにて業務報告一括確認依頼</t>
    <rPh sb="2" eb="4">
      <t>コウバイ</t>
    </rPh>
    <rPh sb="4" eb="6">
      <t>カンリ</t>
    </rPh>
    <rPh sb="12" eb="14">
      <t>ギョウム</t>
    </rPh>
    <rPh sb="14" eb="16">
      <t>ホウコク</t>
    </rPh>
    <rPh sb="16" eb="18">
      <t>イッカツ</t>
    </rPh>
    <rPh sb="18" eb="20">
      <t>カクニン</t>
    </rPh>
    <rPh sb="20" eb="22">
      <t>イライ</t>
    </rPh>
    <phoneticPr fontId="2"/>
  </si>
  <si>
    <t>　　指揮命令者(tdi)が捺印（④）</t>
    <rPh sb="2" eb="4">
      <t>シキ</t>
    </rPh>
    <rPh sb="4" eb="6">
      <t>メイレイ</t>
    </rPh>
    <rPh sb="6" eb="7">
      <t>シャ</t>
    </rPh>
    <rPh sb="13" eb="15">
      <t>ナツイン</t>
    </rPh>
    <phoneticPr fontId="2"/>
  </si>
  <si>
    <t>　　※取り込みが不可能な場合はパートナー推進部へ送付</t>
    <rPh sb="3" eb="4">
      <t>ト</t>
    </rPh>
    <rPh sb="5" eb="6">
      <t>コ</t>
    </rPh>
    <rPh sb="8" eb="11">
      <t>フカノウ</t>
    </rPh>
    <rPh sb="12" eb="14">
      <t>バアイ</t>
    </rPh>
    <rPh sb="20" eb="23">
      <t>スイシンブ</t>
    </rPh>
    <rPh sb="24" eb="26">
      <t>ソウフ</t>
    </rPh>
    <phoneticPr fontId="2"/>
  </si>
  <si>
    <t>　　派遣先責任者(tdi)が捺印（⑤）</t>
    <rPh sb="2" eb="4">
      <t>ハケン</t>
    </rPh>
    <rPh sb="4" eb="5">
      <t>サキ</t>
    </rPh>
    <rPh sb="5" eb="8">
      <t>セキニンシャ</t>
    </rPh>
    <rPh sb="14" eb="16">
      <t>ナツイン</t>
    </rPh>
    <phoneticPr fontId="2"/>
  </si>
  <si>
    <t>３．tdiグループの現場責任者が確認欄（①）に捺印</t>
    <rPh sb="10" eb="12">
      <t>ゲンバ</t>
    </rPh>
    <rPh sb="12" eb="15">
      <t>セキニンシャ</t>
    </rPh>
    <rPh sb="16" eb="18">
      <t>カクニン</t>
    </rPh>
    <rPh sb="18" eb="19">
      <t>ラン</t>
    </rPh>
    <rPh sb="23" eb="25">
      <t>ナツイン</t>
    </rPh>
    <phoneticPr fontId="2"/>
  </si>
  <si>
    <t>４．技術者は所属会社へ提出（FAX、メールでも可）、</t>
    <rPh sb="2" eb="5">
      <t>ギジュツシャ</t>
    </rPh>
    <rPh sb="6" eb="8">
      <t>ショゾク</t>
    </rPh>
    <rPh sb="8" eb="10">
      <t>ガイシャ</t>
    </rPh>
    <rPh sb="11" eb="13">
      <t>テイシュツ</t>
    </rPh>
    <rPh sb="23" eb="24">
      <t>カ</t>
    </rPh>
    <phoneticPr fontId="2"/>
  </si>
  <si>
    <t>５．所属会社の業務遂行責任者は署名・捺印（②）後、</t>
    <rPh sb="2" eb="4">
      <t>ショゾク</t>
    </rPh>
    <rPh sb="4" eb="6">
      <t>カイシャ</t>
    </rPh>
    <rPh sb="7" eb="9">
      <t>ギョウム</t>
    </rPh>
    <rPh sb="9" eb="11">
      <t>スイコウ</t>
    </rPh>
    <rPh sb="11" eb="14">
      <t>セキニンシャ</t>
    </rPh>
    <rPh sb="15" eb="17">
      <t>ショメイ</t>
    </rPh>
    <rPh sb="18" eb="20">
      <t>ナツイン</t>
    </rPh>
    <rPh sb="23" eb="24">
      <t>ゴ</t>
    </rPh>
    <phoneticPr fontId="2"/>
  </si>
  <si>
    <t>３．技術者は所属会社へ提出（FAX、メールでも可）、</t>
    <rPh sb="2" eb="5">
      <t>ギジュツシャ</t>
    </rPh>
    <rPh sb="6" eb="8">
      <t>ショゾク</t>
    </rPh>
    <rPh sb="8" eb="10">
      <t>ガイシャ</t>
    </rPh>
    <rPh sb="11" eb="13">
      <t>テイシュツ</t>
    </rPh>
    <rPh sb="23" eb="24">
      <t>カ</t>
    </rPh>
    <phoneticPr fontId="2"/>
  </si>
  <si>
    <t>　　請求書と共にパートナー推進部）へ送付</t>
    <rPh sb="2" eb="5">
      <t>セイキュウショ</t>
    </rPh>
    <rPh sb="6" eb="7">
      <t>トモ</t>
    </rPh>
    <rPh sb="13" eb="15">
      <t>スイシン</t>
    </rPh>
    <rPh sb="15" eb="16">
      <t>ブ</t>
    </rPh>
    <rPh sb="18" eb="20">
      <t>ソウフ</t>
    </rPh>
    <phoneticPr fontId="2"/>
  </si>
  <si>
    <t>　　現場よりパートナー推進部へ原紙を提出</t>
    <rPh sb="2" eb="4">
      <t>ゲンバ</t>
    </rPh>
    <rPh sb="11" eb="14">
      <t>スイシンブ</t>
    </rPh>
    <rPh sb="15" eb="17">
      <t>ゲンシ</t>
    </rPh>
    <rPh sb="18" eb="20">
      <t>テイシュツ</t>
    </rPh>
    <phoneticPr fontId="2"/>
  </si>
  <si>
    <t>（図Ⅱ）</t>
    <phoneticPr fontId="2"/>
  </si>
  <si>
    <t>（図Ⅲ）</t>
    <phoneticPr fontId="2"/>
  </si>
  <si>
    <t>（図Ⅳ）</t>
    <phoneticPr fontId="2"/>
  </si>
  <si>
    <t>　　　（コピー後のシート名は変更しないこと）</t>
    <phoneticPr fontId="2"/>
  </si>
  <si>
    <t>　　★シートを増やした際は③のNo.を変更すること</t>
    <rPh sb="7" eb="8">
      <t>フ</t>
    </rPh>
    <rPh sb="11" eb="12">
      <t>サイ</t>
    </rPh>
    <phoneticPr fontId="2"/>
  </si>
  <si>
    <t>～以下はEDI対象外の場合～</t>
    <rPh sb="1" eb="3">
      <t>イカ</t>
    </rPh>
    <rPh sb="7" eb="10">
      <t>タイショウガイ</t>
    </rPh>
    <rPh sb="11" eb="13">
      <t>バアイ</t>
    </rPh>
    <phoneticPr fontId="2"/>
  </si>
  <si>
    <t>　　現場よりパートナー推進部へ原本を提出</t>
    <rPh sb="2" eb="4">
      <t>ゲンバ</t>
    </rPh>
    <rPh sb="15" eb="17">
      <t>ゲンポン</t>
    </rPh>
    <phoneticPr fontId="2"/>
  </si>
  <si>
    <t>※宿泊費や幹線・特急・タクシー代が発生した場合は、</t>
    <rPh sb="1" eb="4">
      <t>シュクハクヒ</t>
    </rPh>
    <rPh sb="5" eb="7">
      <t>カンセン</t>
    </rPh>
    <rPh sb="8" eb="10">
      <t>トッキュウ</t>
    </rPh>
    <rPh sb="15" eb="16">
      <t>ダイ</t>
    </rPh>
    <rPh sb="17" eb="19">
      <t>ハッセイ</t>
    </rPh>
    <rPh sb="21" eb="23">
      <t>バアイ</t>
    </rPh>
    <phoneticPr fontId="2"/>
  </si>
  <si>
    <t>EDI対象・対象外問わず、必ず領収書をパートナー推進部へ提出すること</t>
    <rPh sb="13" eb="14">
      <t>カナラ</t>
    </rPh>
    <rPh sb="15" eb="18">
      <t>リョウシュウショ</t>
    </rPh>
    <rPh sb="24" eb="27">
      <t>スイシンブ</t>
    </rPh>
    <rPh sb="28" eb="30">
      <t>テイシュツ</t>
    </rPh>
    <phoneticPr fontId="2"/>
  </si>
  <si>
    <t>情報処理システム開発</t>
    <phoneticPr fontId="2"/>
  </si>
  <si>
    <t>財務</t>
    <rPh sb="0" eb="2">
      <t>ザイム</t>
    </rPh>
    <phoneticPr fontId="2"/>
  </si>
  <si>
    <t>「運用方法」シート
・EDIに関する説明を追記
「出退社入力シート」シート
・58行目以下を更新</t>
    <rPh sb="25" eb="27">
      <t>シュッタイ</t>
    </rPh>
    <rPh sb="27" eb="28">
      <t>シャ</t>
    </rPh>
    <rPh sb="28" eb="30">
      <t>ニュウリョク</t>
    </rPh>
    <rPh sb="41" eb="43">
      <t>ギョウメ</t>
    </rPh>
    <rPh sb="43" eb="45">
      <t>イカ</t>
    </rPh>
    <rPh sb="46" eb="48">
      <t>コウシン</t>
    </rPh>
    <phoneticPr fontId="2"/>
  </si>
  <si>
    <t>令第4条第1項第18号</t>
    <phoneticPr fontId="2"/>
  </si>
  <si>
    <t>該当なし</t>
    <rPh sb="0" eb="2">
      <t>ガイトウ</t>
    </rPh>
    <phoneticPr fontId="2"/>
  </si>
  <si>
    <t>備考欄参照</t>
    <rPh sb="0" eb="2">
      <t>ビコウ</t>
    </rPh>
    <rPh sb="2" eb="3">
      <t>ラン</t>
    </rPh>
    <rPh sb="3" eb="5">
      <t>サンショウ</t>
    </rPh>
    <phoneticPr fontId="2"/>
  </si>
  <si>
    <t>上記備考欄に業務内容を入力すること</t>
    <rPh sb="0" eb="2">
      <t>ジョウキ</t>
    </rPh>
    <rPh sb="2" eb="4">
      <t>ビコウ</t>
    </rPh>
    <rPh sb="4" eb="5">
      <t>ラン</t>
    </rPh>
    <rPh sb="6" eb="8">
      <t>ギョウム</t>
    </rPh>
    <rPh sb="8" eb="10">
      <t>ナイヨウ</t>
    </rPh>
    <rPh sb="11" eb="13">
      <t>ニュウリョク</t>
    </rPh>
    <phoneticPr fontId="2"/>
  </si>
  <si>
    <t>⇐tdiの場合はユニット名も入力してください</t>
    <rPh sb="5" eb="7">
      <t>バアイ</t>
    </rPh>
    <rPh sb="12" eb="13">
      <t>メイ</t>
    </rPh>
    <rPh sb="14" eb="16">
      <t>ニュウリョク</t>
    </rPh>
    <phoneticPr fontId="2"/>
  </si>
  <si>
    <t>天皇誕生日</t>
    <rPh sb="0" eb="2">
      <t>テンノウ</t>
    </rPh>
    <rPh sb="2" eb="5">
      <t>タンジョウビ</t>
    </rPh>
    <phoneticPr fontId="2"/>
  </si>
  <si>
    <t>情報処理システム開発</t>
  </si>
  <si>
    <t>10_kintai_20190328.xlsm</t>
    <phoneticPr fontId="2"/>
  </si>
  <si>
    <t>久佐</t>
    <rPh sb="0" eb="1">
      <t>ク</t>
    </rPh>
    <rPh sb="1" eb="2">
      <t>サ</t>
    </rPh>
    <phoneticPr fontId="2"/>
  </si>
  <si>
    <t>「祝日・休日設定」シート
・19行目の数式を修正（9/24の振替休日を正しく表示）
・22行目の数式を修正（11/3の振替休日を正しく表示）
・24行目の数式を修正（11/23の振替休日を正しく表示）</t>
    <rPh sb="16" eb="18">
      <t>ギョウメ</t>
    </rPh>
    <rPh sb="19" eb="21">
      <t>スウシキ</t>
    </rPh>
    <rPh sb="22" eb="24">
      <t>シュウセイ</t>
    </rPh>
    <rPh sb="30" eb="32">
      <t>フリカエ</t>
    </rPh>
    <rPh sb="32" eb="34">
      <t>キュウジツ</t>
    </rPh>
    <rPh sb="35" eb="36">
      <t>タダ</t>
    </rPh>
    <rPh sb="38" eb="40">
      <t>ヒョウジ</t>
    </rPh>
    <rPh sb="45" eb="47">
      <t>ギョウメ</t>
    </rPh>
    <rPh sb="48" eb="50">
      <t>スウシキ</t>
    </rPh>
    <rPh sb="51" eb="53">
      <t>シュウセイ</t>
    </rPh>
    <rPh sb="59" eb="61">
      <t>フリカエ</t>
    </rPh>
    <rPh sb="61" eb="63">
      <t>キュウジツ</t>
    </rPh>
    <rPh sb="64" eb="65">
      <t>タダ</t>
    </rPh>
    <rPh sb="67" eb="69">
      <t>ヒョウジ</t>
    </rPh>
    <rPh sb="74" eb="76">
      <t>ギョウメ</t>
    </rPh>
    <rPh sb="77" eb="79">
      <t>スウシキ</t>
    </rPh>
    <rPh sb="80" eb="82">
      <t>シュウセイ</t>
    </rPh>
    <rPh sb="89" eb="91">
      <t>フリカエ</t>
    </rPh>
    <rPh sb="91" eb="93">
      <t>キュウジツ</t>
    </rPh>
    <rPh sb="94" eb="95">
      <t>タダ</t>
    </rPh>
    <rPh sb="97" eb="99">
      <t>ヒョウジ</t>
    </rPh>
    <phoneticPr fontId="2"/>
  </si>
  <si>
    <t>「出退社入力シート」シート
・80行目に項目を追加
「祝日・休日設定」シート
・2019年度用に祝日を変更
・シート保護を解除</t>
    <rPh sb="1" eb="3">
      <t>シュッタイ</t>
    </rPh>
    <rPh sb="3" eb="4">
      <t>シャ</t>
    </rPh>
    <rPh sb="4" eb="6">
      <t>ニュウリョク</t>
    </rPh>
    <rPh sb="17" eb="19">
      <t>ギョウメ</t>
    </rPh>
    <rPh sb="20" eb="22">
      <t>コウモク</t>
    </rPh>
    <rPh sb="23" eb="25">
      <t>ツイカ</t>
    </rPh>
    <rPh sb="44" eb="46">
      <t>ネンド</t>
    </rPh>
    <rPh sb="46" eb="47">
      <t>ヨウ</t>
    </rPh>
    <rPh sb="48" eb="50">
      <t>シュクジツ</t>
    </rPh>
    <rPh sb="51" eb="53">
      <t>ヘンコウ</t>
    </rPh>
    <rPh sb="58" eb="60">
      <t>ホゴ</t>
    </rPh>
    <rPh sb="61" eb="63">
      <t>カイジョ</t>
    </rPh>
    <phoneticPr fontId="2"/>
  </si>
  <si>
    <t>スポーツの日</t>
    <rPh sb="5" eb="6">
      <t>ヒ</t>
    </rPh>
    <phoneticPr fontId="2"/>
  </si>
  <si>
    <t>事業部名・部署名（組織単位）</t>
    <rPh sb="0" eb="2">
      <t>ジギョウ</t>
    </rPh>
    <rPh sb="2" eb="3">
      <t>ブ</t>
    </rPh>
    <rPh sb="3" eb="4">
      <t>メイ</t>
    </rPh>
    <rPh sb="5" eb="7">
      <t>ブショ</t>
    </rPh>
    <rPh sb="7" eb="8">
      <t>メイ</t>
    </rPh>
    <rPh sb="9" eb="11">
      <t>ソシキ</t>
    </rPh>
    <rPh sb="11" eb="13">
      <t>タンイ</t>
    </rPh>
    <phoneticPr fontId="2"/>
  </si>
  <si>
    <t>　：必須項目</t>
    <rPh sb="2" eb="4">
      <t>ヒッス</t>
    </rPh>
    <rPh sb="4" eb="6">
      <t>コウモク</t>
    </rPh>
    <phoneticPr fontId="2"/>
  </si>
  <si>
    <t>　：任意項目</t>
    <rPh sb="2" eb="4">
      <t>ニンイ</t>
    </rPh>
    <rPh sb="4" eb="6">
      <t>コウモク</t>
    </rPh>
    <phoneticPr fontId="2"/>
  </si>
  <si>
    <t>「出退社入力シート」シート
・必須項目の色の変更
・月を変更した際に強制的に実績値をクリア
・実働時間（ｋ列）が0より大きい場合、
　業務内容欄（QR列）を必須項目の色に変える
・実働時間（ｋ列）が6より大きい場合、
　休憩時間欄（J列）を必須項目の色に変える
・休憩時間欄（J列）にコメントを追加
・48行目　社名に『株式会社』を追記
・日付（C列）の値がない場合、該当行をグレーアウト
「祝日・休日設定」シート
・2020年度用に祝日を変更
「派遣用」シート
・44行目　事業部名・部署名に（組織単位）の文言を追加
・53、54行目の幅を調整</t>
    <rPh sb="26" eb="27">
      <t>ツキ</t>
    </rPh>
    <rPh sb="28" eb="30">
      <t>ヘンコウ</t>
    </rPh>
    <rPh sb="32" eb="33">
      <t>サイ</t>
    </rPh>
    <rPh sb="34" eb="36">
      <t>キョウセイ</t>
    </rPh>
    <rPh sb="36" eb="37">
      <t>テキ</t>
    </rPh>
    <rPh sb="38" eb="40">
      <t>ジッセキ</t>
    </rPh>
    <rPh sb="40" eb="41">
      <t>アタイ</t>
    </rPh>
    <rPh sb="47" eb="49">
      <t>ジツドウ</t>
    </rPh>
    <rPh sb="49" eb="51">
      <t>ジカン</t>
    </rPh>
    <rPh sb="53" eb="54">
      <t>レツ</t>
    </rPh>
    <rPh sb="59" eb="60">
      <t>オオ</t>
    </rPh>
    <rPh sb="62" eb="64">
      <t>バアイ</t>
    </rPh>
    <rPh sb="67" eb="69">
      <t>ギョウム</t>
    </rPh>
    <rPh sb="69" eb="71">
      <t>ナイヨウ</t>
    </rPh>
    <rPh sb="71" eb="72">
      <t>ラン</t>
    </rPh>
    <rPh sb="75" eb="76">
      <t>レツ</t>
    </rPh>
    <rPh sb="78" eb="80">
      <t>ヒッス</t>
    </rPh>
    <rPh sb="80" eb="82">
      <t>コウモク</t>
    </rPh>
    <rPh sb="83" eb="84">
      <t>イロ</t>
    </rPh>
    <rPh sb="85" eb="86">
      <t>カ</t>
    </rPh>
    <rPh sb="110" eb="112">
      <t>キュウケイ</t>
    </rPh>
    <rPh sb="112" eb="114">
      <t>ジカン</t>
    </rPh>
    <rPh sb="147" eb="149">
      <t>ツイカ</t>
    </rPh>
    <rPh sb="213" eb="215">
      <t>ネンド</t>
    </rPh>
    <rPh sb="215" eb="216">
      <t>ヨウ</t>
    </rPh>
    <rPh sb="217" eb="219">
      <t>シュクジツ</t>
    </rPh>
    <rPh sb="220" eb="222">
      <t>ヘンコウ</t>
    </rPh>
    <rPh sb="235" eb="237">
      <t>ギョウメ</t>
    </rPh>
    <rPh sb="254" eb="256">
      <t>モンゴン</t>
    </rPh>
    <rPh sb="257" eb="259">
      <t>ツイカ</t>
    </rPh>
    <rPh sb="266" eb="268">
      <t>ギョウメ</t>
    </rPh>
    <rPh sb="269" eb="270">
      <t>ハバ</t>
    </rPh>
    <rPh sb="271" eb="273">
      <t>チョウセイ</t>
    </rPh>
    <phoneticPr fontId="2"/>
  </si>
  <si>
    <t>10_kintai_20200227.xlsm</t>
    <phoneticPr fontId="2"/>
  </si>
  <si>
    <t>10_kintai_202103.xlsm</t>
    <phoneticPr fontId="2"/>
  </si>
  <si>
    <t>※2021年のみ</t>
    <rPh sb="5" eb="6">
      <t>ネン</t>
    </rPh>
    <phoneticPr fontId="2"/>
  </si>
  <si>
    <t>契約先の会社を選択（tdi、TDISS、TDIPS、TDIZSのいずれか）</t>
    <rPh sb="0" eb="2">
      <t>ケイヤク</t>
    </rPh>
    <rPh sb="2" eb="3">
      <t>サキ</t>
    </rPh>
    <rPh sb="4" eb="6">
      <t>カイシャ</t>
    </rPh>
    <phoneticPr fontId="2"/>
  </si>
  <si>
    <t>派遣先の事業部・部署・（ユニット名）を入力</t>
    <rPh sb="0" eb="2">
      <t>ハケン</t>
    </rPh>
    <rPh sb="2" eb="3">
      <t>サキ</t>
    </rPh>
    <rPh sb="16" eb="17">
      <t>メイ</t>
    </rPh>
    <rPh sb="19" eb="21">
      <t>ニュウリョク</t>
    </rPh>
    <phoneticPr fontId="2"/>
  </si>
  <si>
    <t>「出退社入力シート」シート
・契約先の選択肢に『TDIゼットサービス』を追加
「祝日・休日設定」シート
・2021年度用に祝日を変更
「準委任用」シート、「派遣用」シート
・フッターの雛形番号を変更</t>
    <rPh sb="1" eb="3">
      <t>シュッタイ</t>
    </rPh>
    <rPh sb="3" eb="4">
      <t>シャ</t>
    </rPh>
    <rPh sb="4" eb="6">
      <t>ニュウリョク</t>
    </rPh>
    <rPh sb="15" eb="17">
      <t>ケイヤク</t>
    </rPh>
    <rPh sb="17" eb="18">
      <t>サキ</t>
    </rPh>
    <rPh sb="19" eb="22">
      <t>センタクシ</t>
    </rPh>
    <rPh sb="36" eb="38">
      <t>ツイカ</t>
    </rPh>
    <rPh sb="57" eb="59">
      <t>ネンド</t>
    </rPh>
    <rPh sb="59" eb="60">
      <t>ヨウ</t>
    </rPh>
    <rPh sb="61" eb="63">
      <t>シュクジツ</t>
    </rPh>
    <rPh sb="64" eb="66">
      <t>ヘンコウ</t>
    </rPh>
    <rPh sb="68" eb="69">
      <t>ジュン</t>
    </rPh>
    <rPh sb="69" eb="71">
      <t>イニン</t>
    </rPh>
    <rPh sb="71" eb="72">
      <t>ヨウ</t>
    </rPh>
    <rPh sb="78" eb="80">
      <t>ハケン</t>
    </rPh>
    <rPh sb="80" eb="81">
      <t>ヨウ</t>
    </rPh>
    <rPh sb="92" eb="94">
      <t>ヒナガタ</t>
    </rPh>
    <rPh sb="94" eb="96">
      <t>バンゴウ</t>
    </rPh>
    <rPh sb="97" eb="99">
      <t>ヘンコウ</t>
    </rPh>
    <phoneticPr fontId="2"/>
  </si>
  <si>
    <t>敬老の日</t>
    <rPh sb="3" eb="4">
      <t>ヒ</t>
    </rPh>
    <phoneticPr fontId="2"/>
  </si>
  <si>
    <t>秋分の日</t>
    <rPh sb="3" eb="4">
      <t>ヒ</t>
    </rPh>
    <phoneticPr fontId="2"/>
  </si>
  <si>
    <t>準委任</t>
  </si>
  <si>
    <t>史正韵</t>
    <phoneticPr fontId="2"/>
  </si>
  <si>
    <t>top0015</t>
    <phoneticPr fontId="2"/>
  </si>
  <si>
    <t>株式会社　トップワンテック</t>
    <phoneticPr fontId="2"/>
  </si>
  <si>
    <t>1220843</t>
  </si>
  <si>
    <t>準委116_1003520000_購買物流システム開発支援作業　2022/4～2023/3</t>
  </si>
  <si>
    <t>KBK D2-D12_CRUD図　調査　</t>
    <rPh sb="17" eb="19">
      <t>チョウサ</t>
    </rPh>
    <phoneticPr fontId="2"/>
  </si>
  <si>
    <t>#28946　製造</t>
    <rPh sb="7" eb="9">
      <t>セイゾウ</t>
    </rPh>
    <phoneticPr fontId="2"/>
  </si>
  <si>
    <t>#28946　製造</t>
    <phoneticPr fontId="2"/>
  </si>
  <si>
    <t>#28946　UT仕様書作成</t>
    <rPh sb="9" eb="11">
      <t>シヨウ</t>
    </rPh>
    <rPh sb="11" eb="12">
      <t>ショ</t>
    </rPh>
    <rPh sb="12" eb="14">
      <t>サクセイ</t>
    </rPh>
    <phoneticPr fontId="2"/>
  </si>
  <si>
    <t>#28946　UT仕様書作成</t>
    <phoneticPr fontId="2"/>
  </si>
  <si>
    <t>#28946　テスト実施</t>
    <rPh sb="10" eb="12">
      <t>ジッシ</t>
    </rPh>
    <phoneticPr fontId="2"/>
  </si>
  <si>
    <t>#28805　本番障害対応</t>
    <rPh sb="7" eb="13">
      <t>ホンバンショウガイタイオウ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</si>
</sst>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76" formatCode="&quot;¥&quot;#,##0_);\(&quot;¥&quot;#,##0\)"/>
    <numFmt numFmtId="177" formatCode="h:mm;@"/>
    <numFmt numFmtId="178" formatCode="0.00_ "/>
    <numFmt numFmtId="179" formatCode="d"/>
    <numFmt numFmtId="180" formatCode="0.00_);[Red]\(0.00\)"/>
    <numFmt numFmtId="181" formatCode="#,##0_ "/>
    <numFmt numFmtId="182" formatCode="#,##0_);\(#,##0\)"/>
    <numFmt numFmtId="183" formatCode="[h]:mm"/>
    <numFmt numFmtId="184" formatCode="yyyy/m/d;@"/>
    <numFmt numFmtId="185" formatCode="yyyy&quot;年&quot;m&quot;月&quot;d&quot;日&quot;;@"/>
    <numFmt numFmtId="186" formatCode="####"/>
    <numFmt numFmtId="187" formatCode="0_ "/>
    <numFmt numFmtId="188" formatCode="0_);[Red]\(0\)"/>
    <numFmt numFmtId="189" formatCode="&quot;№&quot;##"/>
  </numFmts>
  <fonts count="27">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8"/>
      <name val="ＭＳ Ｐゴシック"/>
      <family val="3"/>
      <charset val="128"/>
    </font>
    <font>
      <sz val="11"/>
      <color indexed="22"/>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b/>
      <sz val="11"/>
      <color indexed="10"/>
      <name val="ＭＳ Ｐゴシック"/>
      <family val="3"/>
      <charset val="128"/>
    </font>
    <font>
      <b/>
      <sz val="10"/>
      <name val="ＭＳ Ｐゴシック"/>
      <family val="3"/>
      <charset val="128"/>
    </font>
    <font>
      <sz val="9"/>
      <name val="ＭＳ Ｐゴシック"/>
      <family val="3"/>
      <charset val="128"/>
    </font>
    <font>
      <sz val="10.5"/>
      <name val="ＭＳ Ｐゴシック"/>
      <family val="3"/>
      <charset val="128"/>
    </font>
    <font>
      <sz val="10.5"/>
      <color indexed="22"/>
      <name val="ＭＳ Ｐゴシック"/>
      <family val="3"/>
      <charset val="128"/>
    </font>
    <font>
      <sz val="10"/>
      <name val="ＭＳ Ｐゴシック"/>
      <family val="3"/>
      <charset val="128"/>
    </font>
    <font>
      <sz val="11"/>
      <color indexed="10"/>
      <name val="ＭＳ Ｐゴシック"/>
      <family val="3"/>
      <charset val="128"/>
    </font>
    <font>
      <sz val="11"/>
      <color rgb="FF0070C0"/>
      <name val="ＭＳ Ｐゴシック"/>
      <family val="3"/>
      <charset val="128"/>
    </font>
    <font>
      <b/>
      <sz val="11"/>
      <color rgb="FFFF0000"/>
      <name val="ＭＳ Ｐゴシック"/>
      <family val="3"/>
      <charset val="128"/>
    </font>
    <font>
      <sz val="11"/>
      <color rgb="FFFF0000"/>
      <name val="ＭＳ Ｐゴシック"/>
      <family val="3"/>
      <charset val="128"/>
    </font>
    <font>
      <sz val="11"/>
      <color rgb="FF222222"/>
      <name val="Arial"/>
      <family val="2"/>
    </font>
    <font>
      <b/>
      <sz val="8"/>
      <color indexed="81"/>
      <name val="ＭＳ Ｐゴシック"/>
      <family val="3"/>
      <charset val="128"/>
    </font>
    <font>
      <b/>
      <sz val="9"/>
      <color indexed="81"/>
      <name val="ＭＳ Ｐゴシック"/>
      <family val="3"/>
      <charset val="128"/>
    </font>
    <font>
      <sz val="9"/>
      <color indexed="81"/>
      <name val="MS P ゴシック"/>
      <family val="3"/>
      <charset val="128"/>
    </font>
    <font>
      <b/>
      <sz val="9"/>
      <color indexed="81"/>
      <name val="MS P ゴシック"/>
      <family val="3"/>
      <charset val="128"/>
    </font>
    <font>
      <b/>
      <sz val="12"/>
      <name val="ＭＳ Ｐゴシック"/>
      <family val="3"/>
      <charset val="128"/>
    </font>
    <font>
      <u/>
      <sz val="10"/>
      <name val="ＭＳ Ｐゴシック"/>
      <family val="3"/>
      <charset val="128"/>
    </font>
    <font>
      <sz val="10"/>
      <color indexed="81"/>
      <name val="MS P ゴシック"/>
      <family val="3"/>
      <charset val="128"/>
    </font>
  </fonts>
  <fills count="16">
    <fill>
      <patternFill patternType="none"/>
    </fill>
    <fill>
      <patternFill patternType="gray125"/>
    </fill>
    <fill>
      <patternFill patternType="solid">
        <fgColor indexed="22"/>
        <bgColor indexed="64"/>
      </patternFill>
    </fill>
    <fill>
      <patternFill patternType="solid">
        <fgColor indexed="27"/>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5"/>
        <bgColor indexed="64"/>
      </patternFill>
    </fill>
    <fill>
      <patternFill patternType="solid">
        <fgColor indexed="44"/>
        <bgColor indexed="64"/>
      </patternFill>
    </fill>
    <fill>
      <patternFill patternType="solid">
        <fgColor indexed="43"/>
        <bgColor indexed="64"/>
      </patternFill>
    </fill>
    <fill>
      <patternFill patternType="solid">
        <fgColor theme="6" tint="0.59999389629810485"/>
        <bgColor indexed="64"/>
      </patternFill>
    </fill>
    <fill>
      <patternFill patternType="solid">
        <fgColor rgb="FF00B0F0"/>
        <bgColor indexed="64"/>
      </patternFill>
    </fill>
    <fill>
      <patternFill patternType="solid">
        <fgColor rgb="FFFFFFFF"/>
        <bgColor indexed="64"/>
      </patternFill>
    </fill>
    <fill>
      <patternFill patternType="solid">
        <fgColor rgb="FFCCFFFF"/>
        <bgColor indexed="64"/>
      </patternFill>
    </fill>
    <fill>
      <patternFill patternType="solid">
        <fgColor rgb="FFFFC000"/>
        <bgColor indexed="64"/>
      </patternFill>
    </fill>
    <fill>
      <patternFill patternType="solid">
        <fgColor rgb="FFA6A6A6"/>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right/>
      <top/>
      <bottom style="thin">
        <color indexed="64"/>
      </bottom>
      <diagonal/>
    </border>
    <border>
      <left/>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bottom style="thin">
        <color indexed="64"/>
      </bottom>
      <diagonal/>
    </border>
    <border>
      <left/>
      <right/>
      <top/>
      <bottom style="hair">
        <color indexed="64"/>
      </bottom>
      <diagonal/>
    </border>
    <border>
      <left style="thin">
        <color indexed="64"/>
      </left>
      <right/>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medium">
        <color indexed="64"/>
      </left>
      <right/>
      <top style="thin">
        <color indexed="64"/>
      </top>
      <bottom style="medium">
        <color indexed="64"/>
      </bottom>
      <diagonal/>
    </border>
    <border>
      <left style="thin">
        <color indexed="64"/>
      </left>
      <right/>
      <top style="medium">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indexed="64"/>
      </right>
      <top/>
      <bottom style="thin">
        <color indexed="64"/>
      </bottom>
      <diagonal/>
    </border>
    <border>
      <left style="thin">
        <color indexed="64"/>
      </left>
      <right/>
      <top/>
      <bottom/>
      <diagonal/>
    </border>
    <border>
      <left/>
      <right style="medium">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diagonalUp="1">
      <left style="thin">
        <color indexed="64"/>
      </left>
      <right/>
      <top style="thin">
        <color indexed="64"/>
      </top>
      <bottom/>
      <diagonal style="thin">
        <color indexed="64"/>
      </diagonal>
    </border>
    <border diagonalUp="1">
      <left/>
      <right style="thin">
        <color indexed="64"/>
      </right>
      <top style="thin">
        <color indexed="64"/>
      </top>
      <bottom/>
      <diagonal style="thin">
        <color indexed="64"/>
      </diagonal>
    </border>
    <border diagonalUp="1">
      <left style="thin">
        <color indexed="64"/>
      </left>
      <right/>
      <top/>
      <bottom style="thin">
        <color indexed="64"/>
      </bottom>
      <diagonal style="thin">
        <color indexed="64"/>
      </diagonal>
    </border>
    <border diagonalUp="1">
      <left/>
      <right style="thin">
        <color indexed="64"/>
      </right>
      <top/>
      <bottom style="thin">
        <color indexed="64"/>
      </bottom>
      <diagonal style="thin">
        <color indexed="64"/>
      </diagonal>
    </border>
    <border>
      <left style="thin">
        <color indexed="64"/>
      </left>
      <right style="medium">
        <color indexed="64"/>
      </right>
      <top style="thin">
        <color indexed="64"/>
      </top>
      <bottom style="medium">
        <color indexed="64"/>
      </bottom>
      <diagonal/>
    </border>
    <border diagonalUp="1">
      <left style="medium">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left style="thick">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medium">
        <color indexed="64"/>
      </right>
      <top style="medium">
        <color indexed="64"/>
      </top>
      <bottom/>
      <diagonal/>
    </border>
    <border>
      <left style="thick">
        <color indexed="64"/>
      </left>
      <right/>
      <top style="thin">
        <color indexed="64"/>
      </top>
      <bottom/>
      <diagonal/>
    </border>
    <border>
      <left/>
      <right/>
      <top/>
      <bottom style="thick">
        <color indexed="64"/>
      </bottom>
      <diagonal/>
    </border>
    <border>
      <left/>
      <right style="thin">
        <color indexed="64"/>
      </right>
      <top/>
      <bottom style="thick">
        <color indexed="64"/>
      </bottom>
      <diagonal/>
    </border>
    <border>
      <left style="thin">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alignment vertical="center"/>
    </xf>
  </cellStyleXfs>
  <cellXfs count="467">
    <xf numFmtId="0" fontId="0" fillId="0" borderId="0" xfId="0">
      <alignment vertical="center"/>
    </xf>
    <xf numFmtId="14" fontId="0" fillId="0" borderId="0" xfId="0" applyNumberFormat="1">
      <alignment vertical="center"/>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3" fillId="0" borderId="0" xfId="0" applyFont="1" applyAlignment="1">
      <alignment horizontal="right" vertical="center"/>
    </xf>
    <xf numFmtId="0" fontId="3" fillId="0" borderId="0" xfId="0" applyFont="1" applyAlignment="1">
      <alignment horizontal="left" vertical="center"/>
    </xf>
    <xf numFmtId="0" fontId="3" fillId="0" borderId="0" xfId="0" applyFont="1">
      <alignment vertical="center"/>
    </xf>
    <xf numFmtId="0" fontId="0" fillId="0" borderId="0" xfId="0" applyFill="1" applyBorder="1" applyAlignment="1">
      <alignment vertical="center"/>
    </xf>
    <xf numFmtId="0" fontId="0" fillId="0" borderId="0" xfId="0" applyFill="1" applyBorder="1">
      <alignment vertical="center"/>
    </xf>
    <xf numFmtId="0" fontId="0" fillId="0" borderId="0" xfId="0" applyFill="1" applyBorder="1" applyAlignment="1">
      <alignment horizontal="center" vertical="center"/>
    </xf>
    <xf numFmtId="49" fontId="0" fillId="0" borderId="0" xfId="0" applyNumberFormat="1" applyFill="1" applyBorder="1" applyAlignment="1">
      <alignment horizontal="center" vertical="center"/>
    </xf>
    <xf numFmtId="0" fontId="0" fillId="0" borderId="0" xfId="0" applyFill="1" applyBorder="1" applyAlignment="1">
      <alignment vertical="center" shrinkToFit="1"/>
    </xf>
    <xf numFmtId="0" fontId="0" fillId="0" borderId="0" xfId="0" applyBorder="1" applyAlignment="1">
      <alignment horizontal="center" vertical="center"/>
    </xf>
    <xf numFmtId="0" fontId="0" fillId="0" borderId="2" xfId="0" applyBorder="1" applyAlignment="1">
      <alignment horizontal="center" vertical="center"/>
    </xf>
    <xf numFmtId="179" fontId="0" fillId="0" borderId="3" xfId="0" applyNumberFormat="1" applyBorder="1" applyAlignment="1">
      <alignment horizontal="center" vertical="center"/>
    </xf>
    <xf numFmtId="0" fontId="0" fillId="0" borderId="2" xfId="0" applyBorder="1">
      <alignment vertical="center"/>
    </xf>
    <xf numFmtId="178" fontId="0" fillId="0" borderId="2" xfId="0" applyNumberFormat="1" applyBorder="1">
      <alignment vertical="center"/>
    </xf>
    <xf numFmtId="0" fontId="0" fillId="2" borderId="4" xfId="0" applyFill="1" applyBorder="1" applyAlignment="1">
      <alignment horizontal="center" vertical="center"/>
    </xf>
    <xf numFmtId="49" fontId="0" fillId="2" borderId="5" xfId="0" applyNumberFormat="1" applyFill="1" applyBorder="1" applyAlignment="1">
      <alignment horizontal="center" vertical="center"/>
    </xf>
    <xf numFmtId="0" fontId="0" fillId="2" borderId="6" xfId="0" applyFill="1" applyBorder="1" applyAlignment="1">
      <alignment horizontal="center" vertical="center"/>
    </xf>
    <xf numFmtId="0" fontId="0" fillId="0" borderId="7" xfId="0" applyBorder="1">
      <alignment vertical="center"/>
    </xf>
    <xf numFmtId="0" fontId="0" fillId="0" borderId="7" xfId="0" applyBorder="1" applyAlignment="1">
      <alignment horizontal="center" vertical="center"/>
    </xf>
    <xf numFmtId="0" fontId="0" fillId="0" borderId="8" xfId="0" applyBorder="1">
      <alignment vertical="center"/>
    </xf>
    <xf numFmtId="0" fontId="0" fillId="2" borderId="5" xfId="0" applyNumberFormat="1" applyFill="1" applyBorder="1" applyAlignment="1">
      <alignment horizontal="center" vertical="center"/>
    </xf>
    <xf numFmtId="0" fontId="1" fillId="0" borderId="0" xfId="0" applyFont="1">
      <alignment vertical="center"/>
    </xf>
    <xf numFmtId="0" fontId="0" fillId="0" borderId="0" xfId="0" applyAlignment="1">
      <alignment vertical="center"/>
    </xf>
    <xf numFmtId="178" fontId="0" fillId="0" borderId="1" xfId="0" applyNumberFormat="1" applyBorder="1" applyProtection="1">
      <alignment vertical="center"/>
    </xf>
    <xf numFmtId="178" fontId="0" fillId="3" borderId="1" xfId="0" applyNumberFormat="1" applyFill="1" applyBorder="1" applyProtection="1">
      <alignment vertical="center"/>
      <protection locked="0"/>
    </xf>
    <xf numFmtId="49" fontId="0" fillId="4" borderId="1" xfId="0" applyNumberFormat="1" applyFill="1" applyBorder="1" applyAlignment="1" applyProtection="1">
      <alignment horizontal="center" vertical="center" shrinkToFit="1"/>
      <protection locked="0"/>
    </xf>
    <xf numFmtId="49" fontId="0" fillId="4" borderId="2" xfId="0" applyNumberFormat="1" applyFill="1" applyBorder="1" applyAlignment="1" applyProtection="1">
      <alignment horizontal="center" vertical="center" shrinkToFit="1"/>
      <protection locked="0"/>
    </xf>
    <xf numFmtId="0" fontId="0" fillId="4" borderId="1" xfId="0" applyFill="1" applyBorder="1">
      <alignment vertical="center"/>
    </xf>
    <xf numFmtId="0" fontId="1" fillId="0" borderId="0" xfId="0" applyFont="1" applyAlignment="1"/>
    <xf numFmtId="0" fontId="8" fillId="0" borderId="0" xfId="0" applyFont="1">
      <alignment vertical="center"/>
    </xf>
    <xf numFmtId="0" fontId="9" fillId="0" borderId="0" xfId="0" applyFont="1">
      <alignment vertical="center"/>
    </xf>
    <xf numFmtId="0" fontId="0" fillId="0" borderId="1" xfId="0" applyBorder="1" applyAlignment="1" applyProtection="1">
      <alignment vertical="center" shrinkToFit="1"/>
      <protection locked="0"/>
    </xf>
    <xf numFmtId="0" fontId="0" fillId="0" borderId="1" xfId="0" applyBorder="1" applyAlignment="1" applyProtection="1">
      <alignment horizontal="center" vertical="center" shrinkToFit="1"/>
      <protection locked="0"/>
    </xf>
    <xf numFmtId="181" fontId="0" fillId="0" borderId="1" xfId="0" applyNumberFormat="1" applyBorder="1" applyProtection="1">
      <alignment vertical="center"/>
      <protection locked="0"/>
    </xf>
    <xf numFmtId="0" fontId="0" fillId="0" borderId="1" xfId="0" applyNumberFormat="1" applyBorder="1" applyAlignment="1" applyProtection="1">
      <alignment horizontal="center" vertical="center"/>
    </xf>
    <xf numFmtId="0" fontId="0" fillId="0" borderId="0" xfId="0" applyProtection="1">
      <alignment vertical="center"/>
      <protection locked="0"/>
    </xf>
    <xf numFmtId="14" fontId="0" fillId="0" borderId="0" xfId="0" applyNumberForma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xf>
    <xf numFmtId="56" fontId="0" fillId="0" borderId="3" xfId="0" applyNumberFormat="1" applyBorder="1" applyProtection="1">
      <alignment vertical="center"/>
    </xf>
    <xf numFmtId="56" fontId="0" fillId="0" borderId="1" xfId="0" applyNumberFormat="1" applyBorder="1" applyAlignment="1" applyProtection="1">
      <alignment horizontal="center" vertical="center"/>
    </xf>
    <xf numFmtId="0" fontId="0" fillId="0" borderId="13" xfId="0" applyBorder="1" applyProtection="1">
      <alignment vertical="center"/>
    </xf>
    <xf numFmtId="0" fontId="0" fillId="2" borderId="16" xfId="0" applyFill="1" applyBorder="1" applyAlignment="1">
      <alignment horizontal="center" vertical="center"/>
    </xf>
    <xf numFmtId="178" fontId="0" fillId="0" borderId="17" xfId="0" applyNumberFormat="1" applyFill="1" applyBorder="1" applyAlignment="1" applyProtection="1">
      <alignment vertical="center" shrinkToFit="1"/>
    </xf>
    <xf numFmtId="178" fontId="0" fillId="0" borderId="18" xfId="0" applyNumberFormat="1" applyFill="1" applyBorder="1" applyAlignment="1" applyProtection="1">
      <alignment vertical="center" shrinkToFit="1"/>
    </xf>
    <xf numFmtId="176" fontId="0" fillId="0" borderId="1" xfId="0" applyNumberFormat="1" applyBorder="1" applyProtection="1">
      <alignment vertical="center"/>
      <protection locked="0"/>
    </xf>
    <xf numFmtId="0" fontId="8" fillId="10" borderId="1" xfId="0" applyFont="1" applyFill="1" applyBorder="1" applyAlignment="1">
      <alignment horizontal="center" vertical="center"/>
    </xf>
    <xf numFmtId="0" fontId="0" fillId="0" borderId="1" xfId="0" applyBorder="1" applyAlignment="1">
      <alignment vertical="center" wrapText="1"/>
    </xf>
    <xf numFmtId="184" fontId="0" fillId="0" borderId="1" xfId="0" applyNumberFormat="1" applyBorder="1" applyAlignment="1">
      <alignment horizontal="center" vertical="center"/>
    </xf>
    <xf numFmtId="14" fontId="0" fillId="0" borderId="1" xfId="0" applyNumberFormat="1" applyBorder="1" applyAlignment="1">
      <alignment horizontal="center" vertical="center"/>
    </xf>
    <xf numFmtId="0" fontId="4" fillId="0" borderId="0" xfId="0" applyFont="1" applyAlignment="1">
      <alignment vertical="center"/>
    </xf>
    <xf numFmtId="0" fontId="0" fillId="0" borderId="19" xfId="0" applyBorder="1" applyAlignment="1">
      <alignment horizontal="center" vertical="center"/>
    </xf>
    <xf numFmtId="0" fontId="1" fillId="5" borderId="6" xfId="0" applyFont="1" applyFill="1" applyBorder="1" applyAlignment="1">
      <alignment horizontal="center" vertical="center"/>
    </xf>
    <xf numFmtId="0" fontId="1" fillId="5" borderId="5" xfId="0" applyFont="1" applyFill="1" applyBorder="1" applyAlignment="1">
      <alignment horizontal="center" vertical="center"/>
    </xf>
    <xf numFmtId="179" fontId="12" fillId="0" borderId="3" xfId="0" applyNumberFormat="1" applyFont="1" applyBorder="1" applyAlignment="1">
      <alignment horizontal="center" vertical="center"/>
    </xf>
    <xf numFmtId="0" fontId="12" fillId="0" borderId="1" xfId="0" applyFont="1" applyBorder="1" applyAlignment="1">
      <alignment horizontal="center" vertical="center"/>
    </xf>
    <xf numFmtId="0" fontId="12" fillId="0" borderId="1" xfId="0" applyFont="1" applyBorder="1">
      <alignment vertical="center"/>
    </xf>
    <xf numFmtId="180" fontId="12" fillId="0" borderId="1" xfId="0" applyNumberFormat="1" applyFont="1" applyBorder="1" applyAlignment="1">
      <alignment vertical="center"/>
    </xf>
    <xf numFmtId="178" fontId="12" fillId="0" borderId="20" xfId="0" applyNumberFormat="1" applyFont="1" applyBorder="1" applyAlignment="1">
      <alignment vertical="center"/>
    </xf>
    <xf numFmtId="179" fontId="12" fillId="0" borderId="21" xfId="0" applyNumberFormat="1" applyFont="1" applyBorder="1" applyAlignment="1">
      <alignment horizontal="center" vertical="center"/>
    </xf>
    <xf numFmtId="0" fontId="12" fillId="0" borderId="22" xfId="0" applyFont="1" applyBorder="1" applyAlignment="1">
      <alignment horizontal="center" vertical="center"/>
    </xf>
    <xf numFmtId="0" fontId="12" fillId="0" borderId="22" xfId="0" applyFont="1" applyBorder="1">
      <alignment vertical="center"/>
    </xf>
    <xf numFmtId="180" fontId="12" fillId="0" borderId="22" xfId="0" applyNumberFormat="1" applyFont="1" applyBorder="1" applyAlignment="1">
      <alignment vertical="center"/>
    </xf>
    <xf numFmtId="178" fontId="12" fillId="0" borderId="23" xfId="0" applyNumberFormat="1" applyFont="1" applyBorder="1" applyAlignment="1">
      <alignment vertical="center"/>
    </xf>
    <xf numFmtId="0" fontId="12" fillId="5" borderId="1" xfId="0" applyFont="1" applyFill="1" applyBorder="1" applyAlignment="1" applyProtection="1">
      <alignment horizontal="center" vertical="center" shrinkToFit="1"/>
    </xf>
    <xf numFmtId="0" fontId="12" fillId="0" borderId="1" xfId="0" applyFont="1" applyBorder="1" applyAlignment="1">
      <alignment vertical="center"/>
    </xf>
    <xf numFmtId="0" fontId="12" fillId="5" borderId="24" xfId="0" applyFont="1" applyFill="1" applyBorder="1" applyAlignment="1" applyProtection="1">
      <alignment horizontal="center" vertical="center" shrinkToFit="1"/>
    </xf>
    <xf numFmtId="40" fontId="12" fillId="5" borderId="13" xfId="0" applyNumberFormat="1" applyFont="1" applyFill="1" applyBorder="1" applyAlignment="1" applyProtection="1">
      <alignment horizontal="center" vertical="center" shrinkToFit="1"/>
    </xf>
    <xf numFmtId="0" fontId="12" fillId="0" borderId="0" xfId="0" applyFont="1">
      <alignment vertical="center"/>
    </xf>
    <xf numFmtId="0" fontId="12" fillId="0" borderId="22" xfId="0" applyFont="1" applyBorder="1" applyAlignment="1">
      <alignment vertical="center"/>
    </xf>
    <xf numFmtId="178" fontId="12" fillId="0" borderId="25" xfId="0" applyNumberFormat="1" applyFont="1" applyBorder="1" applyAlignment="1">
      <alignment vertical="center"/>
    </xf>
    <xf numFmtId="178" fontId="12" fillId="0" borderId="13" xfId="0" applyNumberFormat="1" applyFont="1" applyBorder="1" applyAlignment="1">
      <alignment vertical="center"/>
    </xf>
    <xf numFmtId="0" fontId="12" fillId="5" borderId="13" xfId="0" applyFont="1" applyFill="1" applyBorder="1" applyAlignment="1">
      <alignment horizontal="center" vertical="center"/>
    </xf>
    <xf numFmtId="0" fontId="12" fillId="0" borderId="0" xfId="0" applyFont="1" applyAlignment="1">
      <alignment vertical="center"/>
    </xf>
    <xf numFmtId="178" fontId="12" fillId="0" borderId="13" xfId="0" applyNumberFormat="1" applyFont="1" applyBorder="1">
      <alignment vertical="center"/>
    </xf>
    <xf numFmtId="0" fontId="16" fillId="0" borderId="0" xfId="0" applyFont="1" applyFill="1">
      <alignment vertical="center"/>
    </xf>
    <xf numFmtId="0" fontId="16" fillId="0" borderId="0" xfId="0" applyFont="1">
      <alignment vertical="center"/>
    </xf>
    <xf numFmtId="0" fontId="17" fillId="0" borderId="0" xfId="0" applyFont="1" applyFill="1" applyBorder="1" applyAlignment="1">
      <alignment vertical="center"/>
    </xf>
    <xf numFmtId="0" fontId="0" fillId="0" borderId="19" xfId="0" applyBorder="1">
      <alignment vertical="center"/>
    </xf>
    <xf numFmtId="0" fontId="0" fillId="0" borderId="0" xfId="0" applyBorder="1">
      <alignment vertical="center"/>
    </xf>
    <xf numFmtId="0" fontId="0" fillId="0" borderId="28" xfId="0" applyBorder="1">
      <alignment vertical="center"/>
    </xf>
    <xf numFmtId="0" fontId="0" fillId="0" borderId="28" xfId="0" applyBorder="1" applyAlignment="1">
      <alignment horizontal="center" vertical="center"/>
    </xf>
    <xf numFmtId="0" fontId="0" fillId="0" borderId="29" xfId="0" applyBorder="1">
      <alignment vertical="center"/>
    </xf>
    <xf numFmtId="0" fontId="0" fillId="0" borderId="29" xfId="0" applyBorder="1" applyAlignment="1">
      <alignment horizontal="center" vertical="center"/>
    </xf>
    <xf numFmtId="185" fontId="0" fillId="0" borderId="20" xfId="0" applyNumberFormat="1" applyFill="1" applyBorder="1" applyAlignment="1" applyProtection="1">
      <alignment horizontal="center" vertical="center"/>
    </xf>
    <xf numFmtId="0" fontId="0" fillId="0" borderId="1" xfId="0" applyFill="1" applyBorder="1" applyAlignment="1" applyProtection="1">
      <alignment horizontal="center" vertical="center"/>
    </xf>
    <xf numFmtId="185" fontId="0" fillId="0" borderId="26" xfId="0" applyNumberFormat="1" applyFill="1" applyBorder="1" applyAlignment="1" applyProtection="1">
      <alignment horizontal="center" vertical="center"/>
    </xf>
    <xf numFmtId="185" fontId="0" fillId="0" borderId="13" xfId="0" applyNumberFormat="1" applyFill="1" applyBorder="1" applyAlignment="1" applyProtection="1">
      <alignment horizontal="center" vertical="center"/>
    </xf>
    <xf numFmtId="0" fontId="0" fillId="0" borderId="30" xfId="0" applyFill="1" applyBorder="1" applyAlignment="1" applyProtection="1">
      <alignment horizontal="center" vertical="center"/>
    </xf>
    <xf numFmtId="0" fontId="0" fillId="6" borderId="31" xfId="0" applyFill="1" applyBorder="1" applyAlignment="1" applyProtection="1">
      <alignment vertical="center"/>
    </xf>
    <xf numFmtId="0" fontId="0" fillId="0" borderId="24" xfId="0" applyBorder="1" applyProtection="1">
      <alignment vertical="center"/>
    </xf>
    <xf numFmtId="0" fontId="0" fillId="6" borderId="26" xfId="0" applyFill="1" applyBorder="1" applyAlignment="1" applyProtection="1">
      <alignment vertical="center"/>
    </xf>
    <xf numFmtId="0" fontId="0" fillId="0" borderId="26" xfId="0" applyBorder="1" applyProtection="1">
      <alignment vertical="center"/>
    </xf>
    <xf numFmtId="0" fontId="0" fillId="0" borderId="32" xfId="0" applyBorder="1" applyProtection="1">
      <alignment vertical="center"/>
    </xf>
    <xf numFmtId="0" fontId="18" fillId="6" borderId="26" xfId="0" applyFont="1" applyFill="1" applyBorder="1" applyAlignment="1" applyProtection="1">
      <alignment vertical="center"/>
    </xf>
    <xf numFmtId="0" fontId="16" fillId="0" borderId="26" xfId="0" applyFont="1" applyFill="1" applyBorder="1" applyProtection="1">
      <alignment vertical="center"/>
    </xf>
    <xf numFmtId="0" fontId="16" fillId="0" borderId="24" xfId="0" applyFont="1" applyFill="1" applyBorder="1" applyProtection="1">
      <alignment vertical="center"/>
    </xf>
    <xf numFmtId="0" fontId="16" fillId="0" borderId="24" xfId="0" applyFont="1" applyBorder="1" applyProtection="1">
      <alignment vertical="center"/>
    </xf>
    <xf numFmtId="0" fontId="16" fillId="0" borderId="26" xfId="0" applyFont="1" applyBorder="1" applyProtection="1">
      <alignment vertical="center"/>
    </xf>
    <xf numFmtId="0" fontId="19" fillId="0" borderId="0" xfId="0" applyFont="1">
      <alignment vertical="center"/>
    </xf>
    <xf numFmtId="0" fontId="0" fillId="0" borderId="35" xfId="0" applyFill="1" applyBorder="1" applyAlignment="1" applyProtection="1">
      <alignment horizontal="center" vertical="center"/>
    </xf>
    <xf numFmtId="0" fontId="11" fillId="2" borderId="36" xfId="0" applyFont="1" applyFill="1" applyBorder="1" applyAlignment="1" applyProtection="1">
      <alignment horizontal="center" vertical="center"/>
    </xf>
    <xf numFmtId="0" fontId="0" fillId="0" borderId="37" xfId="0" applyBorder="1">
      <alignment vertical="center"/>
    </xf>
    <xf numFmtId="0" fontId="0" fillId="0" borderId="37" xfId="0" applyBorder="1" applyAlignment="1">
      <alignment horizontal="center" vertical="center"/>
    </xf>
    <xf numFmtId="0" fontId="11" fillId="2" borderId="38" xfId="0" applyFont="1" applyFill="1" applyBorder="1" applyAlignment="1" applyProtection="1">
      <alignment vertical="center"/>
    </xf>
    <xf numFmtId="0" fontId="12" fillId="5" borderId="39" xfId="0" applyFont="1" applyFill="1" applyBorder="1" applyAlignment="1">
      <alignment vertical="center"/>
    </xf>
    <xf numFmtId="0" fontId="12" fillId="5" borderId="40" xfId="0" applyFont="1" applyFill="1" applyBorder="1" applyAlignment="1">
      <alignment vertical="center"/>
    </xf>
    <xf numFmtId="0" fontId="12" fillId="5" borderId="16" xfId="0" applyFont="1" applyFill="1" applyBorder="1" applyAlignment="1">
      <alignment vertical="center"/>
    </xf>
    <xf numFmtId="0" fontId="12" fillId="5" borderId="41" xfId="0" applyFont="1" applyFill="1" applyBorder="1" applyAlignment="1">
      <alignment vertical="center"/>
    </xf>
    <xf numFmtId="0" fontId="12" fillId="5" borderId="26" xfId="0" applyFont="1" applyFill="1" applyBorder="1" applyAlignment="1">
      <alignment vertical="center"/>
    </xf>
    <xf numFmtId="0" fontId="12" fillId="5" borderId="17" xfId="0" applyFont="1" applyFill="1" applyBorder="1" applyAlignment="1">
      <alignment vertical="center"/>
    </xf>
    <xf numFmtId="0" fontId="0" fillId="0" borderId="1" xfId="0" applyBorder="1" applyAlignment="1" applyProtection="1">
      <alignment horizontal="center" vertical="center"/>
    </xf>
    <xf numFmtId="0" fontId="0" fillId="0" borderId="0" xfId="0" applyAlignment="1" applyProtection="1">
      <alignment horizontal="center" vertical="center" shrinkToFit="1"/>
    </xf>
    <xf numFmtId="0" fontId="5" fillId="0" borderId="0" xfId="0" applyFont="1" applyAlignment="1" applyProtection="1">
      <alignment vertical="center"/>
    </xf>
    <xf numFmtId="0" fontId="7" fillId="0" borderId="0" xfId="0" applyFont="1" applyAlignment="1" applyProtection="1">
      <alignment vertical="center"/>
    </xf>
    <xf numFmtId="0" fontId="0" fillId="0" borderId="0" xfId="0" applyAlignment="1" applyProtection="1">
      <alignment horizontal="right" vertical="center"/>
    </xf>
    <xf numFmtId="0" fontId="4" fillId="0" borderId="0" xfId="0" applyFont="1" applyProtection="1">
      <alignment vertical="center"/>
    </xf>
    <xf numFmtId="0" fontId="0" fillId="7" borderId="1" xfId="0" applyFill="1" applyBorder="1" applyAlignment="1" applyProtection="1">
      <alignment horizontal="center" vertical="center"/>
    </xf>
    <xf numFmtId="0" fontId="0" fillId="0" borderId="0" xfId="0" applyAlignment="1" applyProtection="1">
      <alignment horizontal="center" vertical="center"/>
    </xf>
    <xf numFmtId="0" fontId="5" fillId="0" borderId="0" xfId="0" applyFont="1" applyAlignment="1" applyProtection="1">
      <alignment horizontal="right" vertical="center"/>
    </xf>
    <xf numFmtId="0" fontId="0" fillId="8" borderId="11" xfId="0" applyFill="1" applyBorder="1" applyAlignment="1" applyProtection="1">
      <alignment horizontal="center" vertical="center" textRotation="255"/>
    </xf>
    <xf numFmtId="0" fontId="0" fillId="8" borderId="6" xfId="0" applyFill="1" applyBorder="1" applyAlignment="1" applyProtection="1">
      <alignment horizontal="center" vertical="center" textRotation="255"/>
    </xf>
    <xf numFmtId="0" fontId="0" fillId="8" borderId="6" xfId="0" applyFill="1" applyBorder="1" applyAlignment="1" applyProtection="1">
      <alignment vertical="center" textRotation="255"/>
    </xf>
    <xf numFmtId="0" fontId="0" fillId="8" borderId="6" xfId="0" applyFill="1" applyBorder="1" applyAlignment="1" applyProtection="1">
      <alignment horizontal="center" vertical="center"/>
    </xf>
    <xf numFmtId="179" fontId="0" fillId="0" borderId="3" xfId="0" applyNumberFormat="1" applyBorder="1" applyAlignment="1" applyProtection="1">
      <alignment horizontal="center" vertical="center"/>
    </xf>
    <xf numFmtId="0" fontId="0" fillId="0" borderId="1" xfId="0" applyBorder="1" applyProtection="1">
      <alignment vertical="center"/>
    </xf>
    <xf numFmtId="0" fontId="0" fillId="8" borderId="1" xfId="0" applyFill="1" applyBorder="1" applyAlignment="1" applyProtection="1">
      <alignment horizontal="center" vertical="center" shrinkToFit="1"/>
    </xf>
    <xf numFmtId="0" fontId="0" fillId="0" borderId="20" xfId="0" applyNumberFormat="1" applyBorder="1" applyAlignment="1" applyProtection="1">
      <alignment horizontal="center" vertical="center" shrinkToFit="1"/>
    </xf>
    <xf numFmtId="0" fontId="0" fillId="0" borderId="45" xfId="0" applyNumberFormat="1" applyBorder="1" applyAlignment="1" applyProtection="1">
      <alignment horizontal="center" vertical="center" shrinkToFit="1"/>
    </xf>
    <xf numFmtId="0" fontId="0" fillId="0" borderId="0" xfId="0" applyAlignment="1">
      <alignment horizontal="left" vertical="center"/>
    </xf>
    <xf numFmtId="0" fontId="0" fillId="0" borderId="7" xfId="0" applyBorder="1" applyAlignment="1" applyProtection="1">
      <alignment horizontal="center" vertical="center"/>
    </xf>
    <xf numFmtId="0" fontId="0" fillId="0" borderId="7" xfId="0" applyBorder="1" applyProtection="1">
      <alignment vertical="center"/>
    </xf>
    <xf numFmtId="0" fontId="0" fillId="0" borderId="47" xfId="0" applyBorder="1" applyProtection="1">
      <alignment vertical="center"/>
    </xf>
    <xf numFmtId="0" fontId="0" fillId="0" borderId="46" xfId="0" applyBorder="1" applyAlignment="1" applyProtection="1">
      <alignment horizontal="left" vertical="center"/>
    </xf>
    <xf numFmtId="0" fontId="11" fillId="5" borderId="1" xfId="0" applyFont="1" applyFill="1" applyBorder="1" applyAlignment="1">
      <alignment horizontal="center" vertical="center" shrinkToFit="1"/>
    </xf>
    <xf numFmtId="0" fontId="11" fillId="5" borderId="13" xfId="0" applyFont="1" applyFill="1" applyBorder="1" applyAlignment="1">
      <alignment horizontal="center" vertical="center" shrinkToFit="1"/>
    </xf>
    <xf numFmtId="187" fontId="0" fillId="0" borderId="3" xfId="0" applyNumberFormat="1" applyBorder="1" applyAlignment="1" applyProtection="1">
      <alignment horizontal="center" vertical="center"/>
      <protection locked="0"/>
    </xf>
    <xf numFmtId="188" fontId="0" fillId="0" borderId="3" xfId="0" applyNumberFormat="1" applyBorder="1" applyAlignment="1" applyProtection="1">
      <alignment horizontal="center" vertical="center"/>
      <protection locked="0"/>
    </xf>
    <xf numFmtId="56" fontId="0" fillId="0" borderId="3" xfId="0" applyNumberFormat="1" applyBorder="1" applyAlignment="1" applyProtection="1">
      <alignment vertical="center" wrapText="1"/>
    </xf>
    <xf numFmtId="0" fontId="18" fillId="0" borderId="0" xfId="0" applyFont="1" applyAlignment="1">
      <alignment horizontal="left" vertical="center"/>
    </xf>
    <xf numFmtId="0" fontId="0" fillId="0" borderId="0" xfId="0" applyFont="1">
      <alignment vertical="center"/>
    </xf>
    <xf numFmtId="0" fontId="0" fillId="7" borderId="1" xfId="0" applyFill="1" applyBorder="1" applyAlignment="1" applyProtection="1">
      <alignment horizontal="center" vertical="center"/>
    </xf>
    <xf numFmtId="0" fontId="0" fillId="0" borderId="1" xfId="0" applyFill="1" applyBorder="1" applyAlignment="1">
      <alignment vertical="center" wrapText="1"/>
    </xf>
    <xf numFmtId="0" fontId="0" fillId="0" borderId="1" xfId="0" applyFill="1" applyBorder="1" applyAlignment="1">
      <alignment horizontal="center" vertical="center"/>
    </xf>
    <xf numFmtId="178" fontId="0" fillId="12" borderId="1" xfId="0" applyNumberFormat="1" applyFill="1" applyBorder="1" applyProtection="1">
      <alignment vertical="center"/>
    </xf>
    <xf numFmtId="0" fontId="18" fillId="0" borderId="0" xfId="0" applyFont="1">
      <alignment vertical="center"/>
    </xf>
    <xf numFmtId="0" fontId="0" fillId="0" borderId="0" xfId="0" applyAlignment="1">
      <alignment horizontal="right" vertical="center"/>
    </xf>
    <xf numFmtId="0" fontId="0" fillId="6" borderId="94" xfId="0" applyFill="1" applyBorder="1" applyAlignment="1" applyProtection="1">
      <alignment vertical="center"/>
    </xf>
    <xf numFmtId="0" fontId="0" fillId="0" borderId="95" xfId="0" applyBorder="1" applyProtection="1">
      <alignment vertical="center"/>
    </xf>
    <xf numFmtId="0" fontId="0" fillId="11" borderId="31" xfId="0" applyFill="1" applyBorder="1" applyAlignment="1" applyProtection="1">
      <alignment vertical="center"/>
    </xf>
    <xf numFmtId="0" fontId="0" fillId="11" borderId="24" xfId="0" applyFill="1" applyBorder="1" applyProtection="1">
      <alignment vertical="center"/>
    </xf>
    <xf numFmtId="0" fontId="0" fillId="11" borderId="26" xfId="0" applyFill="1" applyBorder="1" applyAlignment="1" applyProtection="1">
      <alignment vertical="center"/>
    </xf>
    <xf numFmtId="0" fontId="0" fillId="11" borderId="26" xfId="0" applyFill="1" applyBorder="1" applyProtection="1">
      <alignment vertical="center"/>
    </xf>
    <xf numFmtId="0" fontId="0" fillId="11" borderId="32" xfId="0" applyFill="1" applyBorder="1" applyProtection="1">
      <alignment vertical="center"/>
    </xf>
    <xf numFmtId="56" fontId="0" fillId="0" borderId="77" xfId="0" applyNumberFormat="1" applyBorder="1" applyProtection="1">
      <alignment vertical="center"/>
    </xf>
    <xf numFmtId="56" fontId="0" fillId="0" borderId="4" xfId="0" applyNumberFormat="1" applyBorder="1" applyAlignment="1" applyProtection="1">
      <alignment horizontal="center" vertical="center"/>
    </xf>
    <xf numFmtId="0" fontId="0" fillId="0" borderId="96" xfId="0" applyBorder="1" applyProtection="1">
      <alignment vertical="center"/>
    </xf>
    <xf numFmtId="0" fontId="0" fillId="6" borderId="97" xfId="0" applyFill="1" applyBorder="1" applyAlignment="1" applyProtection="1">
      <alignment vertical="center"/>
    </xf>
    <xf numFmtId="0" fontId="0" fillId="0" borderId="25" xfId="0" applyBorder="1" applyProtection="1">
      <alignment vertical="center"/>
    </xf>
    <xf numFmtId="0" fontId="18" fillId="6" borderId="98" xfId="0" applyFont="1" applyFill="1" applyBorder="1" applyAlignment="1" applyProtection="1">
      <alignment vertical="center"/>
    </xf>
    <xf numFmtId="0" fontId="0" fillId="0" borderId="98" xfId="0" applyBorder="1" applyProtection="1">
      <alignment vertical="center"/>
    </xf>
    <xf numFmtId="0" fontId="0" fillId="0" borderId="99" xfId="0" applyBorder="1" applyProtection="1">
      <alignment vertical="center"/>
    </xf>
    <xf numFmtId="0" fontId="18" fillId="6" borderId="20" xfId="0" applyFont="1" applyFill="1" applyBorder="1" applyAlignment="1" applyProtection="1">
      <alignment vertical="center"/>
    </xf>
    <xf numFmtId="0" fontId="0" fillId="14" borderId="1" xfId="0" applyFill="1" applyBorder="1">
      <alignment vertical="center"/>
    </xf>
    <xf numFmtId="0" fontId="3" fillId="14" borderId="9" xfId="0" applyFont="1" applyFill="1" applyBorder="1" applyAlignment="1" applyProtection="1">
      <alignment horizontal="center" vertical="center"/>
      <protection locked="0"/>
    </xf>
    <xf numFmtId="0" fontId="3" fillId="14" borderId="9" xfId="0" applyFont="1" applyFill="1" applyBorder="1" applyAlignment="1" applyProtection="1">
      <alignment horizontal="right" vertical="center" indent="1"/>
      <protection locked="0"/>
    </xf>
    <xf numFmtId="0" fontId="6" fillId="14" borderId="9" xfId="0" applyFont="1" applyFill="1" applyBorder="1" applyAlignment="1" applyProtection="1">
      <alignment horizontal="center" vertical="center"/>
      <protection locked="0"/>
    </xf>
    <xf numFmtId="0" fontId="24" fillId="14" borderId="9" xfId="0" applyFont="1" applyFill="1" applyBorder="1" applyAlignment="1" applyProtection="1">
      <alignment horizontal="center" vertical="center"/>
      <protection locked="0"/>
    </xf>
    <xf numFmtId="49" fontId="0" fillId="14" borderId="1" xfId="0" applyNumberFormat="1" applyFill="1" applyBorder="1" applyAlignment="1" applyProtection="1">
      <alignment horizontal="center" vertical="center" shrinkToFit="1"/>
      <protection locked="0"/>
    </xf>
    <xf numFmtId="0" fontId="17" fillId="0" borderId="0" xfId="0" applyFont="1">
      <alignment vertical="center"/>
    </xf>
    <xf numFmtId="0" fontId="0" fillId="0" borderId="0" xfId="0" applyFill="1">
      <alignment vertical="center"/>
    </xf>
    <xf numFmtId="178" fontId="0" fillId="13" borderId="1" xfId="0" applyNumberFormat="1" applyFill="1" applyBorder="1" applyProtection="1">
      <alignment vertical="center"/>
      <protection locked="0"/>
    </xf>
    <xf numFmtId="0" fontId="12" fillId="0" borderId="26" xfId="0" applyFont="1" applyBorder="1" applyAlignment="1">
      <alignment vertical="center" shrinkToFit="1"/>
    </xf>
    <xf numFmtId="56" fontId="0" fillId="0" borderId="79" xfId="0" applyNumberFormat="1" applyBorder="1" applyProtection="1">
      <alignment vertical="center"/>
    </xf>
    <xf numFmtId="56" fontId="0" fillId="0" borderId="5" xfId="0" applyNumberFormat="1" applyBorder="1" applyAlignment="1" applyProtection="1">
      <alignment horizontal="center" vertical="center"/>
    </xf>
    <xf numFmtId="0" fontId="0" fillId="0" borderId="81" xfId="0" applyBorder="1" applyProtection="1">
      <alignment vertical="center"/>
    </xf>
    <xf numFmtId="56" fontId="0" fillId="0" borderId="41" xfId="0" applyNumberFormat="1" applyBorder="1" applyProtection="1">
      <alignment vertical="center"/>
    </xf>
    <xf numFmtId="0" fontId="0" fillId="0" borderId="17" xfId="0" applyBorder="1" applyProtection="1">
      <alignment vertical="center"/>
    </xf>
    <xf numFmtId="56" fontId="0" fillId="0" borderId="56" xfId="0" applyNumberFormat="1" applyBorder="1" applyProtection="1">
      <alignment vertical="center"/>
    </xf>
    <xf numFmtId="56" fontId="0" fillId="0" borderId="2" xfId="0" applyNumberFormat="1" applyBorder="1" applyAlignment="1" applyProtection="1">
      <alignment horizontal="center" vertical="center"/>
    </xf>
    <xf numFmtId="0" fontId="0" fillId="0" borderId="90" xfId="0" applyBorder="1" applyProtection="1">
      <alignment vertical="center"/>
    </xf>
    <xf numFmtId="183" fontId="0" fillId="13" borderId="1" xfId="0" applyNumberFormat="1" applyFill="1" applyBorder="1" applyAlignment="1" applyProtection="1">
      <alignment horizontal="center" vertical="center"/>
      <protection locked="0"/>
    </xf>
    <xf numFmtId="178" fontId="0" fillId="14" borderId="1" xfId="0" applyNumberFormat="1" applyFill="1" applyBorder="1" applyProtection="1">
      <alignment vertical="center"/>
      <protection locked="0"/>
    </xf>
    <xf numFmtId="183" fontId="0" fillId="14" borderId="1" xfId="0" applyNumberFormat="1" applyFill="1" applyBorder="1" applyAlignment="1" applyProtection="1">
      <alignment horizontal="center" vertical="center"/>
      <protection locked="0"/>
    </xf>
    <xf numFmtId="178" fontId="0" fillId="15" borderId="1" xfId="0" applyNumberFormat="1" applyFill="1" applyBorder="1" applyProtection="1">
      <alignment vertical="center"/>
      <protection locked="0"/>
    </xf>
    <xf numFmtId="0" fontId="18" fillId="0" borderId="100" xfId="0" applyFont="1" applyBorder="1" applyAlignment="1" applyProtection="1">
      <alignment vertical="center" shrinkToFit="1"/>
    </xf>
    <xf numFmtId="0" fontId="18" fillId="0" borderId="101" xfId="0" applyFont="1" applyBorder="1" applyAlignment="1" applyProtection="1">
      <alignment vertical="center" shrinkToFit="1"/>
    </xf>
    <xf numFmtId="0" fontId="0" fillId="4" borderId="14" xfId="0" applyFill="1" applyBorder="1" applyAlignment="1" applyProtection="1">
      <alignment horizontal="left" vertical="center" indent="1"/>
      <protection locked="0"/>
    </xf>
    <xf numFmtId="0" fontId="0" fillId="4" borderId="15" xfId="0" applyFill="1" applyBorder="1" applyAlignment="1" applyProtection="1">
      <alignment horizontal="left" vertical="center" indent="1"/>
      <protection locked="0"/>
    </xf>
    <xf numFmtId="0" fontId="0" fillId="4" borderId="46" xfId="0" applyFill="1" applyBorder="1" applyAlignment="1">
      <alignment vertical="center"/>
    </xf>
    <xf numFmtId="0" fontId="0" fillId="4" borderId="47" xfId="0" applyFill="1" applyBorder="1" applyAlignment="1">
      <alignment vertical="center"/>
    </xf>
    <xf numFmtId="0" fontId="0" fillId="4" borderId="20" xfId="0" applyFill="1" applyBorder="1" applyAlignment="1" applyProtection="1">
      <alignment horizontal="left" vertical="center" indent="1" shrinkToFit="1"/>
      <protection locked="0"/>
    </xf>
    <xf numFmtId="0" fontId="0" fillId="4" borderId="26" xfId="0" applyFill="1" applyBorder="1" applyAlignment="1" applyProtection="1">
      <alignment horizontal="left" vertical="center" indent="1" shrinkToFit="1"/>
      <protection locked="0"/>
    </xf>
    <xf numFmtId="0" fontId="0" fillId="4" borderId="24" xfId="0" applyFill="1" applyBorder="1" applyAlignment="1" applyProtection="1">
      <alignment horizontal="left" vertical="center" indent="1" shrinkToFit="1"/>
      <protection locked="0"/>
    </xf>
    <xf numFmtId="0" fontId="0" fillId="4" borderId="1" xfId="0" applyFill="1" applyBorder="1" applyAlignment="1" applyProtection="1">
      <alignment horizontal="left" vertical="center" indent="1" shrinkToFit="1"/>
      <protection locked="0"/>
    </xf>
    <xf numFmtId="0" fontId="0" fillId="4" borderId="2" xfId="0" applyFill="1" applyBorder="1" applyAlignment="1" applyProtection="1">
      <alignment horizontal="left" vertical="center" indent="1" shrinkToFit="1"/>
      <protection locked="0"/>
    </xf>
    <xf numFmtId="0" fontId="0" fillId="4" borderId="27" xfId="0" applyFill="1" applyBorder="1" applyAlignment="1" applyProtection="1">
      <alignment horizontal="left" vertical="center" wrapText="1" indent="1"/>
      <protection locked="0"/>
    </xf>
    <xf numFmtId="0" fontId="0" fillId="4" borderId="48" xfId="0" applyFill="1" applyBorder="1" applyAlignment="1" applyProtection="1">
      <alignment horizontal="left" vertical="center" indent="1"/>
      <protection locked="0"/>
    </xf>
    <xf numFmtId="0" fontId="0" fillId="11" borderId="58" xfId="0" applyFill="1" applyBorder="1" applyAlignment="1" applyProtection="1">
      <alignment horizontal="center" vertical="center"/>
    </xf>
    <xf numFmtId="0" fontId="0" fillId="11" borderId="59" xfId="0" applyFill="1" applyBorder="1" applyAlignment="1" applyProtection="1">
      <alignment horizontal="center" vertical="center"/>
    </xf>
    <xf numFmtId="0" fontId="0" fillId="11" borderId="60" xfId="0" applyFill="1" applyBorder="1" applyAlignment="1" applyProtection="1">
      <alignment horizontal="center" vertical="center"/>
    </xf>
    <xf numFmtId="0" fontId="0" fillId="2" borderId="11" xfId="0" applyFill="1" applyBorder="1" applyAlignment="1">
      <alignment horizontal="center" vertical="center"/>
    </xf>
    <xf numFmtId="0" fontId="0" fillId="2" borderId="3" xfId="0" applyFill="1" applyBorder="1" applyAlignment="1">
      <alignment horizontal="center" vertical="center"/>
    </xf>
    <xf numFmtId="0" fontId="0" fillId="2" borderId="56" xfId="0" applyFill="1" applyBorder="1" applyAlignment="1">
      <alignment horizontal="center" vertical="center"/>
    </xf>
    <xf numFmtId="0" fontId="1" fillId="2" borderId="50"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57" xfId="0" applyFont="1" applyFill="1" applyBorder="1" applyAlignment="1">
      <alignment horizontal="center" vertical="center"/>
    </xf>
    <xf numFmtId="0" fontId="0" fillId="14" borderId="20" xfId="0" applyFill="1" applyBorder="1" applyAlignment="1" applyProtection="1">
      <alignment horizontal="left" vertical="center" indent="1" shrinkToFit="1"/>
      <protection locked="0"/>
    </xf>
    <xf numFmtId="0" fontId="0" fillId="14" borderId="26" xfId="0" applyFill="1" applyBorder="1" applyAlignment="1" applyProtection="1">
      <alignment horizontal="left" vertical="center" indent="1" shrinkToFit="1"/>
      <protection locked="0"/>
    </xf>
    <xf numFmtId="0" fontId="0" fillId="14" borderId="24" xfId="0" applyFill="1" applyBorder="1" applyAlignment="1" applyProtection="1">
      <alignment horizontal="left" vertical="center" indent="1" shrinkToFit="1"/>
      <protection locked="0"/>
    </xf>
    <xf numFmtId="0" fontId="0" fillId="13" borderId="38" xfId="0" applyFill="1" applyBorder="1" applyAlignment="1" applyProtection="1">
      <alignment horizontal="left" vertical="center"/>
      <protection locked="0"/>
    </xf>
    <xf numFmtId="0" fontId="0" fillId="13" borderId="37" xfId="0" applyFill="1" applyBorder="1" applyAlignment="1" applyProtection="1">
      <alignment horizontal="left" vertical="center"/>
      <protection locked="0"/>
    </xf>
    <xf numFmtId="0" fontId="0" fillId="13" borderId="73" xfId="0" applyFill="1" applyBorder="1" applyAlignment="1" applyProtection="1">
      <alignment horizontal="left" vertical="center"/>
      <protection locked="0"/>
    </xf>
    <xf numFmtId="0" fontId="0" fillId="2" borderId="46" xfId="0" applyFill="1" applyBorder="1" applyAlignment="1">
      <alignment horizontal="center" vertical="center" shrinkToFit="1"/>
    </xf>
    <xf numFmtId="0" fontId="0" fillId="2" borderId="49" xfId="0" applyFill="1" applyBorder="1" applyAlignment="1">
      <alignment horizontal="center" vertical="center" shrinkToFit="1"/>
    </xf>
    <xf numFmtId="0" fontId="0" fillId="2" borderId="42" xfId="0" applyFill="1" applyBorder="1" applyAlignment="1">
      <alignment horizontal="center" vertical="center" shrinkToFit="1"/>
    </xf>
    <xf numFmtId="0" fontId="0" fillId="2" borderId="14" xfId="0" applyFill="1" applyBorder="1" applyAlignment="1">
      <alignment horizontal="center" vertical="center" shrinkToFit="1"/>
    </xf>
    <xf numFmtId="0" fontId="0" fillId="14" borderId="50" xfId="0" applyFill="1" applyBorder="1" applyAlignment="1" applyProtection="1">
      <alignment horizontal="left" vertical="center" indent="1" shrinkToFit="1"/>
      <protection locked="0"/>
    </xf>
    <xf numFmtId="0" fontId="0" fillId="14" borderId="40" xfId="0" applyFill="1" applyBorder="1" applyAlignment="1" applyProtection="1">
      <alignment horizontal="left" vertical="center" indent="1" shrinkToFit="1"/>
      <protection locked="0"/>
    </xf>
    <xf numFmtId="0" fontId="0" fillId="14" borderId="16" xfId="0" applyFill="1" applyBorder="1" applyAlignment="1" applyProtection="1">
      <alignment horizontal="left" vertical="center" indent="1" shrinkToFit="1"/>
      <protection locked="0"/>
    </xf>
    <xf numFmtId="0" fontId="0" fillId="14" borderId="17" xfId="0" applyFill="1" applyBorder="1" applyAlignment="1" applyProtection="1">
      <alignment horizontal="left" vertical="center" indent="1" shrinkToFit="1"/>
      <protection locked="0"/>
    </xf>
    <xf numFmtId="0" fontId="0" fillId="14" borderId="45" xfId="0" applyFill="1" applyBorder="1" applyAlignment="1" applyProtection="1">
      <alignment horizontal="left" vertical="center" indent="1" shrinkToFit="1"/>
      <protection locked="0"/>
    </xf>
    <xf numFmtId="0" fontId="0" fillId="14" borderId="34" xfId="0" applyFill="1" applyBorder="1" applyAlignment="1" applyProtection="1">
      <alignment horizontal="left" vertical="center" indent="1" shrinkToFit="1"/>
      <protection locked="0"/>
    </xf>
    <xf numFmtId="0" fontId="0" fillId="14" borderId="18" xfId="0" applyFill="1" applyBorder="1" applyAlignment="1" applyProtection="1">
      <alignment horizontal="left" vertical="center" indent="1" shrinkToFit="1"/>
      <protection locked="0"/>
    </xf>
    <xf numFmtId="0" fontId="0" fillId="0" borderId="20" xfId="0" applyFill="1" applyBorder="1" applyAlignment="1" applyProtection="1">
      <alignment horizontal="left" vertical="center" shrinkToFit="1"/>
      <protection locked="0"/>
    </xf>
    <xf numFmtId="0" fontId="0" fillId="0" borderId="17" xfId="0" applyFill="1" applyBorder="1" applyAlignment="1" applyProtection="1">
      <alignment horizontal="left" vertical="center" shrinkToFit="1"/>
      <protection locked="0"/>
    </xf>
    <xf numFmtId="0" fontId="0" fillId="0" borderId="51" xfId="0" applyFill="1" applyBorder="1" applyAlignment="1" applyProtection="1">
      <alignment horizontal="center" vertical="center"/>
      <protection locked="0"/>
    </xf>
    <xf numFmtId="0" fontId="0" fillId="0" borderId="52" xfId="0" applyFill="1" applyBorder="1" applyAlignment="1" applyProtection="1">
      <alignment horizontal="center" vertical="center"/>
      <protection locked="0"/>
    </xf>
    <xf numFmtId="0" fontId="0" fillId="0" borderId="53" xfId="0" applyBorder="1" applyAlignment="1">
      <alignment horizontal="center" vertical="center"/>
    </xf>
    <xf numFmtId="0" fontId="0" fillId="0" borderId="33" xfId="0" applyBorder="1" applyAlignment="1">
      <alignment horizontal="center" vertical="center"/>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2" borderId="11" xfId="0" applyFill="1" applyBorder="1" applyAlignment="1">
      <alignment horizontal="center" vertical="center" textRotation="255"/>
    </xf>
    <xf numFmtId="0" fontId="0" fillId="2" borderId="3" xfId="0" applyFill="1" applyBorder="1" applyAlignment="1">
      <alignment horizontal="center" vertical="center" textRotation="255"/>
    </xf>
    <xf numFmtId="0" fontId="0" fillId="2" borderId="6" xfId="0" applyFill="1" applyBorder="1" applyAlignment="1">
      <alignment horizontal="center" vertical="center" textRotation="255"/>
    </xf>
    <xf numFmtId="0" fontId="0" fillId="2" borderId="1" xfId="0" applyFill="1" applyBorder="1" applyAlignment="1">
      <alignment horizontal="center" vertical="center" textRotation="255"/>
    </xf>
    <xf numFmtId="0" fontId="0" fillId="0" borderId="20" xfId="0" applyFill="1" applyBorder="1" applyAlignment="1" applyProtection="1">
      <alignment horizontal="left" vertical="center" wrapText="1" shrinkToFit="1"/>
      <protection locked="0"/>
    </xf>
    <xf numFmtId="0" fontId="25" fillId="0" borderId="0" xfId="0" applyFont="1" applyAlignment="1">
      <alignment wrapText="1"/>
    </xf>
    <xf numFmtId="0" fontId="0" fillId="2" borderId="54" xfId="0" applyFill="1" applyBorder="1" applyAlignment="1">
      <alignment horizontal="center" vertical="center"/>
    </xf>
    <xf numFmtId="0" fontId="0" fillId="2" borderId="47" xfId="0" applyFill="1" applyBorder="1" applyAlignment="1">
      <alignment horizontal="center" vertical="center"/>
    </xf>
    <xf numFmtId="0" fontId="0" fillId="2" borderId="36" xfId="0" applyFill="1" applyBorder="1" applyAlignment="1">
      <alignment horizontal="center" vertical="center"/>
    </xf>
    <xf numFmtId="0" fontId="0" fillId="2" borderId="55" xfId="0" applyFill="1" applyBorder="1" applyAlignment="1">
      <alignment horizontal="center" vertical="center"/>
    </xf>
    <xf numFmtId="0" fontId="25" fillId="0" borderId="10" xfId="0" applyFont="1" applyBorder="1" applyAlignment="1">
      <alignment wrapText="1"/>
    </xf>
    <xf numFmtId="0" fontId="0" fillId="2" borderId="61" xfId="0" applyFill="1" applyBorder="1" applyAlignment="1" applyProtection="1">
      <alignment horizontal="center" vertical="center" shrinkToFit="1"/>
    </xf>
    <xf numFmtId="0" fontId="0" fillId="2" borderId="29" xfId="0" applyFill="1" applyBorder="1" applyAlignment="1" applyProtection="1">
      <alignment horizontal="center" vertical="center" shrinkToFit="1"/>
    </xf>
    <xf numFmtId="185" fontId="0" fillId="0" borderId="20" xfId="0" applyNumberFormat="1" applyFill="1" applyBorder="1" applyAlignment="1" applyProtection="1">
      <alignment horizontal="center" vertical="center"/>
    </xf>
    <xf numFmtId="185" fontId="0" fillId="0" borderId="24" xfId="0" applyNumberFormat="1" applyFill="1" applyBorder="1" applyAlignment="1" applyProtection="1">
      <alignment horizontal="center" vertical="center"/>
    </xf>
    <xf numFmtId="0" fontId="0" fillId="13" borderId="62" xfId="0" applyFill="1" applyBorder="1" applyAlignment="1" applyProtection="1">
      <alignment horizontal="left" vertical="center"/>
      <protection locked="0"/>
    </xf>
    <xf numFmtId="0" fontId="0" fillId="13" borderId="29" xfId="0" applyFill="1" applyBorder="1" applyAlignment="1" applyProtection="1">
      <alignment horizontal="left" vertical="center"/>
      <protection locked="0"/>
    </xf>
    <xf numFmtId="0" fontId="0" fillId="13" borderId="63" xfId="0" applyFill="1" applyBorder="1" applyAlignment="1" applyProtection="1">
      <alignment horizontal="left" vertical="center"/>
      <protection locked="0"/>
    </xf>
    <xf numFmtId="0" fontId="0" fillId="13" borderId="68" xfId="0" applyFill="1" applyBorder="1" applyAlignment="1" applyProtection="1">
      <alignment horizontal="left" vertical="center"/>
      <protection locked="0"/>
    </xf>
    <xf numFmtId="0" fontId="0" fillId="13" borderId="69" xfId="0" applyFill="1" applyBorder="1" applyAlignment="1" applyProtection="1">
      <alignment horizontal="left" vertical="center"/>
      <protection locked="0"/>
    </xf>
    <xf numFmtId="0" fontId="0" fillId="13" borderId="70" xfId="0" applyFill="1" applyBorder="1" applyAlignment="1" applyProtection="1">
      <alignment horizontal="left" vertical="center"/>
      <protection locked="0"/>
    </xf>
    <xf numFmtId="0" fontId="0" fillId="2" borderId="27" xfId="0" applyFill="1" applyBorder="1" applyAlignment="1" applyProtection="1">
      <alignment horizontal="center" vertical="center" shrinkToFit="1"/>
    </xf>
    <xf numFmtId="0" fontId="0" fillId="2" borderId="0" xfId="0" applyFill="1" applyBorder="1" applyAlignment="1" applyProtection="1">
      <alignment horizontal="center" vertical="center" shrinkToFit="1"/>
    </xf>
    <xf numFmtId="0" fontId="0" fillId="2" borderId="14" xfId="0" applyFill="1" applyBorder="1" applyAlignment="1" applyProtection="1">
      <alignment horizontal="center" vertical="center" shrinkToFit="1"/>
    </xf>
    <xf numFmtId="0" fontId="0" fillId="2" borderId="19" xfId="0" applyFill="1" applyBorder="1" applyAlignment="1" applyProtection="1">
      <alignment horizontal="center" vertical="center" shrinkToFit="1"/>
    </xf>
    <xf numFmtId="0" fontId="0" fillId="2" borderId="42" xfId="0" applyFill="1" applyBorder="1" applyAlignment="1" applyProtection="1">
      <alignment horizontal="center" vertical="center" shrinkToFit="1"/>
    </xf>
    <xf numFmtId="0" fontId="0" fillId="2" borderId="43" xfId="0" applyFill="1" applyBorder="1" applyAlignment="1" applyProtection="1">
      <alignment horizontal="center" vertical="center" shrinkToFit="1"/>
    </xf>
    <xf numFmtId="0" fontId="0" fillId="2" borderId="49" xfId="0" applyFill="1" applyBorder="1" applyAlignment="1" applyProtection="1">
      <alignment horizontal="center" vertical="center" shrinkToFit="1"/>
    </xf>
    <xf numFmtId="0" fontId="0" fillId="2" borderId="28" xfId="0" applyFill="1" applyBorder="1" applyAlignment="1" applyProtection="1">
      <alignment horizontal="center" vertical="center" shrinkToFit="1"/>
    </xf>
    <xf numFmtId="0" fontId="0" fillId="13" borderId="65" xfId="0" applyFill="1" applyBorder="1" applyAlignment="1" applyProtection="1">
      <alignment horizontal="left" vertical="center"/>
      <protection locked="0"/>
    </xf>
    <xf numFmtId="0" fontId="0" fillId="13" borderId="66" xfId="0" applyFill="1" applyBorder="1" applyAlignment="1" applyProtection="1">
      <alignment horizontal="left" vertical="center"/>
      <protection locked="0"/>
    </xf>
    <xf numFmtId="0" fontId="0" fillId="13" borderId="67" xfId="0" applyFill="1" applyBorder="1" applyAlignment="1" applyProtection="1">
      <alignment horizontal="left" vertical="center"/>
      <protection locked="0"/>
    </xf>
    <xf numFmtId="185" fontId="0" fillId="0" borderId="10" xfId="0" applyNumberFormat="1" applyFill="1" applyBorder="1" applyAlignment="1" applyProtection="1">
      <alignment horizontal="center" vertical="center"/>
    </xf>
    <xf numFmtId="185" fontId="0" fillId="0" borderId="71" xfId="0" applyNumberFormat="1" applyFill="1" applyBorder="1" applyAlignment="1" applyProtection="1">
      <alignment horizontal="center" vertical="center"/>
    </xf>
    <xf numFmtId="185" fontId="0" fillId="0" borderId="72" xfId="0" applyNumberFormat="1" applyFill="1" applyBorder="1" applyAlignment="1" applyProtection="1">
      <alignment horizontal="center" vertical="center"/>
    </xf>
    <xf numFmtId="185" fontId="0" fillId="0" borderId="36" xfId="0" applyNumberFormat="1" applyFill="1" applyBorder="1" applyAlignment="1" applyProtection="1">
      <alignment horizontal="center" vertical="center"/>
    </xf>
    <xf numFmtId="0" fontId="0" fillId="13" borderId="74" xfId="0" applyFill="1" applyBorder="1" applyAlignment="1" applyProtection="1">
      <alignment horizontal="left" vertical="center"/>
      <protection locked="0"/>
    </xf>
    <xf numFmtId="0" fontId="0" fillId="13" borderId="75" xfId="0" applyFill="1" applyBorder="1" applyAlignment="1" applyProtection="1">
      <alignment horizontal="left" vertical="center"/>
      <protection locked="0"/>
    </xf>
    <xf numFmtId="0" fontId="0" fillId="13" borderId="76" xfId="0" applyFill="1" applyBorder="1" applyAlignment="1" applyProtection="1">
      <alignment horizontal="left" vertical="center"/>
      <protection locked="0"/>
    </xf>
    <xf numFmtId="0" fontId="0" fillId="2" borderId="77" xfId="0" applyFill="1" applyBorder="1" applyAlignment="1" applyProtection="1">
      <alignment horizontal="center" vertical="center" shrinkToFit="1"/>
    </xf>
    <xf numFmtId="0" fontId="0" fillId="2" borderId="78" xfId="0" applyFill="1" applyBorder="1" applyAlignment="1" applyProtection="1">
      <alignment horizontal="center" vertical="center" shrinkToFit="1"/>
    </xf>
    <xf numFmtId="0" fontId="0" fillId="2" borderId="79" xfId="0" applyFill="1" applyBorder="1" applyAlignment="1" applyProtection="1">
      <alignment horizontal="center" vertical="center" shrinkToFit="1"/>
    </xf>
    <xf numFmtId="185" fontId="0" fillId="0" borderId="80" xfId="0" applyNumberFormat="1" applyFill="1" applyBorder="1" applyAlignment="1" applyProtection="1">
      <alignment horizontal="center" vertical="center"/>
    </xf>
    <xf numFmtId="185" fontId="0" fillId="0" borderId="81" xfId="0" applyNumberFormat="1" applyFill="1" applyBorder="1" applyAlignment="1" applyProtection="1">
      <alignment horizontal="center" vertical="center"/>
    </xf>
    <xf numFmtId="0" fontId="0" fillId="0" borderId="54" xfId="0" applyFill="1" applyBorder="1" applyAlignment="1" applyProtection="1">
      <alignment horizontal="left" vertical="center"/>
    </xf>
    <xf numFmtId="0" fontId="0" fillId="0" borderId="7" xfId="0" applyFill="1" applyBorder="1" applyAlignment="1" applyProtection="1">
      <alignment horizontal="left" vertical="center"/>
    </xf>
    <xf numFmtId="0" fontId="0" fillId="0" borderId="47" xfId="0" applyFill="1" applyBorder="1" applyAlignment="1" applyProtection="1">
      <alignment horizontal="left" vertical="center"/>
    </xf>
    <xf numFmtId="0" fontId="0" fillId="0" borderId="38" xfId="0" applyFill="1" applyBorder="1" applyAlignment="1" applyProtection="1">
      <alignment horizontal="left" vertical="center"/>
    </xf>
    <xf numFmtId="0" fontId="0" fillId="0" borderId="37" xfId="0" applyFill="1" applyBorder="1" applyAlignment="1" applyProtection="1">
      <alignment horizontal="left" vertical="center"/>
    </xf>
    <xf numFmtId="0" fontId="0" fillId="0" borderId="73" xfId="0" applyFill="1" applyBorder="1" applyAlignment="1" applyProtection="1">
      <alignment horizontal="left" vertical="center"/>
    </xf>
    <xf numFmtId="0" fontId="11" fillId="2" borderId="54" xfId="0" applyFont="1" applyFill="1" applyBorder="1" applyAlignment="1" applyProtection="1">
      <alignment horizontal="center" vertical="center" shrinkToFit="1"/>
    </xf>
    <xf numFmtId="0" fontId="11" fillId="2" borderId="38" xfId="0" applyFont="1" applyFill="1" applyBorder="1" applyAlignment="1" applyProtection="1">
      <alignment horizontal="center" vertical="center" shrinkToFit="1"/>
    </xf>
    <xf numFmtId="0" fontId="0" fillId="13" borderId="64" xfId="0" applyNumberFormat="1" applyFill="1" applyBorder="1" applyAlignment="1" applyProtection="1">
      <alignment horizontal="center" vertical="center"/>
      <protection locked="0"/>
    </xf>
    <xf numFmtId="0" fontId="0" fillId="13" borderId="5" xfId="0" applyNumberFormat="1" applyFill="1" applyBorder="1" applyAlignment="1" applyProtection="1">
      <alignment horizontal="center" vertical="center"/>
      <protection locked="0"/>
    </xf>
    <xf numFmtId="0" fontId="5" fillId="0" borderId="21" xfId="0" applyFont="1" applyBorder="1" applyAlignment="1" applyProtection="1">
      <alignment horizontal="center" vertical="center"/>
      <protection hidden="1"/>
    </xf>
    <xf numFmtId="0" fontId="5" fillId="0" borderId="78" xfId="0" applyFont="1" applyBorder="1" applyAlignment="1" applyProtection="1">
      <alignment horizontal="center" vertical="center"/>
      <protection hidden="1"/>
    </xf>
    <xf numFmtId="0" fontId="5" fillId="0" borderId="84" xfId="0" applyFont="1" applyBorder="1" applyAlignment="1" applyProtection="1">
      <alignment horizontal="center" vertical="center"/>
      <protection hidden="1"/>
    </xf>
    <xf numFmtId="0" fontId="5" fillId="0" borderId="23" xfId="0" applyFont="1" applyBorder="1" applyAlignment="1" applyProtection="1">
      <alignment horizontal="center" vertical="center"/>
      <protection hidden="1"/>
    </xf>
    <xf numFmtId="0" fontId="5" fillId="0" borderId="44" xfId="0" applyFont="1" applyBorder="1" applyAlignment="1" applyProtection="1">
      <alignment horizontal="center" vertical="center"/>
      <protection hidden="1"/>
    </xf>
    <xf numFmtId="0" fontId="5" fillId="0" borderId="72" xfId="0" applyFont="1" applyBorder="1" applyAlignment="1" applyProtection="1">
      <alignment horizontal="center" vertical="center"/>
      <protection hidden="1"/>
    </xf>
    <xf numFmtId="0" fontId="5" fillId="0" borderId="48" xfId="0" applyFont="1" applyBorder="1" applyAlignment="1" applyProtection="1">
      <alignment horizontal="center" vertical="center"/>
      <protection hidden="1"/>
    </xf>
    <xf numFmtId="0" fontId="5" fillId="0" borderId="83" xfId="0" applyFont="1" applyBorder="1" applyAlignment="1" applyProtection="1">
      <alignment horizontal="center" vertical="center"/>
      <protection hidden="1"/>
    </xf>
    <xf numFmtId="0" fontId="5" fillId="0" borderId="15" xfId="0" applyFont="1" applyBorder="1" applyAlignment="1" applyProtection="1">
      <alignment horizontal="center" vertical="center"/>
      <protection hidden="1"/>
    </xf>
    <xf numFmtId="0" fontId="0" fillId="0" borderId="27" xfId="0" applyBorder="1" applyAlignment="1" applyProtection="1">
      <alignment horizontal="left" vertical="center"/>
    </xf>
    <xf numFmtId="0" fontId="0" fillId="0" borderId="0" xfId="0" applyBorder="1" applyAlignment="1" applyProtection="1">
      <alignment horizontal="left" vertical="center"/>
    </xf>
    <xf numFmtId="0" fontId="0" fillId="0" borderId="48" xfId="0" applyBorder="1" applyAlignment="1" applyProtection="1">
      <alignment horizontal="left" vertical="center"/>
    </xf>
    <xf numFmtId="0" fontId="0" fillId="0" borderId="14" xfId="0" applyBorder="1" applyAlignment="1" applyProtection="1">
      <alignment horizontal="left" vertical="center"/>
    </xf>
    <xf numFmtId="0" fontId="0" fillId="0" borderId="19" xfId="0" applyBorder="1" applyAlignment="1" applyProtection="1">
      <alignment horizontal="left" vertical="center"/>
    </xf>
    <xf numFmtId="0" fontId="0" fillId="0" borderId="15" xfId="0" applyBorder="1" applyAlignment="1" applyProtection="1">
      <alignment horizontal="left" vertical="center"/>
    </xf>
    <xf numFmtId="0" fontId="0" fillId="0" borderId="27" xfId="0" applyBorder="1" applyAlignment="1" applyProtection="1">
      <alignment horizontal="center" vertical="center" shrinkToFit="1"/>
    </xf>
    <xf numFmtId="0" fontId="0" fillId="0" borderId="0" xfId="0" applyBorder="1" applyAlignment="1" applyProtection="1">
      <alignment horizontal="center" vertical="center" shrinkToFit="1"/>
    </xf>
    <xf numFmtId="0" fontId="0" fillId="0" borderId="10" xfId="0" applyBorder="1" applyAlignment="1" applyProtection="1">
      <alignment horizontal="center" vertical="center" shrinkToFit="1"/>
    </xf>
    <xf numFmtId="0" fontId="0" fillId="0" borderId="14" xfId="0" applyBorder="1" applyAlignment="1" applyProtection="1">
      <alignment horizontal="center" vertical="center" shrinkToFit="1"/>
    </xf>
    <xf numFmtId="0" fontId="0" fillId="0" borderId="19" xfId="0" applyBorder="1" applyAlignment="1" applyProtection="1">
      <alignment horizontal="center" vertical="center" shrinkToFit="1"/>
    </xf>
    <xf numFmtId="0" fontId="0" fillId="0" borderId="82" xfId="0" applyBorder="1" applyAlignment="1" applyProtection="1">
      <alignment horizontal="center" vertical="center" shrinkToFit="1"/>
    </xf>
    <xf numFmtId="0" fontId="0" fillId="0" borderId="26" xfId="0" applyBorder="1" applyAlignment="1" applyProtection="1">
      <alignment horizontal="left" vertical="center" shrinkToFit="1"/>
    </xf>
    <xf numFmtId="0" fontId="0" fillId="0" borderId="24" xfId="0" applyBorder="1" applyAlignment="1" applyProtection="1">
      <alignment horizontal="left" vertical="center" shrinkToFit="1"/>
    </xf>
    <xf numFmtId="0" fontId="0" fillId="0" borderId="34" xfId="0" applyBorder="1" applyAlignment="1" applyProtection="1">
      <alignment horizontal="left" vertical="center" shrinkToFit="1"/>
    </xf>
    <xf numFmtId="0" fontId="0" fillId="0" borderId="33" xfId="0" applyBorder="1" applyAlignment="1" applyProtection="1">
      <alignment horizontal="left" vertical="center" shrinkToFit="1"/>
    </xf>
    <xf numFmtId="0" fontId="0" fillId="0" borderId="41" xfId="0" applyBorder="1" applyAlignment="1" applyProtection="1">
      <alignment horizontal="center" vertical="center"/>
    </xf>
    <xf numFmtId="0" fontId="0" fillId="0" borderId="24" xfId="0" applyBorder="1" applyAlignment="1" applyProtection="1">
      <alignment horizontal="center" vertical="center"/>
    </xf>
    <xf numFmtId="0" fontId="0" fillId="8" borderId="41" xfId="0" applyFill="1" applyBorder="1" applyAlignment="1" applyProtection="1">
      <alignment horizontal="center" vertical="center"/>
    </xf>
    <xf numFmtId="0" fontId="0" fillId="8" borderId="26" xfId="0" applyFill="1" applyBorder="1" applyAlignment="1" applyProtection="1">
      <alignment horizontal="center" vertical="center"/>
    </xf>
    <xf numFmtId="0" fontId="0" fillId="8" borderId="24" xfId="0" applyFill="1" applyBorder="1" applyAlignment="1" applyProtection="1">
      <alignment horizontal="center" vertical="center"/>
    </xf>
    <xf numFmtId="0" fontId="0" fillId="0" borderId="42" xfId="0" applyBorder="1" applyAlignment="1" applyProtection="1">
      <alignment horizontal="center" shrinkToFit="1"/>
    </xf>
    <xf numFmtId="0" fontId="0" fillId="0" borderId="43" xfId="0" applyBorder="1" applyAlignment="1" applyProtection="1">
      <alignment horizontal="center" shrinkToFit="1"/>
    </xf>
    <xf numFmtId="0" fontId="0" fillId="0" borderId="25" xfId="0" applyBorder="1" applyAlignment="1" applyProtection="1">
      <alignment horizontal="center" shrinkToFit="1"/>
    </xf>
    <xf numFmtId="0" fontId="4" fillId="0" borderId="0" xfId="0" applyFont="1" applyAlignment="1" applyProtection="1">
      <alignment horizontal="center" vertical="center"/>
    </xf>
    <xf numFmtId="0" fontId="4" fillId="0" borderId="0" xfId="0" applyFont="1" applyAlignment="1" applyProtection="1">
      <alignment horizontal="left" vertical="center"/>
    </xf>
    <xf numFmtId="186" fontId="0" fillId="0" borderId="1" xfId="0" applyNumberFormat="1" applyBorder="1" applyAlignment="1" applyProtection="1">
      <alignment horizontal="left" vertical="center" indent="1" shrinkToFit="1"/>
    </xf>
    <xf numFmtId="186" fontId="0" fillId="0" borderId="20" xfId="0" applyNumberFormat="1" applyBorder="1" applyAlignment="1" applyProtection="1">
      <alignment horizontal="left" vertical="center" indent="1" shrinkToFit="1"/>
    </xf>
    <xf numFmtId="186" fontId="0" fillId="0" borderId="13" xfId="0" applyNumberFormat="1" applyBorder="1" applyAlignment="1" applyProtection="1">
      <alignment horizontal="left" vertical="center" indent="1" shrinkToFit="1"/>
    </xf>
    <xf numFmtId="0" fontId="0" fillId="0" borderId="0" xfId="0" applyAlignment="1" applyProtection="1">
      <alignment horizontal="left" vertical="center" shrinkToFit="1"/>
    </xf>
    <xf numFmtId="0" fontId="0" fillId="0" borderId="19" xfId="0" applyBorder="1" applyAlignment="1" applyProtection="1">
      <alignment vertical="center"/>
    </xf>
    <xf numFmtId="0" fontId="0" fillId="8" borderId="6" xfId="0" applyFill="1" applyBorder="1" applyAlignment="1" applyProtection="1">
      <alignment horizontal="center" vertical="center"/>
    </xf>
    <xf numFmtId="0" fontId="0" fillId="8" borderId="50" xfId="0" applyFill="1" applyBorder="1" applyAlignment="1" applyProtection="1">
      <alignment horizontal="center" vertical="center"/>
    </xf>
    <xf numFmtId="0" fontId="0" fillId="8" borderId="12" xfId="0" applyFill="1" applyBorder="1" applyAlignment="1" applyProtection="1">
      <alignment horizontal="center" vertical="center"/>
    </xf>
    <xf numFmtId="0" fontId="0" fillId="8" borderId="3" xfId="0" applyFill="1" applyBorder="1" applyAlignment="1" applyProtection="1">
      <alignment horizontal="center" vertical="center" shrinkToFit="1"/>
    </xf>
    <xf numFmtId="0" fontId="0" fillId="8" borderId="1" xfId="0" applyFill="1" applyBorder="1" applyAlignment="1" applyProtection="1">
      <alignment horizontal="center" vertical="center" shrinkToFit="1"/>
    </xf>
    <xf numFmtId="0" fontId="0" fillId="8" borderId="20" xfId="0" applyFill="1" applyBorder="1" applyAlignment="1" applyProtection="1">
      <alignment horizontal="center" vertical="center" shrinkToFit="1"/>
    </xf>
    <xf numFmtId="0" fontId="0" fillId="8" borderId="17" xfId="0" applyFill="1" applyBorder="1" applyAlignment="1" applyProtection="1">
      <alignment horizontal="center" vertical="center" shrinkToFit="1"/>
    </xf>
    <xf numFmtId="0" fontId="0" fillId="8" borderId="26" xfId="0" applyFill="1" applyBorder="1" applyAlignment="1" applyProtection="1">
      <alignment horizontal="center" vertical="center" shrinkToFit="1"/>
    </xf>
    <xf numFmtId="0" fontId="0" fillId="8" borderId="24" xfId="0" applyFill="1" applyBorder="1" applyAlignment="1" applyProtection="1">
      <alignment horizontal="center" vertical="center" shrinkToFit="1"/>
    </xf>
    <xf numFmtId="0" fontId="1" fillId="8" borderId="39" xfId="0" applyFont="1" applyFill="1" applyBorder="1" applyAlignment="1" applyProtection="1">
      <alignment horizontal="center" vertical="center"/>
      <protection hidden="1"/>
    </xf>
    <xf numFmtId="0" fontId="1" fillId="8" borderId="40" xfId="0" applyFont="1" applyFill="1" applyBorder="1" applyAlignment="1" applyProtection="1">
      <alignment horizontal="center" vertical="center"/>
      <protection hidden="1"/>
    </xf>
    <xf numFmtId="0" fontId="1" fillId="8" borderId="16" xfId="0" applyFont="1" applyFill="1" applyBorder="1" applyAlignment="1" applyProtection="1">
      <alignment horizontal="center" vertical="center"/>
      <protection hidden="1"/>
    </xf>
    <xf numFmtId="178" fontId="0" fillId="0" borderId="45" xfId="0" applyNumberFormat="1" applyBorder="1" applyAlignment="1" applyProtection="1">
      <alignment vertical="center"/>
    </xf>
    <xf numFmtId="178" fontId="0" fillId="0" borderId="18" xfId="0" applyNumberFormat="1" applyBorder="1" applyAlignment="1" applyProtection="1">
      <alignment vertical="center"/>
    </xf>
    <xf numFmtId="178" fontId="0" fillId="0" borderId="20" xfId="0" applyNumberFormat="1" applyBorder="1" applyAlignment="1" applyProtection="1">
      <alignment vertical="center"/>
    </xf>
    <xf numFmtId="178" fontId="0" fillId="0" borderId="17" xfId="0" applyNumberFormat="1" applyBorder="1" applyAlignment="1" applyProtection="1">
      <alignment vertical="center"/>
    </xf>
    <xf numFmtId="0" fontId="4" fillId="0" borderId="0" xfId="0" applyFont="1" applyAlignment="1">
      <alignment horizontal="center" vertical="center"/>
    </xf>
    <xf numFmtId="0" fontId="4" fillId="0" borderId="0" xfId="0" applyFont="1" applyAlignment="1">
      <alignment vertical="center"/>
    </xf>
    <xf numFmtId="0" fontId="8" fillId="0" borderId="0" xfId="0" applyFont="1" applyAlignment="1">
      <alignment horizontal="center" vertical="center"/>
    </xf>
    <xf numFmtId="0" fontId="10" fillId="0" borderId="0" xfId="0" applyFont="1" applyAlignment="1">
      <alignment horizontal="center" vertical="center"/>
    </xf>
    <xf numFmtId="0" fontId="10" fillId="0" borderId="19" xfId="0" applyFont="1" applyBorder="1" applyAlignment="1">
      <alignment horizontal="center" vertical="center"/>
    </xf>
    <xf numFmtId="0" fontId="1" fillId="5" borderId="77" xfId="0" applyFont="1" applyFill="1" applyBorder="1" applyAlignment="1">
      <alignment horizontal="center" vertical="center"/>
    </xf>
    <xf numFmtId="0" fontId="1" fillId="5" borderId="79"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54" xfId="0" applyFont="1" applyFill="1" applyBorder="1" applyAlignment="1">
      <alignment horizontal="center" vertical="center"/>
    </xf>
    <xf numFmtId="0" fontId="1" fillId="5" borderId="85" xfId="0" applyFont="1" applyFill="1" applyBorder="1" applyAlignment="1">
      <alignment horizontal="center" vertical="center"/>
    </xf>
    <xf numFmtId="0" fontId="1" fillId="5" borderId="36" xfId="0" applyFont="1" applyFill="1" applyBorder="1" applyAlignment="1">
      <alignment horizontal="center" vertical="center"/>
    </xf>
    <xf numFmtId="0" fontId="1" fillId="5" borderId="71" xfId="0" applyFont="1" applyFill="1" applyBorder="1" applyAlignment="1">
      <alignment horizontal="center" vertical="center"/>
    </xf>
    <xf numFmtId="177" fontId="12" fillId="0" borderId="20" xfId="0" applyNumberFormat="1" applyFont="1" applyBorder="1" applyAlignment="1">
      <alignment horizontal="center" vertical="center"/>
    </xf>
    <xf numFmtId="177" fontId="12" fillId="0" borderId="24" xfId="0" applyNumberFormat="1" applyFont="1" applyBorder="1" applyAlignment="1">
      <alignment horizontal="center" vertical="center"/>
    </xf>
    <xf numFmtId="186" fontId="11" fillId="0" borderId="20" xfId="0" applyNumberFormat="1" applyFont="1" applyBorder="1" applyAlignment="1">
      <alignment horizontal="left" vertical="center" indent="1" shrinkToFit="1"/>
    </xf>
    <xf numFmtId="186" fontId="11" fillId="0" borderId="26" xfId="0" applyNumberFormat="1" applyFont="1" applyBorder="1" applyAlignment="1">
      <alignment horizontal="left" vertical="center" indent="1" shrinkToFit="1"/>
    </xf>
    <xf numFmtId="186" fontId="11" fillId="0" borderId="17" xfId="0" applyNumberFormat="1" applyFont="1" applyBorder="1" applyAlignment="1">
      <alignment horizontal="left" vertical="center" indent="1" shrinkToFit="1"/>
    </xf>
    <xf numFmtId="0" fontId="1" fillId="5" borderId="50" xfId="0" applyFont="1" applyFill="1" applyBorder="1" applyAlignment="1">
      <alignment horizontal="center" vertical="center"/>
    </xf>
    <xf numFmtId="0" fontId="1" fillId="5" borderId="40" xfId="0" applyFont="1" applyFill="1" applyBorder="1" applyAlignment="1">
      <alignment horizontal="center" vertical="center"/>
    </xf>
    <xf numFmtId="0" fontId="1" fillId="5" borderId="57" xfId="0" applyFont="1" applyFill="1" applyBorder="1" applyAlignment="1">
      <alignment horizontal="center" vertical="center"/>
    </xf>
    <xf numFmtId="0" fontId="11" fillId="0" borderId="50" xfId="0" applyFont="1" applyFill="1" applyBorder="1" applyAlignment="1">
      <alignment horizontal="center" vertical="center" shrinkToFit="1"/>
    </xf>
    <xf numFmtId="0" fontId="11" fillId="0" borderId="40" xfId="0" applyFont="1" applyFill="1" applyBorder="1" applyAlignment="1">
      <alignment horizontal="center" vertical="center" shrinkToFit="1"/>
    </xf>
    <xf numFmtId="0" fontId="11" fillId="0" borderId="16" xfId="0" applyFont="1" applyFill="1" applyBorder="1" applyAlignment="1">
      <alignment horizontal="center" vertical="center" shrinkToFit="1"/>
    </xf>
    <xf numFmtId="0" fontId="1" fillId="5" borderId="20" xfId="0" applyFont="1" applyFill="1" applyBorder="1" applyAlignment="1">
      <alignment horizontal="center" vertical="center"/>
    </xf>
    <xf numFmtId="0" fontId="1" fillId="5" borderId="26" xfId="0" applyFont="1" applyFill="1" applyBorder="1" applyAlignment="1">
      <alignment horizontal="center" vertical="center"/>
    </xf>
    <xf numFmtId="0" fontId="1" fillId="5" borderId="17" xfId="0" applyFont="1" applyFill="1" applyBorder="1" applyAlignment="1">
      <alignment horizontal="center" vertical="center"/>
    </xf>
    <xf numFmtId="186" fontId="11" fillId="0" borderId="45" xfId="0" applyNumberFormat="1" applyFont="1" applyBorder="1" applyAlignment="1">
      <alignment horizontal="left" vertical="center" indent="1" shrinkToFit="1"/>
    </xf>
    <xf numFmtId="186" fontId="11" fillId="0" borderId="34" xfId="0" applyNumberFormat="1" applyFont="1" applyBorder="1" applyAlignment="1">
      <alignment horizontal="left" vertical="center" indent="1" shrinkToFit="1"/>
    </xf>
    <xf numFmtId="186" fontId="11" fillId="0" borderId="18" xfId="0" applyNumberFormat="1" applyFont="1" applyBorder="1" applyAlignment="1">
      <alignment horizontal="left" vertical="center" indent="1" shrinkToFit="1"/>
    </xf>
    <xf numFmtId="0" fontId="12" fillId="0" borderId="42" xfId="0" applyFont="1" applyBorder="1" applyAlignment="1">
      <alignment horizontal="center" vertical="center"/>
    </xf>
    <xf numFmtId="0" fontId="12" fillId="0" borderId="43" xfId="0" applyFont="1" applyBorder="1" applyAlignment="1">
      <alignment horizontal="center" vertical="center"/>
    </xf>
    <xf numFmtId="0" fontId="12" fillId="0" borderId="44" xfId="0" applyFont="1" applyBorder="1" applyAlignment="1">
      <alignment horizontal="center" vertical="center"/>
    </xf>
    <xf numFmtId="0" fontId="12" fillId="0" borderId="49" xfId="0" applyFont="1" applyBorder="1" applyAlignment="1">
      <alignment horizontal="center" vertical="center"/>
    </xf>
    <xf numFmtId="0" fontId="12" fillId="0" borderId="28" xfId="0" applyFont="1" applyBorder="1" applyAlignment="1">
      <alignment horizontal="center" vertical="center"/>
    </xf>
    <xf numFmtId="0" fontId="12" fillId="0" borderId="55" xfId="0" applyFont="1" applyBorder="1" applyAlignment="1">
      <alignment horizontal="center" vertical="center"/>
    </xf>
    <xf numFmtId="0" fontId="12" fillId="9" borderId="41" xfId="0" applyFont="1" applyFill="1" applyBorder="1" applyAlignment="1">
      <alignment horizontal="center" vertical="center" shrinkToFit="1"/>
    </xf>
    <xf numFmtId="0" fontId="12" fillId="9" borderId="26" xfId="0" applyFont="1" applyFill="1" applyBorder="1" applyAlignment="1">
      <alignment horizontal="center" vertical="center" shrinkToFit="1"/>
    </xf>
    <xf numFmtId="0" fontId="12" fillId="9" borderId="24" xfId="0" applyFont="1" applyFill="1" applyBorder="1" applyAlignment="1">
      <alignment horizontal="center" vertical="center" shrinkToFit="1"/>
    </xf>
    <xf numFmtId="0" fontId="12" fillId="9" borderId="20" xfId="0" applyFont="1" applyFill="1" applyBorder="1" applyAlignment="1">
      <alignment horizontal="center" vertical="center" shrinkToFit="1"/>
    </xf>
    <xf numFmtId="0" fontId="12" fillId="9" borderId="17" xfId="0" applyFont="1" applyFill="1" applyBorder="1" applyAlignment="1">
      <alignment horizontal="center" vertical="center" shrinkToFit="1"/>
    </xf>
    <xf numFmtId="0" fontId="12" fillId="0" borderId="41" xfId="0" applyNumberFormat="1" applyFont="1" applyBorder="1" applyAlignment="1">
      <alignment horizontal="center" vertical="center" shrinkToFit="1"/>
    </xf>
    <xf numFmtId="0" fontId="12" fillId="0" borderId="26" xfId="0" applyNumberFormat="1" applyFont="1" applyBorder="1" applyAlignment="1">
      <alignment horizontal="center" vertical="center" shrinkToFit="1"/>
    </xf>
    <xf numFmtId="0" fontId="12" fillId="0" borderId="26" xfId="0" applyFont="1" applyBorder="1" applyAlignment="1">
      <alignment horizontal="left" vertical="center" shrinkToFit="1"/>
    </xf>
    <xf numFmtId="0" fontId="12" fillId="0" borderId="27" xfId="0" applyFont="1" applyFill="1" applyBorder="1" applyAlignment="1">
      <alignment horizontal="left" vertical="center" indent="1" shrinkToFit="1"/>
    </xf>
    <xf numFmtId="0" fontId="12" fillId="0" borderId="0" xfId="0" applyFont="1" applyFill="1" applyBorder="1" applyAlignment="1">
      <alignment horizontal="left" vertical="center" indent="1" shrinkToFit="1"/>
    </xf>
    <xf numFmtId="0" fontId="12" fillId="0" borderId="48" xfId="0" applyFont="1" applyFill="1" applyBorder="1" applyAlignment="1">
      <alignment horizontal="left" vertical="center" indent="1" shrinkToFit="1"/>
    </xf>
    <xf numFmtId="0" fontId="14" fillId="0" borderId="14" xfId="0" applyFont="1" applyBorder="1" applyAlignment="1">
      <alignment horizontal="center" vertical="center" shrinkToFit="1"/>
    </xf>
    <xf numFmtId="0" fontId="14" fillId="0" borderId="19" xfId="0" applyFont="1" applyBorder="1" applyAlignment="1">
      <alignment horizontal="center" vertical="center" shrinkToFit="1"/>
    </xf>
    <xf numFmtId="0" fontId="14" fillId="0" borderId="15" xfId="0" applyFont="1" applyBorder="1" applyAlignment="1">
      <alignment horizontal="center" vertical="center" shrinkToFit="1"/>
    </xf>
    <xf numFmtId="0" fontId="12" fillId="0" borderId="42" xfId="0" applyFont="1" applyBorder="1" applyAlignment="1">
      <alignment horizontal="left" vertical="center"/>
    </xf>
    <xf numFmtId="0" fontId="12" fillId="0" borderId="43" xfId="0" applyFont="1" applyBorder="1" applyAlignment="1">
      <alignment horizontal="left" vertical="center"/>
    </xf>
    <xf numFmtId="0" fontId="12" fillId="0" borderId="44" xfId="0" applyFont="1" applyBorder="1" applyAlignment="1">
      <alignment horizontal="left" vertical="center"/>
    </xf>
    <xf numFmtId="0" fontId="12" fillId="0" borderId="49" xfId="0" applyFont="1" applyBorder="1" applyAlignment="1">
      <alignment horizontal="left" vertical="center"/>
    </xf>
    <xf numFmtId="0" fontId="12" fillId="0" borderId="28" xfId="0" applyFont="1" applyBorder="1" applyAlignment="1">
      <alignment horizontal="left" vertical="center"/>
    </xf>
    <xf numFmtId="0" fontId="12" fillId="0" borderId="55" xfId="0" applyFont="1" applyBorder="1" applyAlignment="1">
      <alignment horizontal="left" vertical="center"/>
    </xf>
    <xf numFmtId="0" fontId="12" fillId="0" borderId="42" xfId="0" applyFont="1" applyBorder="1" applyAlignment="1">
      <alignment horizontal="center" vertical="center" shrinkToFit="1"/>
    </xf>
    <xf numFmtId="0" fontId="12" fillId="0" borderId="43" xfId="0" applyFont="1" applyBorder="1" applyAlignment="1">
      <alignment horizontal="center" vertical="center" shrinkToFit="1"/>
    </xf>
    <xf numFmtId="0" fontId="12" fillId="0" borderId="44" xfId="0" applyFont="1" applyBorder="1" applyAlignment="1">
      <alignment horizontal="center" vertical="center" shrinkToFit="1"/>
    </xf>
    <xf numFmtId="0" fontId="12" fillId="0" borderId="49" xfId="0" applyFont="1" applyBorder="1" applyAlignment="1">
      <alignment horizontal="center" vertical="center" shrinkToFit="1"/>
    </xf>
    <xf numFmtId="0" fontId="12" fillId="0" borderId="28" xfId="0" applyFont="1" applyBorder="1" applyAlignment="1">
      <alignment horizontal="center" vertical="center" shrinkToFit="1"/>
    </xf>
    <xf numFmtId="0" fontId="12" fillId="0" borderId="55" xfId="0" applyFont="1" applyBorder="1" applyAlignment="1">
      <alignment horizontal="center" vertical="center" shrinkToFit="1"/>
    </xf>
    <xf numFmtId="0" fontId="13" fillId="0" borderId="1" xfId="0" applyFont="1" applyFill="1" applyBorder="1" applyAlignment="1">
      <alignment horizontal="center" vertical="center" shrinkToFit="1"/>
    </xf>
    <xf numFmtId="0" fontId="13" fillId="0" borderId="2" xfId="0" applyFont="1" applyFill="1" applyBorder="1" applyAlignment="1">
      <alignment horizontal="center" vertical="center" shrinkToFit="1"/>
    </xf>
    <xf numFmtId="0" fontId="12" fillId="5" borderId="3" xfId="0" applyFont="1" applyFill="1" applyBorder="1" applyAlignment="1" applyProtection="1">
      <alignment horizontal="center" vertical="center" shrinkToFit="1"/>
    </xf>
    <xf numFmtId="0" fontId="12" fillId="5" borderId="1" xfId="0" applyFont="1" applyFill="1" applyBorder="1" applyAlignment="1" applyProtection="1">
      <alignment horizontal="center" vertical="center" shrinkToFit="1"/>
    </xf>
    <xf numFmtId="0" fontId="12" fillId="0" borderId="86" xfId="0" applyFont="1" applyBorder="1" applyAlignment="1" applyProtection="1">
      <alignment horizontal="center" vertical="center"/>
    </xf>
    <xf numFmtId="0" fontId="12" fillId="0" borderId="87" xfId="0" applyFont="1" applyBorder="1" applyAlignment="1" applyProtection="1">
      <alignment horizontal="center" vertical="center"/>
    </xf>
    <xf numFmtId="0" fontId="12" fillId="0" borderId="88" xfId="0" applyFont="1" applyBorder="1" applyAlignment="1" applyProtection="1">
      <alignment horizontal="center" vertical="center"/>
    </xf>
    <xf numFmtId="0" fontId="12" fillId="0" borderId="89" xfId="0" applyFont="1" applyBorder="1" applyAlignment="1" applyProtection="1">
      <alignment horizontal="center" vertical="center"/>
    </xf>
    <xf numFmtId="179" fontId="12" fillId="0" borderId="21" xfId="0" applyNumberFormat="1" applyFont="1" applyBorder="1" applyAlignment="1">
      <alignment horizontal="center" vertical="center"/>
    </xf>
    <xf numFmtId="179" fontId="12" fillId="0" borderId="22" xfId="0" applyNumberFormat="1" applyFont="1" applyBorder="1" applyAlignment="1">
      <alignment horizontal="center" vertical="center"/>
    </xf>
    <xf numFmtId="179" fontId="12" fillId="5" borderId="41" xfId="0" applyNumberFormat="1" applyFont="1" applyFill="1" applyBorder="1" applyAlignment="1">
      <alignment horizontal="center" vertical="center"/>
    </xf>
    <xf numFmtId="179" fontId="12" fillId="5" borderId="26" xfId="0" applyNumberFormat="1" applyFont="1" applyFill="1" applyBorder="1" applyAlignment="1">
      <alignment horizontal="center" vertical="center"/>
    </xf>
    <xf numFmtId="0" fontId="13" fillId="0" borderId="13" xfId="0" applyFont="1" applyFill="1" applyBorder="1" applyAlignment="1">
      <alignment horizontal="center" vertical="center" shrinkToFit="1"/>
    </xf>
    <xf numFmtId="0" fontId="13" fillId="0" borderId="90" xfId="0" applyFont="1" applyFill="1" applyBorder="1" applyAlignment="1">
      <alignment horizontal="center" vertical="center" shrinkToFit="1"/>
    </xf>
    <xf numFmtId="0" fontId="12" fillId="0" borderId="42" xfId="0" applyFont="1" applyFill="1" applyBorder="1" applyAlignment="1">
      <alignment vertical="center"/>
    </xf>
    <xf numFmtId="0" fontId="12" fillId="0" borderId="43" xfId="0" applyFont="1" applyFill="1" applyBorder="1" applyAlignment="1">
      <alignment vertical="center"/>
    </xf>
    <xf numFmtId="0" fontId="12" fillId="0" borderId="44" xfId="0" applyFont="1" applyFill="1" applyBorder="1" applyAlignment="1">
      <alignment vertical="center"/>
    </xf>
    <xf numFmtId="0" fontId="13" fillId="0" borderId="25" xfId="0" applyFont="1" applyFill="1" applyBorder="1" applyAlignment="1">
      <alignment horizontal="left" vertical="center" shrinkToFit="1"/>
    </xf>
    <xf numFmtId="0" fontId="13" fillId="0" borderId="82" xfId="0" applyFont="1" applyFill="1" applyBorder="1" applyAlignment="1">
      <alignment horizontal="left" vertical="center" shrinkToFit="1"/>
    </xf>
    <xf numFmtId="0" fontId="12" fillId="0" borderId="14" xfId="0" applyFont="1" applyBorder="1" applyAlignment="1">
      <alignment horizontal="center" vertical="center" shrinkToFit="1"/>
    </xf>
    <xf numFmtId="0" fontId="12" fillId="0" borderId="19" xfId="0" applyFont="1" applyBorder="1" applyAlignment="1">
      <alignment horizontal="center" vertical="center" shrinkToFit="1"/>
    </xf>
    <xf numFmtId="0" fontId="12" fillId="5" borderId="41" xfId="0" applyFont="1" applyFill="1" applyBorder="1" applyAlignment="1">
      <alignment horizontal="center" vertical="center"/>
    </xf>
    <xf numFmtId="0" fontId="12" fillId="5" borderId="26" xfId="0" applyFont="1" applyFill="1" applyBorder="1" applyAlignment="1">
      <alignment horizontal="center" vertical="center"/>
    </xf>
    <xf numFmtId="0" fontId="12" fillId="5" borderId="24" xfId="0" applyFont="1" applyFill="1" applyBorder="1" applyAlignment="1">
      <alignment horizontal="center" vertical="center"/>
    </xf>
    <xf numFmtId="0" fontId="0" fillId="0" borderId="1" xfId="0" applyBorder="1" applyAlignment="1" applyProtection="1">
      <alignment horizontal="left" vertical="center" indent="1"/>
      <protection locked="0"/>
    </xf>
    <xf numFmtId="0" fontId="0" fillId="7" borderId="39" xfId="0" applyFill="1" applyBorder="1" applyAlignment="1" applyProtection="1">
      <alignment horizontal="center" vertical="center"/>
    </xf>
    <xf numFmtId="0" fontId="0" fillId="7" borderId="40" xfId="0" applyFill="1" applyBorder="1" applyAlignment="1" applyProtection="1">
      <alignment horizontal="center" vertical="center"/>
    </xf>
    <xf numFmtId="0" fontId="0" fillId="7" borderId="16" xfId="0" applyFill="1" applyBorder="1" applyAlignment="1" applyProtection="1">
      <alignment horizontal="center" vertical="center"/>
    </xf>
    <xf numFmtId="0" fontId="0" fillId="0" borderId="1" xfId="0" applyNumberFormat="1" applyBorder="1" applyAlignment="1" applyProtection="1">
      <alignment horizontal="center" vertical="center"/>
      <protection locked="0"/>
    </xf>
    <xf numFmtId="0" fontId="5" fillId="0" borderId="21" xfId="0" applyFont="1" applyBorder="1" applyAlignment="1" applyProtection="1">
      <alignment horizontal="center" vertical="center"/>
    </xf>
    <xf numFmtId="0" fontId="5" fillId="0" borderId="78" xfId="0" applyFont="1" applyBorder="1" applyAlignment="1" applyProtection="1">
      <alignment horizontal="center" vertical="center"/>
    </xf>
    <xf numFmtId="0" fontId="5" fillId="0" borderId="84" xfId="0" applyFont="1" applyBorder="1" applyAlignment="1" applyProtection="1">
      <alignment horizontal="center" vertical="center"/>
    </xf>
    <xf numFmtId="0" fontId="5" fillId="0" borderId="23" xfId="0" applyFont="1" applyBorder="1" applyAlignment="1" applyProtection="1">
      <alignment horizontal="center" vertical="center"/>
    </xf>
    <xf numFmtId="0" fontId="5" fillId="0" borderId="44" xfId="0" applyFont="1" applyBorder="1" applyAlignment="1" applyProtection="1">
      <alignment horizontal="center" vertical="center"/>
    </xf>
    <xf numFmtId="0" fontId="5" fillId="0" borderId="72" xfId="0" applyFont="1" applyBorder="1" applyAlignment="1" applyProtection="1">
      <alignment horizontal="center" vertical="center"/>
    </xf>
    <xf numFmtId="0" fontId="5" fillId="0" borderId="48" xfId="0" applyFont="1" applyBorder="1" applyAlignment="1" applyProtection="1">
      <alignment horizontal="center" vertical="center"/>
    </xf>
    <xf numFmtId="0" fontId="5" fillId="0" borderId="83" xfId="0" applyFont="1" applyBorder="1" applyAlignment="1" applyProtection="1">
      <alignment horizontal="center" vertical="center"/>
    </xf>
    <xf numFmtId="0" fontId="5" fillId="0" borderId="15" xfId="0" applyFont="1" applyBorder="1" applyAlignment="1" applyProtection="1">
      <alignment horizontal="center" vertical="center"/>
    </xf>
    <xf numFmtId="182" fontId="0" fillId="0" borderId="20" xfId="0" applyNumberFormat="1" applyBorder="1" applyAlignment="1" applyProtection="1">
      <alignment vertical="center"/>
    </xf>
    <xf numFmtId="182" fontId="0" fillId="0" borderId="17" xfId="0" applyNumberFormat="1" applyBorder="1" applyAlignment="1" applyProtection="1">
      <alignment vertical="center"/>
    </xf>
    <xf numFmtId="0" fontId="0" fillId="0" borderId="91" xfId="0" applyBorder="1" applyAlignment="1" applyProtection="1">
      <alignment horizontal="center" vertical="center"/>
    </xf>
    <xf numFmtId="0" fontId="0" fillId="0" borderId="92" xfId="0" applyBorder="1" applyAlignment="1" applyProtection="1">
      <alignment horizontal="center" vertical="center"/>
    </xf>
    <xf numFmtId="0" fontId="0" fillId="0" borderId="93" xfId="0" applyBorder="1" applyAlignment="1" applyProtection="1">
      <alignment horizontal="center" vertical="center"/>
    </xf>
    <xf numFmtId="181" fontId="0" fillId="7" borderId="2" xfId="0" applyNumberFormat="1" applyFill="1" applyBorder="1" applyAlignment="1" applyProtection="1">
      <alignment horizontal="center" vertical="center"/>
    </xf>
    <xf numFmtId="176" fontId="0" fillId="0" borderId="45" xfId="0" applyNumberFormat="1" applyBorder="1" applyAlignment="1" applyProtection="1">
      <alignment vertical="center"/>
    </xf>
    <xf numFmtId="176" fontId="0" fillId="0" borderId="18" xfId="0" applyNumberFormat="1" applyBorder="1" applyAlignment="1" applyProtection="1">
      <alignment vertical="center"/>
    </xf>
    <xf numFmtId="0" fontId="0" fillId="7" borderId="50" xfId="0" applyFill="1" applyBorder="1" applyAlignment="1" applyProtection="1">
      <alignment horizontal="center" vertical="center"/>
    </xf>
    <xf numFmtId="0" fontId="0" fillId="7" borderId="20" xfId="0" applyFill="1" applyBorder="1" applyAlignment="1" applyProtection="1">
      <alignment horizontal="center" vertical="center"/>
    </xf>
    <xf numFmtId="0" fontId="0" fillId="7" borderId="17" xfId="0" applyFill="1" applyBorder="1" applyAlignment="1" applyProtection="1">
      <alignment horizontal="center" vertical="center"/>
    </xf>
    <xf numFmtId="0" fontId="0" fillId="7" borderId="1" xfId="0" applyFill="1" applyBorder="1" applyAlignment="1" applyProtection="1">
      <alignment horizontal="center" vertical="center"/>
    </xf>
    <xf numFmtId="0" fontId="0" fillId="7" borderId="11" xfId="0" applyFill="1" applyBorder="1" applyAlignment="1" applyProtection="1">
      <alignment horizontal="center" vertical="center" textRotation="255"/>
    </xf>
    <xf numFmtId="0" fontId="0" fillId="7" borderId="3" xfId="0" applyFill="1" applyBorder="1" applyAlignment="1" applyProtection="1">
      <alignment horizontal="center" vertical="center" textRotation="255"/>
    </xf>
    <xf numFmtId="0" fontId="0" fillId="7" borderId="6" xfId="0" applyFill="1" applyBorder="1" applyAlignment="1" applyProtection="1">
      <alignment horizontal="center" vertical="center" textRotation="255"/>
    </xf>
    <xf numFmtId="0" fontId="0" fillId="7" borderId="1" xfId="0" applyFill="1" applyBorder="1" applyAlignment="1" applyProtection="1">
      <alignment horizontal="center" vertical="center" textRotation="255"/>
    </xf>
    <xf numFmtId="0" fontId="0" fillId="7" borderId="4" xfId="0" applyFill="1" applyBorder="1" applyAlignment="1" applyProtection="1">
      <alignment horizontal="center" vertical="center"/>
    </xf>
    <xf numFmtId="0" fontId="0" fillId="7" borderId="5" xfId="0" applyFill="1" applyBorder="1" applyAlignment="1" applyProtection="1">
      <alignment horizontal="center" vertical="center"/>
    </xf>
    <xf numFmtId="0" fontId="0" fillId="7" borderId="6" xfId="0" applyFill="1" applyBorder="1" applyAlignment="1" applyProtection="1">
      <alignment horizontal="center" vertical="center"/>
    </xf>
    <xf numFmtId="189" fontId="7" fillId="0" borderId="0" xfId="0" applyNumberFormat="1" applyFont="1" applyAlignment="1" applyProtection="1">
      <alignment horizontal="right" vertical="top"/>
      <protection locked="0"/>
    </xf>
    <xf numFmtId="0" fontId="0" fillId="0" borderId="0" xfId="0" applyAlignment="1" applyProtection="1">
      <alignment horizontal="center" vertical="center" shrinkToFit="1"/>
    </xf>
  </cellXfs>
  <cellStyles count="1">
    <cellStyle name="標準" xfId="0" builtinId="0"/>
  </cellStyles>
  <dxfs count="386">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ont>
        <condense val="0"/>
        <extend val="0"/>
        <color indexed="10"/>
      </font>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ont>
        <condense val="0"/>
        <extend val="0"/>
        <color indexed="10"/>
      </font>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ndense val="0"/>
        <extend val="0"/>
        <color indexed="10"/>
      </font>
    </dxf>
    <dxf>
      <font>
        <condense val="0"/>
        <extend val="0"/>
        <color indexed="10"/>
      </font>
    </dxf>
    <dxf>
      <font>
        <condense val="0"/>
        <extend val="0"/>
        <color auto="1"/>
      </font>
      <fill>
        <patternFill patternType="solid">
          <bgColor indexed="29"/>
        </patternFill>
      </fill>
    </dxf>
    <dxf>
      <font>
        <condense val="0"/>
        <extend val="0"/>
        <color auto="1"/>
      </font>
      <fill>
        <patternFill patternType="solid">
          <bgColor indexed="29"/>
        </patternFill>
      </fill>
    </dxf>
    <dxf>
      <font>
        <condense val="0"/>
        <extend val="0"/>
        <color auto="1"/>
      </font>
      <fill>
        <patternFill patternType="solid">
          <bgColor indexed="29"/>
        </patternFill>
      </fill>
    </dxf>
    <dxf>
      <fill>
        <patternFill>
          <bgColor indexed="29"/>
        </patternFill>
      </fill>
    </dxf>
    <dxf>
      <fill>
        <patternFill>
          <bgColor indexed="29"/>
        </patternFill>
      </fill>
    </dxf>
    <dxf>
      <fill>
        <patternFill>
          <bgColor indexed="29"/>
        </patternFill>
      </fill>
    </dxf>
  </dxfs>
  <tableStyles count="0" defaultTableStyle="TableStyleMedium9" defaultPivotStyle="PivotStyleLight16"/>
  <colors>
    <mruColors>
      <color rgb="FFC0C0C0"/>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581026</xdr:colOff>
      <xdr:row>25</xdr:row>
      <xdr:rowOff>161926</xdr:rowOff>
    </xdr:from>
    <xdr:to>
      <xdr:col>5</xdr:col>
      <xdr:colOff>664424</xdr:colOff>
      <xdr:row>49</xdr:row>
      <xdr:rowOff>57150</xdr:rowOff>
    </xdr:to>
    <xdr:pic>
      <xdr:nvPicPr>
        <xdr:cNvPr id="2"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581026" y="5114926"/>
          <a:ext cx="3512398" cy="4467224"/>
        </a:xfrm>
        <a:prstGeom prst="rect">
          <a:avLst/>
        </a:prstGeom>
        <a:noFill/>
      </xdr:spPr>
    </xdr:pic>
    <xdr:clientData/>
  </xdr:twoCellAnchor>
  <xdr:twoCellAnchor>
    <xdr:from>
      <xdr:col>1</xdr:col>
      <xdr:colOff>457739</xdr:colOff>
      <xdr:row>27</xdr:row>
      <xdr:rowOff>45311</xdr:rowOff>
    </xdr:from>
    <xdr:to>
      <xdr:col>5</xdr:col>
      <xdr:colOff>584231</xdr:colOff>
      <xdr:row>28</xdr:row>
      <xdr:rowOff>169309</xdr:rowOff>
    </xdr:to>
    <xdr:sp macro="" textlink="">
      <xdr:nvSpPr>
        <xdr:cNvPr id="3" name="Rectangle 238"/>
        <xdr:cNvSpPr>
          <a:spLocks noChangeArrowheads="1"/>
        </xdr:cNvSpPr>
      </xdr:nvSpPr>
      <xdr:spPr bwMode="auto">
        <a:xfrm>
          <a:off x="1143539" y="5379311"/>
          <a:ext cx="2869692" cy="314498"/>
        </a:xfrm>
        <a:prstGeom prst="rect">
          <a:avLst/>
        </a:prstGeom>
        <a:noFill/>
        <a:ln w="15875">
          <a:solidFill>
            <a:srgbClr val="FF0000"/>
          </a:solidFill>
          <a:miter lim="800000"/>
          <a:headEnd/>
          <a:tailEnd/>
        </a:ln>
      </xdr:spPr>
    </xdr:sp>
    <xdr:clientData/>
  </xdr:twoCellAnchor>
  <xdr:twoCellAnchor>
    <xdr:from>
      <xdr:col>2</xdr:col>
      <xdr:colOff>571500</xdr:colOff>
      <xdr:row>29</xdr:row>
      <xdr:rowOff>47625</xdr:rowOff>
    </xdr:from>
    <xdr:to>
      <xdr:col>3</xdr:col>
      <xdr:colOff>161925</xdr:colOff>
      <xdr:row>30</xdr:row>
      <xdr:rowOff>66675</xdr:rowOff>
    </xdr:to>
    <xdr:sp macro="" textlink="">
      <xdr:nvSpPr>
        <xdr:cNvPr id="4" name="Text Box 242"/>
        <xdr:cNvSpPr txBox="1">
          <a:spLocks noChangeArrowheads="1"/>
        </xdr:cNvSpPr>
      </xdr:nvSpPr>
      <xdr:spPr bwMode="auto">
        <a:xfrm>
          <a:off x="1943100" y="5762625"/>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⑭</a:t>
          </a:r>
        </a:p>
      </xdr:txBody>
    </xdr:sp>
    <xdr:clientData/>
  </xdr:twoCellAnchor>
  <xdr:twoCellAnchor>
    <xdr:from>
      <xdr:col>3</xdr:col>
      <xdr:colOff>390525</xdr:colOff>
      <xdr:row>27</xdr:row>
      <xdr:rowOff>57150</xdr:rowOff>
    </xdr:from>
    <xdr:to>
      <xdr:col>3</xdr:col>
      <xdr:colOff>666750</xdr:colOff>
      <xdr:row>28</xdr:row>
      <xdr:rowOff>76200</xdr:rowOff>
    </xdr:to>
    <xdr:sp macro="" textlink="">
      <xdr:nvSpPr>
        <xdr:cNvPr id="5" name="Text Box 242"/>
        <xdr:cNvSpPr txBox="1">
          <a:spLocks noChangeArrowheads="1"/>
        </xdr:cNvSpPr>
      </xdr:nvSpPr>
      <xdr:spPr bwMode="auto">
        <a:xfrm>
          <a:off x="2447925" y="5391150"/>
          <a:ext cx="2762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⑬</a:t>
          </a:r>
        </a:p>
      </xdr:txBody>
    </xdr:sp>
    <xdr:clientData/>
  </xdr:twoCellAnchor>
  <xdr:twoCellAnchor>
    <xdr:from>
      <xdr:col>2</xdr:col>
      <xdr:colOff>599950</xdr:colOff>
      <xdr:row>29</xdr:row>
      <xdr:rowOff>83642</xdr:rowOff>
    </xdr:from>
    <xdr:to>
      <xdr:col>3</xdr:col>
      <xdr:colOff>343164</xdr:colOff>
      <xdr:row>30</xdr:row>
      <xdr:rowOff>64686</xdr:rowOff>
    </xdr:to>
    <xdr:sp macro="" textlink="">
      <xdr:nvSpPr>
        <xdr:cNvPr id="6" name="Rectangle 238"/>
        <xdr:cNvSpPr>
          <a:spLocks noChangeArrowheads="1"/>
        </xdr:cNvSpPr>
      </xdr:nvSpPr>
      <xdr:spPr bwMode="auto">
        <a:xfrm>
          <a:off x="1971550" y="5798642"/>
          <a:ext cx="429014" cy="171544"/>
        </a:xfrm>
        <a:prstGeom prst="rect">
          <a:avLst/>
        </a:prstGeom>
        <a:noFill/>
        <a:ln w="15875">
          <a:solidFill>
            <a:srgbClr val="FF0000"/>
          </a:solidFill>
          <a:miter lim="800000"/>
          <a:headEnd/>
          <a:tailEnd/>
        </a:ln>
      </xdr:spPr>
    </xdr:sp>
    <xdr:clientData/>
  </xdr:twoCellAnchor>
  <xdr:twoCellAnchor>
    <xdr:from>
      <xdr:col>4</xdr:col>
      <xdr:colOff>467719</xdr:colOff>
      <xdr:row>29</xdr:row>
      <xdr:rowOff>83642</xdr:rowOff>
    </xdr:from>
    <xdr:to>
      <xdr:col>5</xdr:col>
      <xdr:colOff>210933</xdr:colOff>
      <xdr:row>30</xdr:row>
      <xdr:rowOff>64686</xdr:rowOff>
    </xdr:to>
    <xdr:sp macro="" textlink="">
      <xdr:nvSpPr>
        <xdr:cNvPr id="7" name="Rectangle 238"/>
        <xdr:cNvSpPr>
          <a:spLocks noChangeArrowheads="1"/>
        </xdr:cNvSpPr>
      </xdr:nvSpPr>
      <xdr:spPr bwMode="auto">
        <a:xfrm>
          <a:off x="3210919" y="5798642"/>
          <a:ext cx="429014" cy="171544"/>
        </a:xfrm>
        <a:prstGeom prst="rect">
          <a:avLst/>
        </a:prstGeom>
        <a:noFill/>
        <a:ln w="15875">
          <a:solidFill>
            <a:srgbClr val="FF0000"/>
          </a:solidFill>
          <a:miter lim="800000"/>
          <a:headEnd/>
          <a:tailEnd/>
        </a:ln>
      </xdr:spPr>
    </xdr:sp>
    <xdr:clientData/>
  </xdr:twoCellAnchor>
  <xdr:twoCellAnchor>
    <xdr:from>
      <xdr:col>2</xdr:col>
      <xdr:colOff>190005</xdr:colOff>
      <xdr:row>30</xdr:row>
      <xdr:rowOff>74219</xdr:rowOff>
    </xdr:from>
    <xdr:to>
      <xdr:col>5</xdr:col>
      <xdr:colOff>611345</xdr:colOff>
      <xdr:row>31</xdr:row>
      <xdr:rowOff>152401</xdr:rowOff>
    </xdr:to>
    <xdr:sp macro="" textlink="">
      <xdr:nvSpPr>
        <xdr:cNvPr id="8" name="Rectangle 238"/>
        <xdr:cNvSpPr>
          <a:spLocks noChangeArrowheads="1"/>
        </xdr:cNvSpPr>
      </xdr:nvSpPr>
      <xdr:spPr bwMode="auto">
        <a:xfrm>
          <a:off x="1561605" y="5979719"/>
          <a:ext cx="2478740" cy="268682"/>
        </a:xfrm>
        <a:prstGeom prst="rect">
          <a:avLst/>
        </a:prstGeom>
        <a:noFill/>
        <a:ln w="15875">
          <a:solidFill>
            <a:srgbClr val="FF0000"/>
          </a:solidFill>
          <a:miter lim="800000"/>
          <a:headEnd/>
          <a:tailEnd/>
        </a:ln>
      </xdr:spPr>
    </xdr:sp>
    <xdr:clientData/>
  </xdr:twoCellAnchor>
  <xdr:twoCellAnchor>
    <xdr:from>
      <xdr:col>1</xdr:col>
      <xdr:colOff>467273</xdr:colOff>
      <xdr:row>32</xdr:row>
      <xdr:rowOff>36309</xdr:rowOff>
    </xdr:from>
    <xdr:to>
      <xdr:col>5</xdr:col>
      <xdr:colOff>573207</xdr:colOff>
      <xdr:row>32</xdr:row>
      <xdr:rowOff>171451</xdr:rowOff>
    </xdr:to>
    <xdr:sp macro="" textlink="">
      <xdr:nvSpPr>
        <xdr:cNvPr id="9" name="Rectangle 238"/>
        <xdr:cNvSpPr>
          <a:spLocks noChangeArrowheads="1"/>
        </xdr:cNvSpPr>
      </xdr:nvSpPr>
      <xdr:spPr bwMode="auto">
        <a:xfrm>
          <a:off x="1153073" y="6322809"/>
          <a:ext cx="2849134" cy="135142"/>
        </a:xfrm>
        <a:prstGeom prst="rect">
          <a:avLst/>
        </a:prstGeom>
        <a:noFill/>
        <a:ln w="15875">
          <a:solidFill>
            <a:srgbClr val="FF0000"/>
          </a:solidFill>
          <a:miter lim="800000"/>
          <a:headEnd/>
          <a:tailEnd/>
        </a:ln>
      </xdr:spPr>
    </xdr:sp>
    <xdr:clientData/>
  </xdr:twoCellAnchor>
  <xdr:twoCellAnchor>
    <xdr:from>
      <xdr:col>4</xdr:col>
      <xdr:colOff>419100</xdr:colOff>
      <xdr:row>29</xdr:row>
      <xdr:rowOff>57150</xdr:rowOff>
    </xdr:from>
    <xdr:to>
      <xdr:col>5</xdr:col>
      <xdr:colOff>9525</xdr:colOff>
      <xdr:row>30</xdr:row>
      <xdr:rowOff>76200</xdr:rowOff>
    </xdr:to>
    <xdr:sp macro="" textlink="">
      <xdr:nvSpPr>
        <xdr:cNvPr id="10" name="Text Box 242"/>
        <xdr:cNvSpPr txBox="1">
          <a:spLocks noChangeArrowheads="1"/>
        </xdr:cNvSpPr>
      </xdr:nvSpPr>
      <xdr:spPr bwMode="auto">
        <a:xfrm>
          <a:off x="3162300" y="57721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⑮</a:t>
          </a:r>
        </a:p>
      </xdr:txBody>
    </xdr:sp>
    <xdr:clientData/>
  </xdr:twoCellAnchor>
  <xdr:twoCellAnchor>
    <xdr:from>
      <xdr:col>3</xdr:col>
      <xdr:colOff>171450</xdr:colOff>
      <xdr:row>30</xdr:row>
      <xdr:rowOff>95250</xdr:rowOff>
    </xdr:from>
    <xdr:to>
      <xdr:col>3</xdr:col>
      <xdr:colOff>447675</xdr:colOff>
      <xdr:row>31</xdr:row>
      <xdr:rowOff>114300</xdr:rowOff>
    </xdr:to>
    <xdr:sp macro="" textlink="">
      <xdr:nvSpPr>
        <xdr:cNvPr id="11" name="Text Box 242"/>
        <xdr:cNvSpPr txBox="1">
          <a:spLocks noChangeArrowheads="1"/>
        </xdr:cNvSpPr>
      </xdr:nvSpPr>
      <xdr:spPr bwMode="auto">
        <a:xfrm>
          <a:off x="2228850" y="60007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⑯</a:t>
          </a:r>
        </a:p>
      </xdr:txBody>
    </xdr:sp>
    <xdr:clientData/>
  </xdr:twoCellAnchor>
  <xdr:twoCellAnchor>
    <xdr:from>
      <xdr:col>3</xdr:col>
      <xdr:colOff>66675</xdr:colOff>
      <xdr:row>32</xdr:row>
      <xdr:rowOff>0</xdr:rowOff>
    </xdr:from>
    <xdr:to>
      <xdr:col>3</xdr:col>
      <xdr:colOff>352425</xdr:colOff>
      <xdr:row>33</xdr:row>
      <xdr:rowOff>19050</xdr:rowOff>
    </xdr:to>
    <xdr:sp macro="" textlink="">
      <xdr:nvSpPr>
        <xdr:cNvPr id="12" name="Text Box 242"/>
        <xdr:cNvSpPr txBox="1">
          <a:spLocks noChangeArrowheads="1"/>
        </xdr:cNvSpPr>
      </xdr:nvSpPr>
      <xdr:spPr bwMode="auto">
        <a:xfrm>
          <a:off x="2124075" y="6286500"/>
          <a:ext cx="285750"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⑰</a:t>
          </a:r>
        </a:p>
      </xdr:txBody>
    </xdr:sp>
    <xdr:clientData/>
  </xdr:twoCellAnchor>
  <xdr:twoCellAnchor>
    <xdr:from>
      <xdr:col>7</xdr:col>
      <xdr:colOff>609600</xdr:colOff>
      <xdr:row>73</xdr:row>
      <xdr:rowOff>175064</xdr:rowOff>
    </xdr:from>
    <xdr:to>
      <xdr:col>13</xdr:col>
      <xdr:colOff>5731</xdr:colOff>
      <xdr:row>101</xdr:row>
      <xdr:rowOff>66674</xdr:rowOff>
    </xdr:to>
    <xdr:grpSp>
      <xdr:nvGrpSpPr>
        <xdr:cNvPr id="13" name="グループ化 12"/>
        <xdr:cNvGrpSpPr/>
      </xdr:nvGrpSpPr>
      <xdr:grpSpPr>
        <a:xfrm>
          <a:off x="5410200" y="14557814"/>
          <a:ext cx="3510931" cy="5225610"/>
          <a:chOff x="5410200" y="12271814"/>
          <a:chExt cx="3510931" cy="5225610"/>
        </a:xfrm>
      </xdr:grpSpPr>
      <xdr:pic>
        <xdr:nvPicPr>
          <xdr:cNvPr id="14" name="図 1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10200" y="12271814"/>
            <a:ext cx="3510931" cy="508273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15" name="Rectangle 293"/>
          <xdr:cNvSpPr>
            <a:spLocks noChangeArrowheads="1"/>
          </xdr:cNvSpPr>
        </xdr:nvSpPr>
        <xdr:spPr bwMode="auto">
          <a:xfrm>
            <a:off x="6553200" y="16973550"/>
            <a:ext cx="942975" cy="285750"/>
          </a:xfrm>
          <a:prstGeom prst="rect">
            <a:avLst/>
          </a:prstGeom>
          <a:noFill/>
          <a:ln w="15875">
            <a:solidFill>
              <a:srgbClr val="FF0000"/>
            </a:solidFill>
            <a:miter lim="800000"/>
            <a:headEnd/>
            <a:tailEnd/>
          </a:ln>
        </xdr:spPr>
      </xdr:sp>
      <xdr:sp macro="" textlink="">
        <xdr:nvSpPr>
          <xdr:cNvPr id="16" name="Text Box 294"/>
          <xdr:cNvSpPr txBox="1">
            <a:spLocks noChangeArrowheads="1"/>
          </xdr:cNvSpPr>
        </xdr:nvSpPr>
        <xdr:spPr bwMode="auto">
          <a:xfrm>
            <a:off x="660082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sp macro="" textlink="">
        <xdr:nvSpPr>
          <xdr:cNvPr id="17" name="Text Box 294"/>
          <xdr:cNvSpPr txBox="1">
            <a:spLocks noChangeArrowheads="1"/>
          </xdr:cNvSpPr>
        </xdr:nvSpPr>
        <xdr:spPr bwMode="auto">
          <a:xfrm>
            <a:off x="6915149"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18" name="Text Box 294"/>
          <xdr:cNvSpPr txBox="1">
            <a:spLocks noChangeArrowheads="1"/>
          </xdr:cNvSpPr>
        </xdr:nvSpPr>
        <xdr:spPr bwMode="auto">
          <a:xfrm>
            <a:off x="722947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grpSp>
    <xdr:clientData/>
  </xdr:twoCellAnchor>
  <xdr:twoCellAnchor>
    <xdr:from>
      <xdr:col>0</xdr:col>
      <xdr:colOff>619125</xdr:colOff>
      <xdr:row>73</xdr:row>
      <xdr:rowOff>161925</xdr:rowOff>
    </xdr:from>
    <xdr:to>
      <xdr:col>6</xdr:col>
      <xdr:colOff>114300</xdr:colOff>
      <xdr:row>101</xdr:row>
      <xdr:rowOff>38100</xdr:rowOff>
    </xdr:to>
    <xdr:grpSp>
      <xdr:nvGrpSpPr>
        <xdr:cNvPr id="19" name="グループ化 18"/>
        <xdr:cNvGrpSpPr/>
      </xdr:nvGrpSpPr>
      <xdr:grpSpPr>
        <a:xfrm>
          <a:off x="619125" y="14544675"/>
          <a:ext cx="3609975" cy="5210175"/>
          <a:chOff x="619125" y="12258675"/>
          <a:chExt cx="3609975" cy="5210175"/>
        </a:xfrm>
      </xdr:grpSpPr>
      <xdr:pic>
        <xdr:nvPicPr>
          <xdr:cNvPr id="20" name="図 1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9125" y="12258675"/>
            <a:ext cx="3609975" cy="521017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1" name="Rectangle 260"/>
          <xdr:cNvSpPr>
            <a:spLocks noChangeArrowheads="1"/>
          </xdr:cNvSpPr>
        </xdr:nvSpPr>
        <xdr:spPr bwMode="auto">
          <a:xfrm>
            <a:off x="3076575" y="12477750"/>
            <a:ext cx="1004715" cy="417771"/>
          </a:xfrm>
          <a:prstGeom prst="rect">
            <a:avLst/>
          </a:prstGeom>
          <a:noFill/>
          <a:ln w="15875">
            <a:solidFill>
              <a:srgbClr val="FF0000"/>
            </a:solidFill>
            <a:miter lim="800000"/>
            <a:headEnd/>
            <a:tailEnd/>
          </a:ln>
        </xdr:spPr>
      </xdr:sp>
      <xdr:sp macro="" textlink="">
        <xdr:nvSpPr>
          <xdr:cNvPr id="22" name="Text Box 261"/>
          <xdr:cNvSpPr txBox="1">
            <a:spLocks noChangeArrowheads="1"/>
          </xdr:cNvSpPr>
        </xdr:nvSpPr>
        <xdr:spPr bwMode="auto">
          <a:xfrm>
            <a:off x="2847975" y="12296774"/>
            <a:ext cx="234108" cy="203791"/>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23" name="Rectangle 262"/>
          <xdr:cNvSpPr>
            <a:spLocks noChangeArrowheads="1"/>
          </xdr:cNvSpPr>
        </xdr:nvSpPr>
        <xdr:spPr bwMode="auto">
          <a:xfrm>
            <a:off x="3248025" y="16792575"/>
            <a:ext cx="809625" cy="438150"/>
          </a:xfrm>
          <a:prstGeom prst="rect">
            <a:avLst/>
          </a:prstGeom>
          <a:noFill/>
          <a:ln w="15875">
            <a:solidFill>
              <a:srgbClr val="FF0000"/>
            </a:solidFill>
            <a:miter lim="800000"/>
            <a:headEnd/>
            <a:tailEnd/>
          </a:ln>
        </xdr:spPr>
      </xdr:sp>
      <xdr:sp macro="" textlink="">
        <xdr:nvSpPr>
          <xdr:cNvPr id="24" name="Text Box 263"/>
          <xdr:cNvSpPr txBox="1">
            <a:spLocks noChangeArrowheads="1"/>
          </xdr:cNvSpPr>
        </xdr:nvSpPr>
        <xdr:spPr bwMode="auto">
          <a:xfrm>
            <a:off x="3028950" y="16764000"/>
            <a:ext cx="234108" cy="23435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grpSp>
    <xdr:clientData/>
  </xdr:twoCellAnchor>
  <xdr:twoCellAnchor>
    <xdr:from>
      <xdr:col>7</xdr:col>
      <xdr:colOff>581025</xdr:colOff>
      <xdr:row>103</xdr:row>
      <xdr:rowOff>85725</xdr:rowOff>
    </xdr:from>
    <xdr:to>
      <xdr:col>13</xdr:col>
      <xdr:colOff>257175</xdr:colOff>
      <xdr:row>128</xdr:row>
      <xdr:rowOff>9525</xdr:rowOff>
    </xdr:to>
    <xdr:grpSp>
      <xdr:nvGrpSpPr>
        <xdr:cNvPr id="25" name="グループ化 24"/>
        <xdr:cNvGrpSpPr/>
      </xdr:nvGrpSpPr>
      <xdr:grpSpPr>
        <a:xfrm>
          <a:off x="5381625" y="20278725"/>
          <a:ext cx="3790950" cy="4686300"/>
          <a:chOff x="5381625" y="17897475"/>
          <a:chExt cx="3790950" cy="5543550"/>
        </a:xfrm>
      </xdr:grpSpPr>
      <xdr:pic>
        <xdr:nvPicPr>
          <xdr:cNvPr id="26" name="図 2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381625" y="18049875"/>
            <a:ext cx="3495675" cy="53911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7" name="Rectangle 303"/>
          <xdr:cNvSpPr>
            <a:spLocks noChangeArrowheads="1"/>
          </xdr:cNvSpPr>
        </xdr:nvSpPr>
        <xdr:spPr bwMode="auto">
          <a:xfrm>
            <a:off x="5410201" y="18678525"/>
            <a:ext cx="3448050" cy="4029075"/>
          </a:xfrm>
          <a:prstGeom prst="rect">
            <a:avLst/>
          </a:prstGeom>
          <a:noFill/>
          <a:ln w="15875">
            <a:solidFill>
              <a:srgbClr val="FF0000"/>
            </a:solidFill>
            <a:miter lim="800000"/>
            <a:headEnd/>
            <a:tailEnd/>
          </a:ln>
        </xdr:spPr>
      </xdr:sp>
      <xdr:sp macro="" textlink="">
        <xdr:nvSpPr>
          <xdr:cNvPr id="28" name="Text Box 304"/>
          <xdr:cNvSpPr txBox="1">
            <a:spLocks noChangeArrowheads="1"/>
          </xdr:cNvSpPr>
        </xdr:nvSpPr>
        <xdr:spPr bwMode="auto">
          <a:xfrm>
            <a:off x="6962775" y="20659725"/>
            <a:ext cx="314325" cy="209550"/>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sp macro="" textlink="">
        <xdr:nvSpPr>
          <xdr:cNvPr id="29" name="Rectangle 299"/>
          <xdr:cNvSpPr>
            <a:spLocks noChangeArrowheads="1"/>
          </xdr:cNvSpPr>
        </xdr:nvSpPr>
        <xdr:spPr bwMode="auto">
          <a:xfrm>
            <a:off x="5410201" y="23012400"/>
            <a:ext cx="1524000" cy="409575"/>
          </a:xfrm>
          <a:prstGeom prst="rect">
            <a:avLst/>
          </a:prstGeom>
          <a:noFill/>
          <a:ln w="15875">
            <a:solidFill>
              <a:srgbClr val="FF0000"/>
            </a:solidFill>
            <a:miter lim="800000"/>
            <a:headEnd/>
            <a:tailEnd/>
          </a:ln>
        </xdr:spPr>
      </xdr:sp>
      <xdr:sp macro="" textlink="">
        <xdr:nvSpPr>
          <xdr:cNvPr id="30" name="Text Box 300"/>
          <xdr:cNvSpPr txBox="1">
            <a:spLocks noChangeArrowheads="1"/>
          </xdr:cNvSpPr>
        </xdr:nvSpPr>
        <xdr:spPr bwMode="auto">
          <a:xfrm>
            <a:off x="6076950" y="23136225"/>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31" name="Rectangle 295"/>
          <xdr:cNvSpPr>
            <a:spLocks noChangeArrowheads="1"/>
          </xdr:cNvSpPr>
        </xdr:nvSpPr>
        <xdr:spPr bwMode="auto">
          <a:xfrm>
            <a:off x="8162925" y="23069550"/>
            <a:ext cx="676275" cy="352425"/>
          </a:xfrm>
          <a:prstGeom prst="rect">
            <a:avLst/>
          </a:prstGeom>
          <a:noFill/>
          <a:ln w="15875">
            <a:solidFill>
              <a:srgbClr val="FF0000"/>
            </a:solidFill>
            <a:miter lim="800000"/>
            <a:headEnd/>
            <a:tailEnd/>
          </a:ln>
        </xdr:spPr>
      </xdr:sp>
      <xdr:sp macro="" textlink="">
        <xdr:nvSpPr>
          <xdr:cNvPr id="32" name="Text Box 296"/>
          <xdr:cNvSpPr txBox="1">
            <a:spLocks noChangeArrowheads="1"/>
          </xdr:cNvSpPr>
        </xdr:nvSpPr>
        <xdr:spPr bwMode="auto">
          <a:xfrm>
            <a:off x="8391525" y="23107650"/>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sp macro="" textlink="">
        <xdr:nvSpPr>
          <xdr:cNvPr id="33" name="Rectangle 293"/>
          <xdr:cNvSpPr>
            <a:spLocks noChangeArrowheads="1"/>
          </xdr:cNvSpPr>
        </xdr:nvSpPr>
        <xdr:spPr bwMode="auto">
          <a:xfrm>
            <a:off x="7858125" y="18164175"/>
            <a:ext cx="1019175" cy="266700"/>
          </a:xfrm>
          <a:prstGeom prst="rect">
            <a:avLst/>
          </a:prstGeom>
          <a:noFill/>
          <a:ln w="15875">
            <a:solidFill>
              <a:srgbClr val="FF0000"/>
            </a:solidFill>
            <a:miter lim="800000"/>
            <a:headEnd/>
            <a:tailEnd/>
          </a:ln>
        </xdr:spPr>
      </xdr:sp>
      <xdr:sp macro="" textlink="">
        <xdr:nvSpPr>
          <xdr:cNvPr id="34" name="Text Box 294"/>
          <xdr:cNvSpPr txBox="1">
            <a:spLocks noChangeArrowheads="1"/>
          </xdr:cNvSpPr>
        </xdr:nvSpPr>
        <xdr:spPr bwMode="auto">
          <a:xfrm>
            <a:off x="7600950" y="18049875"/>
            <a:ext cx="3143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35" name="Rectangle 297"/>
          <xdr:cNvSpPr>
            <a:spLocks noChangeArrowheads="1"/>
          </xdr:cNvSpPr>
        </xdr:nvSpPr>
        <xdr:spPr bwMode="auto">
          <a:xfrm>
            <a:off x="8648700" y="18021300"/>
            <a:ext cx="219075" cy="142875"/>
          </a:xfrm>
          <a:prstGeom prst="rect">
            <a:avLst/>
          </a:prstGeom>
          <a:noFill/>
          <a:ln w="15875">
            <a:solidFill>
              <a:srgbClr val="FF0000"/>
            </a:solidFill>
            <a:miter lim="800000"/>
            <a:headEnd/>
            <a:tailEnd/>
          </a:ln>
        </xdr:spPr>
      </xdr:sp>
      <xdr:sp macro="" textlink="">
        <xdr:nvSpPr>
          <xdr:cNvPr id="36" name="Text Box 298"/>
          <xdr:cNvSpPr txBox="1">
            <a:spLocks noChangeArrowheads="1"/>
          </xdr:cNvSpPr>
        </xdr:nvSpPr>
        <xdr:spPr bwMode="auto">
          <a:xfrm>
            <a:off x="8858250" y="17897475"/>
            <a:ext cx="314325" cy="17144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grpSp>
    <xdr:clientData/>
  </xdr:twoCellAnchor>
  <xdr:twoCellAnchor editAs="oneCell">
    <xdr:from>
      <xdr:col>0</xdr:col>
      <xdr:colOff>571501</xdr:colOff>
      <xdr:row>3</xdr:row>
      <xdr:rowOff>57149</xdr:rowOff>
    </xdr:from>
    <xdr:to>
      <xdr:col>9</xdr:col>
      <xdr:colOff>33338</xdr:colOff>
      <xdr:row>24</xdr:row>
      <xdr:rowOff>114300</xdr:rowOff>
    </xdr:to>
    <xdr:pic>
      <xdr:nvPicPr>
        <xdr:cNvPr id="37" name="図 36"/>
        <xdr:cNvPicPr>
          <a:picLocks noChangeAspect="1"/>
        </xdr:cNvPicPr>
      </xdr:nvPicPr>
      <xdr:blipFill rotWithShape="1">
        <a:blip xmlns:r="http://schemas.openxmlformats.org/officeDocument/2006/relationships" r:embed="rId5"/>
        <a:srcRect l="1281" t="28193" r="55412" b="16331"/>
        <a:stretch/>
      </xdr:blipFill>
      <xdr:spPr>
        <a:xfrm>
          <a:off x="571501" y="819149"/>
          <a:ext cx="5634037" cy="4057651"/>
        </a:xfrm>
        <a:prstGeom prst="rect">
          <a:avLst/>
        </a:prstGeom>
        <a:ln w="12700">
          <a:solidFill>
            <a:schemeClr val="tx1"/>
          </a:solidFill>
        </a:ln>
      </xdr:spPr>
    </xdr:pic>
    <xdr:clientData/>
  </xdr:twoCellAnchor>
  <xdr:twoCellAnchor>
    <xdr:from>
      <xdr:col>2</xdr:col>
      <xdr:colOff>458248</xdr:colOff>
      <xdr:row>3</xdr:row>
      <xdr:rowOff>176212</xdr:rowOff>
    </xdr:from>
    <xdr:to>
      <xdr:col>3</xdr:col>
      <xdr:colOff>31484</xdr:colOff>
      <xdr:row>4</xdr:row>
      <xdr:rowOff>184646</xdr:rowOff>
    </xdr:to>
    <xdr:sp macro="" textlink="">
      <xdr:nvSpPr>
        <xdr:cNvPr id="38" name="Text Box 239"/>
        <xdr:cNvSpPr txBox="1">
          <a:spLocks noChangeArrowheads="1"/>
        </xdr:cNvSpPr>
      </xdr:nvSpPr>
      <xdr:spPr bwMode="auto">
        <a:xfrm>
          <a:off x="1829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clientData/>
  </xdr:twoCellAnchor>
  <xdr:twoCellAnchor>
    <xdr:from>
      <xdr:col>0</xdr:col>
      <xdr:colOff>323848</xdr:colOff>
      <xdr:row>3</xdr:row>
      <xdr:rowOff>176212</xdr:rowOff>
    </xdr:from>
    <xdr:to>
      <xdr:col>0</xdr:col>
      <xdr:colOff>582884</xdr:colOff>
      <xdr:row>4</xdr:row>
      <xdr:rowOff>184646</xdr:rowOff>
    </xdr:to>
    <xdr:sp macro="" textlink="">
      <xdr:nvSpPr>
        <xdr:cNvPr id="39" name="Text Box 242"/>
        <xdr:cNvSpPr txBox="1">
          <a:spLocks noChangeArrowheads="1"/>
        </xdr:cNvSpPr>
      </xdr:nvSpPr>
      <xdr:spPr bwMode="auto">
        <a:xfrm>
          <a:off x="323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clientData/>
  </xdr:twoCellAnchor>
  <xdr:twoCellAnchor>
    <xdr:from>
      <xdr:col>1</xdr:col>
      <xdr:colOff>441360</xdr:colOff>
      <xdr:row>3</xdr:row>
      <xdr:rowOff>176212</xdr:rowOff>
    </xdr:from>
    <xdr:to>
      <xdr:col>2</xdr:col>
      <xdr:colOff>14596</xdr:colOff>
      <xdr:row>4</xdr:row>
      <xdr:rowOff>184646</xdr:rowOff>
    </xdr:to>
    <xdr:sp macro="" textlink="">
      <xdr:nvSpPr>
        <xdr:cNvPr id="40" name="Text Box 243"/>
        <xdr:cNvSpPr txBox="1">
          <a:spLocks noChangeArrowheads="1"/>
        </xdr:cNvSpPr>
      </xdr:nvSpPr>
      <xdr:spPr bwMode="auto">
        <a:xfrm>
          <a:off x="1127160"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clientData/>
  </xdr:twoCellAnchor>
  <xdr:twoCellAnchor>
    <xdr:from>
      <xdr:col>3</xdr:col>
      <xdr:colOff>443960</xdr:colOff>
      <xdr:row>3</xdr:row>
      <xdr:rowOff>166687</xdr:rowOff>
    </xdr:from>
    <xdr:to>
      <xdr:col>4</xdr:col>
      <xdr:colOff>17196</xdr:colOff>
      <xdr:row>4</xdr:row>
      <xdr:rowOff>175121</xdr:rowOff>
    </xdr:to>
    <xdr:sp macro="" textlink="">
      <xdr:nvSpPr>
        <xdr:cNvPr id="41" name="Text Box 239"/>
        <xdr:cNvSpPr txBox="1">
          <a:spLocks noChangeArrowheads="1"/>
        </xdr:cNvSpPr>
      </xdr:nvSpPr>
      <xdr:spPr bwMode="auto">
        <a:xfrm>
          <a:off x="2501360" y="92868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clientData/>
  </xdr:twoCellAnchor>
  <xdr:twoCellAnchor>
    <xdr:from>
      <xdr:col>0</xdr:col>
      <xdr:colOff>523875</xdr:colOff>
      <xdr:row>4</xdr:row>
      <xdr:rowOff>0</xdr:rowOff>
    </xdr:from>
    <xdr:to>
      <xdr:col>1</xdr:col>
      <xdr:colOff>177376</xdr:colOff>
      <xdr:row>4</xdr:row>
      <xdr:rowOff>189892</xdr:rowOff>
    </xdr:to>
    <xdr:sp macro="" textlink="">
      <xdr:nvSpPr>
        <xdr:cNvPr id="42" name="Rectangle 235"/>
        <xdr:cNvSpPr>
          <a:spLocks noChangeArrowheads="1"/>
        </xdr:cNvSpPr>
      </xdr:nvSpPr>
      <xdr:spPr bwMode="auto">
        <a:xfrm>
          <a:off x="523875" y="952500"/>
          <a:ext cx="339301" cy="189892"/>
        </a:xfrm>
        <a:prstGeom prst="rect">
          <a:avLst/>
        </a:prstGeom>
        <a:noFill/>
        <a:ln w="15875">
          <a:solidFill>
            <a:srgbClr val="FF0000"/>
          </a:solidFill>
          <a:miter lim="800000"/>
          <a:headEnd/>
          <a:tailEnd/>
        </a:ln>
      </xdr:spPr>
    </xdr:sp>
    <xdr:clientData/>
  </xdr:twoCellAnchor>
  <xdr:twoCellAnchor>
    <xdr:from>
      <xdr:col>2</xdr:col>
      <xdr:colOff>656542</xdr:colOff>
      <xdr:row>4</xdr:row>
      <xdr:rowOff>0</xdr:rowOff>
    </xdr:from>
    <xdr:to>
      <xdr:col>3</xdr:col>
      <xdr:colOff>372547</xdr:colOff>
      <xdr:row>4</xdr:row>
      <xdr:rowOff>189892</xdr:rowOff>
    </xdr:to>
    <xdr:sp macro="" textlink="">
      <xdr:nvSpPr>
        <xdr:cNvPr id="43" name="Rectangle 238"/>
        <xdr:cNvSpPr>
          <a:spLocks noChangeArrowheads="1"/>
        </xdr:cNvSpPr>
      </xdr:nvSpPr>
      <xdr:spPr bwMode="auto">
        <a:xfrm>
          <a:off x="2028142" y="952500"/>
          <a:ext cx="401805" cy="189892"/>
        </a:xfrm>
        <a:prstGeom prst="rect">
          <a:avLst/>
        </a:prstGeom>
        <a:noFill/>
        <a:ln w="15875">
          <a:solidFill>
            <a:srgbClr val="FF0000"/>
          </a:solidFill>
          <a:miter lim="800000"/>
          <a:headEnd/>
          <a:tailEnd/>
        </a:ln>
      </xdr:spPr>
    </xdr:sp>
    <xdr:clientData/>
  </xdr:twoCellAnchor>
  <xdr:twoCellAnchor>
    <xdr:from>
      <xdr:col>1</xdr:col>
      <xdr:colOff>641708</xdr:colOff>
      <xdr:row>4</xdr:row>
      <xdr:rowOff>0</xdr:rowOff>
    </xdr:from>
    <xdr:to>
      <xdr:col>2</xdr:col>
      <xdr:colOff>357713</xdr:colOff>
      <xdr:row>4</xdr:row>
      <xdr:rowOff>189892</xdr:rowOff>
    </xdr:to>
    <xdr:sp macro="" textlink="">
      <xdr:nvSpPr>
        <xdr:cNvPr id="44" name="Rectangle 238"/>
        <xdr:cNvSpPr>
          <a:spLocks noChangeArrowheads="1"/>
        </xdr:cNvSpPr>
      </xdr:nvSpPr>
      <xdr:spPr bwMode="auto">
        <a:xfrm>
          <a:off x="1327508" y="952500"/>
          <a:ext cx="401805" cy="189892"/>
        </a:xfrm>
        <a:prstGeom prst="rect">
          <a:avLst/>
        </a:prstGeom>
        <a:noFill/>
        <a:ln w="15875">
          <a:solidFill>
            <a:srgbClr val="FF0000"/>
          </a:solidFill>
          <a:miter lim="800000"/>
          <a:headEnd/>
          <a:tailEnd/>
        </a:ln>
      </xdr:spPr>
    </xdr:sp>
    <xdr:clientData/>
  </xdr:twoCellAnchor>
  <xdr:twoCellAnchor>
    <xdr:from>
      <xdr:col>3</xdr:col>
      <xdr:colOff>647017</xdr:colOff>
      <xdr:row>3</xdr:row>
      <xdr:rowOff>185738</xdr:rowOff>
    </xdr:from>
    <xdr:to>
      <xdr:col>4</xdr:col>
      <xdr:colOff>363022</xdr:colOff>
      <xdr:row>4</xdr:row>
      <xdr:rowOff>185130</xdr:rowOff>
    </xdr:to>
    <xdr:sp macro="" textlink="">
      <xdr:nvSpPr>
        <xdr:cNvPr id="45" name="Rectangle 238"/>
        <xdr:cNvSpPr>
          <a:spLocks noChangeArrowheads="1"/>
        </xdr:cNvSpPr>
      </xdr:nvSpPr>
      <xdr:spPr bwMode="auto">
        <a:xfrm>
          <a:off x="2704417" y="947738"/>
          <a:ext cx="401805" cy="189892"/>
        </a:xfrm>
        <a:prstGeom prst="rect">
          <a:avLst/>
        </a:prstGeom>
        <a:noFill/>
        <a:ln w="15875">
          <a:solidFill>
            <a:srgbClr val="FF0000"/>
          </a:solidFill>
          <a:miter lim="800000"/>
          <a:headEnd/>
          <a:tailEnd/>
        </a:ln>
      </xdr:spPr>
    </xdr:sp>
    <xdr:clientData/>
  </xdr:twoCellAnchor>
  <xdr:twoCellAnchor>
    <xdr:from>
      <xdr:col>1</xdr:col>
      <xdr:colOff>647701</xdr:colOff>
      <xdr:row>6</xdr:row>
      <xdr:rowOff>57149</xdr:rowOff>
    </xdr:from>
    <xdr:to>
      <xdr:col>4</xdr:col>
      <xdr:colOff>28575</xdr:colOff>
      <xdr:row>20</xdr:row>
      <xdr:rowOff>166183</xdr:rowOff>
    </xdr:to>
    <xdr:sp macro="" textlink="">
      <xdr:nvSpPr>
        <xdr:cNvPr id="46" name="Rectangle 247"/>
        <xdr:cNvSpPr>
          <a:spLocks noChangeArrowheads="1"/>
        </xdr:cNvSpPr>
      </xdr:nvSpPr>
      <xdr:spPr bwMode="auto">
        <a:xfrm>
          <a:off x="1333501" y="1390649"/>
          <a:ext cx="1438274" cy="2776034"/>
        </a:xfrm>
        <a:prstGeom prst="rect">
          <a:avLst/>
        </a:prstGeom>
        <a:noFill/>
        <a:ln w="15875">
          <a:solidFill>
            <a:srgbClr val="FF0000"/>
          </a:solidFill>
          <a:miter lim="800000"/>
          <a:headEnd/>
          <a:tailEnd/>
        </a:ln>
      </xdr:spPr>
    </xdr:sp>
    <xdr:clientData/>
  </xdr:twoCellAnchor>
  <xdr:twoCellAnchor>
    <xdr:from>
      <xdr:col>4</xdr:col>
      <xdr:colOff>313590</xdr:colOff>
      <xdr:row>6</xdr:row>
      <xdr:rowOff>56666</xdr:rowOff>
    </xdr:from>
    <xdr:to>
      <xdr:col>6</xdr:col>
      <xdr:colOff>343841</xdr:colOff>
      <xdr:row>20</xdr:row>
      <xdr:rowOff>165700</xdr:rowOff>
    </xdr:to>
    <xdr:sp macro="" textlink="">
      <xdr:nvSpPr>
        <xdr:cNvPr id="47" name="Rectangle 249"/>
        <xdr:cNvSpPr>
          <a:spLocks noChangeArrowheads="1"/>
        </xdr:cNvSpPr>
      </xdr:nvSpPr>
      <xdr:spPr bwMode="auto">
        <a:xfrm>
          <a:off x="3056790" y="1390166"/>
          <a:ext cx="1401851" cy="2776034"/>
        </a:xfrm>
        <a:prstGeom prst="rect">
          <a:avLst/>
        </a:prstGeom>
        <a:noFill/>
        <a:ln w="15875">
          <a:solidFill>
            <a:srgbClr val="0000FF"/>
          </a:solidFill>
          <a:miter lim="800000"/>
          <a:headEnd/>
          <a:tailEnd/>
        </a:ln>
      </xdr:spPr>
    </xdr:sp>
    <xdr:clientData/>
  </xdr:twoCellAnchor>
  <xdr:twoCellAnchor>
    <xdr:from>
      <xdr:col>6</xdr:col>
      <xdr:colOff>359318</xdr:colOff>
      <xdr:row>6</xdr:row>
      <xdr:rowOff>56666</xdr:rowOff>
    </xdr:from>
    <xdr:to>
      <xdr:col>9</xdr:col>
      <xdr:colOff>63107</xdr:colOff>
      <xdr:row>20</xdr:row>
      <xdr:rowOff>165700</xdr:rowOff>
    </xdr:to>
    <xdr:sp macro="" textlink="">
      <xdr:nvSpPr>
        <xdr:cNvPr id="48" name="Rectangle 250"/>
        <xdr:cNvSpPr>
          <a:spLocks noChangeArrowheads="1"/>
        </xdr:cNvSpPr>
      </xdr:nvSpPr>
      <xdr:spPr bwMode="auto">
        <a:xfrm>
          <a:off x="4474118" y="1390166"/>
          <a:ext cx="1761189" cy="2776034"/>
        </a:xfrm>
        <a:prstGeom prst="rect">
          <a:avLst/>
        </a:prstGeom>
        <a:noFill/>
        <a:ln w="15875">
          <a:solidFill>
            <a:srgbClr val="FF0000"/>
          </a:solidFill>
          <a:miter lim="800000"/>
          <a:headEnd/>
          <a:tailEnd/>
        </a:ln>
      </xdr:spPr>
    </xdr:sp>
    <xdr:clientData/>
  </xdr:twoCellAnchor>
  <xdr:twoCellAnchor>
    <xdr:from>
      <xdr:col>2</xdr:col>
      <xdr:colOff>609600</xdr:colOff>
      <xdr:row>12</xdr:row>
      <xdr:rowOff>41414</xdr:rowOff>
    </xdr:from>
    <xdr:to>
      <xdr:col>3</xdr:col>
      <xdr:colOff>182836</xdr:colOff>
      <xdr:row>13</xdr:row>
      <xdr:rowOff>49848</xdr:rowOff>
    </xdr:to>
    <xdr:sp macro="" textlink="">
      <xdr:nvSpPr>
        <xdr:cNvPr id="49" name="Text Box 248"/>
        <xdr:cNvSpPr txBox="1">
          <a:spLocks noChangeArrowheads="1"/>
        </xdr:cNvSpPr>
      </xdr:nvSpPr>
      <xdr:spPr bwMode="auto">
        <a:xfrm>
          <a:off x="1981200" y="2517914"/>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clientData/>
  </xdr:twoCellAnchor>
  <xdr:twoCellAnchor>
    <xdr:from>
      <xdr:col>5</xdr:col>
      <xdr:colOff>177959</xdr:colOff>
      <xdr:row>12</xdr:row>
      <xdr:rowOff>41414</xdr:rowOff>
    </xdr:from>
    <xdr:to>
      <xdr:col>5</xdr:col>
      <xdr:colOff>436995</xdr:colOff>
      <xdr:row>13</xdr:row>
      <xdr:rowOff>49848</xdr:rowOff>
    </xdr:to>
    <xdr:sp macro="" textlink="">
      <xdr:nvSpPr>
        <xdr:cNvPr id="50" name="Text Box 251"/>
        <xdr:cNvSpPr txBox="1">
          <a:spLocks noChangeArrowheads="1"/>
        </xdr:cNvSpPr>
      </xdr:nvSpPr>
      <xdr:spPr bwMode="auto">
        <a:xfrm>
          <a:off x="3606959" y="2517914"/>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⑥</a:t>
          </a:r>
        </a:p>
      </xdr:txBody>
    </xdr:sp>
    <xdr:clientData/>
  </xdr:twoCellAnchor>
  <xdr:twoCellAnchor>
    <xdr:from>
      <xdr:col>7</xdr:col>
      <xdr:colOff>414170</xdr:colOff>
      <xdr:row>12</xdr:row>
      <xdr:rowOff>14286</xdr:rowOff>
    </xdr:from>
    <xdr:to>
      <xdr:col>7</xdr:col>
      <xdr:colOff>673206</xdr:colOff>
      <xdr:row>13</xdr:row>
      <xdr:rowOff>22720</xdr:rowOff>
    </xdr:to>
    <xdr:sp macro="" textlink="">
      <xdr:nvSpPr>
        <xdr:cNvPr id="51" name="Text Box 252"/>
        <xdr:cNvSpPr txBox="1">
          <a:spLocks noChangeArrowheads="1"/>
        </xdr:cNvSpPr>
      </xdr:nvSpPr>
      <xdr:spPr bwMode="auto">
        <a:xfrm>
          <a:off x="5214770" y="2490786"/>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⑦</a:t>
          </a:r>
        </a:p>
      </xdr:txBody>
    </xdr:sp>
    <xdr:clientData/>
  </xdr:twoCellAnchor>
  <xdr:twoCellAnchor>
    <xdr:from>
      <xdr:col>2</xdr:col>
      <xdr:colOff>114301</xdr:colOff>
      <xdr:row>21</xdr:row>
      <xdr:rowOff>9526</xdr:rowOff>
    </xdr:from>
    <xdr:to>
      <xdr:col>2</xdr:col>
      <xdr:colOff>373337</xdr:colOff>
      <xdr:row>22</xdr:row>
      <xdr:rowOff>17960</xdr:rowOff>
    </xdr:to>
    <xdr:sp macro="" textlink="">
      <xdr:nvSpPr>
        <xdr:cNvPr id="52" name="Text Box 240"/>
        <xdr:cNvSpPr txBox="1">
          <a:spLocks noChangeArrowheads="1"/>
        </xdr:cNvSpPr>
      </xdr:nvSpPr>
      <xdr:spPr bwMode="auto">
        <a:xfrm>
          <a:off x="1485901" y="4200526"/>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⑧</a:t>
          </a:r>
        </a:p>
      </xdr:txBody>
    </xdr:sp>
    <xdr:clientData/>
  </xdr:twoCellAnchor>
  <xdr:twoCellAnchor>
    <xdr:from>
      <xdr:col>2</xdr:col>
      <xdr:colOff>114301</xdr:colOff>
      <xdr:row>21</xdr:row>
      <xdr:rowOff>171323</xdr:rowOff>
    </xdr:from>
    <xdr:to>
      <xdr:col>2</xdr:col>
      <xdr:colOff>391202</xdr:colOff>
      <xdr:row>23</xdr:row>
      <xdr:rowOff>7342</xdr:rowOff>
    </xdr:to>
    <xdr:sp macro="" textlink="">
      <xdr:nvSpPr>
        <xdr:cNvPr id="53" name="Text Box 241"/>
        <xdr:cNvSpPr txBox="1">
          <a:spLocks noChangeArrowheads="1"/>
        </xdr:cNvSpPr>
      </xdr:nvSpPr>
      <xdr:spPr bwMode="auto">
        <a:xfrm>
          <a:off x="1485901" y="4362323"/>
          <a:ext cx="276901" cy="21701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⑨</a:t>
          </a:r>
        </a:p>
      </xdr:txBody>
    </xdr:sp>
    <xdr:clientData/>
  </xdr:twoCellAnchor>
  <xdr:twoCellAnchor>
    <xdr:from>
      <xdr:col>5</xdr:col>
      <xdr:colOff>63067</xdr:colOff>
      <xdr:row>22</xdr:row>
      <xdr:rowOff>36529</xdr:rowOff>
    </xdr:from>
    <xdr:to>
      <xdr:col>5</xdr:col>
      <xdr:colOff>322103</xdr:colOff>
      <xdr:row>23</xdr:row>
      <xdr:rowOff>44963</xdr:rowOff>
    </xdr:to>
    <xdr:sp macro="" textlink="">
      <xdr:nvSpPr>
        <xdr:cNvPr id="54" name="Text Box 246"/>
        <xdr:cNvSpPr txBox="1">
          <a:spLocks noChangeArrowheads="1"/>
        </xdr:cNvSpPr>
      </xdr:nvSpPr>
      <xdr:spPr bwMode="auto">
        <a:xfrm>
          <a:off x="3492067" y="4418029"/>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⑪</a:t>
          </a:r>
        </a:p>
      </xdr:txBody>
    </xdr:sp>
    <xdr:clientData/>
  </xdr:twoCellAnchor>
  <xdr:twoCellAnchor>
    <xdr:from>
      <xdr:col>2</xdr:col>
      <xdr:colOff>123234</xdr:colOff>
      <xdr:row>22</xdr:row>
      <xdr:rowOff>137857</xdr:rowOff>
    </xdr:from>
    <xdr:to>
      <xdr:col>2</xdr:col>
      <xdr:colOff>382270</xdr:colOff>
      <xdr:row>23</xdr:row>
      <xdr:rowOff>146291</xdr:rowOff>
    </xdr:to>
    <xdr:sp macro="" textlink="">
      <xdr:nvSpPr>
        <xdr:cNvPr id="55" name="Text Box 254"/>
        <xdr:cNvSpPr txBox="1">
          <a:spLocks noChangeArrowheads="1"/>
        </xdr:cNvSpPr>
      </xdr:nvSpPr>
      <xdr:spPr bwMode="auto">
        <a:xfrm>
          <a:off x="1494834" y="451935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⑩</a:t>
          </a:r>
        </a:p>
      </xdr:txBody>
    </xdr:sp>
    <xdr:clientData/>
  </xdr:twoCellAnchor>
  <xdr:twoCellAnchor>
    <xdr:from>
      <xdr:col>7</xdr:col>
      <xdr:colOff>517252</xdr:colOff>
      <xdr:row>21</xdr:row>
      <xdr:rowOff>80898</xdr:rowOff>
    </xdr:from>
    <xdr:to>
      <xdr:col>8</xdr:col>
      <xdr:colOff>63691</xdr:colOff>
      <xdr:row>22</xdr:row>
      <xdr:rowOff>98374</xdr:rowOff>
    </xdr:to>
    <xdr:sp macro="" textlink="">
      <xdr:nvSpPr>
        <xdr:cNvPr id="56" name="Text Box 256"/>
        <xdr:cNvSpPr txBox="1">
          <a:spLocks noChangeArrowheads="1"/>
        </xdr:cNvSpPr>
      </xdr:nvSpPr>
      <xdr:spPr bwMode="auto">
        <a:xfrm>
          <a:off x="5317852" y="4271898"/>
          <a:ext cx="232239" cy="207976"/>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⑫　</a:t>
          </a:r>
        </a:p>
      </xdr:txBody>
    </xdr:sp>
    <xdr:clientData/>
  </xdr:twoCellAnchor>
  <xdr:twoCellAnchor>
    <xdr:from>
      <xdr:col>1</xdr:col>
      <xdr:colOff>100013</xdr:colOff>
      <xdr:row>21</xdr:row>
      <xdr:rowOff>19050</xdr:rowOff>
    </xdr:from>
    <xdr:to>
      <xdr:col>3</xdr:col>
      <xdr:colOff>50592</xdr:colOff>
      <xdr:row>23</xdr:row>
      <xdr:rowOff>171555</xdr:rowOff>
    </xdr:to>
    <xdr:sp macro="" textlink="">
      <xdr:nvSpPr>
        <xdr:cNvPr id="57" name="Rectangle 236"/>
        <xdr:cNvSpPr>
          <a:spLocks noChangeArrowheads="1"/>
        </xdr:cNvSpPr>
      </xdr:nvSpPr>
      <xdr:spPr bwMode="auto">
        <a:xfrm>
          <a:off x="785813" y="4210050"/>
          <a:ext cx="1322179" cy="533505"/>
        </a:xfrm>
        <a:prstGeom prst="rect">
          <a:avLst/>
        </a:prstGeom>
        <a:noFill/>
        <a:ln w="15875">
          <a:solidFill>
            <a:srgbClr val="FF0000"/>
          </a:solidFill>
          <a:miter lim="800000"/>
          <a:headEnd/>
          <a:tailEnd/>
        </a:ln>
      </xdr:spPr>
    </xdr:sp>
    <xdr:clientData/>
  </xdr:twoCellAnchor>
  <xdr:twoCellAnchor>
    <xdr:from>
      <xdr:col>3</xdr:col>
      <xdr:colOff>344608</xdr:colOff>
      <xdr:row>21</xdr:row>
      <xdr:rowOff>91390</xdr:rowOff>
    </xdr:from>
    <xdr:to>
      <xdr:col>6</xdr:col>
      <xdr:colOff>46219</xdr:colOff>
      <xdr:row>23</xdr:row>
      <xdr:rowOff>171555</xdr:rowOff>
    </xdr:to>
    <xdr:sp macro="" textlink="">
      <xdr:nvSpPr>
        <xdr:cNvPr id="58" name="Rectangle 245"/>
        <xdr:cNvSpPr>
          <a:spLocks noChangeArrowheads="1"/>
        </xdr:cNvSpPr>
      </xdr:nvSpPr>
      <xdr:spPr bwMode="auto">
        <a:xfrm>
          <a:off x="2402008" y="4282390"/>
          <a:ext cx="1759011" cy="461165"/>
        </a:xfrm>
        <a:prstGeom prst="rect">
          <a:avLst/>
        </a:prstGeom>
        <a:noFill/>
        <a:ln w="15875">
          <a:solidFill>
            <a:srgbClr val="FF0000"/>
          </a:solidFill>
          <a:miter lim="800000"/>
          <a:headEnd/>
          <a:tailEnd/>
        </a:ln>
      </xdr:spPr>
    </xdr:sp>
    <xdr:clientData/>
  </xdr:twoCellAnchor>
  <xdr:twoCellAnchor>
    <xdr:from>
      <xdr:col>6</xdr:col>
      <xdr:colOff>349806</xdr:colOff>
      <xdr:row>21</xdr:row>
      <xdr:rowOff>28093</xdr:rowOff>
    </xdr:from>
    <xdr:to>
      <xdr:col>9</xdr:col>
      <xdr:colOff>60346</xdr:colOff>
      <xdr:row>23</xdr:row>
      <xdr:rowOff>171555</xdr:rowOff>
    </xdr:to>
    <xdr:sp macro="" textlink="">
      <xdr:nvSpPr>
        <xdr:cNvPr id="59" name="Rectangle 255"/>
        <xdr:cNvSpPr>
          <a:spLocks noChangeArrowheads="1"/>
        </xdr:cNvSpPr>
      </xdr:nvSpPr>
      <xdr:spPr bwMode="auto">
        <a:xfrm>
          <a:off x="4464606" y="4219093"/>
          <a:ext cx="1767940" cy="524462"/>
        </a:xfrm>
        <a:prstGeom prst="rect">
          <a:avLst/>
        </a:prstGeom>
        <a:noFill/>
        <a:ln w="15875">
          <a:solidFill>
            <a:srgbClr val="0000FF"/>
          </a:solidFill>
          <a:miter lim="800000"/>
          <a:headEnd/>
          <a:tailEnd/>
        </a:ln>
      </xdr:spPr>
    </xdr:sp>
    <xdr:clientData/>
  </xdr:twoCellAnchor>
  <xdr:twoCellAnchor>
    <xdr:from>
      <xdr:col>7</xdr:col>
      <xdr:colOff>224992</xdr:colOff>
      <xdr:row>22</xdr:row>
      <xdr:rowOff>107966</xdr:rowOff>
    </xdr:from>
    <xdr:to>
      <xdr:col>8</xdr:col>
      <xdr:colOff>646795</xdr:colOff>
      <xdr:row>23</xdr:row>
      <xdr:rowOff>80230</xdr:rowOff>
    </xdr:to>
    <xdr:sp macro="" textlink="">
      <xdr:nvSpPr>
        <xdr:cNvPr id="60" name="Text Box 246"/>
        <xdr:cNvSpPr txBox="1">
          <a:spLocks noChangeArrowheads="1"/>
        </xdr:cNvSpPr>
      </xdr:nvSpPr>
      <xdr:spPr bwMode="auto">
        <a:xfrm>
          <a:off x="5025592" y="4489466"/>
          <a:ext cx="1107603" cy="16276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en-US" altLang="ja-JP" sz="1050" b="1" i="0" u="none" strike="noStrike" baseline="0">
              <a:solidFill>
                <a:srgbClr val="FF0000"/>
              </a:solidFill>
              <a:latin typeface="ＭＳ Ｐゴシック"/>
              <a:ea typeface="ＭＳ Ｐゴシック"/>
            </a:rPr>
            <a:t>※</a:t>
          </a:r>
          <a:r>
            <a:rPr lang="ja-JP" altLang="en-US" sz="1050" b="1" i="0" u="none" strike="noStrike" baseline="0">
              <a:solidFill>
                <a:srgbClr val="FF0000"/>
              </a:solidFill>
              <a:latin typeface="ＭＳ Ｐゴシック"/>
              <a:ea typeface="ＭＳ Ｐゴシック"/>
            </a:rPr>
            <a:t>状況により必須</a:t>
          </a:r>
        </a:p>
      </xdr:txBody>
    </xdr:sp>
    <xdr:clientData/>
  </xdr:twoCellAnchor>
  <xdr:oneCellAnchor>
    <xdr:from>
      <xdr:col>6</xdr:col>
      <xdr:colOff>333376</xdr:colOff>
      <xdr:row>21</xdr:row>
      <xdr:rowOff>95250</xdr:rowOff>
    </xdr:from>
    <xdr:ext cx="847540" cy="225703"/>
    <xdr:sp macro="" textlink="">
      <xdr:nvSpPr>
        <xdr:cNvPr id="61" name="テキスト ボックス 60"/>
        <xdr:cNvSpPr txBox="1"/>
      </xdr:nvSpPr>
      <xdr:spPr>
        <a:xfrm>
          <a:off x="4448176" y="4286250"/>
          <a:ext cx="847540" cy="2257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800"/>
            <a:t>XX/XX</a:t>
          </a:r>
          <a:r>
            <a:rPr kumimoji="1" lang="ja-JP" altLang="en-US" sz="800"/>
            <a:t>計画年休</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12</xdr:col>
      <xdr:colOff>0</xdr:colOff>
      <xdr:row>3</xdr:row>
      <xdr:rowOff>66675</xdr:rowOff>
    </xdr:from>
    <xdr:to>
      <xdr:col>15</xdr:col>
      <xdr:colOff>752475</xdr:colOff>
      <xdr:row>3</xdr:row>
      <xdr:rowOff>276225</xdr:rowOff>
    </xdr:to>
    <xdr:sp macro="" textlink="">
      <xdr:nvSpPr>
        <xdr:cNvPr id="1036" name="AutoShape 17"/>
        <xdr:cNvSpPr>
          <a:spLocks/>
        </xdr:cNvSpPr>
      </xdr:nvSpPr>
      <xdr:spPr bwMode="auto">
        <a:xfrm rot="5400000">
          <a:off x="7119938" y="-585788"/>
          <a:ext cx="209550" cy="3038475"/>
        </a:xfrm>
        <a:prstGeom prst="leftBrace">
          <a:avLst>
            <a:gd name="adj1" fmla="val 120833"/>
            <a:gd name="adj2" fmla="val 50000"/>
          </a:avLst>
        </a:prstGeom>
        <a:no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is-devdoc\KBK(&#36092;&#36023;&#29289;&#27969;&#25913;&#38761;)&#12503;&#12525;&#12472;&#12455;&#12463;&#12488;\Users\tdi4608\Desktop\10_kintai_201804_&#30906;&#354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運用方法"/>
      <sheetName val="出退社入力シート"/>
      <sheetName val="準委任用"/>
      <sheetName val="派遣用"/>
      <sheetName val="交通費・出張費明細書"/>
      <sheetName val="交通費・出張費明細書 (2)"/>
      <sheetName val="交通費・出張費明細書 (3)"/>
      <sheetName val="祝日・休日設定"/>
      <sheetName val="変更履歴"/>
    </sheetNames>
    <sheetDataSet>
      <sheetData sheetId="0"/>
      <sheetData sheetId="1"/>
      <sheetData sheetId="2"/>
      <sheetData sheetId="3"/>
      <sheetData sheetId="4"/>
      <sheetData sheetId="5"/>
      <sheetData sheetId="6"/>
      <sheetData sheetId="7">
        <row r="1">
          <cell r="A1">
            <v>43101</v>
          </cell>
          <cell r="B1" t="str">
            <v>月</v>
          </cell>
          <cell r="C1" t="str">
            <v>元旦</v>
          </cell>
        </row>
        <row r="2">
          <cell r="A2">
            <v>43108</v>
          </cell>
          <cell r="B2" t="str">
            <v>月</v>
          </cell>
          <cell r="C2" t="str">
            <v>成人の日</v>
          </cell>
        </row>
        <row r="3">
          <cell r="A3">
            <v>43142</v>
          </cell>
          <cell r="B3" t="str">
            <v>日</v>
          </cell>
          <cell r="C3" t="str">
            <v>建国記念日</v>
          </cell>
        </row>
        <row r="4">
          <cell r="A4">
            <v>43143</v>
          </cell>
          <cell r="B4" t="str">
            <v>月</v>
          </cell>
          <cell r="C4" t="str">
            <v>振替休日</v>
          </cell>
        </row>
        <row r="5">
          <cell r="A5">
            <v>43180</v>
          </cell>
          <cell r="B5" t="str">
            <v>水</v>
          </cell>
          <cell r="C5" t="str">
            <v>春分の日</v>
          </cell>
        </row>
        <row r="6">
          <cell r="A6" t="str">
            <v/>
          </cell>
          <cell r="B6" t="str">
            <v/>
          </cell>
          <cell r="C6" t="str">
            <v/>
          </cell>
        </row>
        <row r="7">
          <cell r="A7">
            <v>43219</v>
          </cell>
          <cell r="B7" t="str">
            <v>日</v>
          </cell>
          <cell r="C7" t="str">
            <v>昭和の日</v>
          </cell>
        </row>
        <row r="8">
          <cell r="A8">
            <v>43220</v>
          </cell>
          <cell r="B8" t="str">
            <v>月</v>
          </cell>
          <cell r="C8" t="str">
            <v>振替休日</v>
          </cell>
        </row>
        <row r="9">
          <cell r="A9">
            <v>43223</v>
          </cell>
          <cell r="B9" t="str">
            <v>木</v>
          </cell>
          <cell r="C9" t="str">
            <v>憲法記念日</v>
          </cell>
        </row>
        <row r="10">
          <cell r="A10">
            <v>43224</v>
          </cell>
          <cell r="B10" t="str">
            <v>金</v>
          </cell>
          <cell r="C10" t="str">
            <v>みどりの日</v>
          </cell>
        </row>
        <row r="11">
          <cell r="A11">
            <v>43225</v>
          </cell>
          <cell r="B11" t="str">
            <v>土</v>
          </cell>
          <cell r="C11" t="str">
            <v>こどもの日</v>
          </cell>
        </row>
        <row r="12">
          <cell r="A12" t="str">
            <v/>
          </cell>
          <cell r="B12" t="str">
            <v/>
          </cell>
          <cell r="C12" t="str">
            <v/>
          </cell>
        </row>
        <row r="13">
          <cell r="A13">
            <v>43297</v>
          </cell>
          <cell r="B13" t="str">
            <v>月</v>
          </cell>
          <cell r="C13" t="str">
            <v>海の日</v>
          </cell>
        </row>
        <row r="14">
          <cell r="A14">
            <v>43323</v>
          </cell>
          <cell r="B14" t="str">
            <v>土</v>
          </cell>
          <cell r="C14" t="str">
            <v>山の日</v>
          </cell>
        </row>
        <row r="15">
          <cell r="A15" t="str">
            <v/>
          </cell>
          <cell r="B15" t="str">
            <v/>
          </cell>
          <cell r="C15" t="str">
            <v/>
          </cell>
        </row>
        <row r="16">
          <cell r="A16">
            <v>43360</v>
          </cell>
          <cell r="B16" t="str">
            <v>月</v>
          </cell>
          <cell r="C16" t="str">
            <v>敬老の日</v>
          </cell>
        </row>
        <row r="17">
          <cell r="A17" t="str">
            <v/>
          </cell>
          <cell r="B17" t="str">
            <v/>
          </cell>
          <cell r="C17" t="str">
            <v/>
          </cell>
        </row>
        <row r="18">
          <cell r="A18">
            <v>43366</v>
          </cell>
          <cell r="B18" t="str">
            <v>日</v>
          </cell>
          <cell r="C18" t="str">
            <v>秋分の日</v>
          </cell>
        </row>
        <row r="19">
          <cell r="A19">
            <v>43367</v>
          </cell>
          <cell r="B19" t="str">
            <v>月</v>
          </cell>
          <cell r="C19" t="str">
            <v>振替休日</v>
          </cell>
        </row>
        <row r="20">
          <cell r="A20">
            <v>43381</v>
          </cell>
          <cell r="B20" t="str">
            <v>月</v>
          </cell>
          <cell r="C20" t="str">
            <v>体育の日</v>
          </cell>
        </row>
        <row r="21">
          <cell r="A21">
            <v>43407</v>
          </cell>
          <cell r="B21" t="str">
            <v>土</v>
          </cell>
          <cell r="C21" t="str">
            <v>文化の日</v>
          </cell>
        </row>
        <row r="22">
          <cell r="A22" t="str">
            <v/>
          </cell>
          <cell r="B22" t="str">
            <v/>
          </cell>
          <cell r="C22" t="str">
            <v/>
          </cell>
        </row>
        <row r="23">
          <cell r="A23">
            <v>43427</v>
          </cell>
          <cell r="B23" t="str">
            <v>金</v>
          </cell>
          <cell r="C23" t="str">
            <v>勤労感謝の日</v>
          </cell>
        </row>
        <row r="24">
          <cell r="A24" t="str">
            <v/>
          </cell>
          <cell r="B24" t="str">
            <v/>
          </cell>
          <cell r="C24" t="str">
            <v/>
          </cell>
        </row>
        <row r="25">
          <cell r="A25">
            <v>43457</v>
          </cell>
          <cell r="B25" t="str">
            <v>日</v>
          </cell>
          <cell r="C25" t="str">
            <v>天皇誕生日</v>
          </cell>
        </row>
        <row r="26">
          <cell r="A26">
            <v>43458</v>
          </cell>
          <cell r="B26" t="str">
            <v>月</v>
          </cell>
          <cell r="C26" t="str">
            <v>振替休日</v>
          </cell>
        </row>
        <row r="27">
          <cell r="A27">
            <v>43463</v>
          </cell>
          <cell r="B27" t="str">
            <v>土</v>
          </cell>
          <cell r="C27" t="str">
            <v>冬期休暇</v>
          </cell>
        </row>
        <row r="28">
          <cell r="A28">
            <v>43464</v>
          </cell>
          <cell r="B28" t="str">
            <v>日</v>
          </cell>
          <cell r="C28" t="str">
            <v>冬期休暇</v>
          </cell>
        </row>
        <row r="29">
          <cell r="A29">
            <v>43465</v>
          </cell>
          <cell r="B29" t="str">
            <v>月</v>
          </cell>
          <cell r="C29" t="str">
            <v>冬期休暇</v>
          </cell>
        </row>
        <row r="30">
          <cell r="A30">
            <v>43102</v>
          </cell>
          <cell r="B30" t="str">
            <v>火</v>
          </cell>
          <cell r="C30" t="str">
            <v>冬期休暇</v>
          </cell>
        </row>
        <row r="31">
          <cell r="A31">
            <v>43103</v>
          </cell>
          <cell r="B31" t="str">
            <v>水</v>
          </cell>
          <cell r="C31" t="str">
            <v>冬期休暇</v>
          </cell>
        </row>
      </sheetData>
      <sheetData sheetId="8"/>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19"/>
  <sheetViews>
    <sheetView showGridLines="0" zoomScaleNormal="100" workbookViewId="0"/>
  </sheetViews>
  <sheetFormatPr defaultRowHeight="15" customHeight="1"/>
  <sheetData>
    <row r="1" spans="1:12" ht="30" customHeight="1">
      <c r="A1" s="33" t="s">
        <v>194</v>
      </c>
    </row>
    <row r="3" spans="1:12" ht="15" customHeight="1">
      <c r="A3" s="33" t="s">
        <v>51</v>
      </c>
    </row>
    <row r="4" spans="1:12" ht="15" customHeight="1">
      <c r="K4" s="133" t="s">
        <v>153</v>
      </c>
      <c r="L4" t="s">
        <v>195</v>
      </c>
    </row>
    <row r="5" spans="1:12" ht="15" customHeight="1">
      <c r="K5" s="133" t="s">
        <v>196</v>
      </c>
      <c r="L5" t="s">
        <v>197</v>
      </c>
    </row>
    <row r="6" spans="1:12" ht="15" customHeight="1">
      <c r="A6" s="33"/>
      <c r="K6" s="133" t="s">
        <v>198</v>
      </c>
      <c r="L6" t="s">
        <v>299</v>
      </c>
    </row>
    <row r="7" spans="1:12" ht="15" customHeight="1">
      <c r="K7" s="133" t="s">
        <v>199</v>
      </c>
      <c r="L7" t="s">
        <v>200</v>
      </c>
    </row>
    <row r="8" spans="1:12" ht="15" customHeight="1">
      <c r="K8" s="133"/>
    </row>
    <row r="9" spans="1:12" ht="15" customHeight="1">
      <c r="K9" s="133" t="s">
        <v>201</v>
      </c>
      <c r="L9" t="s">
        <v>202</v>
      </c>
    </row>
    <row r="10" spans="1:12" ht="15" customHeight="1">
      <c r="K10" s="133"/>
      <c r="L10" t="s">
        <v>203</v>
      </c>
    </row>
    <row r="11" spans="1:12" ht="15" customHeight="1">
      <c r="K11" s="133"/>
      <c r="L11" t="s">
        <v>204</v>
      </c>
    </row>
    <row r="12" spans="1:12" ht="15" customHeight="1">
      <c r="K12" s="133" t="s">
        <v>205</v>
      </c>
      <c r="L12" t="s">
        <v>206</v>
      </c>
    </row>
    <row r="13" spans="1:12" ht="15" customHeight="1">
      <c r="K13" s="133" t="s">
        <v>207</v>
      </c>
      <c r="L13" s="144" t="s">
        <v>208</v>
      </c>
    </row>
    <row r="14" spans="1:12" ht="15" customHeight="1">
      <c r="L14" s="144" t="s">
        <v>209</v>
      </c>
    </row>
    <row r="16" spans="1:12" ht="15" customHeight="1">
      <c r="K16" s="133" t="s">
        <v>210</v>
      </c>
      <c r="L16" t="s">
        <v>211</v>
      </c>
    </row>
    <row r="17" spans="11:12" ht="15" customHeight="1">
      <c r="K17" s="133" t="s">
        <v>189</v>
      </c>
      <c r="L17" t="s">
        <v>212</v>
      </c>
    </row>
    <row r="18" spans="11:12" ht="15" customHeight="1">
      <c r="K18" s="143" t="s">
        <v>213</v>
      </c>
      <c r="L18" s="144" t="s">
        <v>214</v>
      </c>
    </row>
    <row r="19" spans="11:12" ht="15" customHeight="1">
      <c r="K19" s="133" t="s">
        <v>215</v>
      </c>
      <c r="L19" t="s">
        <v>154</v>
      </c>
    </row>
    <row r="20" spans="11:12" ht="15" customHeight="1">
      <c r="K20" s="133" t="s">
        <v>216</v>
      </c>
      <c r="L20" t="s">
        <v>217</v>
      </c>
    </row>
    <row r="21" spans="11:12" ht="15" customHeight="1">
      <c r="L21" s="144" t="s">
        <v>155</v>
      </c>
    </row>
    <row r="22" spans="11:12" ht="15" customHeight="1">
      <c r="L22" s="144" t="s">
        <v>178</v>
      </c>
    </row>
    <row r="23" spans="11:12" ht="15" customHeight="1">
      <c r="L23" s="144" t="s">
        <v>218</v>
      </c>
    </row>
    <row r="27" spans="11:12" ht="15" customHeight="1">
      <c r="K27" s="133" t="s">
        <v>219</v>
      </c>
      <c r="L27" s="144" t="s">
        <v>300</v>
      </c>
    </row>
    <row r="28" spans="11:12" ht="15" customHeight="1">
      <c r="K28" s="133" t="s">
        <v>156</v>
      </c>
      <c r="L28" s="144" t="s">
        <v>220</v>
      </c>
    </row>
    <row r="29" spans="11:12" ht="15" customHeight="1">
      <c r="K29" s="133" t="s">
        <v>157</v>
      </c>
      <c r="L29" s="144" t="s">
        <v>221</v>
      </c>
    </row>
    <row r="30" spans="11:12" ht="15" customHeight="1">
      <c r="K30" s="133" t="s">
        <v>158</v>
      </c>
      <c r="L30" s="144" t="s">
        <v>222</v>
      </c>
    </row>
    <row r="31" spans="11:12" ht="15" customHeight="1">
      <c r="K31" s="133" t="s">
        <v>190</v>
      </c>
      <c r="L31" s="144" t="s">
        <v>223</v>
      </c>
    </row>
    <row r="32" spans="11:12" ht="15" customHeight="1">
      <c r="K32" s="133"/>
      <c r="L32" s="144"/>
    </row>
    <row r="34" spans="11:16" ht="15" customHeight="1">
      <c r="K34" s="143" t="s">
        <v>224</v>
      </c>
      <c r="L34" s="149"/>
      <c r="M34" s="149"/>
    </row>
    <row r="35" spans="11:16" ht="15" customHeight="1">
      <c r="K35" s="133" t="s">
        <v>225</v>
      </c>
    </row>
    <row r="36" spans="11:16" ht="15" customHeight="1">
      <c r="K36" s="133" t="s">
        <v>226</v>
      </c>
    </row>
    <row r="37" spans="11:16" ht="15" customHeight="1">
      <c r="K37" s="133"/>
    </row>
    <row r="38" spans="11:16" ht="15" customHeight="1">
      <c r="L38" s="133" t="s">
        <v>227</v>
      </c>
    </row>
    <row r="40" spans="11:16" ht="15" customHeight="1">
      <c r="L40" t="s">
        <v>228</v>
      </c>
      <c r="P40" t="s">
        <v>229</v>
      </c>
    </row>
    <row r="41" spans="11:16" ht="15" customHeight="1">
      <c r="L41" t="s">
        <v>230</v>
      </c>
      <c r="P41" t="s">
        <v>230</v>
      </c>
    </row>
    <row r="42" spans="11:16" ht="15" customHeight="1">
      <c r="L42" s="150" t="s">
        <v>231</v>
      </c>
      <c r="P42" s="150" t="s">
        <v>232</v>
      </c>
    </row>
    <row r="43" spans="11:16" ht="15" customHeight="1">
      <c r="L43" t="s">
        <v>233</v>
      </c>
      <c r="P43" t="s">
        <v>233</v>
      </c>
    </row>
    <row r="44" spans="11:16" ht="15" customHeight="1">
      <c r="L44" t="s">
        <v>234</v>
      </c>
      <c r="P44" t="s">
        <v>235</v>
      </c>
    </row>
    <row r="45" spans="11:16" ht="15" customHeight="1">
      <c r="L45" s="150" t="s">
        <v>232</v>
      </c>
      <c r="P45" s="150" t="s">
        <v>232</v>
      </c>
    </row>
    <row r="46" spans="11:16" ht="15" customHeight="1">
      <c r="L46" t="s">
        <v>236</v>
      </c>
      <c r="P46" t="s">
        <v>237</v>
      </c>
    </row>
    <row r="47" spans="11:16" ht="15" customHeight="1">
      <c r="L47" s="150" t="s">
        <v>231</v>
      </c>
      <c r="P47" s="150" t="s">
        <v>232</v>
      </c>
    </row>
    <row r="48" spans="11:16" ht="15" customHeight="1">
      <c r="L48" t="s">
        <v>238</v>
      </c>
      <c r="P48" t="s">
        <v>239</v>
      </c>
    </row>
    <row r="49" spans="1:12" ht="15" customHeight="1">
      <c r="L49" t="s">
        <v>240</v>
      </c>
    </row>
    <row r="50" spans="1:12" ht="15" customHeight="1">
      <c r="K50" s="133"/>
      <c r="L50" s="150" t="s">
        <v>241</v>
      </c>
    </row>
    <row r="51" spans="1:12" ht="15" customHeight="1">
      <c r="K51" s="133"/>
      <c r="L51" t="s">
        <v>237</v>
      </c>
    </row>
    <row r="52" spans="1:12" ht="15" customHeight="1">
      <c r="K52" s="133"/>
    </row>
    <row r="53" spans="1:12" ht="15" customHeight="1">
      <c r="K53" s="133"/>
    </row>
    <row r="54" spans="1:12" ht="30" customHeight="1">
      <c r="A54" s="33" t="s">
        <v>242</v>
      </c>
    </row>
    <row r="55" spans="1:12" ht="15" customHeight="1">
      <c r="A55" s="33" t="s">
        <v>243</v>
      </c>
      <c r="H55" s="33" t="s">
        <v>244</v>
      </c>
    </row>
    <row r="56" spans="1:12" ht="15" customHeight="1">
      <c r="A56" t="s">
        <v>245</v>
      </c>
      <c r="H56" t="s">
        <v>245</v>
      </c>
    </row>
    <row r="57" spans="1:12" ht="15" customHeight="1">
      <c r="A57" t="s">
        <v>246</v>
      </c>
      <c r="H57" t="s">
        <v>247</v>
      </c>
    </row>
    <row r="58" spans="1:12" ht="15" customHeight="1">
      <c r="A58" t="s">
        <v>248</v>
      </c>
      <c r="H58" t="s">
        <v>249</v>
      </c>
    </row>
    <row r="59" spans="1:12" ht="15" customHeight="1">
      <c r="A59" t="s">
        <v>250</v>
      </c>
      <c r="H59" t="s">
        <v>251</v>
      </c>
    </row>
    <row r="60" spans="1:12" ht="15" customHeight="1">
      <c r="A60" t="s">
        <v>252</v>
      </c>
    </row>
    <row r="61" spans="1:12" ht="15" customHeight="1">
      <c r="A61" t="s">
        <v>253</v>
      </c>
    </row>
    <row r="63" spans="1:12" ht="22.5" customHeight="1">
      <c r="A63" s="33" t="s">
        <v>254</v>
      </c>
      <c r="H63" s="33" t="s">
        <v>255</v>
      </c>
    </row>
    <row r="64" spans="1:12" ht="15" customHeight="1">
      <c r="A64" t="s">
        <v>63</v>
      </c>
      <c r="H64" t="s">
        <v>64</v>
      </c>
    </row>
    <row r="65" spans="1:8" ht="15" customHeight="1">
      <c r="A65" t="s">
        <v>256</v>
      </c>
      <c r="H65" t="s">
        <v>257</v>
      </c>
    </row>
    <row r="66" spans="1:8" ht="15" customHeight="1">
      <c r="A66" t="s">
        <v>258</v>
      </c>
      <c r="H66" t="s">
        <v>259</v>
      </c>
    </row>
    <row r="67" spans="1:8" ht="15" customHeight="1">
      <c r="A67" t="s">
        <v>260</v>
      </c>
      <c r="H67" t="s">
        <v>261</v>
      </c>
    </row>
    <row r="68" spans="1:8" ht="15" customHeight="1">
      <c r="A68" t="s">
        <v>262</v>
      </c>
      <c r="G68" s="33"/>
      <c r="H68" t="s">
        <v>256</v>
      </c>
    </row>
    <row r="69" spans="1:8" ht="15" customHeight="1">
      <c r="A69" t="s">
        <v>263</v>
      </c>
      <c r="G69" s="33"/>
      <c r="H69" t="s">
        <v>258</v>
      </c>
    </row>
    <row r="70" spans="1:8" ht="15" customHeight="1">
      <c r="A70" t="s">
        <v>264</v>
      </c>
      <c r="H70" t="s">
        <v>265</v>
      </c>
    </row>
    <row r="71" spans="1:8" ht="15" customHeight="1">
      <c r="A71" t="s">
        <v>266</v>
      </c>
      <c r="H71" t="s">
        <v>267</v>
      </c>
    </row>
    <row r="74" spans="1:8" ht="15" customHeight="1">
      <c r="A74" s="33" t="s">
        <v>268</v>
      </c>
      <c r="H74" s="33" t="s">
        <v>269</v>
      </c>
    </row>
    <row r="75" spans="1:8" ht="15" customHeight="1">
      <c r="H75" s="33"/>
    </row>
    <row r="98" spans="1:8" ht="15" customHeight="1">
      <c r="A98" s="33"/>
    </row>
    <row r="103" spans="1:8" ht="22.5" customHeight="1"/>
    <row r="104" spans="1:8" ht="15" customHeight="1">
      <c r="H104" s="33" t="s">
        <v>270</v>
      </c>
    </row>
    <row r="105" spans="1:8" ht="15" customHeight="1">
      <c r="A105" s="33" t="s">
        <v>62</v>
      </c>
      <c r="H105" s="33"/>
    </row>
    <row r="106" spans="1:8" ht="15" customHeight="1">
      <c r="A106" t="s">
        <v>74</v>
      </c>
      <c r="G106" s="33"/>
    </row>
    <row r="107" spans="1:8" ht="15" customHeight="1">
      <c r="A107" t="s">
        <v>75</v>
      </c>
    </row>
    <row r="108" spans="1:8" ht="15" customHeight="1">
      <c r="A108" s="33" t="s">
        <v>176</v>
      </c>
    </row>
    <row r="109" spans="1:8" ht="15" customHeight="1">
      <c r="A109" s="33" t="s">
        <v>177</v>
      </c>
    </row>
    <row r="110" spans="1:8" ht="15" customHeight="1">
      <c r="A110" s="33" t="s">
        <v>271</v>
      </c>
    </row>
    <row r="111" spans="1:8" ht="15" customHeight="1">
      <c r="A111" s="33" t="s">
        <v>272</v>
      </c>
    </row>
    <row r="112" spans="1:8" ht="15" customHeight="1">
      <c r="A112" t="s">
        <v>273</v>
      </c>
    </row>
    <row r="113" spans="1:1" ht="15" customHeight="1">
      <c r="A113" t="s">
        <v>76</v>
      </c>
    </row>
    <row r="114" spans="1:1" ht="15" customHeight="1">
      <c r="A114" t="s">
        <v>151</v>
      </c>
    </row>
    <row r="115" spans="1:1" ht="15" customHeight="1">
      <c r="A115" t="s">
        <v>263</v>
      </c>
    </row>
    <row r="116" spans="1:1" ht="15" customHeight="1">
      <c r="A116" t="s">
        <v>274</v>
      </c>
    </row>
    <row r="118" spans="1:1" ht="15" customHeight="1">
      <c r="A118" s="34" t="s">
        <v>275</v>
      </c>
    </row>
    <row r="119" spans="1:1" ht="15" customHeight="1">
      <c r="A119" s="34" t="s">
        <v>276</v>
      </c>
    </row>
  </sheetData>
  <phoneticPr fontId="2"/>
  <pageMargins left="0.78700000000000003" right="0.78700000000000003" top="0.98399999999999999" bottom="0.98399999999999999" header="0.51200000000000001" footer="0.51200000000000001"/>
  <pageSetup paperSize="9" orientation="portrait" horizont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3"/>
    <pageSetUpPr fitToPage="1"/>
  </sheetPr>
  <dimension ref="A1:AA81"/>
  <sheetViews>
    <sheetView showGridLines="0" tabSelected="1" zoomScale="85" zoomScaleNormal="85" workbookViewId="0">
      <selection activeCell="H7" sqref="H7"/>
    </sheetView>
  </sheetViews>
  <sheetFormatPr defaultRowHeight="13.5"/>
  <cols>
    <col min="1" max="1" width="1.25" customWidth="1"/>
    <col min="2" max="2" width="11.625" hidden="1" customWidth="1"/>
    <col min="3" max="3" width="8" customWidth="1"/>
    <col min="4" max="4" width="5.5" customWidth="1"/>
    <col min="5" max="5" width="10.125" hidden="1" customWidth="1"/>
    <col min="6" max="6" width="9" style="2" hidden="1" customWidth="1"/>
    <col min="7" max="7" width="10.125" style="2" customWidth="1"/>
    <col min="8" max="17" width="10" customWidth="1"/>
    <col min="18" max="18" width="40" customWidth="1"/>
    <col min="27" max="27" width="9" hidden="1" customWidth="1"/>
  </cols>
  <sheetData>
    <row r="1" spans="1:27" ht="18.75" customHeight="1">
      <c r="C1" s="241" t="s">
        <v>185</v>
      </c>
      <c r="D1" s="241"/>
      <c r="E1" s="241"/>
      <c r="F1" s="241"/>
      <c r="G1" s="241"/>
      <c r="H1" s="241" t="s">
        <v>184</v>
      </c>
      <c r="I1" s="241"/>
      <c r="J1" s="241" t="s">
        <v>183</v>
      </c>
      <c r="K1" s="241"/>
      <c r="M1" s="241" t="s">
        <v>182</v>
      </c>
      <c r="N1" s="246"/>
      <c r="O1" s="167"/>
      <c r="P1" s="33" t="s">
        <v>293</v>
      </c>
    </row>
    <row r="2" spans="1:27" ht="18.75" customHeight="1" thickBot="1">
      <c r="C2" s="241"/>
      <c r="D2" s="241"/>
      <c r="E2" s="241"/>
      <c r="F2" s="241"/>
      <c r="G2" s="241"/>
      <c r="H2" s="241"/>
      <c r="I2" s="241"/>
      <c r="J2" s="241"/>
      <c r="K2" s="241"/>
      <c r="M2" s="241"/>
      <c r="N2" s="246"/>
      <c r="O2" s="31"/>
      <c r="P2" s="33" t="s">
        <v>294</v>
      </c>
    </row>
    <row r="3" spans="1:27" ht="22.5" customHeight="1" thickBot="1">
      <c r="C3" s="168">
        <v>2022</v>
      </c>
      <c r="D3" s="6" t="s">
        <v>0</v>
      </c>
      <c r="H3" s="169">
        <v>5</v>
      </c>
      <c r="I3" s="7" t="s">
        <v>1</v>
      </c>
      <c r="J3" s="170" t="s">
        <v>174</v>
      </c>
      <c r="M3" s="171" t="s">
        <v>304</v>
      </c>
      <c r="O3" s="32" t="s">
        <v>50</v>
      </c>
      <c r="P3" s="25"/>
    </row>
    <row r="4" spans="1:27" ht="22.5" customHeight="1" thickBot="1">
      <c r="C4" s="5"/>
      <c r="D4" s="6"/>
      <c r="H4" s="7"/>
      <c r="I4" s="7"/>
    </row>
    <row r="5" spans="1:27" ht="15" customHeight="1">
      <c r="C5" s="236" t="s">
        <v>20</v>
      </c>
      <c r="D5" s="238" t="s">
        <v>21</v>
      </c>
      <c r="E5" s="234" t="s">
        <v>39</v>
      </c>
      <c r="F5" s="234" t="s">
        <v>29</v>
      </c>
      <c r="G5" s="234" t="s">
        <v>45</v>
      </c>
      <c r="H5" s="234" t="s">
        <v>13</v>
      </c>
      <c r="I5" s="234" t="s">
        <v>14</v>
      </c>
      <c r="J5" s="234" t="s">
        <v>15</v>
      </c>
      <c r="K5" s="234" t="s">
        <v>16</v>
      </c>
      <c r="L5" s="18" t="s">
        <v>24</v>
      </c>
      <c r="M5" s="18" t="s">
        <v>25</v>
      </c>
      <c r="N5" s="18" t="s">
        <v>26</v>
      </c>
      <c r="O5" s="18" t="s">
        <v>27</v>
      </c>
      <c r="P5" s="18" t="s">
        <v>28</v>
      </c>
      <c r="Q5" s="242" t="s">
        <v>144</v>
      </c>
      <c r="R5" s="243"/>
    </row>
    <row r="6" spans="1:27" ht="15" customHeight="1">
      <c r="C6" s="237"/>
      <c r="D6" s="239"/>
      <c r="E6" s="235"/>
      <c r="F6" s="235"/>
      <c r="G6" s="235"/>
      <c r="H6" s="235"/>
      <c r="I6" s="235"/>
      <c r="J6" s="235"/>
      <c r="K6" s="235"/>
      <c r="L6" s="19">
        <f>P41</f>
        <v>153.25</v>
      </c>
      <c r="M6" s="24" t="str">
        <f>IF(P42="","",P42)</f>
        <v/>
      </c>
      <c r="N6" s="24" t="str">
        <f>IF(P43="","",P43)</f>
        <v/>
      </c>
      <c r="O6" s="24" t="str">
        <f>IF(P44="","",P44)</f>
        <v/>
      </c>
      <c r="P6" s="24" t="str">
        <f>IF(P45="","",P45)</f>
        <v/>
      </c>
      <c r="Q6" s="244"/>
      <c r="R6" s="245"/>
    </row>
    <row r="7" spans="1:27" ht="15" customHeight="1">
      <c r="A7">
        <f>IF(C7="","",DAY(C7))</f>
        <v>1</v>
      </c>
      <c r="B7" s="1">
        <f>DATE(C3,H3,1)</f>
        <v>44682</v>
      </c>
      <c r="C7" s="15">
        <f>IF(MONTH(B7)&gt;$H$3,"",B7)</f>
        <v>44682</v>
      </c>
      <c r="D7" s="4" t="str">
        <f>IF(C7="","",CHOOSE(WEEKDAY(C7,1),"日","月","火","水","木","金","土"))</f>
        <v>日</v>
      </c>
      <c r="E7" s="3" t="str">
        <f t="shared" ref="E7:E37" si="0">IF(ISERROR(VLOOKUP(C7,祝日一覧,3,0)),"",VLOOKUP(C7,祝日一覧,3,0))</f>
        <v/>
      </c>
      <c r="F7" s="4" t="str">
        <f t="shared" ref="F7:F36" si="1">IF(OR(C7="",D7="土",D7="日",E7&lt;&gt;""),"","○")</f>
        <v/>
      </c>
      <c r="G7" s="4" t="str">
        <f>IF(OR(K7="",K7=0),"","○")</f>
        <v/>
      </c>
      <c r="H7" s="185"/>
      <c r="I7" s="185"/>
      <c r="J7" s="175"/>
      <c r="K7" s="186">
        <f>IF(C7="","",IF(OR(H7="",I7=""),0,IF((I7-H7)*24-J7=0,0,(I7-H7)*24-J7)))</f>
        <v>0</v>
      </c>
      <c r="L7" s="27" t="str">
        <f>IF(OR(K7="",K7=0),"",K7-M7-N7-O7-P7)</f>
        <v/>
      </c>
      <c r="M7" s="28"/>
      <c r="N7" s="28"/>
      <c r="O7" s="28"/>
      <c r="P7" s="28"/>
      <c r="Q7" s="228"/>
      <c r="R7" s="229"/>
      <c r="S7" s="173" t="str">
        <f>IF(AND(K7&gt;0,C7&lt;&gt;""),IF(Q7="","⇐入力してください",""),IF(Q7="","","⇐削除してください"))</f>
        <v/>
      </c>
      <c r="AA7" s="148" t="str">
        <f>IF(S7="","",IF(OR(X7="",Y7=""),0,IF((Y7-X7)*24-Z7=0,0,(Y7-X7)*24-Z7)))</f>
        <v/>
      </c>
    </row>
    <row r="8" spans="1:27" ht="15" customHeight="1">
      <c r="A8">
        <f t="shared" ref="A8:A36" si="2">IF(C8="","",DAY(C8))</f>
        <v>2</v>
      </c>
      <c r="B8" s="1">
        <f t="shared" ref="B8:B37" si="3">B7+1</f>
        <v>44683</v>
      </c>
      <c r="C8" s="15">
        <f t="shared" ref="C8:C36" si="4">IF(MONTH(B8)&gt;$H$3,"",B8)</f>
        <v>44683</v>
      </c>
      <c r="D8" s="4" t="str">
        <f>IF(C8="","",CHOOSE(WEEKDAY(C8,1),"日","月","火","水","木","金","土"))</f>
        <v>月</v>
      </c>
      <c r="E8" s="3" t="str">
        <f t="shared" si="0"/>
        <v/>
      </c>
      <c r="F8" s="4" t="str">
        <f t="shared" si="1"/>
        <v>○</v>
      </c>
      <c r="G8" s="4" t="str">
        <f t="shared" ref="G8:G37" si="5">IF(OR(K8="",K8=0),"","○")</f>
        <v>○</v>
      </c>
      <c r="H8" s="185">
        <v>0.375</v>
      </c>
      <c r="I8" s="187">
        <v>0.72916666666666663</v>
      </c>
      <c r="J8" s="175">
        <v>1</v>
      </c>
      <c r="K8" s="186">
        <f t="shared" ref="K8:K37" si="6">IF(C8="","",IF(OR(H8="",I8=""),0,IF((I8-H8)*24-J8=0,0,(I8-H8)*24-J8)))</f>
        <v>7.5</v>
      </c>
      <c r="L8" s="27">
        <f t="shared" ref="L8:L37" si="7">IF(OR(K8="",K8=0),"",K8-M8-N8-O8-P8)</f>
        <v>7.5</v>
      </c>
      <c r="M8" s="28"/>
      <c r="N8" s="28"/>
      <c r="O8" s="28"/>
      <c r="P8" s="28"/>
      <c r="Q8" s="228" t="s">
        <v>310</v>
      </c>
      <c r="R8" s="229"/>
      <c r="S8" s="173" t="str">
        <f t="shared" ref="S8:S37" si="8">IF(AND(K8&gt;0,C8&lt;&gt;""),IF(Q8="","⇐入力してください",""),IF(Q8="","","⇐削除してください"))</f>
        <v/>
      </c>
      <c r="AA8" s="148" t="str">
        <f t="shared" ref="AA8:AA37" si="9">IF(S8="","",IF(OR(X8="",Y8=""),0,IF((Y8-X8)*24-Z8=0,0,(Y8-X8)*24-Z8)))</f>
        <v/>
      </c>
    </row>
    <row r="9" spans="1:27" ht="15" customHeight="1">
      <c r="A9">
        <f t="shared" si="2"/>
        <v>3</v>
      </c>
      <c r="B9" s="1">
        <f t="shared" si="3"/>
        <v>44684</v>
      </c>
      <c r="C9" s="15">
        <f t="shared" si="4"/>
        <v>44684</v>
      </c>
      <c r="D9" s="4" t="str">
        <f t="shared" ref="D9:D37" si="10">IF(C9="","",CHOOSE(WEEKDAY(C9,1),"日","月","火","水","木","金","土"))</f>
        <v>火</v>
      </c>
      <c r="E9" s="3" t="str">
        <f t="shared" si="0"/>
        <v>憲法記念日</v>
      </c>
      <c r="F9" s="4" t="str">
        <f t="shared" si="1"/>
        <v/>
      </c>
      <c r="G9" s="4" t="str">
        <f t="shared" si="5"/>
        <v/>
      </c>
      <c r="H9" s="185"/>
      <c r="I9" s="185"/>
      <c r="J9" s="175"/>
      <c r="K9" s="186">
        <f>IF(C9="","",IF(OR(H9="",I9=""),0,IF((I9-H9)*24-J9=0,0,(I9-H9)*24-J9)))</f>
        <v>0</v>
      </c>
      <c r="L9" s="27" t="str">
        <f t="shared" si="7"/>
        <v/>
      </c>
      <c r="M9" s="28"/>
      <c r="N9" s="28"/>
      <c r="O9" s="28"/>
      <c r="P9" s="28"/>
      <c r="Q9" s="228"/>
      <c r="R9" s="229"/>
      <c r="S9" s="173" t="str">
        <f t="shared" si="8"/>
        <v/>
      </c>
      <c r="AA9" s="148" t="str">
        <f t="shared" si="9"/>
        <v/>
      </c>
    </row>
    <row r="10" spans="1:27" ht="15" customHeight="1">
      <c r="A10">
        <f t="shared" si="2"/>
        <v>4</v>
      </c>
      <c r="B10" s="1">
        <f t="shared" si="3"/>
        <v>44685</v>
      </c>
      <c r="C10" s="15">
        <f t="shared" si="4"/>
        <v>44685</v>
      </c>
      <c r="D10" s="4" t="str">
        <f t="shared" si="10"/>
        <v>水</v>
      </c>
      <c r="E10" s="3" t="str">
        <f t="shared" si="0"/>
        <v>みどりの日</v>
      </c>
      <c r="F10" s="4" t="str">
        <f t="shared" si="1"/>
        <v/>
      </c>
      <c r="G10" s="4" t="str">
        <f t="shared" si="5"/>
        <v/>
      </c>
      <c r="H10" s="185"/>
      <c r="I10" s="185"/>
      <c r="J10" s="175"/>
      <c r="K10" s="186">
        <f t="shared" si="6"/>
        <v>0</v>
      </c>
      <c r="L10" s="27" t="str">
        <f t="shared" si="7"/>
        <v/>
      </c>
      <c r="M10" s="28"/>
      <c r="N10" s="28"/>
      <c r="O10" s="28"/>
      <c r="P10" s="28"/>
      <c r="Q10" s="228"/>
      <c r="R10" s="229"/>
      <c r="S10" s="173" t="str">
        <f t="shared" si="8"/>
        <v/>
      </c>
      <c r="AA10" s="148" t="str">
        <f t="shared" si="9"/>
        <v/>
      </c>
    </row>
    <row r="11" spans="1:27" ht="15" customHeight="1">
      <c r="A11">
        <f t="shared" si="2"/>
        <v>5</v>
      </c>
      <c r="B11" s="1">
        <f t="shared" si="3"/>
        <v>44686</v>
      </c>
      <c r="C11" s="15">
        <f t="shared" si="4"/>
        <v>44686</v>
      </c>
      <c r="D11" s="4" t="str">
        <f t="shared" si="10"/>
        <v>木</v>
      </c>
      <c r="E11" s="3" t="str">
        <f t="shared" si="0"/>
        <v>こどもの日</v>
      </c>
      <c r="F11" s="4" t="str">
        <f t="shared" si="1"/>
        <v/>
      </c>
      <c r="G11" s="4" t="str">
        <f t="shared" si="5"/>
        <v/>
      </c>
      <c r="H11" s="185"/>
      <c r="I11" s="185"/>
      <c r="J11" s="175"/>
      <c r="K11" s="186">
        <f t="shared" si="6"/>
        <v>0</v>
      </c>
      <c r="L11" s="27" t="str">
        <f t="shared" si="7"/>
        <v/>
      </c>
      <c r="M11" s="28"/>
      <c r="N11" s="28"/>
      <c r="O11" s="28"/>
      <c r="P11" s="28"/>
      <c r="Q11" s="228"/>
      <c r="R11" s="229"/>
      <c r="S11" s="173" t="str">
        <f t="shared" si="8"/>
        <v/>
      </c>
      <c r="AA11" s="148" t="str">
        <f t="shared" si="9"/>
        <v/>
      </c>
    </row>
    <row r="12" spans="1:27" ht="15" customHeight="1">
      <c r="A12">
        <f t="shared" si="2"/>
        <v>6</v>
      </c>
      <c r="B12" s="1">
        <f t="shared" si="3"/>
        <v>44687</v>
      </c>
      <c r="C12" s="15">
        <f t="shared" si="4"/>
        <v>44687</v>
      </c>
      <c r="D12" s="4" t="str">
        <f t="shared" si="10"/>
        <v>金</v>
      </c>
      <c r="E12" s="3" t="str">
        <f t="shared" si="0"/>
        <v/>
      </c>
      <c r="F12" s="4" t="str">
        <f t="shared" si="1"/>
        <v>○</v>
      </c>
      <c r="G12" s="4" t="str">
        <f t="shared" si="5"/>
        <v>○</v>
      </c>
      <c r="H12" s="185">
        <v>0.375</v>
      </c>
      <c r="I12" s="187">
        <v>0.72916666666666663</v>
      </c>
      <c r="J12" s="175">
        <v>1</v>
      </c>
      <c r="K12" s="186">
        <f t="shared" si="6"/>
        <v>7.5</v>
      </c>
      <c r="L12" s="27">
        <f t="shared" si="7"/>
        <v>7.5</v>
      </c>
      <c r="M12" s="28"/>
      <c r="N12" s="28"/>
      <c r="O12" s="28"/>
      <c r="P12" s="28"/>
      <c r="Q12" s="228" t="s">
        <v>310</v>
      </c>
      <c r="R12" s="229"/>
      <c r="S12" s="173" t="str">
        <f t="shared" si="8"/>
        <v/>
      </c>
      <c r="AA12" s="148" t="str">
        <f t="shared" si="9"/>
        <v/>
      </c>
    </row>
    <row r="13" spans="1:27" ht="15" customHeight="1">
      <c r="A13">
        <f t="shared" si="2"/>
        <v>7</v>
      </c>
      <c r="B13" s="1">
        <f t="shared" si="3"/>
        <v>44688</v>
      </c>
      <c r="C13" s="15">
        <f t="shared" si="4"/>
        <v>44688</v>
      </c>
      <c r="D13" s="4" t="str">
        <f t="shared" si="10"/>
        <v>土</v>
      </c>
      <c r="E13" s="3" t="str">
        <f t="shared" si="0"/>
        <v/>
      </c>
      <c r="F13" s="4" t="str">
        <f t="shared" si="1"/>
        <v/>
      </c>
      <c r="G13" s="4" t="str">
        <f t="shared" si="5"/>
        <v/>
      </c>
      <c r="H13" s="185"/>
      <c r="I13" s="185"/>
      <c r="J13" s="175"/>
      <c r="K13" s="186">
        <f t="shared" si="6"/>
        <v>0</v>
      </c>
      <c r="L13" s="27" t="str">
        <f t="shared" si="7"/>
        <v/>
      </c>
      <c r="M13" s="28"/>
      <c r="N13" s="28"/>
      <c r="O13" s="28"/>
      <c r="P13" s="28"/>
      <c r="Q13" s="228"/>
      <c r="R13" s="229"/>
      <c r="S13" s="173" t="str">
        <f t="shared" si="8"/>
        <v/>
      </c>
      <c r="AA13" s="148" t="str">
        <f t="shared" si="9"/>
        <v/>
      </c>
    </row>
    <row r="14" spans="1:27" ht="15" customHeight="1">
      <c r="A14">
        <f t="shared" si="2"/>
        <v>8</v>
      </c>
      <c r="B14" s="1">
        <f t="shared" si="3"/>
        <v>44689</v>
      </c>
      <c r="C14" s="15">
        <f t="shared" si="4"/>
        <v>44689</v>
      </c>
      <c r="D14" s="4" t="str">
        <f t="shared" si="10"/>
        <v>日</v>
      </c>
      <c r="E14" s="3" t="str">
        <f t="shared" si="0"/>
        <v/>
      </c>
      <c r="F14" s="4" t="str">
        <f t="shared" si="1"/>
        <v/>
      </c>
      <c r="G14" s="4" t="str">
        <f t="shared" si="5"/>
        <v/>
      </c>
      <c r="H14" s="185"/>
      <c r="I14" s="185"/>
      <c r="J14" s="175"/>
      <c r="K14" s="186">
        <f t="shared" si="6"/>
        <v>0</v>
      </c>
      <c r="L14" s="27" t="str">
        <f t="shared" si="7"/>
        <v/>
      </c>
      <c r="M14" s="28"/>
      <c r="N14" s="28"/>
      <c r="O14" s="28"/>
      <c r="P14" s="28"/>
      <c r="Q14" s="228"/>
      <c r="R14" s="229"/>
      <c r="S14" s="173" t="str">
        <f t="shared" si="8"/>
        <v/>
      </c>
      <c r="AA14" s="148" t="str">
        <f t="shared" si="9"/>
        <v/>
      </c>
    </row>
    <row r="15" spans="1:27" ht="15" customHeight="1">
      <c r="A15">
        <f t="shared" si="2"/>
        <v>9</v>
      </c>
      <c r="B15" s="1">
        <f t="shared" si="3"/>
        <v>44690</v>
      </c>
      <c r="C15" s="15">
        <f t="shared" si="4"/>
        <v>44690</v>
      </c>
      <c r="D15" s="4" t="str">
        <f t="shared" si="10"/>
        <v>月</v>
      </c>
      <c r="E15" s="3" t="str">
        <f t="shared" si="0"/>
        <v/>
      </c>
      <c r="F15" s="4" t="str">
        <f t="shared" si="1"/>
        <v>○</v>
      </c>
      <c r="G15" s="4" t="str">
        <f t="shared" si="5"/>
        <v>○</v>
      </c>
      <c r="H15" s="185">
        <v>0.375</v>
      </c>
      <c r="I15" s="187">
        <v>0.72916666666666663</v>
      </c>
      <c r="J15" s="175">
        <v>1</v>
      </c>
      <c r="K15" s="186">
        <f t="shared" si="6"/>
        <v>7.5</v>
      </c>
      <c r="L15" s="27">
        <f t="shared" si="7"/>
        <v>7.5</v>
      </c>
      <c r="M15" s="28"/>
      <c r="N15" s="28"/>
      <c r="O15" s="28"/>
      <c r="P15" s="28"/>
      <c r="Q15" s="228" t="s">
        <v>310</v>
      </c>
      <c r="R15" s="229"/>
      <c r="S15" s="173" t="str">
        <f t="shared" si="8"/>
        <v/>
      </c>
      <c r="AA15" s="148" t="str">
        <f t="shared" si="9"/>
        <v/>
      </c>
    </row>
    <row r="16" spans="1:27" ht="15" customHeight="1">
      <c r="A16">
        <f t="shared" si="2"/>
        <v>10</v>
      </c>
      <c r="B16" s="1">
        <f t="shared" si="3"/>
        <v>44691</v>
      </c>
      <c r="C16" s="15">
        <f t="shared" si="4"/>
        <v>44691</v>
      </c>
      <c r="D16" s="4" t="str">
        <f t="shared" si="10"/>
        <v>火</v>
      </c>
      <c r="E16" s="3" t="str">
        <f t="shared" si="0"/>
        <v/>
      </c>
      <c r="F16" s="4" t="str">
        <f t="shared" si="1"/>
        <v>○</v>
      </c>
      <c r="G16" s="4" t="str">
        <f t="shared" si="5"/>
        <v>○</v>
      </c>
      <c r="H16" s="185">
        <v>0.375</v>
      </c>
      <c r="I16" s="187">
        <v>0.72916666666666663</v>
      </c>
      <c r="J16" s="175">
        <v>1</v>
      </c>
      <c r="K16" s="186">
        <f t="shared" si="6"/>
        <v>7.5</v>
      </c>
      <c r="L16" s="27">
        <f t="shared" si="7"/>
        <v>7.5</v>
      </c>
      <c r="M16" s="28"/>
      <c r="N16" s="28"/>
      <c r="O16" s="28"/>
      <c r="P16" s="28"/>
      <c r="Q16" s="228" t="s">
        <v>310</v>
      </c>
      <c r="R16" s="229"/>
      <c r="S16" s="173" t="str">
        <f t="shared" si="8"/>
        <v/>
      </c>
      <c r="AA16" s="148" t="str">
        <f t="shared" si="9"/>
        <v/>
      </c>
    </row>
    <row r="17" spans="1:27" ht="15" customHeight="1">
      <c r="A17">
        <f t="shared" si="2"/>
        <v>11</v>
      </c>
      <c r="B17" s="1">
        <f t="shared" si="3"/>
        <v>44692</v>
      </c>
      <c r="C17" s="15">
        <f t="shared" si="4"/>
        <v>44692</v>
      </c>
      <c r="D17" s="4" t="str">
        <f t="shared" si="10"/>
        <v>水</v>
      </c>
      <c r="E17" s="3" t="str">
        <f t="shared" si="0"/>
        <v/>
      </c>
      <c r="F17" s="4" t="str">
        <f t="shared" si="1"/>
        <v>○</v>
      </c>
      <c r="G17" s="4" t="str">
        <f t="shared" si="5"/>
        <v>○</v>
      </c>
      <c r="H17" s="185">
        <v>0.375</v>
      </c>
      <c r="I17" s="187">
        <v>0.77083333333333337</v>
      </c>
      <c r="J17" s="175">
        <v>1.25</v>
      </c>
      <c r="K17" s="186">
        <f t="shared" si="6"/>
        <v>8.25</v>
      </c>
      <c r="L17" s="27">
        <f t="shared" si="7"/>
        <v>8.25</v>
      </c>
      <c r="M17" s="28"/>
      <c r="N17" s="28"/>
      <c r="O17" s="28"/>
      <c r="P17" s="28"/>
      <c r="Q17" s="228" t="s">
        <v>310</v>
      </c>
      <c r="R17" s="229"/>
      <c r="S17" s="173" t="str">
        <f t="shared" si="8"/>
        <v/>
      </c>
      <c r="AA17" s="148" t="str">
        <f t="shared" si="9"/>
        <v/>
      </c>
    </row>
    <row r="18" spans="1:27" ht="15" customHeight="1">
      <c r="A18">
        <f t="shared" si="2"/>
        <v>12</v>
      </c>
      <c r="B18" s="1">
        <f t="shared" si="3"/>
        <v>44693</v>
      </c>
      <c r="C18" s="15">
        <f t="shared" si="4"/>
        <v>44693</v>
      </c>
      <c r="D18" s="4" t="str">
        <f t="shared" si="10"/>
        <v>木</v>
      </c>
      <c r="E18" s="3" t="str">
        <f t="shared" si="0"/>
        <v/>
      </c>
      <c r="F18" s="4" t="str">
        <f t="shared" si="1"/>
        <v>○</v>
      </c>
      <c r="G18" s="4" t="str">
        <f t="shared" si="5"/>
        <v>○</v>
      </c>
      <c r="H18" s="185">
        <v>0.375</v>
      </c>
      <c r="I18" s="187">
        <v>0.77083333333333337</v>
      </c>
      <c r="J18" s="175">
        <v>1.25</v>
      </c>
      <c r="K18" s="186">
        <f t="shared" si="6"/>
        <v>8.25</v>
      </c>
      <c r="L18" s="27">
        <f t="shared" si="7"/>
        <v>8.25</v>
      </c>
      <c r="M18" s="28"/>
      <c r="N18" s="28"/>
      <c r="O18" s="28"/>
      <c r="P18" s="28"/>
      <c r="Q18" s="228" t="s">
        <v>310</v>
      </c>
      <c r="R18" s="229"/>
      <c r="S18" s="173" t="str">
        <f t="shared" si="8"/>
        <v/>
      </c>
      <c r="AA18" s="148" t="str">
        <f t="shared" si="9"/>
        <v/>
      </c>
    </row>
    <row r="19" spans="1:27" ht="15" customHeight="1">
      <c r="A19">
        <f t="shared" si="2"/>
        <v>13</v>
      </c>
      <c r="B19" s="1">
        <f t="shared" si="3"/>
        <v>44694</v>
      </c>
      <c r="C19" s="15">
        <f t="shared" si="4"/>
        <v>44694</v>
      </c>
      <c r="D19" s="4" t="str">
        <f t="shared" si="10"/>
        <v>金</v>
      </c>
      <c r="E19" s="3" t="str">
        <f t="shared" si="0"/>
        <v/>
      </c>
      <c r="F19" s="4" t="str">
        <f t="shared" si="1"/>
        <v>○</v>
      </c>
      <c r="G19" s="4" t="str">
        <f t="shared" si="5"/>
        <v>○</v>
      </c>
      <c r="H19" s="185">
        <v>0.375</v>
      </c>
      <c r="I19" s="187">
        <v>0.77083333333333337</v>
      </c>
      <c r="J19" s="175">
        <v>1.25</v>
      </c>
      <c r="K19" s="186">
        <f t="shared" si="6"/>
        <v>8.25</v>
      </c>
      <c r="L19" s="27">
        <f t="shared" si="7"/>
        <v>8.25</v>
      </c>
      <c r="M19" s="28"/>
      <c r="N19" s="28"/>
      <c r="O19" s="28"/>
      <c r="P19" s="28"/>
      <c r="Q19" s="228" t="s">
        <v>311</v>
      </c>
      <c r="R19" s="229"/>
      <c r="S19" s="173" t="str">
        <f t="shared" si="8"/>
        <v/>
      </c>
      <c r="AA19" s="148" t="str">
        <f t="shared" si="9"/>
        <v/>
      </c>
    </row>
    <row r="20" spans="1:27" ht="15" customHeight="1">
      <c r="A20">
        <f t="shared" si="2"/>
        <v>14</v>
      </c>
      <c r="B20" s="1">
        <f t="shared" si="3"/>
        <v>44695</v>
      </c>
      <c r="C20" s="15">
        <f t="shared" si="4"/>
        <v>44695</v>
      </c>
      <c r="D20" s="4" t="str">
        <f t="shared" si="10"/>
        <v>土</v>
      </c>
      <c r="E20" s="3" t="str">
        <f t="shared" si="0"/>
        <v/>
      </c>
      <c r="F20" s="4" t="str">
        <f t="shared" si="1"/>
        <v/>
      </c>
      <c r="G20" s="4" t="str">
        <f t="shared" si="5"/>
        <v/>
      </c>
      <c r="H20" s="185"/>
      <c r="I20" s="185"/>
      <c r="J20" s="175"/>
      <c r="K20" s="186">
        <f t="shared" si="6"/>
        <v>0</v>
      </c>
      <c r="L20" s="27" t="str">
        <f t="shared" si="7"/>
        <v/>
      </c>
      <c r="M20" s="28"/>
      <c r="N20" s="28"/>
      <c r="O20" s="28"/>
      <c r="P20" s="28"/>
      <c r="Q20" s="240"/>
      <c r="R20" s="229"/>
      <c r="S20" s="173" t="str">
        <f t="shared" si="8"/>
        <v/>
      </c>
      <c r="AA20" s="148" t="str">
        <f t="shared" si="9"/>
        <v/>
      </c>
    </row>
    <row r="21" spans="1:27" ht="15" customHeight="1">
      <c r="A21">
        <f t="shared" si="2"/>
        <v>15</v>
      </c>
      <c r="B21" s="1">
        <f t="shared" si="3"/>
        <v>44696</v>
      </c>
      <c r="C21" s="15">
        <f t="shared" si="4"/>
        <v>44696</v>
      </c>
      <c r="D21" s="4" t="str">
        <f t="shared" si="10"/>
        <v>日</v>
      </c>
      <c r="E21" s="3" t="str">
        <f t="shared" si="0"/>
        <v/>
      </c>
      <c r="F21" s="4" t="str">
        <f t="shared" si="1"/>
        <v/>
      </c>
      <c r="G21" s="4" t="str">
        <f t="shared" si="5"/>
        <v/>
      </c>
      <c r="H21" s="185"/>
      <c r="I21" s="185"/>
      <c r="J21" s="175"/>
      <c r="K21" s="186">
        <f t="shared" si="6"/>
        <v>0</v>
      </c>
      <c r="L21" s="27" t="str">
        <f t="shared" si="7"/>
        <v/>
      </c>
      <c r="M21" s="28"/>
      <c r="N21" s="28"/>
      <c r="O21" s="28"/>
      <c r="P21" s="28"/>
      <c r="Q21" s="240"/>
      <c r="R21" s="229"/>
      <c r="S21" s="173" t="str">
        <f t="shared" si="8"/>
        <v/>
      </c>
      <c r="U21" s="174"/>
      <c r="AA21" s="148" t="str">
        <f t="shared" si="9"/>
        <v/>
      </c>
    </row>
    <row r="22" spans="1:27" ht="15" customHeight="1">
      <c r="A22">
        <f t="shared" si="2"/>
        <v>16</v>
      </c>
      <c r="B22" s="1">
        <f t="shared" si="3"/>
        <v>44697</v>
      </c>
      <c r="C22" s="15">
        <f t="shared" si="4"/>
        <v>44697</v>
      </c>
      <c r="D22" s="4" t="str">
        <f t="shared" si="10"/>
        <v>月</v>
      </c>
      <c r="E22" s="3" t="str">
        <f t="shared" si="0"/>
        <v/>
      </c>
      <c r="F22" s="4" t="str">
        <f t="shared" si="1"/>
        <v>○</v>
      </c>
      <c r="G22" s="4" t="str">
        <f t="shared" si="5"/>
        <v>○</v>
      </c>
      <c r="H22" s="185">
        <v>0.375</v>
      </c>
      <c r="I22" s="185">
        <v>0.77083333333333337</v>
      </c>
      <c r="J22" s="175">
        <v>1.25</v>
      </c>
      <c r="K22" s="186">
        <f t="shared" si="6"/>
        <v>8.25</v>
      </c>
      <c r="L22" s="27">
        <f t="shared" si="7"/>
        <v>8.25</v>
      </c>
      <c r="M22" s="28"/>
      <c r="N22" s="28"/>
      <c r="O22" s="28"/>
      <c r="P22" s="28"/>
      <c r="Q22" s="228" t="s">
        <v>312</v>
      </c>
      <c r="R22" s="229"/>
      <c r="S22" s="173" t="str">
        <f t="shared" si="8"/>
        <v/>
      </c>
      <c r="AA22" s="148" t="str">
        <f t="shared" si="9"/>
        <v/>
      </c>
    </row>
    <row r="23" spans="1:27" ht="15" customHeight="1">
      <c r="A23">
        <f t="shared" si="2"/>
        <v>17</v>
      </c>
      <c r="B23" s="1">
        <f t="shared" si="3"/>
        <v>44698</v>
      </c>
      <c r="C23" s="15">
        <f t="shared" si="4"/>
        <v>44698</v>
      </c>
      <c r="D23" s="4" t="str">
        <f t="shared" si="10"/>
        <v>火</v>
      </c>
      <c r="E23" s="3" t="str">
        <f t="shared" si="0"/>
        <v/>
      </c>
      <c r="F23" s="4" t="str">
        <f t="shared" si="1"/>
        <v>○</v>
      </c>
      <c r="G23" s="4" t="str">
        <f t="shared" si="5"/>
        <v>○</v>
      </c>
      <c r="H23" s="185">
        <v>0.375</v>
      </c>
      <c r="I23" s="187">
        <v>0.77083333333333337</v>
      </c>
      <c r="J23" s="175">
        <v>1.25</v>
      </c>
      <c r="K23" s="186">
        <f t="shared" ref="K23" si="11">IF(C23="","",IF(OR(H23="",I23=""),0,IF((I23-H23)*24-J23=0,0,(I23-H23)*24-J23)))</f>
        <v>8.25</v>
      </c>
      <c r="L23" s="27">
        <f t="shared" si="7"/>
        <v>8.25</v>
      </c>
      <c r="M23" s="28"/>
      <c r="N23" s="28"/>
      <c r="O23" s="28"/>
      <c r="P23" s="28"/>
      <c r="Q23" s="228" t="s">
        <v>314</v>
      </c>
      <c r="R23" s="229"/>
      <c r="S23" s="173" t="str">
        <f t="shared" si="8"/>
        <v/>
      </c>
      <c r="AA23" s="148" t="str">
        <f t="shared" si="9"/>
        <v/>
      </c>
    </row>
    <row r="24" spans="1:27" ht="15" customHeight="1">
      <c r="A24">
        <f t="shared" si="2"/>
        <v>18</v>
      </c>
      <c r="B24" s="1">
        <f t="shared" si="3"/>
        <v>44699</v>
      </c>
      <c r="C24" s="15">
        <f t="shared" si="4"/>
        <v>44699</v>
      </c>
      <c r="D24" s="4" t="str">
        <f t="shared" si="10"/>
        <v>水</v>
      </c>
      <c r="E24" s="3" t="str">
        <f t="shared" si="0"/>
        <v/>
      </c>
      <c r="F24" s="4" t="str">
        <f t="shared" si="1"/>
        <v>○</v>
      </c>
      <c r="G24" s="4" t="str">
        <f t="shared" si="5"/>
        <v>○</v>
      </c>
      <c r="H24" s="185">
        <v>0.375</v>
      </c>
      <c r="I24" s="187">
        <v>0.77083333333333337</v>
      </c>
      <c r="J24" s="175">
        <v>1.25</v>
      </c>
      <c r="K24" s="186">
        <f t="shared" si="6"/>
        <v>8.25</v>
      </c>
      <c r="L24" s="27">
        <f t="shared" si="7"/>
        <v>8.25</v>
      </c>
      <c r="M24" s="28"/>
      <c r="N24" s="28"/>
      <c r="O24" s="28"/>
      <c r="P24" s="28"/>
      <c r="Q24" s="228" t="s">
        <v>313</v>
      </c>
      <c r="R24" s="229"/>
      <c r="S24" s="173" t="str">
        <f t="shared" si="8"/>
        <v/>
      </c>
      <c r="AA24" s="148" t="str">
        <f t="shared" si="9"/>
        <v/>
      </c>
    </row>
    <row r="25" spans="1:27" ht="15" customHeight="1">
      <c r="A25">
        <f t="shared" si="2"/>
        <v>19</v>
      </c>
      <c r="B25" s="1">
        <f t="shared" si="3"/>
        <v>44700</v>
      </c>
      <c r="C25" s="15">
        <f t="shared" si="4"/>
        <v>44700</v>
      </c>
      <c r="D25" s="4" t="str">
        <f t="shared" si="10"/>
        <v>木</v>
      </c>
      <c r="E25" s="3" t="str">
        <f t="shared" si="0"/>
        <v/>
      </c>
      <c r="F25" s="4" t="str">
        <f t="shared" si="1"/>
        <v>○</v>
      </c>
      <c r="G25" s="4" t="str">
        <f t="shared" si="5"/>
        <v>○</v>
      </c>
      <c r="H25" s="185">
        <v>0.54166666666666663</v>
      </c>
      <c r="I25" s="187">
        <v>0.72916666666666663</v>
      </c>
      <c r="J25" s="175"/>
      <c r="K25" s="186">
        <f t="shared" si="6"/>
        <v>4.5</v>
      </c>
      <c r="L25" s="27">
        <f t="shared" si="7"/>
        <v>4.5</v>
      </c>
      <c r="M25" s="28"/>
      <c r="N25" s="28"/>
      <c r="O25" s="28"/>
      <c r="P25" s="28"/>
      <c r="Q25" s="228" t="s">
        <v>314</v>
      </c>
      <c r="R25" s="229"/>
      <c r="S25" s="173" t="str">
        <f t="shared" si="8"/>
        <v/>
      </c>
      <c r="AA25" s="148" t="str">
        <f t="shared" si="9"/>
        <v/>
      </c>
    </row>
    <row r="26" spans="1:27" ht="15" customHeight="1">
      <c r="A26">
        <f t="shared" si="2"/>
        <v>20</v>
      </c>
      <c r="B26" s="1">
        <f t="shared" si="3"/>
        <v>44701</v>
      </c>
      <c r="C26" s="15">
        <f t="shared" si="4"/>
        <v>44701</v>
      </c>
      <c r="D26" s="4" t="str">
        <f t="shared" si="10"/>
        <v>金</v>
      </c>
      <c r="E26" s="3" t="str">
        <f t="shared" si="0"/>
        <v/>
      </c>
      <c r="F26" s="4" t="str">
        <f t="shared" si="1"/>
        <v>○</v>
      </c>
      <c r="G26" s="4" t="str">
        <f t="shared" si="5"/>
        <v>○</v>
      </c>
      <c r="H26" s="185">
        <v>0.375</v>
      </c>
      <c r="I26" s="187">
        <v>0.77083333333333337</v>
      </c>
      <c r="J26" s="175">
        <v>1.25</v>
      </c>
      <c r="K26" s="186">
        <f t="shared" si="6"/>
        <v>8.25</v>
      </c>
      <c r="L26" s="27">
        <f t="shared" si="7"/>
        <v>8.25</v>
      </c>
      <c r="M26" s="28"/>
      <c r="N26" s="28"/>
      <c r="O26" s="28"/>
      <c r="P26" s="28"/>
      <c r="Q26" s="228" t="s">
        <v>315</v>
      </c>
      <c r="R26" s="229"/>
      <c r="S26" s="173" t="str">
        <f t="shared" si="8"/>
        <v/>
      </c>
      <c r="AA26" s="148" t="str">
        <f t="shared" si="9"/>
        <v/>
      </c>
    </row>
    <row r="27" spans="1:27" ht="15" customHeight="1">
      <c r="A27">
        <f t="shared" si="2"/>
        <v>21</v>
      </c>
      <c r="B27" s="1">
        <f t="shared" si="3"/>
        <v>44702</v>
      </c>
      <c r="C27" s="15">
        <f t="shared" si="4"/>
        <v>44702</v>
      </c>
      <c r="D27" s="4" t="str">
        <f t="shared" si="10"/>
        <v>土</v>
      </c>
      <c r="E27" s="3" t="str">
        <f t="shared" si="0"/>
        <v/>
      </c>
      <c r="F27" s="4" t="str">
        <f t="shared" si="1"/>
        <v/>
      </c>
      <c r="G27" s="4" t="str">
        <f t="shared" si="5"/>
        <v/>
      </c>
      <c r="H27" s="185"/>
      <c r="I27" s="185"/>
      <c r="J27" s="175"/>
      <c r="K27" s="186">
        <f t="shared" si="6"/>
        <v>0</v>
      </c>
      <c r="L27" s="27" t="str">
        <f t="shared" si="7"/>
        <v/>
      </c>
      <c r="M27" s="28"/>
      <c r="N27" s="28"/>
      <c r="O27" s="28"/>
      <c r="P27" s="28"/>
      <c r="Q27" s="228"/>
      <c r="R27" s="229"/>
      <c r="S27" s="173" t="str">
        <f t="shared" si="8"/>
        <v/>
      </c>
      <c r="AA27" s="148" t="str">
        <f t="shared" si="9"/>
        <v/>
      </c>
    </row>
    <row r="28" spans="1:27" ht="15" customHeight="1">
      <c r="A28">
        <f t="shared" si="2"/>
        <v>22</v>
      </c>
      <c r="B28" s="1">
        <f t="shared" si="3"/>
        <v>44703</v>
      </c>
      <c r="C28" s="15">
        <f t="shared" si="4"/>
        <v>44703</v>
      </c>
      <c r="D28" s="4" t="str">
        <f t="shared" si="10"/>
        <v>日</v>
      </c>
      <c r="E28" s="3" t="str">
        <f t="shared" si="0"/>
        <v/>
      </c>
      <c r="F28" s="4" t="str">
        <f t="shared" si="1"/>
        <v/>
      </c>
      <c r="G28" s="4" t="str">
        <f t="shared" si="5"/>
        <v/>
      </c>
      <c r="H28" s="185"/>
      <c r="I28" s="185"/>
      <c r="J28" s="175"/>
      <c r="K28" s="186">
        <f t="shared" si="6"/>
        <v>0</v>
      </c>
      <c r="L28" s="27" t="str">
        <f t="shared" si="7"/>
        <v/>
      </c>
      <c r="M28" s="28"/>
      <c r="N28" s="28"/>
      <c r="O28" s="28"/>
      <c r="P28" s="28"/>
      <c r="Q28" s="228"/>
      <c r="R28" s="229"/>
      <c r="S28" s="173" t="str">
        <f t="shared" si="8"/>
        <v/>
      </c>
      <c r="AA28" s="148" t="str">
        <f t="shared" si="9"/>
        <v/>
      </c>
    </row>
    <row r="29" spans="1:27" ht="15" customHeight="1">
      <c r="A29">
        <f t="shared" si="2"/>
        <v>23</v>
      </c>
      <c r="B29" s="1">
        <f t="shared" si="3"/>
        <v>44704</v>
      </c>
      <c r="C29" s="15">
        <f t="shared" si="4"/>
        <v>44704</v>
      </c>
      <c r="D29" s="4" t="str">
        <f t="shared" si="10"/>
        <v>月</v>
      </c>
      <c r="E29" s="3" t="str">
        <f t="shared" si="0"/>
        <v/>
      </c>
      <c r="F29" s="4" t="str">
        <f t="shared" si="1"/>
        <v>○</v>
      </c>
      <c r="G29" s="4" t="str">
        <f t="shared" si="5"/>
        <v>○</v>
      </c>
      <c r="H29" s="185">
        <v>0.375</v>
      </c>
      <c r="I29" s="187">
        <v>0.77083333333333337</v>
      </c>
      <c r="J29" s="175">
        <v>1.25</v>
      </c>
      <c r="K29" s="186">
        <f t="shared" si="6"/>
        <v>8.25</v>
      </c>
      <c r="L29" s="27">
        <f t="shared" si="7"/>
        <v>8.25</v>
      </c>
      <c r="M29" s="28"/>
      <c r="N29" s="28"/>
      <c r="O29" s="28"/>
      <c r="P29" s="28"/>
      <c r="Q29" s="228" t="s">
        <v>315</v>
      </c>
      <c r="R29" s="229"/>
      <c r="S29" s="173" t="str">
        <f t="shared" si="8"/>
        <v/>
      </c>
      <c r="AA29" s="148" t="str">
        <f t="shared" si="9"/>
        <v/>
      </c>
    </row>
    <row r="30" spans="1:27" ht="15" customHeight="1">
      <c r="A30">
        <f t="shared" si="2"/>
        <v>24</v>
      </c>
      <c r="B30" s="1">
        <f t="shared" si="3"/>
        <v>44705</v>
      </c>
      <c r="C30" s="15">
        <f t="shared" si="4"/>
        <v>44705</v>
      </c>
      <c r="D30" s="4" t="str">
        <f t="shared" si="10"/>
        <v>火</v>
      </c>
      <c r="E30" s="3" t="str">
        <f t="shared" si="0"/>
        <v/>
      </c>
      <c r="F30" s="4" t="str">
        <f t="shared" si="1"/>
        <v>○</v>
      </c>
      <c r="G30" s="4" t="str">
        <f t="shared" si="5"/>
        <v>○</v>
      </c>
      <c r="H30" s="185">
        <v>0.375</v>
      </c>
      <c r="I30" s="187">
        <v>0.88541666666666663</v>
      </c>
      <c r="J30" s="175">
        <v>1.25</v>
      </c>
      <c r="K30" s="186">
        <f t="shared" si="6"/>
        <v>11</v>
      </c>
      <c r="L30" s="27">
        <f t="shared" si="7"/>
        <v>11</v>
      </c>
      <c r="M30" s="28"/>
      <c r="N30" s="28"/>
      <c r="O30" s="28"/>
      <c r="P30" s="28"/>
      <c r="Q30" s="228" t="s">
        <v>316</v>
      </c>
      <c r="R30" s="229"/>
      <c r="S30" s="173" t="str">
        <f t="shared" si="8"/>
        <v/>
      </c>
      <c r="AA30" s="148" t="str">
        <f t="shared" si="9"/>
        <v/>
      </c>
    </row>
    <row r="31" spans="1:27" ht="15" customHeight="1">
      <c r="A31">
        <f t="shared" si="2"/>
        <v>25</v>
      </c>
      <c r="B31" s="1">
        <f t="shared" si="3"/>
        <v>44706</v>
      </c>
      <c r="C31" s="15">
        <f t="shared" si="4"/>
        <v>44706</v>
      </c>
      <c r="D31" s="4" t="str">
        <f t="shared" si="10"/>
        <v>水</v>
      </c>
      <c r="E31" s="3" t="str">
        <f t="shared" si="0"/>
        <v/>
      </c>
      <c r="F31" s="4" t="str">
        <f t="shared" si="1"/>
        <v>○</v>
      </c>
      <c r="G31" s="4" t="str">
        <f t="shared" si="5"/>
        <v>○</v>
      </c>
      <c r="H31" s="185">
        <v>0.375</v>
      </c>
      <c r="I31" s="187">
        <v>0.85416666666666663</v>
      </c>
      <c r="J31" s="175">
        <v>1.25</v>
      </c>
      <c r="K31" s="186">
        <f t="shared" si="6"/>
        <v>10.25</v>
      </c>
      <c r="L31" s="27">
        <f t="shared" si="7"/>
        <v>10.25</v>
      </c>
      <c r="M31" s="28"/>
      <c r="N31" s="28"/>
      <c r="O31" s="28"/>
      <c r="P31" s="28"/>
      <c r="Q31" s="228" t="s">
        <v>316</v>
      </c>
      <c r="R31" s="229"/>
      <c r="S31" s="173" t="str">
        <f t="shared" si="8"/>
        <v/>
      </c>
      <c r="AA31" s="148" t="str">
        <f t="shared" si="9"/>
        <v/>
      </c>
    </row>
    <row r="32" spans="1:27" ht="15" customHeight="1">
      <c r="A32">
        <f t="shared" si="2"/>
        <v>26</v>
      </c>
      <c r="B32" s="1">
        <f t="shared" si="3"/>
        <v>44707</v>
      </c>
      <c r="C32" s="15">
        <f t="shared" si="4"/>
        <v>44707</v>
      </c>
      <c r="D32" s="4" t="str">
        <f t="shared" si="10"/>
        <v>木</v>
      </c>
      <c r="E32" s="3" t="str">
        <f t="shared" si="0"/>
        <v/>
      </c>
      <c r="F32" s="4" t="str">
        <f t="shared" si="1"/>
        <v>○</v>
      </c>
      <c r="G32" s="4" t="str">
        <f t="shared" si="5"/>
        <v>○</v>
      </c>
      <c r="H32" s="185">
        <v>0.375</v>
      </c>
      <c r="I32" s="187">
        <v>0.77083333333333337</v>
      </c>
      <c r="J32" s="175">
        <v>1.25</v>
      </c>
      <c r="K32" s="186">
        <f t="shared" si="6"/>
        <v>8.25</v>
      </c>
      <c r="L32" s="27">
        <f t="shared" si="7"/>
        <v>8.25</v>
      </c>
      <c r="M32" s="28"/>
      <c r="N32" s="28"/>
      <c r="O32" s="28"/>
      <c r="P32" s="28"/>
      <c r="Q32" s="228" t="s">
        <v>316</v>
      </c>
      <c r="R32" s="229"/>
      <c r="S32" s="173" t="str">
        <f t="shared" si="8"/>
        <v/>
      </c>
      <c r="AA32" s="148" t="str">
        <f t="shared" si="9"/>
        <v/>
      </c>
    </row>
    <row r="33" spans="1:27" ht="15" customHeight="1">
      <c r="A33">
        <f t="shared" si="2"/>
        <v>27</v>
      </c>
      <c r="B33" s="1">
        <f t="shared" si="3"/>
        <v>44708</v>
      </c>
      <c r="C33" s="15">
        <f t="shared" si="4"/>
        <v>44708</v>
      </c>
      <c r="D33" s="4" t="str">
        <f t="shared" si="10"/>
        <v>金</v>
      </c>
      <c r="E33" s="3" t="str">
        <f t="shared" si="0"/>
        <v/>
      </c>
      <c r="F33" s="4" t="str">
        <f t="shared" si="1"/>
        <v>○</v>
      </c>
      <c r="G33" s="4" t="str">
        <f t="shared" si="5"/>
        <v>○</v>
      </c>
      <c r="H33" s="185">
        <v>0.375</v>
      </c>
      <c r="I33" s="187">
        <v>0.77083333333333337</v>
      </c>
      <c r="J33" s="175">
        <v>1.25</v>
      </c>
      <c r="K33" s="186">
        <f t="shared" si="6"/>
        <v>8.25</v>
      </c>
      <c r="L33" s="27">
        <f t="shared" si="7"/>
        <v>8.25</v>
      </c>
      <c r="M33" s="28"/>
      <c r="N33" s="28"/>
      <c r="O33" s="28"/>
      <c r="P33" s="28"/>
      <c r="Q33" s="228" t="s">
        <v>315</v>
      </c>
      <c r="R33" s="229"/>
      <c r="S33" s="173" t="str">
        <f t="shared" si="8"/>
        <v/>
      </c>
      <c r="AA33" s="148" t="str">
        <f t="shared" si="9"/>
        <v/>
      </c>
    </row>
    <row r="34" spans="1:27" ht="15" customHeight="1">
      <c r="A34">
        <f t="shared" si="2"/>
        <v>28</v>
      </c>
      <c r="B34" s="1">
        <f t="shared" si="3"/>
        <v>44709</v>
      </c>
      <c r="C34" s="15">
        <f t="shared" si="4"/>
        <v>44709</v>
      </c>
      <c r="D34" s="4" t="str">
        <f t="shared" si="10"/>
        <v>土</v>
      </c>
      <c r="E34" s="3" t="str">
        <f t="shared" si="0"/>
        <v/>
      </c>
      <c r="F34" s="4" t="str">
        <f t="shared" si="1"/>
        <v/>
      </c>
      <c r="G34" s="4" t="str">
        <f t="shared" si="5"/>
        <v/>
      </c>
      <c r="H34" s="185"/>
      <c r="I34" s="187"/>
      <c r="J34" s="175"/>
      <c r="K34" s="186">
        <f t="shared" si="6"/>
        <v>0</v>
      </c>
      <c r="L34" s="27" t="str">
        <f t="shared" si="7"/>
        <v/>
      </c>
      <c r="M34" s="28"/>
      <c r="N34" s="28"/>
      <c r="O34" s="28"/>
      <c r="P34" s="28"/>
      <c r="Q34" s="228"/>
      <c r="R34" s="229"/>
      <c r="S34" s="173" t="str">
        <f t="shared" si="8"/>
        <v/>
      </c>
      <c r="AA34" s="148" t="str">
        <f t="shared" si="9"/>
        <v/>
      </c>
    </row>
    <row r="35" spans="1:27" ht="15" customHeight="1">
      <c r="A35">
        <f t="shared" si="2"/>
        <v>29</v>
      </c>
      <c r="B35" s="1">
        <f t="shared" si="3"/>
        <v>44710</v>
      </c>
      <c r="C35" s="15">
        <f t="shared" si="4"/>
        <v>44710</v>
      </c>
      <c r="D35" s="4" t="str">
        <f t="shared" si="10"/>
        <v>日</v>
      </c>
      <c r="E35" s="3" t="str">
        <f t="shared" si="0"/>
        <v/>
      </c>
      <c r="F35" s="4" t="str">
        <f t="shared" si="1"/>
        <v/>
      </c>
      <c r="G35" s="4" t="str">
        <f t="shared" si="5"/>
        <v/>
      </c>
      <c r="H35" s="185"/>
      <c r="I35" s="187"/>
      <c r="J35" s="175"/>
      <c r="K35" s="186">
        <f t="shared" si="6"/>
        <v>0</v>
      </c>
      <c r="L35" s="27" t="str">
        <f t="shared" si="7"/>
        <v/>
      </c>
      <c r="M35" s="28"/>
      <c r="N35" s="28"/>
      <c r="O35" s="28"/>
      <c r="P35" s="28"/>
      <c r="Q35" s="228"/>
      <c r="R35" s="229"/>
      <c r="S35" s="173" t="str">
        <f t="shared" si="8"/>
        <v/>
      </c>
      <c r="AA35" s="148" t="str">
        <f t="shared" si="9"/>
        <v/>
      </c>
    </row>
    <row r="36" spans="1:27" ht="15" customHeight="1">
      <c r="A36">
        <f t="shared" si="2"/>
        <v>30</v>
      </c>
      <c r="B36" s="1">
        <f t="shared" si="3"/>
        <v>44711</v>
      </c>
      <c r="C36" s="15">
        <f t="shared" si="4"/>
        <v>44711</v>
      </c>
      <c r="D36" s="4" t="str">
        <f t="shared" si="10"/>
        <v>月</v>
      </c>
      <c r="E36" s="3" t="str">
        <f t="shared" si="0"/>
        <v/>
      </c>
      <c r="F36" s="4" t="str">
        <f t="shared" si="1"/>
        <v>○</v>
      </c>
      <c r="G36" s="4" t="str">
        <f t="shared" si="5"/>
        <v>○</v>
      </c>
      <c r="H36" s="185">
        <v>0.375</v>
      </c>
      <c r="I36" s="187">
        <v>0.72916666666666663</v>
      </c>
      <c r="J36" s="175">
        <v>1</v>
      </c>
      <c r="K36" s="186">
        <f t="shared" si="6"/>
        <v>7.5</v>
      </c>
      <c r="L36" s="27">
        <f t="shared" si="7"/>
        <v>7.5</v>
      </c>
      <c r="M36" s="28"/>
      <c r="N36" s="28"/>
      <c r="O36" s="28"/>
      <c r="P36" s="28"/>
      <c r="Q36" s="228" t="s">
        <v>315</v>
      </c>
      <c r="R36" s="229"/>
      <c r="S36" s="173" t="str">
        <f t="shared" si="8"/>
        <v/>
      </c>
      <c r="AA36" s="148" t="str">
        <f t="shared" si="9"/>
        <v/>
      </c>
    </row>
    <row r="37" spans="1:27" ht="15" customHeight="1">
      <c r="A37">
        <f>IF(C37="","",DAY(C37))</f>
        <v>31</v>
      </c>
      <c r="B37" s="1">
        <f t="shared" si="3"/>
        <v>44712</v>
      </c>
      <c r="C37" s="15">
        <f>IF(MONTH(B37)&gt;$H$3,"",B37)</f>
        <v>44712</v>
      </c>
      <c r="D37" s="4" t="str">
        <f t="shared" si="10"/>
        <v>火</v>
      </c>
      <c r="E37" s="3" t="str">
        <f t="shared" si="0"/>
        <v/>
      </c>
      <c r="F37" s="4" t="str">
        <f>IF(OR(C37="",D37="土",D37="日",E37&lt;&gt;""),"","○")</f>
        <v>○</v>
      </c>
      <c r="G37" s="4" t="str">
        <f t="shared" si="5"/>
        <v>○</v>
      </c>
      <c r="H37" s="185">
        <v>0.375</v>
      </c>
      <c r="I37" s="187">
        <v>0.72916666666666663</v>
      </c>
      <c r="J37" s="175">
        <v>1</v>
      </c>
      <c r="K37" s="188">
        <f t="shared" si="6"/>
        <v>7.5</v>
      </c>
      <c r="L37" s="27">
        <f t="shared" si="7"/>
        <v>7.5</v>
      </c>
      <c r="M37" s="28"/>
      <c r="N37" s="28"/>
      <c r="O37" s="28"/>
      <c r="P37" s="28"/>
      <c r="Q37" s="228" t="s">
        <v>315</v>
      </c>
      <c r="R37" s="229"/>
      <c r="S37" s="173" t="str">
        <f t="shared" si="8"/>
        <v/>
      </c>
      <c r="AA37" s="148" t="str">
        <f t="shared" si="9"/>
        <v/>
      </c>
    </row>
    <row r="38" spans="1:27" ht="15" customHeight="1" thickBot="1">
      <c r="B38" s="1"/>
      <c r="C38" s="232" t="s">
        <v>23</v>
      </c>
      <c r="D38" s="233"/>
      <c r="E38" s="16"/>
      <c r="F38" s="4">
        <f>COUNTIF(F7:F37,"○")</f>
        <v>19</v>
      </c>
      <c r="G38" s="14">
        <f>COUNTIF(G7:G37,"○")</f>
        <v>19</v>
      </c>
      <c r="H38" s="23"/>
      <c r="I38" s="23"/>
      <c r="J38" s="17">
        <f t="shared" ref="J38:P38" si="12">SUM(J7:J37)</f>
        <v>21</v>
      </c>
      <c r="K38" s="17">
        <f t="shared" si="12"/>
        <v>153.25</v>
      </c>
      <c r="L38" s="17">
        <f>SUM(L7:L37)</f>
        <v>153.25</v>
      </c>
      <c r="M38" s="17">
        <f>SUM(M7:M37)</f>
        <v>0</v>
      </c>
      <c r="N38" s="17">
        <f t="shared" si="12"/>
        <v>0</v>
      </c>
      <c r="O38" s="17">
        <f t="shared" si="12"/>
        <v>0</v>
      </c>
      <c r="P38" s="17">
        <f t="shared" si="12"/>
        <v>0</v>
      </c>
      <c r="Q38" s="230"/>
      <c r="R38" s="231"/>
    </row>
    <row r="39" spans="1:27" ht="14.25" thickBot="1">
      <c r="E39" s="21"/>
      <c r="F39" s="22"/>
      <c r="G39" s="13"/>
    </row>
    <row r="40" spans="1:27">
      <c r="C40" s="217" t="s">
        <v>152</v>
      </c>
      <c r="D40" s="221" t="s">
        <v>307</v>
      </c>
      <c r="E40" s="222"/>
      <c r="F40" s="222"/>
      <c r="G40" s="222"/>
      <c r="H40" s="222"/>
      <c r="I40" s="223"/>
      <c r="J40" s="205" t="s">
        <v>18</v>
      </c>
      <c r="K40" s="20" t="s">
        <v>22</v>
      </c>
      <c r="L40" s="208" t="s">
        <v>71</v>
      </c>
      <c r="M40" s="209"/>
      <c r="N40" s="209"/>
      <c r="O40" s="210"/>
      <c r="P40" s="46" t="s">
        <v>68</v>
      </c>
      <c r="Q40" s="193" t="s">
        <v>72</v>
      </c>
      <c r="R40" s="194"/>
    </row>
    <row r="41" spans="1:27">
      <c r="C41" s="218"/>
      <c r="D41" s="211"/>
      <c r="E41" s="212"/>
      <c r="F41" s="212"/>
      <c r="G41" s="212"/>
      <c r="H41" s="212"/>
      <c r="I41" s="224"/>
      <c r="J41" s="206"/>
      <c r="K41" s="172" t="s">
        <v>308</v>
      </c>
      <c r="L41" s="211" t="s">
        <v>309</v>
      </c>
      <c r="M41" s="212"/>
      <c r="N41" s="212"/>
      <c r="O41" s="213"/>
      <c r="P41" s="47">
        <f>IF(L38=0,"",L38)</f>
        <v>153.25</v>
      </c>
      <c r="Q41" s="200"/>
      <c r="R41" s="201"/>
    </row>
    <row r="42" spans="1:27" ht="13.5" customHeight="1">
      <c r="C42" s="219" t="s">
        <v>69</v>
      </c>
      <c r="D42" s="211" t="s">
        <v>305</v>
      </c>
      <c r="E42" s="212"/>
      <c r="F42" s="212"/>
      <c r="G42" s="212"/>
      <c r="H42" s="212"/>
      <c r="I42" s="224"/>
      <c r="J42" s="206"/>
      <c r="K42" s="29"/>
      <c r="L42" s="195"/>
      <c r="M42" s="196"/>
      <c r="N42" s="196"/>
      <c r="O42" s="197"/>
      <c r="P42" s="47" t="str">
        <f>IF(M38=0,"",M38)</f>
        <v/>
      </c>
      <c r="Q42" s="200"/>
      <c r="R42" s="201"/>
    </row>
    <row r="43" spans="1:27">
      <c r="C43" s="218"/>
      <c r="D43" s="211"/>
      <c r="E43" s="212"/>
      <c r="F43" s="212"/>
      <c r="G43" s="212"/>
      <c r="H43" s="212"/>
      <c r="I43" s="224"/>
      <c r="J43" s="206"/>
      <c r="K43" s="29"/>
      <c r="L43" s="198"/>
      <c r="M43" s="198"/>
      <c r="N43" s="198"/>
      <c r="O43" s="198"/>
      <c r="P43" s="47" t="str">
        <f>IF(N38=0,"",N38)</f>
        <v/>
      </c>
      <c r="Q43" s="200"/>
      <c r="R43" s="201"/>
    </row>
    <row r="44" spans="1:27">
      <c r="C44" s="219" t="s">
        <v>70</v>
      </c>
      <c r="D44" s="211" t="s">
        <v>306</v>
      </c>
      <c r="E44" s="212"/>
      <c r="F44" s="212"/>
      <c r="G44" s="212"/>
      <c r="H44" s="212"/>
      <c r="I44" s="224"/>
      <c r="J44" s="206"/>
      <c r="K44" s="29"/>
      <c r="L44" s="198"/>
      <c r="M44" s="198"/>
      <c r="N44" s="198"/>
      <c r="O44" s="198"/>
      <c r="P44" s="47" t="str">
        <f>IF(O38=0,"",O38)</f>
        <v/>
      </c>
      <c r="Q44" s="200"/>
      <c r="R44" s="201"/>
    </row>
    <row r="45" spans="1:27" ht="14.25" thickBot="1">
      <c r="C45" s="220"/>
      <c r="D45" s="225"/>
      <c r="E45" s="226"/>
      <c r="F45" s="226"/>
      <c r="G45" s="226"/>
      <c r="H45" s="226"/>
      <c r="I45" s="227"/>
      <c r="J45" s="207"/>
      <c r="K45" s="30"/>
      <c r="L45" s="199"/>
      <c r="M45" s="199"/>
      <c r="N45" s="199"/>
      <c r="O45" s="199"/>
      <c r="P45" s="48" t="str">
        <f>IF(P38=0,"",P38)</f>
        <v/>
      </c>
      <c r="Q45" s="191"/>
      <c r="R45" s="192"/>
    </row>
    <row r="46" spans="1:27" ht="25.5" customHeight="1">
      <c r="C46" s="8"/>
      <c r="D46" s="8"/>
      <c r="E46" s="9"/>
      <c r="F46" s="10"/>
      <c r="G46" s="10"/>
      <c r="H46" s="11"/>
      <c r="I46" s="12"/>
      <c r="J46" s="12"/>
      <c r="K46" t="s">
        <v>49</v>
      </c>
      <c r="L46" s="12"/>
      <c r="M46" s="12"/>
    </row>
    <row r="47" spans="1:27" ht="14.25" thickBot="1">
      <c r="C47" s="81" t="s">
        <v>133</v>
      </c>
      <c r="D47" s="8"/>
      <c r="E47" s="9"/>
      <c r="F47" s="10"/>
      <c r="G47" s="10"/>
      <c r="H47" s="11"/>
      <c r="I47" s="12"/>
      <c r="J47" s="12"/>
      <c r="K47" s="12"/>
      <c r="L47" s="12"/>
      <c r="M47" s="12"/>
    </row>
    <row r="48" spans="1:27">
      <c r="C48" s="275" t="s">
        <v>148</v>
      </c>
      <c r="D48" s="286" t="s">
        <v>149</v>
      </c>
      <c r="E48" s="21"/>
      <c r="F48" s="22"/>
      <c r="G48" s="280" t="str">
        <f>IF(J3="tdi","情報技術開発株式会社",IF(J3="TDISS","TDIシステムサービス株式会社",IF(J3="TDIPS","TDIプロダクトソリューション株式会社","TDIゼットサービス株式会社")))</f>
        <v>情報技術開発株式会社</v>
      </c>
      <c r="H48" s="281"/>
      <c r="I48" s="281"/>
      <c r="J48" s="281"/>
      <c r="K48" s="281"/>
      <c r="L48" s="281"/>
      <c r="M48" s="282"/>
    </row>
    <row r="49" spans="3:15">
      <c r="C49" s="276"/>
      <c r="D49" s="287"/>
      <c r="E49" s="106"/>
      <c r="F49" s="107"/>
      <c r="G49" s="283"/>
      <c r="H49" s="284"/>
      <c r="I49" s="284"/>
      <c r="J49" s="284"/>
      <c r="K49" s="284"/>
      <c r="L49" s="284"/>
      <c r="M49" s="285"/>
    </row>
    <row r="50" spans="3:15" ht="22.5" customHeight="1">
      <c r="C50" s="276"/>
      <c r="D50" s="108" t="s">
        <v>161</v>
      </c>
      <c r="E50" s="106"/>
      <c r="F50" s="107"/>
      <c r="G50" s="214"/>
      <c r="H50" s="215"/>
      <c r="I50" s="215"/>
      <c r="J50" s="215"/>
      <c r="K50" s="215"/>
      <c r="L50" s="215"/>
      <c r="M50" s="216"/>
      <c r="O50" s="103"/>
    </row>
    <row r="51" spans="3:15" ht="22.5" customHeight="1">
      <c r="C51" s="277"/>
      <c r="D51" s="105" t="s">
        <v>147</v>
      </c>
      <c r="E51" s="84"/>
      <c r="F51" s="85"/>
      <c r="G51" s="272"/>
      <c r="H51" s="273"/>
      <c r="I51" s="273"/>
      <c r="J51" s="273"/>
      <c r="K51" s="273"/>
      <c r="L51" s="273"/>
      <c r="M51" s="274"/>
      <c r="N51" s="173" t="s">
        <v>284</v>
      </c>
      <c r="O51" s="103"/>
    </row>
    <row r="52" spans="3:15" ht="14.25">
      <c r="C52" s="261" t="s">
        <v>134</v>
      </c>
      <c r="D52" s="262"/>
      <c r="G52" s="249"/>
      <c r="H52" s="250"/>
      <c r="I52" s="89" t="s">
        <v>140</v>
      </c>
      <c r="J52" s="88"/>
      <c r="K52" s="90"/>
      <c r="L52" s="89" t="s">
        <v>139</v>
      </c>
      <c r="M52" s="91"/>
      <c r="O52" s="103"/>
    </row>
    <row r="53" spans="3:15" ht="14.25">
      <c r="C53" s="257"/>
      <c r="D53" s="258"/>
      <c r="G53" s="270" t="str">
        <f>C3&amp;D3</f>
        <v>2022年</v>
      </c>
      <c r="H53" s="268" t="str">
        <f>H3&amp;I3</f>
        <v>5月</v>
      </c>
      <c r="I53" s="288"/>
      <c r="J53" s="270" t="s">
        <v>138</v>
      </c>
      <c r="K53" s="268" t="s">
        <v>135</v>
      </c>
      <c r="L53" s="288"/>
      <c r="M53" s="278" t="s">
        <v>138</v>
      </c>
      <c r="O53" s="103"/>
    </row>
    <row r="54" spans="3:15" ht="14.25">
      <c r="C54" s="263"/>
      <c r="D54" s="264"/>
      <c r="G54" s="271"/>
      <c r="H54" s="269"/>
      <c r="I54" s="289"/>
      <c r="J54" s="271"/>
      <c r="K54" s="269"/>
      <c r="L54" s="289"/>
      <c r="M54" s="279"/>
      <c r="O54" s="103"/>
    </row>
    <row r="55" spans="3:15" ht="18" customHeight="1">
      <c r="C55" s="257" t="s">
        <v>164</v>
      </c>
      <c r="D55" s="258"/>
      <c r="E55" s="83"/>
      <c r="F55" s="13"/>
      <c r="G55" s="92" t="s">
        <v>136</v>
      </c>
      <c r="H55" s="265"/>
      <c r="I55" s="266"/>
      <c r="J55" s="266"/>
      <c r="K55" s="266"/>
      <c r="L55" s="266"/>
      <c r="M55" s="267"/>
      <c r="O55" s="103"/>
    </row>
    <row r="56" spans="3:15" ht="18" customHeight="1" thickBot="1">
      <c r="C56" s="259"/>
      <c r="D56" s="260"/>
      <c r="E56" s="82"/>
      <c r="F56" s="55"/>
      <c r="G56" s="104" t="s">
        <v>137</v>
      </c>
      <c r="H56" s="254"/>
      <c r="I56" s="255"/>
      <c r="J56" s="255"/>
      <c r="K56" s="255"/>
      <c r="L56" s="255"/>
      <c r="M56" s="256"/>
    </row>
    <row r="57" spans="3:15" ht="14.25" customHeight="1" thickBot="1">
      <c r="O57" s="103"/>
    </row>
    <row r="58" spans="3:15" ht="15" thickBot="1">
      <c r="C58" s="247" t="s">
        <v>141</v>
      </c>
      <c r="D58" s="248"/>
      <c r="E58" s="86"/>
      <c r="F58" s="87"/>
      <c r="G58" s="251" t="s">
        <v>286</v>
      </c>
      <c r="H58" s="252"/>
      <c r="I58" s="252"/>
      <c r="J58" s="252"/>
      <c r="K58" s="252"/>
      <c r="L58" s="252"/>
      <c r="M58" s="253"/>
      <c r="O58" s="103"/>
    </row>
    <row r="59" spans="3:15" ht="15" thickBot="1">
      <c r="O59" s="103"/>
    </row>
    <row r="60" spans="3:15" ht="15" thickTop="1">
      <c r="C60" s="83"/>
      <c r="D60" s="83"/>
      <c r="E60" s="83"/>
      <c r="F60" s="13"/>
      <c r="G60" s="202" t="s">
        <v>142</v>
      </c>
      <c r="H60" s="203"/>
      <c r="I60" s="203"/>
      <c r="J60" s="203"/>
      <c r="K60" s="203"/>
      <c r="L60" s="203"/>
      <c r="M60" s="204"/>
      <c r="O60" s="103"/>
    </row>
    <row r="61" spans="3:15" ht="17.25" customHeight="1">
      <c r="C61" s="83"/>
      <c r="D61" s="83"/>
      <c r="E61" s="83"/>
      <c r="F61" s="13"/>
      <c r="G61" s="153" t="s">
        <v>93</v>
      </c>
      <c r="H61" s="154"/>
      <c r="I61" s="155" t="s">
        <v>19</v>
      </c>
      <c r="J61" s="156"/>
      <c r="K61" s="154"/>
      <c r="L61" s="156"/>
      <c r="M61" s="157"/>
      <c r="O61" s="103"/>
    </row>
    <row r="62" spans="3:15" ht="14.25">
      <c r="C62" s="83"/>
      <c r="D62" s="83"/>
      <c r="E62" s="83"/>
      <c r="F62" s="13"/>
      <c r="G62" s="93" t="s">
        <v>94</v>
      </c>
      <c r="H62" s="94"/>
      <c r="I62" s="98" t="s">
        <v>277</v>
      </c>
      <c r="J62" s="96"/>
      <c r="K62" s="94"/>
      <c r="L62" s="99" t="s">
        <v>143</v>
      </c>
      <c r="M62" s="97"/>
      <c r="O62" s="103"/>
    </row>
    <row r="63" spans="3:15" ht="14.25">
      <c r="C63" s="83"/>
      <c r="D63" s="83"/>
      <c r="E63" s="83"/>
      <c r="F63" s="13"/>
      <c r="G63" s="93" t="s">
        <v>95</v>
      </c>
      <c r="H63" s="94"/>
      <c r="I63" s="95" t="s">
        <v>96</v>
      </c>
      <c r="J63" s="96"/>
      <c r="K63" s="94"/>
      <c r="L63" s="96"/>
      <c r="M63" s="97"/>
      <c r="O63" s="103"/>
    </row>
    <row r="64" spans="3:15" ht="14.25">
      <c r="C64" s="83"/>
      <c r="D64" s="83"/>
      <c r="E64" s="83"/>
      <c r="F64" s="13"/>
      <c r="G64" s="93" t="s">
        <v>97</v>
      </c>
      <c r="H64" s="94"/>
      <c r="I64" s="98" t="s">
        <v>98</v>
      </c>
      <c r="J64" s="96"/>
      <c r="K64" s="100"/>
      <c r="L64" s="99" t="s">
        <v>99</v>
      </c>
      <c r="M64" s="97"/>
      <c r="O64" s="103"/>
    </row>
    <row r="65" spans="3:13">
      <c r="C65" s="83"/>
      <c r="D65" s="83"/>
      <c r="E65" s="83"/>
      <c r="F65" s="13"/>
      <c r="G65" s="93" t="s">
        <v>100</v>
      </c>
      <c r="H65" s="94"/>
      <c r="I65" s="95" t="s">
        <v>101</v>
      </c>
      <c r="J65" s="96"/>
      <c r="K65" s="94"/>
      <c r="L65" s="96"/>
      <c r="M65" s="97"/>
    </row>
    <row r="66" spans="3:13">
      <c r="C66" s="83"/>
      <c r="D66" s="83"/>
      <c r="E66" s="83"/>
      <c r="F66" s="13"/>
      <c r="G66" s="93" t="s">
        <v>102</v>
      </c>
      <c r="H66" s="94"/>
      <c r="I66" s="95" t="s">
        <v>103</v>
      </c>
      <c r="J66" s="96"/>
      <c r="K66" s="94"/>
      <c r="L66" s="96"/>
      <c r="M66" s="97"/>
    </row>
    <row r="67" spans="3:13">
      <c r="C67" s="83"/>
      <c r="D67" s="83"/>
      <c r="E67" s="83"/>
      <c r="F67" s="13"/>
      <c r="G67" s="93" t="s">
        <v>104</v>
      </c>
      <c r="H67" s="94"/>
      <c r="I67" s="95" t="s">
        <v>105</v>
      </c>
      <c r="J67" s="96"/>
      <c r="K67" s="94"/>
      <c r="L67" s="96"/>
      <c r="M67" s="97"/>
    </row>
    <row r="68" spans="3:13">
      <c r="C68" s="83"/>
      <c r="D68" s="83"/>
      <c r="E68" s="83"/>
      <c r="F68" s="13"/>
      <c r="G68" s="93" t="s">
        <v>106</v>
      </c>
      <c r="H68" s="94"/>
      <c r="I68" s="95" t="s">
        <v>107</v>
      </c>
      <c r="J68" s="96"/>
      <c r="K68" s="94"/>
      <c r="L68" s="96"/>
      <c r="M68" s="97"/>
    </row>
    <row r="69" spans="3:13">
      <c r="C69" s="83"/>
      <c r="D69" s="83"/>
      <c r="E69" s="83"/>
      <c r="F69" s="13"/>
      <c r="G69" s="93" t="s">
        <v>108</v>
      </c>
      <c r="H69" s="94"/>
      <c r="I69" s="95" t="s">
        <v>278</v>
      </c>
      <c r="J69" s="96"/>
      <c r="K69" s="94"/>
      <c r="L69" s="96"/>
      <c r="M69" s="97"/>
    </row>
    <row r="70" spans="3:13">
      <c r="C70" s="83"/>
      <c r="D70" s="83"/>
      <c r="E70" s="83"/>
      <c r="F70" s="13"/>
      <c r="G70" s="93" t="s">
        <v>109</v>
      </c>
      <c r="H70" s="94"/>
      <c r="I70" s="95" t="s">
        <v>110</v>
      </c>
      <c r="J70" s="96"/>
      <c r="K70" s="94"/>
      <c r="L70" s="96"/>
      <c r="M70" s="97"/>
    </row>
    <row r="71" spans="3:13">
      <c r="C71" s="83"/>
      <c r="D71" s="83"/>
      <c r="E71" s="83"/>
      <c r="F71" s="13"/>
      <c r="G71" s="93" t="s">
        <v>111</v>
      </c>
      <c r="H71" s="94"/>
      <c r="I71" s="95" t="s">
        <v>112</v>
      </c>
      <c r="J71" s="96"/>
      <c r="K71" s="94"/>
      <c r="L71" s="96"/>
      <c r="M71" s="97"/>
    </row>
    <row r="72" spans="3:13">
      <c r="C72" s="83"/>
      <c r="D72" s="83"/>
      <c r="E72" s="83"/>
      <c r="F72" s="13"/>
      <c r="G72" s="93" t="s">
        <v>113</v>
      </c>
      <c r="H72" s="94"/>
      <c r="I72" s="95" t="s">
        <v>114</v>
      </c>
      <c r="J72" s="96"/>
      <c r="K72" s="94"/>
      <c r="L72" s="96"/>
      <c r="M72" s="97"/>
    </row>
    <row r="73" spans="3:13">
      <c r="C73" s="83"/>
      <c r="D73" s="83"/>
      <c r="E73" s="83"/>
      <c r="F73" s="13"/>
      <c r="G73" s="93" t="s">
        <v>115</v>
      </c>
      <c r="H73" s="94"/>
      <c r="I73" s="95" t="s">
        <v>116</v>
      </c>
      <c r="J73" s="96"/>
      <c r="K73" s="94"/>
      <c r="L73" s="96"/>
      <c r="M73" s="97"/>
    </row>
    <row r="74" spans="3:13">
      <c r="C74" s="83"/>
      <c r="D74" s="83"/>
      <c r="E74" s="83"/>
      <c r="F74" s="13"/>
      <c r="G74" s="93" t="s">
        <v>117</v>
      </c>
      <c r="H74" s="94"/>
      <c r="I74" s="98" t="s">
        <v>118</v>
      </c>
      <c r="J74" s="96"/>
      <c r="K74" s="101"/>
      <c r="L74" s="102" t="s">
        <v>119</v>
      </c>
      <c r="M74" s="97"/>
    </row>
    <row r="75" spans="3:13">
      <c r="C75" s="83"/>
      <c r="D75" s="83"/>
      <c r="E75" s="83"/>
      <c r="F75" s="13"/>
      <c r="G75" s="93" t="s">
        <v>120</v>
      </c>
      <c r="H75" s="94"/>
      <c r="I75" s="95" t="s">
        <v>121</v>
      </c>
      <c r="J75" s="96"/>
      <c r="K75" s="94"/>
      <c r="L75" s="96"/>
      <c r="M75" s="97"/>
    </row>
    <row r="76" spans="3:13">
      <c r="C76" s="83"/>
      <c r="D76" s="83"/>
      <c r="E76" s="83"/>
      <c r="F76" s="13"/>
      <c r="G76" s="93" t="s">
        <v>122</v>
      </c>
      <c r="H76" s="94"/>
      <c r="I76" s="95" t="s">
        <v>123</v>
      </c>
      <c r="J76" s="96"/>
      <c r="K76" s="94"/>
      <c r="L76" s="96"/>
      <c r="M76" s="97"/>
    </row>
    <row r="77" spans="3:13">
      <c r="C77" s="83"/>
      <c r="D77" s="83"/>
      <c r="E77" s="83"/>
      <c r="F77" s="13"/>
      <c r="G77" s="93" t="s">
        <v>124</v>
      </c>
      <c r="H77" s="94"/>
      <c r="I77" s="95" t="s">
        <v>125</v>
      </c>
      <c r="J77" s="96"/>
      <c r="K77" s="94"/>
      <c r="L77" s="96"/>
      <c r="M77" s="97"/>
    </row>
    <row r="78" spans="3:13">
      <c r="C78" s="83"/>
      <c r="D78" s="83"/>
      <c r="E78" s="83"/>
      <c r="F78" s="13"/>
      <c r="G78" s="93" t="s">
        <v>126</v>
      </c>
      <c r="H78" s="94"/>
      <c r="I78" s="95" t="s">
        <v>127</v>
      </c>
      <c r="J78" s="96"/>
      <c r="K78" s="94"/>
      <c r="L78" s="96"/>
      <c r="M78" s="97"/>
    </row>
    <row r="79" spans="3:13">
      <c r="C79" s="83"/>
      <c r="D79" s="83"/>
      <c r="E79" s="83"/>
      <c r="F79" s="13"/>
      <c r="G79" s="161" t="s">
        <v>280</v>
      </c>
      <c r="H79" s="162"/>
      <c r="I79" s="166" t="s">
        <v>132</v>
      </c>
      <c r="J79" s="96"/>
      <c r="K79" s="94"/>
      <c r="L79" s="96"/>
      <c r="M79" s="97"/>
    </row>
    <row r="80" spans="3:13" ht="14.25" thickBot="1">
      <c r="C80" s="83"/>
      <c r="D80" s="83"/>
      <c r="E80" s="83"/>
      <c r="F80" s="13"/>
      <c r="G80" s="151" t="s">
        <v>281</v>
      </c>
      <c r="H80" s="152"/>
      <c r="I80" s="163" t="s">
        <v>282</v>
      </c>
      <c r="J80" s="164"/>
      <c r="K80" s="165"/>
      <c r="L80" s="189" t="s">
        <v>283</v>
      </c>
      <c r="M80" s="190"/>
    </row>
    <row r="81" ht="14.25" thickTop="1"/>
  </sheetData>
  <sheetProtection algorithmName="SHA-512" hashValue="9aUGDvQDPvhvuTnUrttzTzBWCxxMTCz5MnYWsnd1yF9tIEP71HJB1B6zO7HbpfWw25GFjLyAoz9GK5mCQTFraA==" saltValue="2cOCc/+0skBV8hY2k3HpJA==" spinCount="100000" sheet="1" objects="1" scenarios="1" selectLockedCells="1"/>
  <mergeCells count="87">
    <mergeCell ref="G51:M51"/>
    <mergeCell ref="C48:C51"/>
    <mergeCell ref="K53:K54"/>
    <mergeCell ref="M53:M54"/>
    <mergeCell ref="G53:G54"/>
    <mergeCell ref="G48:M49"/>
    <mergeCell ref="D48:D49"/>
    <mergeCell ref="I53:I54"/>
    <mergeCell ref="L53:L54"/>
    <mergeCell ref="C58:D58"/>
    <mergeCell ref="G52:H52"/>
    <mergeCell ref="G58:M58"/>
    <mergeCell ref="H56:M56"/>
    <mergeCell ref="C55:D56"/>
    <mergeCell ref="C52:D54"/>
    <mergeCell ref="H55:M55"/>
    <mergeCell ref="H53:H54"/>
    <mergeCell ref="J53:J54"/>
    <mergeCell ref="C1:G2"/>
    <mergeCell ref="H1:I2"/>
    <mergeCell ref="J1:K2"/>
    <mergeCell ref="H5:H6"/>
    <mergeCell ref="Q10:R10"/>
    <mergeCell ref="Q5:R6"/>
    <mergeCell ref="I5:I6"/>
    <mergeCell ref="Q7:R7"/>
    <mergeCell ref="Q8:R8"/>
    <mergeCell ref="Q9:R9"/>
    <mergeCell ref="J5:J6"/>
    <mergeCell ref="K5:K6"/>
    <mergeCell ref="M1:N2"/>
    <mergeCell ref="Q25:R25"/>
    <mergeCell ref="Q21:R21"/>
    <mergeCell ref="Q22:R22"/>
    <mergeCell ref="Q13:R13"/>
    <mergeCell ref="Q16:R16"/>
    <mergeCell ref="Q17:R17"/>
    <mergeCell ref="Q18:R18"/>
    <mergeCell ref="Q19:R19"/>
    <mergeCell ref="Q20:R20"/>
    <mergeCell ref="Q12:R12"/>
    <mergeCell ref="Q11:R11"/>
    <mergeCell ref="Q15:R15"/>
    <mergeCell ref="C38:D38"/>
    <mergeCell ref="E5:E6"/>
    <mergeCell ref="F5:F6"/>
    <mergeCell ref="G5:G6"/>
    <mergeCell ref="C5:C6"/>
    <mergeCell ref="D5:D6"/>
    <mergeCell ref="Q14:R14"/>
    <mergeCell ref="Q29:R29"/>
    <mergeCell ref="Q30:R30"/>
    <mergeCell ref="Q23:R23"/>
    <mergeCell ref="Q24:R24"/>
    <mergeCell ref="Q26:R26"/>
    <mergeCell ref="Q27:R27"/>
    <mergeCell ref="Q28:R28"/>
    <mergeCell ref="Q38:R38"/>
    <mergeCell ref="Q31:R31"/>
    <mergeCell ref="Q32:R32"/>
    <mergeCell ref="Q33:R33"/>
    <mergeCell ref="Q34:R34"/>
    <mergeCell ref="Q35:R35"/>
    <mergeCell ref="Q36:R36"/>
    <mergeCell ref="Q37:R37"/>
    <mergeCell ref="C40:C41"/>
    <mergeCell ref="C42:C43"/>
    <mergeCell ref="C44:C45"/>
    <mergeCell ref="D40:I41"/>
    <mergeCell ref="D42:I43"/>
    <mergeCell ref="D44:I45"/>
    <mergeCell ref="L80:M80"/>
    <mergeCell ref="Q45:R45"/>
    <mergeCell ref="Q40:R40"/>
    <mergeCell ref="L42:O42"/>
    <mergeCell ref="L43:O43"/>
    <mergeCell ref="L44:O44"/>
    <mergeCell ref="L45:O45"/>
    <mergeCell ref="Q41:R41"/>
    <mergeCell ref="Q42:R42"/>
    <mergeCell ref="Q43:R43"/>
    <mergeCell ref="Q44:R44"/>
    <mergeCell ref="G60:M60"/>
    <mergeCell ref="J40:J45"/>
    <mergeCell ref="L40:O40"/>
    <mergeCell ref="L41:O41"/>
    <mergeCell ref="G50:M50"/>
  </mergeCells>
  <phoneticPr fontId="2"/>
  <conditionalFormatting sqref="D7:D37">
    <cfRule type="expression" dxfId="385" priority="1516" stopIfTrue="1">
      <formula>E7&lt;&gt;""</formula>
    </cfRule>
    <cfRule type="cellIs" dxfId="384" priority="1517" stopIfTrue="1" operator="equal">
      <formula>"土"</formula>
    </cfRule>
    <cfRule type="cellIs" dxfId="383" priority="1518" stopIfTrue="1" operator="equal">
      <formula>"日"</formula>
    </cfRule>
  </conditionalFormatting>
  <conditionalFormatting sqref="C7:C37">
    <cfRule type="expression" dxfId="382" priority="1519" stopIfTrue="1">
      <formula>E7&lt;&gt;""</formula>
    </cfRule>
    <cfRule type="expression" dxfId="381" priority="1520" stopIfTrue="1">
      <formula>D7="土"</formula>
    </cfRule>
    <cfRule type="expression" dxfId="380" priority="1521" stopIfTrue="1">
      <formula>D7="日"</formula>
    </cfRule>
  </conditionalFormatting>
  <conditionalFormatting sqref="K38:P38 L7:P37">
    <cfRule type="cellIs" dxfId="379" priority="1522" stopIfTrue="1" operator="lessThan">
      <formula>0</formula>
    </cfRule>
  </conditionalFormatting>
  <conditionalFormatting sqref="AA7:AA37">
    <cfRule type="cellIs" dxfId="378" priority="1508" stopIfTrue="1" operator="lessThan">
      <formula>0</formula>
    </cfRule>
  </conditionalFormatting>
  <conditionalFormatting sqref="Q7:R7 Q9:R11 Q19:R37">
    <cfRule type="expression" dxfId="377" priority="1494">
      <formula>AND(K7&gt;0,C7&lt;&gt;"")</formula>
    </cfRule>
  </conditionalFormatting>
  <conditionalFormatting sqref="G50:M50">
    <cfRule type="expression" dxfId="376" priority="1463">
      <formula>$M$3="派遣"</formula>
    </cfRule>
  </conditionalFormatting>
  <conditionalFormatting sqref="G51:M51">
    <cfRule type="expression" dxfId="375" priority="1461">
      <formula>$M$3="派遣"</formula>
    </cfRule>
  </conditionalFormatting>
  <conditionalFormatting sqref="I53:I54">
    <cfRule type="expression" dxfId="374" priority="1460">
      <formula>$M$3="派遣"</formula>
    </cfRule>
  </conditionalFormatting>
  <conditionalFormatting sqref="L53:L54">
    <cfRule type="expression" dxfId="373" priority="1459">
      <formula>$M$3="派遣"</formula>
    </cfRule>
  </conditionalFormatting>
  <conditionalFormatting sqref="H55:M55">
    <cfRule type="expression" dxfId="372" priority="1458">
      <formula>$M$3="派遣"</formula>
    </cfRule>
  </conditionalFormatting>
  <conditionalFormatting sqref="H56:M56">
    <cfRule type="expression" dxfId="371" priority="1457">
      <formula>$M$3="派遣"</formula>
    </cfRule>
  </conditionalFormatting>
  <conditionalFormatting sqref="G58:M58">
    <cfRule type="expression" dxfId="370" priority="1455">
      <formula>$M$3="派遣"</formula>
    </cfRule>
  </conditionalFormatting>
  <conditionalFormatting sqref="Q7:R7 Q9:R11 Q19:R37">
    <cfRule type="expression" dxfId="369" priority="1409">
      <formula>C7=""</formula>
    </cfRule>
  </conditionalFormatting>
  <conditionalFormatting sqref="L7:L37">
    <cfRule type="expression" dxfId="368" priority="1408">
      <formula>C7=""</formula>
    </cfRule>
  </conditionalFormatting>
  <conditionalFormatting sqref="M7:M37">
    <cfRule type="expression" dxfId="367" priority="1407">
      <formula>C7=""</formula>
    </cfRule>
  </conditionalFormatting>
  <conditionalFormatting sqref="N7:N37">
    <cfRule type="expression" dxfId="366" priority="1406">
      <formula>C7=""</formula>
    </cfRule>
  </conditionalFormatting>
  <conditionalFormatting sqref="O7:O37">
    <cfRule type="expression" dxfId="365" priority="1405">
      <formula>C7=""</formula>
    </cfRule>
  </conditionalFormatting>
  <conditionalFormatting sqref="P7:P37">
    <cfRule type="expression" dxfId="364" priority="1404">
      <formula>C7=""</formula>
    </cfRule>
  </conditionalFormatting>
  <conditionalFormatting sqref="G7:G37">
    <cfRule type="expression" dxfId="363" priority="1403">
      <formula>C7=""</formula>
    </cfRule>
  </conditionalFormatting>
  <conditionalFormatting sqref="I9">
    <cfRule type="expression" dxfId="362" priority="986">
      <formula>C9=""</formula>
    </cfRule>
    <cfRule type="expression" dxfId="361" priority="987">
      <formula>$M$3="準委任"</formula>
    </cfRule>
    <cfRule type="expression" dxfId="360" priority="988">
      <formula>C9&lt;&gt;""</formula>
    </cfRule>
  </conditionalFormatting>
  <conditionalFormatting sqref="J9">
    <cfRule type="expression" dxfId="359" priority="985">
      <formula>K9&gt;6</formula>
    </cfRule>
  </conditionalFormatting>
  <conditionalFormatting sqref="J9">
    <cfRule type="expression" dxfId="358" priority="984">
      <formula>C9=""</formula>
    </cfRule>
  </conditionalFormatting>
  <conditionalFormatting sqref="H7">
    <cfRule type="expression" dxfId="357" priority="859">
      <formula>C7=""</formula>
    </cfRule>
    <cfRule type="expression" dxfId="356" priority="860">
      <formula>$M$3="準委任"</formula>
    </cfRule>
    <cfRule type="expression" dxfId="355" priority="861">
      <formula>C7&lt;&gt;""</formula>
    </cfRule>
  </conditionalFormatting>
  <conditionalFormatting sqref="I7">
    <cfRule type="expression" dxfId="354" priority="856">
      <formula>C7=""</formula>
    </cfRule>
    <cfRule type="expression" dxfId="353" priority="857">
      <formula>$M$3="準委任"</formula>
    </cfRule>
    <cfRule type="expression" dxfId="352" priority="858">
      <formula>C7&lt;&gt;""</formula>
    </cfRule>
  </conditionalFormatting>
  <conditionalFormatting sqref="J7">
    <cfRule type="expression" dxfId="351" priority="855">
      <formula>K7&gt;6</formula>
    </cfRule>
  </conditionalFormatting>
  <conditionalFormatting sqref="J7">
    <cfRule type="expression" dxfId="350" priority="854">
      <formula>C7=""</formula>
    </cfRule>
  </conditionalFormatting>
  <conditionalFormatting sqref="K7:K22 K24:K37">
    <cfRule type="cellIs" dxfId="349" priority="853" stopIfTrue="1" operator="lessThan">
      <formula>0</formula>
    </cfRule>
  </conditionalFormatting>
  <conditionalFormatting sqref="I22">
    <cfRule type="expression" dxfId="348" priority="770">
      <formula>C22=""</formula>
    </cfRule>
    <cfRule type="expression" dxfId="347" priority="771">
      <formula>$M$3="準委任"</formula>
    </cfRule>
    <cfRule type="expression" dxfId="346" priority="772">
      <formula>C22&lt;&gt;""</formula>
    </cfRule>
  </conditionalFormatting>
  <conditionalFormatting sqref="I8">
    <cfRule type="expression" dxfId="345" priority="728">
      <formula>C8=""</formula>
    </cfRule>
    <cfRule type="expression" dxfId="344" priority="729">
      <formula>$M$3="準委任"</formula>
    </cfRule>
    <cfRule type="expression" dxfId="343" priority="730">
      <formula>C8&lt;&gt;""</formula>
    </cfRule>
  </conditionalFormatting>
  <conditionalFormatting sqref="J8">
    <cfRule type="expression" dxfId="342" priority="727">
      <formula>K8&gt;6</formula>
    </cfRule>
  </conditionalFormatting>
  <conditionalFormatting sqref="J8">
    <cfRule type="expression" dxfId="341" priority="726">
      <formula>C8=""</formula>
    </cfRule>
  </conditionalFormatting>
  <conditionalFormatting sqref="K23">
    <cfRule type="cellIs" dxfId="340" priority="700" stopIfTrue="1" operator="lessThan">
      <formula>0</formula>
    </cfRule>
  </conditionalFormatting>
  <conditionalFormatting sqref="H8">
    <cfRule type="expression" dxfId="339" priority="602">
      <formula>C8=""</formula>
    </cfRule>
    <cfRule type="expression" dxfId="338" priority="603">
      <formula>$M$3="準委任"</formula>
    </cfRule>
    <cfRule type="expression" dxfId="337" priority="604">
      <formula>C8&lt;&gt;""</formula>
    </cfRule>
  </conditionalFormatting>
  <conditionalFormatting sqref="H9">
    <cfRule type="expression" dxfId="336" priority="599">
      <formula>C9=""</formula>
    </cfRule>
    <cfRule type="expression" dxfId="335" priority="600">
      <formula>$M$3="準委任"</formula>
    </cfRule>
    <cfRule type="expression" dxfId="334" priority="601">
      <formula>C9&lt;&gt;""</formula>
    </cfRule>
  </conditionalFormatting>
  <conditionalFormatting sqref="J22">
    <cfRule type="expression" dxfId="333" priority="557">
      <formula>K22&gt;6</formula>
    </cfRule>
  </conditionalFormatting>
  <conditionalFormatting sqref="J22">
    <cfRule type="expression" dxfId="332" priority="556">
      <formula>C22=""</formula>
    </cfRule>
  </conditionalFormatting>
  <conditionalFormatting sqref="H20">
    <cfRule type="expression" dxfId="331" priority="509">
      <formula>C20=""</formula>
    </cfRule>
    <cfRule type="expression" dxfId="330" priority="510">
      <formula>$M$3="準委任"</formula>
    </cfRule>
    <cfRule type="expression" dxfId="329" priority="511">
      <formula>C20&lt;&gt;""</formula>
    </cfRule>
  </conditionalFormatting>
  <conditionalFormatting sqref="H21">
    <cfRule type="expression" dxfId="328" priority="506">
      <formula>C21=""</formula>
    </cfRule>
    <cfRule type="expression" dxfId="327" priority="507">
      <formula>$M$3="準委任"</formula>
    </cfRule>
    <cfRule type="expression" dxfId="326" priority="508">
      <formula>C21&lt;&gt;""</formula>
    </cfRule>
  </conditionalFormatting>
  <conditionalFormatting sqref="H35">
    <cfRule type="expression" dxfId="322" priority="482">
      <formula>C35=""</formula>
    </cfRule>
    <cfRule type="expression" dxfId="321" priority="483">
      <formula>$M$3="準委任"</formula>
    </cfRule>
    <cfRule type="expression" dxfId="320" priority="484">
      <formula>C35&lt;&gt;""</formula>
    </cfRule>
  </conditionalFormatting>
  <conditionalFormatting sqref="I23">
    <cfRule type="expression" dxfId="316" priority="443">
      <formula>C23=""</formula>
    </cfRule>
    <cfRule type="expression" dxfId="315" priority="444">
      <formula>$M$3="準委任"</formula>
    </cfRule>
    <cfRule type="expression" dxfId="314" priority="445">
      <formula>C23&lt;&gt;""</formula>
    </cfRule>
  </conditionalFormatting>
  <conditionalFormatting sqref="I35">
    <cfRule type="expression" dxfId="313" priority="413">
      <formula>C35=""</formula>
    </cfRule>
    <cfRule type="expression" dxfId="312" priority="414">
      <formula>$M$3="準委任"</formula>
    </cfRule>
    <cfRule type="expression" dxfId="311" priority="415">
      <formula>C35&lt;&gt;""</formula>
    </cfRule>
  </conditionalFormatting>
  <conditionalFormatting sqref="J35">
    <cfRule type="expression" dxfId="310" priority="412">
      <formula>K35&gt;6</formula>
    </cfRule>
  </conditionalFormatting>
  <conditionalFormatting sqref="J35">
    <cfRule type="expression" dxfId="309" priority="411">
      <formula>C35=""</formula>
    </cfRule>
  </conditionalFormatting>
  <conditionalFormatting sqref="H10">
    <cfRule type="expression" dxfId="298" priority="396">
      <formula>C10=""</formula>
    </cfRule>
    <cfRule type="expression" dxfId="297" priority="397">
      <formula>$M$3="準委任"</formula>
    </cfRule>
    <cfRule type="expression" dxfId="296" priority="398">
      <formula>C10&lt;&gt;""</formula>
    </cfRule>
  </conditionalFormatting>
  <conditionalFormatting sqref="I10">
    <cfRule type="expression" dxfId="295" priority="393">
      <formula>C10=""</formula>
    </cfRule>
    <cfRule type="expression" dxfId="294" priority="394">
      <formula>$M$3="準委任"</formula>
    </cfRule>
    <cfRule type="expression" dxfId="293" priority="395">
      <formula>C10&lt;&gt;""</formula>
    </cfRule>
  </conditionalFormatting>
  <conditionalFormatting sqref="J10">
    <cfRule type="expression" dxfId="292" priority="392">
      <formula>K10&gt;6</formula>
    </cfRule>
  </conditionalFormatting>
  <conditionalFormatting sqref="J10">
    <cfRule type="expression" dxfId="291" priority="391">
      <formula>C10=""</formula>
    </cfRule>
  </conditionalFormatting>
  <conditionalFormatting sqref="H11">
    <cfRule type="expression" dxfId="290" priority="388">
      <formula>C11=""</formula>
    </cfRule>
    <cfRule type="expression" dxfId="289" priority="389">
      <formula>$M$3="準委任"</formula>
    </cfRule>
    <cfRule type="expression" dxfId="288" priority="390">
      <formula>C11&lt;&gt;""</formula>
    </cfRule>
  </conditionalFormatting>
  <conditionalFormatting sqref="I11">
    <cfRule type="expression" dxfId="287" priority="385">
      <formula>C11=""</formula>
    </cfRule>
    <cfRule type="expression" dxfId="286" priority="386">
      <formula>$M$3="準委任"</formula>
    </cfRule>
    <cfRule type="expression" dxfId="285" priority="387">
      <formula>C11&lt;&gt;""</formula>
    </cfRule>
  </conditionalFormatting>
  <conditionalFormatting sqref="J11">
    <cfRule type="expression" dxfId="284" priority="384">
      <formula>K11&gt;6</formula>
    </cfRule>
  </conditionalFormatting>
  <conditionalFormatting sqref="J11">
    <cfRule type="expression" dxfId="283" priority="383">
      <formula>C11=""</formula>
    </cfRule>
  </conditionalFormatting>
  <conditionalFormatting sqref="H13">
    <cfRule type="expression" dxfId="282" priority="372">
      <formula>C13=""</formula>
    </cfRule>
    <cfRule type="expression" dxfId="281" priority="373">
      <formula>$M$3="準委任"</formula>
    </cfRule>
    <cfRule type="expression" dxfId="280" priority="374">
      <formula>C13&lt;&gt;""</formula>
    </cfRule>
  </conditionalFormatting>
  <conditionalFormatting sqref="H14">
    <cfRule type="expression" dxfId="279" priority="364">
      <formula>C14=""</formula>
    </cfRule>
    <cfRule type="expression" dxfId="278" priority="365">
      <formula>$M$3="準委任"</formula>
    </cfRule>
    <cfRule type="expression" dxfId="277" priority="366">
      <formula>C14&lt;&gt;""</formula>
    </cfRule>
  </conditionalFormatting>
  <conditionalFormatting sqref="I14">
    <cfRule type="expression" dxfId="276" priority="361">
      <formula>C14=""</formula>
    </cfRule>
    <cfRule type="expression" dxfId="275" priority="362">
      <formula>$M$3="準委任"</formula>
    </cfRule>
    <cfRule type="expression" dxfId="274" priority="363">
      <formula>C14&lt;&gt;""</formula>
    </cfRule>
  </conditionalFormatting>
  <conditionalFormatting sqref="J14">
    <cfRule type="expression" dxfId="273" priority="360">
      <formula>K14&gt;6</formula>
    </cfRule>
  </conditionalFormatting>
  <conditionalFormatting sqref="J14">
    <cfRule type="expression" dxfId="272" priority="359">
      <formula>C14=""</formula>
    </cfRule>
  </conditionalFormatting>
  <conditionalFormatting sqref="I13">
    <cfRule type="expression" dxfId="271" priority="356">
      <formula>C13=""</formula>
    </cfRule>
    <cfRule type="expression" dxfId="270" priority="357">
      <formula>$M$3="準委任"</formula>
    </cfRule>
    <cfRule type="expression" dxfId="269" priority="358">
      <formula>C13&lt;&gt;""</formula>
    </cfRule>
  </conditionalFormatting>
  <conditionalFormatting sqref="J13">
    <cfRule type="expression" dxfId="268" priority="355">
      <formula>K13&gt;6</formula>
    </cfRule>
  </conditionalFormatting>
  <conditionalFormatting sqref="J13">
    <cfRule type="expression" dxfId="267" priority="354">
      <formula>C13=""</formula>
    </cfRule>
  </conditionalFormatting>
  <conditionalFormatting sqref="Q13:R13">
    <cfRule type="expression" dxfId="266" priority="353">
      <formula>AND(K13&gt;0,C13&lt;&gt;"")</formula>
    </cfRule>
  </conditionalFormatting>
  <conditionalFormatting sqref="Q13:R13">
    <cfRule type="expression" dxfId="265" priority="352">
      <formula>C13=""</formula>
    </cfRule>
  </conditionalFormatting>
  <conditionalFormatting sqref="Q14:R14">
    <cfRule type="expression" dxfId="264" priority="351">
      <formula>AND(K14&gt;0,C14&lt;&gt;"")</formula>
    </cfRule>
  </conditionalFormatting>
  <conditionalFormatting sqref="Q14:R14">
    <cfRule type="expression" dxfId="263" priority="350">
      <formula>C14=""</formula>
    </cfRule>
  </conditionalFormatting>
  <conditionalFormatting sqref="I20">
    <cfRule type="expression" dxfId="262" priority="332">
      <formula>C20=""</formula>
    </cfRule>
    <cfRule type="expression" dxfId="261" priority="333">
      <formula>$M$3="準委任"</formula>
    </cfRule>
    <cfRule type="expression" dxfId="260" priority="334">
      <formula>C20&lt;&gt;""</formula>
    </cfRule>
  </conditionalFormatting>
  <conditionalFormatting sqref="I21">
    <cfRule type="expression" dxfId="259" priority="329">
      <formula>C21=""</formula>
    </cfRule>
    <cfRule type="expression" dxfId="258" priority="330">
      <formula>$M$3="準委任"</formula>
    </cfRule>
    <cfRule type="expression" dxfId="257" priority="331">
      <formula>C21&lt;&gt;""</formula>
    </cfRule>
  </conditionalFormatting>
  <conditionalFormatting sqref="J20">
    <cfRule type="expression" dxfId="256" priority="328">
      <formula>K20&gt;6</formula>
    </cfRule>
  </conditionalFormatting>
  <conditionalFormatting sqref="J20">
    <cfRule type="expression" dxfId="255" priority="327">
      <formula>C20=""</formula>
    </cfRule>
  </conditionalFormatting>
  <conditionalFormatting sqref="J21">
    <cfRule type="expression" dxfId="254" priority="326">
      <formula>K21&gt;6</formula>
    </cfRule>
  </conditionalFormatting>
  <conditionalFormatting sqref="J21">
    <cfRule type="expression" dxfId="253" priority="325">
      <formula>C21=""</formula>
    </cfRule>
  </conditionalFormatting>
  <conditionalFormatting sqref="H27">
    <cfRule type="expression" dxfId="252" priority="313">
      <formula>C27=""</formula>
    </cfRule>
    <cfRule type="expression" dxfId="251" priority="314">
      <formula>$M$3="準委任"</formula>
    </cfRule>
    <cfRule type="expression" dxfId="250" priority="315">
      <formula>C27&lt;&gt;""</formula>
    </cfRule>
  </conditionalFormatting>
  <conditionalFormatting sqref="H28">
    <cfRule type="expression" dxfId="249" priority="310">
      <formula>C28=""</formula>
    </cfRule>
    <cfRule type="expression" dxfId="248" priority="311">
      <formula>$M$3="準委任"</formula>
    </cfRule>
    <cfRule type="expression" dxfId="247" priority="312">
      <formula>C28&lt;&gt;""</formula>
    </cfRule>
  </conditionalFormatting>
  <conditionalFormatting sqref="I27">
    <cfRule type="expression" dxfId="246" priority="292">
      <formula>C27=""</formula>
    </cfRule>
    <cfRule type="expression" dxfId="245" priority="293">
      <formula>$M$3="準委任"</formula>
    </cfRule>
    <cfRule type="expression" dxfId="244" priority="294">
      <formula>C27&lt;&gt;""</formula>
    </cfRule>
  </conditionalFormatting>
  <conditionalFormatting sqref="J27">
    <cfRule type="expression" dxfId="243" priority="291">
      <formula>K27&gt;6</formula>
    </cfRule>
  </conditionalFormatting>
  <conditionalFormatting sqref="J27">
    <cfRule type="expression" dxfId="242" priority="290">
      <formula>C27=""</formula>
    </cfRule>
  </conditionalFormatting>
  <conditionalFormatting sqref="I28">
    <cfRule type="expression" dxfId="241" priority="287">
      <formula>C28=""</formula>
    </cfRule>
    <cfRule type="expression" dxfId="240" priority="288">
      <formula>$M$3="準委任"</formula>
    </cfRule>
    <cfRule type="expression" dxfId="239" priority="289">
      <formula>C28&lt;&gt;""</formula>
    </cfRule>
  </conditionalFormatting>
  <conditionalFormatting sqref="J28">
    <cfRule type="expression" dxfId="238" priority="286">
      <formula>K28&gt;6</formula>
    </cfRule>
  </conditionalFormatting>
  <conditionalFormatting sqref="J28">
    <cfRule type="expression" dxfId="237" priority="285">
      <formula>C28=""</formula>
    </cfRule>
  </conditionalFormatting>
  <conditionalFormatting sqref="H12">
    <cfRule type="expression" dxfId="236" priority="250">
      <formula>C12=""</formula>
    </cfRule>
    <cfRule type="expression" dxfId="235" priority="251">
      <formula>$M$3="準委任"</formula>
    </cfRule>
    <cfRule type="expression" dxfId="234" priority="252">
      <formula>C12&lt;&gt;""</formula>
    </cfRule>
  </conditionalFormatting>
  <conditionalFormatting sqref="H15">
    <cfRule type="expression" dxfId="233" priority="247">
      <formula>C15=""</formula>
    </cfRule>
    <cfRule type="expression" dxfId="232" priority="248">
      <formula>$M$3="準委任"</formula>
    </cfRule>
    <cfRule type="expression" dxfId="231" priority="249">
      <formula>C15&lt;&gt;""</formula>
    </cfRule>
  </conditionalFormatting>
  <conditionalFormatting sqref="H16">
    <cfRule type="expression" dxfId="230" priority="244">
      <formula>C16=""</formula>
    </cfRule>
    <cfRule type="expression" dxfId="229" priority="245">
      <formula>$M$3="準委任"</formula>
    </cfRule>
    <cfRule type="expression" dxfId="228" priority="246">
      <formula>C16&lt;&gt;""</formula>
    </cfRule>
  </conditionalFormatting>
  <conditionalFormatting sqref="H17">
    <cfRule type="expression" dxfId="227" priority="241">
      <formula>C17=""</formula>
    </cfRule>
    <cfRule type="expression" dxfId="226" priority="242">
      <formula>$M$3="準委任"</formula>
    </cfRule>
    <cfRule type="expression" dxfId="225" priority="243">
      <formula>C17&lt;&gt;""</formula>
    </cfRule>
  </conditionalFormatting>
  <conditionalFormatting sqref="H18">
    <cfRule type="expression" dxfId="224" priority="238">
      <formula>C18=""</formula>
    </cfRule>
    <cfRule type="expression" dxfId="223" priority="239">
      <formula>$M$3="準委任"</formula>
    </cfRule>
    <cfRule type="expression" dxfId="222" priority="240">
      <formula>C18&lt;&gt;""</formula>
    </cfRule>
  </conditionalFormatting>
  <conditionalFormatting sqref="H19">
    <cfRule type="expression" dxfId="221" priority="235">
      <formula>C19=""</formula>
    </cfRule>
    <cfRule type="expression" dxfId="220" priority="236">
      <formula>$M$3="準委任"</formula>
    </cfRule>
    <cfRule type="expression" dxfId="219" priority="237">
      <formula>C19&lt;&gt;""</formula>
    </cfRule>
  </conditionalFormatting>
  <conditionalFormatting sqref="I12">
    <cfRule type="expression" dxfId="218" priority="232">
      <formula>C12=""</formula>
    </cfRule>
    <cfRule type="expression" dxfId="217" priority="233">
      <formula>$M$3="準委任"</formula>
    </cfRule>
    <cfRule type="expression" dxfId="216" priority="234">
      <formula>C12&lt;&gt;""</formula>
    </cfRule>
  </conditionalFormatting>
  <conditionalFormatting sqref="J12">
    <cfRule type="expression" dxfId="215" priority="231">
      <formula>K12&gt;6</formula>
    </cfRule>
  </conditionalFormatting>
  <conditionalFormatting sqref="J12">
    <cfRule type="expression" dxfId="214" priority="230">
      <formula>C12=""</formula>
    </cfRule>
  </conditionalFormatting>
  <conditionalFormatting sqref="I15">
    <cfRule type="expression" dxfId="213" priority="227">
      <formula>C15=""</formula>
    </cfRule>
    <cfRule type="expression" dxfId="212" priority="228">
      <formula>$M$3="準委任"</formula>
    </cfRule>
    <cfRule type="expression" dxfId="211" priority="229">
      <formula>C15&lt;&gt;""</formula>
    </cfRule>
  </conditionalFormatting>
  <conditionalFormatting sqref="J15">
    <cfRule type="expression" dxfId="210" priority="226">
      <formula>K15&gt;6</formula>
    </cfRule>
  </conditionalFormatting>
  <conditionalFormatting sqref="J15">
    <cfRule type="expression" dxfId="209" priority="225">
      <formula>C15=""</formula>
    </cfRule>
  </conditionalFormatting>
  <conditionalFormatting sqref="I16">
    <cfRule type="expression" dxfId="208" priority="222">
      <formula>C16=""</formula>
    </cfRule>
    <cfRule type="expression" dxfId="207" priority="223">
      <formula>$M$3="準委任"</formula>
    </cfRule>
    <cfRule type="expression" dxfId="206" priority="224">
      <formula>C16&lt;&gt;""</formula>
    </cfRule>
  </conditionalFormatting>
  <conditionalFormatting sqref="J16">
    <cfRule type="expression" dxfId="205" priority="221">
      <formula>K16&gt;6</formula>
    </cfRule>
  </conditionalFormatting>
  <conditionalFormatting sqref="J16">
    <cfRule type="expression" dxfId="204" priority="220">
      <formula>C16=""</formula>
    </cfRule>
  </conditionalFormatting>
  <conditionalFormatting sqref="I17">
    <cfRule type="expression" dxfId="203" priority="217">
      <formula>C17=""</formula>
    </cfRule>
    <cfRule type="expression" dxfId="202" priority="218">
      <formula>$M$3="準委任"</formula>
    </cfRule>
    <cfRule type="expression" dxfId="201" priority="219">
      <formula>C17&lt;&gt;""</formula>
    </cfRule>
  </conditionalFormatting>
  <conditionalFormatting sqref="J17">
    <cfRule type="expression" dxfId="200" priority="216">
      <formula>K17&gt;6</formula>
    </cfRule>
  </conditionalFormatting>
  <conditionalFormatting sqref="J17">
    <cfRule type="expression" dxfId="199" priority="215">
      <formula>C17=""</formula>
    </cfRule>
  </conditionalFormatting>
  <conditionalFormatting sqref="I18">
    <cfRule type="expression" dxfId="198" priority="212">
      <formula>C18=""</formula>
    </cfRule>
    <cfRule type="expression" dxfId="197" priority="213">
      <formula>$M$3="準委任"</formula>
    </cfRule>
    <cfRule type="expression" dxfId="196" priority="214">
      <formula>C18&lt;&gt;""</formula>
    </cfRule>
  </conditionalFormatting>
  <conditionalFormatting sqref="J18">
    <cfRule type="expression" dxfId="195" priority="211">
      <formula>K18&gt;6</formula>
    </cfRule>
  </conditionalFormatting>
  <conditionalFormatting sqref="J18">
    <cfRule type="expression" dxfId="194" priority="210">
      <formula>C18=""</formula>
    </cfRule>
  </conditionalFormatting>
  <conditionalFormatting sqref="I19">
    <cfRule type="expression" dxfId="193" priority="207">
      <formula>C19=""</formula>
    </cfRule>
    <cfRule type="expression" dxfId="192" priority="208">
      <formula>$M$3="準委任"</formula>
    </cfRule>
    <cfRule type="expression" dxfId="191" priority="209">
      <formula>C19&lt;&gt;""</formula>
    </cfRule>
  </conditionalFormatting>
  <conditionalFormatting sqref="J19">
    <cfRule type="expression" dxfId="190" priority="206">
      <formula>K19&gt;6</formula>
    </cfRule>
  </conditionalFormatting>
  <conditionalFormatting sqref="J19">
    <cfRule type="expression" dxfId="189" priority="205">
      <formula>C19=""</formula>
    </cfRule>
  </conditionalFormatting>
  <conditionalFormatting sqref="Q8:R8">
    <cfRule type="expression" dxfId="188" priority="204">
      <formula>AND(K8&gt;0,C8&lt;&gt;"")</formula>
    </cfRule>
  </conditionalFormatting>
  <conditionalFormatting sqref="Q8:R8">
    <cfRule type="expression" dxfId="187" priority="203">
      <formula>C8=""</formula>
    </cfRule>
  </conditionalFormatting>
  <conditionalFormatting sqref="Q12:R12">
    <cfRule type="expression" dxfId="186" priority="202">
      <formula>AND(K12&gt;0,C12&lt;&gt;"")</formula>
    </cfRule>
  </conditionalFormatting>
  <conditionalFormatting sqref="Q12:R12">
    <cfRule type="expression" dxfId="185" priority="201">
      <formula>C12=""</formula>
    </cfRule>
  </conditionalFormatting>
  <conditionalFormatting sqref="Q15:R15">
    <cfRule type="expression" dxfId="184" priority="200">
      <formula>AND(K15&gt;0,C15&lt;&gt;"")</formula>
    </cfRule>
  </conditionalFormatting>
  <conditionalFormatting sqref="Q15:R15">
    <cfRule type="expression" dxfId="183" priority="199">
      <formula>C15=""</formula>
    </cfRule>
  </conditionalFormatting>
  <conditionalFormatting sqref="Q16:R16">
    <cfRule type="expression" dxfId="182" priority="198">
      <formula>AND(K16&gt;0,C16&lt;&gt;"")</formula>
    </cfRule>
  </conditionalFormatting>
  <conditionalFormatting sqref="Q16:R16">
    <cfRule type="expression" dxfId="181" priority="197">
      <formula>C16=""</formula>
    </cfRule>
  </conditionalFormatting>
  <conditionalFormatting sqref="Q17:R17">
    <cfRule type="expression" dxfId="180" priority="196">
      <formula>AND(K17&gt;0,C17&lt;&gt;"")</formula>
    </cfRule>
  </conditionalFormatting>
  <conditionalFormatting sqref="Q17:R17">
    <cfRule type="expression" dxfId="179" priority="195">
      <formula>C17=""</formula>
    </cfRule>
  </conditionalFormatting>
  <conditionalFormatting sqref="Q18:R18">
    <cfRule type="expression" dxfId="178" priority="194">
      <formula>AND(K18&gt;0,C18&lt;&gt;"")</formula>
    </cfRule>
  </conditionalFormatting>
  <conditionalFormatting sqref="Q18:R18">
    <cfRule type="expression" dxfId="177" priority="193">
      <formula>C18=""</formula>
    </cfRule>
  </conditionalFormatting>
  <conditionalFormatting sqref="H22">
    <cfRule type="expression" dxfId="176" priority="190">
      <formula>C22=""</formula>
    </cfRule>
    <cfRule type="expression" dxfId="175" priority="191">
      <formula>$M$3="準委任"</formula>
    </cfRule>
    <cfRule type="expression" dxfId="174" priority="192">
      <formula>C22&lt;&gt;""</formula>
    </cfRule>
  </conditionalFormatting>
  <conditionalFormatting sqref="H23">
    <cfRule type="expression" dxfId="173" priority="187">
      <formula>C23=""</formula>
    </cfRule>
    <cfRule type="expression" dxfId="172" priority="188">
      <formula>$M$3="準委任"</formula>
    </cfRule>
    <cfRule type="expression" dxfId="171" priority="189">
      <formula>C23&lt;&gt;""</formula>
    </cfRule>
  </conditionalFormatting>
  <conditionalFormatting sqref="H24">
    <cfRule type="expression" dxfId="170" priority="184">
      <formula>C24=""</formula>
    </cfRule>
    <cfRule type="expression" dxfId="169" priority="185">
      <formula>$M$3="準委任"</formula>
    </cfRule>
    <cfRule type="expression" dxfId="168" priority="186">
      <formula>C24&lt;&gt;""</formula>
    </cfRule>
  </conditionalFormatting>
  <conditionalFormatting sqref="H25">
    <cfRule type="expression" dxfId="167" priority="181">
      <formula>C25=""</formula>
    </cfRule>
    <cfRule type="expression" dxfId="166" priority="182">
      <formula>$M$3="準委任"</formula>
    </cfRule>
    <cfRule type="expression" dxfId="165" priority="183">
      <formula>C25&lt;&gt;""</formula>
    </cfRule>
  </conditionalFormatting>
  <conditionalFormatting sqref="H26">
    <cfRule type="expression" dxfId="164" priority="178">
      <formula>C26=""</formula>
    </cfRule>
    <cfRule type="expression" dxfId="163" priority="179">
      <formula>$M$3="準委任"</formula>
    </cfRule>
    <cfRule type="expression" dxfId="162" priority="180">
      <formula>C26&lt;&gt;""</formula>
    </cfRule>
  </conditionalFormatting>
  <conditionalFormatting sqref="I24">
    <cfRule type="expression" dxfId="161" priority="175">
      <formula>C24=""</formula>
    </cfRule>
    <cfRule type="expression" dxfId="160" priority="176">
      <formula>$M$3="準委任"</formula>
    </cfRule>
    <cfRule type="expression" dxfId="159" priority="177">
      <formula>C24&lt;&gt;""</formula>
    </cfRule>
  </conditionalFormatting>
  <conditionalFormatting sqref="J23">
    <cfRule type="expression" dxfId="158" priority="174">
      <formula>K23&gt;6</formula>
    </cfRule>
  </conditionalFormatting>
  <conditionalFormatting sqref="J23">
    <cfRule type="expression" dxfId="157" priority="173">
      <formula>C23=""</formula>
    </cfRule>
  </conditionalFormatting>
  <conditionalFormatting sqref="J24">
    <cfRule type="expression" dxfId="156" priority="172">
      <formula>K24&gt;6</formula>
    </cfRule>
  </conditionalFormatting>
  <conditionalFormatting sqref="J24">
    <cfRule type="expression" dxfId="155" priority="171">
      <formula>C24=""</formula>
    </cfRule>
  </conditionalFormatting>
  <conditionalFormatting sqref="I25">
    <cfRule type="expression" dxfId="154" priority="168">
      <formula>C25=""</formula>
    </cfRule>
    <cfRule type="expression" dxfId="153" priority="169">
      <formula>$M$3="準委任"</formula>
    </cfRule>
    <cfRule type="expression" dxfId="152" priority="170">
      <formula>C25&lt;&gt;""</formula>
    </cfRule>
  </conditionalFormatting>
  <conditionalFormatting sqref="J25">
    <cfRule type="expression" dxfId="151" priority="167">
      <formula>K25&gt;6</formula>
    </cfRule>
  </conditionalFormatting>
  <conditionalFormatting sqref="J25">
    <cfRule type="expression" dxfId="150" priority="166">
      <formula>C25=""</formula>
    </cfRule>
  </conditionalFormatting>
  <conditionalFormatting sqref="I26">
    <cfRule type="expression" dxfId="149" priority="163">
      <formula>C26=""</formula>
    </cfRule>
    <cfRule type="expression" dxfId="148" priority="164">
      <formula>$M$3="準委任"</formula>
    </cfRule>
    <cfRule type="expression" dxfId="147" priority="165">
      <formula>C26&lt;&gt;""</formula>
    </cfRule>
  </conditionalFormatting>
  <conditionalFormatting sqref="J26">
    <cfRule type="expression" dxfId="146" priority="162">
      <formula>K26&gt;6</formula>
    </cfRule>
  </conditionalFormatting>
  <conditionalFormatting sqref="J26">
    <cfRule type="expression" dxfId="145" priority="161">
      <formula>C26=""</formula>
    </cfRule>
  </conditionalFormatting>
  <conditionalFormatting sqref="H34">
    <cfRule type="expression" dxfId="136" priority="110">
      <formula>C34=""</formula>
    </cfRule>
    <cfRule type="expression" dxfId="135" priority="111">
      <formula>$M$3="準委任"</formula>
    </cfRule>
    <cfRule type="expression" dxfId="134" priority="112">
      <formula>C34&lt;&gt;""</formula>
    </cfRule>
  </conditionalFormatting>
  <conditionalFormatting sqref="I34">
    <cfRule type="expression" dxfId="133" priority="107">
      <formula>C34=""</formula>
    </cfRule>
    <cfRule type="expression" dxfId="132" priority="108">
      <formula>$M$3="準委任"</formula>
    </cfRule>
    <cfRule type="expression" dxfId="131" priority="109">
      <formula>C34&lt;&gt;""</formula>
    </cfRule>
  </conditionalFormatting>
  <conditionalFormatting sqref="J34">
    <cfRule type="expression" dxfId="130" priority="106">
      <formula>K34&gt;6</formula>
    </cfRule>
  </conditionalFormatting>
  <conditionalFormatting sqref="J34">
    <cfRule type="expression" dxfId="129" priority="105">
      <formula>C34=""</formula>
    </cfRule>
  </conditionalFormatting>
  <conditionalFormatting sqref="I31">
    <cfRule type="expression" dxfId="101" priority="75">
      <formula>C31=""</formula>
    </cfRule>
    <cfRule type="expression" dxfId="100" priority="76">
      <formula>$M$3="準委任"</formula>
    </cfRule>
    <cfRule type="expression" dxfId="99" priority="77">
      <formula>C31&lt;&gt;""</formula>
    </cfRule>
  </conditionalFormatting>
  <conditionalFormatting sqref="H34">
    <cfRule type="expression" dxfId="96" priority="70">
      <formula>C34=""</formula>
    </cfRule>
    <cfRule type="expression" dxfId="95" priority="71">
      <formula>$M$3="準委任"</formula>
    </cfRule>
    <cfRule type="expression" dxfId="94" priority="72">
      <formula>C34&lt;&gt;""</formula>
    </cfRule>
  </conditionalFormatting>
  <conditionalFormatting sqref="I34">
    <cfRule type="expression" dxfId="93" priority="67">
      <formula>C34=""</formula>
    </cfRule>
    <cfRule type="expression" dxfId="92" priority="68">
      <formula>$M$3="準委任"</formula>
    </cfRule>
    <cfRule type="expression" dxfId="91" priority="69">
      <formula>C34&lt;&gt;""</formula>
    </cfRule>
  </conditionalFormatting>
  <conditionalFormatting sqref="J34">
    <cfRule type="expression" dxfId="90" priority="66">
      <formula>K34&gt;6</formula>
    </cfRule>
  </conditionalFormatting>
  <conditionalFormatting sqref="J34">
    <cfRule type="expression" dxfId="89" priority="65">
      <formula>C34=""</formula>
    </cfRule>
  </conditionalFormatting>
  <conditionalFormatting sqref="H29">
    <cfRule type="expression" dxfId="55" priority="54">
      <formula>C29=""</formula>
    </cfRule>
    <cfRule type="expression" dxfId="54" priority="55">
      <formula>$M$3="準委任"</formula>
    </cfRule>
    <cfRule type="expression" dxfId="53" priority="56">
      <formula>C29&lt;&gt;""</formula>
    </cfRule>
  </conditionalFormatting>
  <conditionalFormatting sqref="I29">
    <cfRule type="expression" dxfId="52" priority="51">
      <formula>C29=""</formula>
    </cfRule>
    <cfRule type="expression" dxfId="51" priority="52">
      <formula>$M$3="準委任"</formula>
    </cfRule>
    <cfRule type="expression" dxfId="50" priority="53">
      <formula>C29&lt;&gt;""</formula>
    </cfRule>
  </conditionalFormatting>
  <conditionalFormatting sqref="J29">
    <cfRule type="expression" dxfId="49" priority="50">
      <formula>K29&gt;6</formula>
    </cfRule>
  </conditionalFormatting>
  <conditionalFormatting sqref="J29">
    <cfRule type="expression" dxfId="48" priority="49">
      <formula>C29=""</formula>
    </cfRule>
  </conditionalFormatting>
  <conditionalFormatting sqref="H30">
    <cfRule type="expression" dxfId="47" priority="46">
      <formula>C30=""</formula>
    </cfRule>
    <cfRule type="expression" dxfId="46" priority="47">
      <formula>$M$3="準委任"</formula>
    </cfRule>
    <cfRule type="expression" dxfId="45" priority="48">
      <formula>C30&lt;&gt;""</formula>
    </cfRule>
  </conditionalFormatting>
  <conditionalFormatting sqref="H31">
    <cfRule type="expression" dxfId="44" priority="43">
      <formula>C31=""</formula>
    </cfRule>
    <cfRule type="expression" dxfId="43" priority="44">
      <formula>$M$3="準委任"</formula>
    </cfRule>
    <cfRule type="expression" dxfId="42" priority="45">
      <formula>C31&lt;&gt;""</formula>
    </cfRule>
  </conditionalFormatting>
  <conditionalFormatting sqref="H32">
    <cfRule type="expression" dxfId="41" priority="40">
      <formula>C32=""</formula>
    </cfRule>
    <cfRule type="expression" dxfId="40" priority="41">
      <formula>$M$3="準委任"</formula>
    </cfRule>
    <cfRule type="expression" dxfId="39" priority="42">
      <formula>C32&lt;&gt;""</formula>
    </cfRule>
  </conditionalFormatting>
  <conditionalFormatting sqref="H33">
    <cfRule type="expression" dxfId="38" priority="37">
      <formula>C33=""</formula>
    </cfRule>
    <cfRule type="expression" dxfId="37" priority="38">
      <formula>$M$3="準委任"</formula>
    </cfRule>
    <cfRule type="expression" dxfId="36" priority="39">
      <formula>C33&lt;&gt;""</formula>
    </cfRule>
  </conditionalFormatting>
  <conditionalFormatting sqref="J30">
    <cfRule type="expression" dxfId="32" priority="33">
      <formula>K30&gt;6</formula>
    </cfRule>
  </conditionalFormatting>
  <conditionalFormatting sqref="J30">
    <cfRule type="expression" dxfId="31" priority="32">
      <formula>C30=""</formula>
    </cfRule>
  </conditionalFormatting>
  <conditionalFormatting sqref="I30">
    <cfRule type="expression" dxfId="30" priority="29">
      <formula>C30=""</formula>
    </cfRule>
    <cfRule type="expression" dxfId="29" priority="30">
      <formula>$M$3="準委任"</formula>
    </cfRule>
    <cfRule type="expression" dxfId="28" priority="31">
      <formula>C30&lt;&gt;""</formula>
    </cfRule>
  </conditionalFormatting>
  <conditionalFormatting sqref="J31">
    <cfRule type="expression" dxfId="27" priority="28">
      <formula>K31&gt;6</formula>
    </cfRule>
  </conditionalFormatting>
  <conditionalFormatting sqref="J31">
    <cfRule type="expression" dxfId="26" priority="27">
      <formula>C31=""</formula>
    </cfRule>
  </conditionalFormatting>
  <conditionalFormatting sqref="I32">
    <cfRule type="expression" dxfId="25" priority="24">
      <formula>C32=""</formula>
    </cfRule>
    <cfRule type="expression" dxfId="24" priority="25">
      <formula>$M$3="準委任"</formula>
    </cfRule>
    <cfRule type="expression" dxfId="23" priority="26">
      <formula>C32&lt;&gt;""</formula>
    </cfRule>
  </conditionalFormatting>
  <conditionalFormatting sqref="I33">
    <cfRule type="expression" dxfId="22" priority="21">
      <formula>C33=""</formula>
    </cfRule>
    <cfRule type="expression" dxfId="21" priority="22">
      <formula>$M$3="準委任"</formula>
    </cfRule>
    <cfRule type="expression" dxfId="20" priority="23">
      <formula>C33&lt;&gt;""</formula>
    </cfRule>
  </conditionalFormatting>
  <conditionalFormatting sqref="H36">
    <cfRule type="expression" dxfId="19" priority="18">
      <formula>C36=""</formula>
    </cfRule>
    <cfRule type="expression" dxfId="18" priority="19">
      <formula>$M$3="準委任"</formula>
    </cfRule>
    <cfRule type="expression" dxfId="17" priority="20">
      <formula>C36&lt;&gt;""</formula>
    </cfRule>
  </conditionalFormatting>
  <conditionalFormatting sqref="H37">
    <cfRule type="expression" dxfId="16" priority="15">
      <formula>C37=""</formula>
    </cfRule>
    <cfRule type="expression" dxfId="15" priority="16">
      <formula>$M$3="準委任"</formula>
    </cfRule>
    <cfRule type="expression" dxfId="14" priority="17">
      <formula>C37&lt;&gt;""</formula>
    </cfRule>
  </conditionalFormatting>
  <conditionalFormatting sqref="I36">
    <cfRule type="expression" dxfId="13" priority="12">
      <formula>C36=""</formula>
    </cfRule>
    <cfRule type="expression" dxfId="12" priority="13">
      <formula>$M$3="準委任"</formula>
    </cfRule>
    <cfRule type="expression" dxfId="11" priority="14">
      <formula>C36&lt;&gt;""</formula>
    </cfRule>
  </conditionalFormatting>
  <conditionalFormatting sqref="I37">
    <cfRule type="expression" dxfId="10" priority="9">
      <formula>C37=""</formula>
    </cfRule>
    <cfRule type="expression" dxfId="9" priority="10">
      <formula>$M$3="準委任"</formula>
    </cfRule>
    <cfRule type="expression" dxfId="8" priority="11">
      <formula>C37&lt;&gt;""</formula>
    </cfRule>
  </conditionalFormatting>
  <conditionalFormatting sqref="J32">
    <cfRule type="expression" dxfId="7" priority="8">
      <formula>K32&gt;6</formula>
    </cfRule>
  </conditionalFormatting>
  <conditionalFormatting sqref="J32">
    <cfRule type="expression" dxfId="6" priority="7">
      <formula>C32=""</formula>
    </cfRule>
  </conditionalFormatting>
  <conditionalFormatting sqref="J33">
    <cfRule type="expression" dxfId="5" priority="6">
      <formula>K33&gt;6</formula>
    </cfRule>
  </conditionalFormatting>
  <conditionalFormatting sqref="J33">
    <cfRule type="expression" dxfId="4" priority="5">
      <formula>C33=""</formula>
    </cfRule>
  </conditionalFormatting>
  <conditionalFormatting sqref="J36">
    <cfRule type="expression" dxfId="3" priority="4">
      <formula>K36&gt;6</formula>
    </cfRule>
  </conditionalFormatting>
  <conditionalFormatting sqref="J36">
    <cfRule type="expression" dxfId="2" priority="3">
      <formula>C36=""</formula>
    </cfRule>
  </conditionalFormatting>
  <conditionalFormatting sqref="J37">
    <cfRule type="expression" dxfId="1" priority="2">
      <formula>K37&gt;6</formula>
    </cfRule>
  </conditionalFormatting>
  <conditionalFormatting sqref="J37">
    <cfRule type="expression" dxfId="0" priority="1">
      <formula>C37=""</formula>
    </cfRule>
  </conditionalFormatting>
  <dataValidations count="6">
    <dataValidation type="decimal" operator="lessThanOrEqual" allowBlank="1" showInputMessage="1" showErrorMessage="1" errorTitle="入力エラー" error="実働時間を超えています" sqref="M7:M37">
      <formula1>K7</formula1>
    </dataValidation>
    <dataValidation type="list" allowBlank="1" showInputMessage="1" showErrorMessage="1" sqref="H3">
      <formula1>"1,2,3,4,5,6,7,8,9,10,11,12"</formula1>
    </dataValidation>
    <dataValidation type="list" allowBlank="1" showInputMessage="1" showErrorMessage="1" sqref="J3">
      <formula1>"tdi,TDISS,TDIPS,TDIZS"</formula1>
    </dataValidation>
    <dataValidation allowBlank="1" showInputMessage="1" sqref="G50:G51"/>
    <dataValidation type="list" allowBlank="1" showInputMessage="1" showErrorMessage="1" sqref="M3">
      <formula1>"派遣,準委任"</formula1>
    </dataValidation>
    <dataValidation type="list" allowBlank="1" showInputMessage="1" showErrorMessage="1" sqref="G58:M58">
      <formula1>$I$62:$I$80</formula1>
    </dataValidation>
  </dataValidations>
  <printOptions horizontalCentered="1" verticalCentered="1"/>
  <pageMargins left="0.78740157480314965" right="0.78740157480314965" top="0.59055118110236227" bottom="0.59055118110236227" header="0.51181102362204722" footer="0.51181102362204722"/>
  <pageSetup paperSize="9" scale="40" orientation="landscape" horizont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44"/>
    <pageSetUpPr fitToPage="1"/>
  </sheetPr>
  <dimension ref="A1:K49"/>
  <sheetViews>
    <sheetView showGridLines="0" zoomScale="90" zoomScaleNormal="90" workbookViewId="0">
      <selection activeCell="G2" sqref="G2:H3"/>
    </sheetView>
  </sheetViews>
  <sheetFormatPr defaultColWidth="9" defaultRowHeight="13.5"/>
  <cols>
    <col min="1" max="1" width="1.25" style="42" customWidth="1"/>
    <col min="2" max="3" width="5" style="122" customWidth="1"/>
    <col min="4" max="4" width="9" style="42" hidden="1" customWidth="1"/>
    <col min="5" max="5" width="5" style="42" customWidth="1"/>
    <col min="6" max="7" width="10" style="42" customWidth="1"/>
    <col min="8" max="8" width="32.5" style="42" customWidth="1"/>
    <col min="9" max="9" width="10.625" style="42" customWidth="1"/>
    <col min="10" max="11" width="5.5" style="42" customWidth="1"/>
    <col min="12" max="16384" width="9" style="42"/>
  </cols>
  <sheetData>
    <row r="1" spans="1:11" ht="30" customHeight="1">
      <c r="A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B1" s="118"/>
      <c r="C1" s="118"/>
      <c r="D1" s="118"/>
      <c r="E1" s="118"/>
      <c r="F1" s="118"/>
    </row>
    <row r="2" spans="1:11" ht="16.5" customHeight="1">
      <c r="B2" s="323" t="str">
        <f>出退社入力シート!C3&amp;"年"</f>
        <v>2022年</v>
      </c>
      <c r="C2" s="323"/>
      <c r="E2" s="324" t="str">
        <f>出退社入力シート!H3&amp;"月"</f>
        <v>5月</v>
      </c>
      <c r="F2" s="324"/>
      <c r="G2" s="323" t="s">
        <v>35</v>
      </c>
      <c r="H2" s="323"/>
      <c r="I2" s="328" t="str">
        <f>IF(出退社入力シート!D40="","",出退社入力シート!D40)</f>
        <v>株式会社　トップワンテック</v>
      </c>
      <c r="J2" s="328"/>
      <c r="K2" s="328"/>
    </row>
    <row r="3" spans="1:11" ht="16.5" customHeight="1">
      <c r="B3" s="323"/>
      <c r="C3" s="323"/>
      <c r="E3" s="324"/>
      <c r="F3" s="324"/>
      <c r="G3" s="323"/>
      <c r="H3" s="323"/>
      <c r="I3" s="42" t="s">
        <v>38</v>
      </c>
    </row>
    <row r="4" spans="1:11" ht="22.5" customHeight="1" thickBot="1">
      <c r="H4" s="119" t="s">
        <v>36</v>
      </c>
      <c r="I4" s="329"/>
      <c r="J4" s="329"/>
      <c r="K4" s="123" t="s">
        <v>37</v>
      </c>
    </row>
    <row r="5" spans="1:11" ht="45" customHeight="1">
      <c r="B5" s="124" t="s">
        <v>20</v>
      </c>
      <c r="C5" s="125" t="s">
        <v>21</v>
      </c>
      <c r="D5" s="126"/>
      <c r="E5" s="126" t="s">
        <v>46</v>
      </c>
      <c r="F5" s="127" t="s">
        <v>16</v>
      </c>
      <c r="G5" s="330" t="s">
        <v>19</v>
      </c>
      <c r="H5" s="330"/>
      <c r="I5" s="331"/>
      <c r="J5" s="331"/>
      <c r="K5" s="332"/>
    </row>
    <row r="6" spans="1:11" ht="16.5" customHeight="1">
      <c r="B6" s="128">
        <f>出退社入力シート!C7</f>
        <v>44682</v>
      </c>
      <c r="C6" s="115" t="str">
        <f>出退社入力シート!D7</f>
        <v>日</v>
      </c>
      <c r="D6" s="129" t="str">
        <f>出退社入力シート!E7</f>
        <v/>
      </c>
      <c r="E6" s="115" t="str">
        <f>出退社入力シート!G7</f>
        <v/>
      </c>
      <c r="F6" s="27" t="str">
        <f>IF(出退社入力シート!K7=0,"",出退社入力シート!K7)</f>
        <v/>
      </c>
      <c r="G6" s="325">
        <f>IF(AND(E6="○",出退社入力シート!Q7=""),"入力漏れ！！",出退社入力シート!Q7)</f>
        <v>0</v>
      </c>
      <c r="H6" s="325"/>
      <c r="I6" s="326"/>
      <c r="J6" s="326"/>
      <c r="K6" s="327"/>
    </row>
    <row r="7" spans="1:11" ht="16.5" customHeight="1">
      <c r="B7" s="128">
        <f>出退社入力シート!C8</f>
        <v>44683</v>
      </c>
      <c r="C7" s="115" t="str">
        <f>出退社入力シート!D8</f>
        <v>月</v>
      </c>
      <c r="D7" s="129" t="str">
        <f>出退社入力シート!E8</f>
        <v/>
      </c>
      <c r="E7" s="115" t="str">
        <f>出退社入力シート!G8</f>
        <v>○</v>
      </c>
      <c r="F7" s="27">
        <f>IF(出退社入力シート!K8=0,"",出退社入力シート!K8)</f>
        <v>7.5</v>
      </c>
      <c r="G7" s="325" t="str">
        <f>IF(AND(E7="○",出退社入力シート!Q8=""),"入力漏れ！！",出退社入力シート!Q8)</f>
        <v>KBK D2-D12_CRUD図　調査　</v>
      </c>
      <c r="H7" s="325"/>
      <c r="I7" s="326"/>
      <c r="J7" s="326"/>
      <c r="K7" s="327"/>
    </row>
    <row r="8" spans="1:11" ht="16.5" customHeight="1">
      <c r="B8" s="128">
        <f>出退社入力シート!C9</f>
        <v>44684</v>
      </c>
      <c r="C8" s="115" t="str">
        <f>出退社入力シート!D9</f>
        <v>火</v>
      </c>
      <c r="D8" s="129" t="str">
        <f>出退社入力シート!E9</f>
        <v>憲法記念日</v>
      </c>
      <c r="E8" s="115" t="str">
        <f>出退社入力シート!G9</f>
        <v/>
      </c>
      <c r="F8" s="27" t="str">
        <f>IF(出退社入力シート!K9=0,"",出退社入力シート!K9)</f>
        <v/>
      </c>
      <c r="G8" s="325">
        <f>IF(AND(E8="○",出退社入力シート!Q9=""),"入力漏れ！！",出退社入力シート!Q9)</f>
        <v>0</v>
      </c>
      <c r="H8" s="325"/>
      <c r="I8" s="326"/>
      <c r="J8" s="326"/>
      <c r="K8" s="327"/>
    </row>
    <row r="9" spans="1:11" ht="16.5" customHeight="1">
      <c r="B9" s="128">
        <f>出退社入力シート!C10</f>
        <v>44685</v>
      </c>
      <c r="C9" s="115" t="str">
        <f>出退社入力シート!D10</f>
        <v>水</v>
      </c>
      <c r="D9" s="129" t="str">
        <f>出退社入力シート!E10</f>
        <v>みどりの日</v>
      </c>
      <c r="E9" s="115" t="str">
        <f>出退社入力シート!G10</f>
        <v/>
      </c>
      <c r="F9" s="27" t="str">
        <f>IF(出退社入力シート!K10=0,"",出退社入力シート!K10)</f>
        <v/>
      </c>
      <c r="G9" s="325">
        <f>IF(AND(E9="○",出退社入力シート!Q10=""),"入力漏れ！！",出退社入力シート!Q10)</f>
        <v>0</v>
      </c>
      <c r="H9" s="325"/>
      <c r="I9" s="326"/>
      <c r="J9" s="326"/>
      <c r="K9" s="327"/>
    </row>
    <row r="10" spans="1:11" ht="16.5" customHeight="1">
      <c r="B10" s="128">
        <f>出退社入力シート!C11</f>
        <v>44686</v>
      </c>
      <c r="C10" s="115" t="str">
        <f>出退社入力シート!D11</f>
        <v>木</v>
      </c>
      <c r="D10" s="129" t="str">
        <f>出退社入力シート!E11</f>
        <v>こどもの日</v>
      </c>
      <c r="E10" s="115" t="str">
        <f>出退社入力シート!G11</f>
        <v/>
      </c>
      <c r="F10" s="27" t="str">
        <f>IF(出退社入力シート!K11=0,"",出退社入力シート!K11)</f>
        <v/>
      </c>
      <c r="G10" s="325">
        <f>IF(AND(E10="○",出退社入力シート!Q11=""),"入力漏れ！！",出退社入力シート!Q11)</f>
        <v>0</v>
      </c>
      <c r="H10" s="325"/>
      <c r="I10" s="326"/>
      <c r="J10" s="326"/>
      <c r="K10" s="327"/>
    </row>
    <row r="11" spans="1:11" ht="16.5" customHeight="1">
      <c r="B11" s="128">
        <f>出退社入力シート!C12</f>
        <v>44687</v>
      </c>
      <c r="C11" s="115" t="str">
        <f>出退社入力シート!D12</f>
        <v>金</v>
      </c>
      <c r="D11" s="129" t="str">
        <f>出退社入力シート!E12</f>
        <v/>
      </c>
      <c r="E11" s="115" t="str">
        <f>出退社入力シート!G12</f>
        <v>○</v>
      </c>
      <c r="F11" s="27">
        <f>IF(出退社入力シート!K12=0,"",出退社入力シート!K12)</f>
        <v>7.5</v>
      </c>
      <c r="G11" s="325" t="str">
        <f>IF(AND(E11="○",出退社入力シート!Q12=""),"入力漏れ！！",出退社入力シート!Q12)</f>
        <v>KBK D2-D12_CRUD図　調査　</v>
      </c>
      <c r="H11" s="325"/>
      <c r="I11" s="326"/>
      <c r="J11" s="326"/>
      <c r="K11" s="327"/>
    </row>
    <row r="12" spans="1:11" ht="16.5" customHeight="1">
      <c r="B12" s="128">
        <f>出退社入力シート!C13</f>
        <v>44688</v>
      </c>
      <c r="C12" s="115" t="str">
        <f>出退社入力シート!D13</f>
        <v>土</v>
      </c>
      <c r="D12" s="129" t="str">
        <f>出退社入力シート!E13</f>
        <v/>
      </c>
      <c r="E12" s="115" t="str">
        <f>出退社入力シート!G13</f>
        <v/>
      </c>
      <c r="F12" s="27" t="str">
        <f>IF(出退社入力シート!K13=0,"",出退社入力シート!K13)</f>
        <v/>
      </c>
      <c r="G12" s="325">
        <f>IF(AND(E12="○",出退社入力シート!Q13=""),"入力漏れ！！",出退社入力シート!Q13)</f>
        <v>0</v>
      </c>
      <c r="H12" s="325"/>
      <c r="I12" s="326"/>
      <c r="J12" s="326"/>
      <c r="K12" s="327"/>
    </row>
    <row r="13" spans="1:11" ht="16.5" customHeight="1">
      <c r="B13" s="128">
        <f>出退社入力シート!C14</f>
        <v>44689</v>
      </c>
      <c r="C13" s="115" t="str">
        <f>出退社入力シート!D14</f>
        <v>日</v>
      </c>
      <c r="D13" s="129" t="str">
        <f>出退社入力シート!E14</f>
        <v/>
      </c>
      <c r="E13" s="115" t="str">
        <f>出退社入力シート!G14</f>
        <v/>
      </c>
      <c r="F13" s="27" t="str">
        <f>IF(出退社入力シート!K14=0,"",出退社入力シート!K14)</f>
        <v/>
      </c>
      <c r="G13" s="325">
        <f>IF(AND(E13="○",出退社入力シート!Q14=""),"入力漏れ！！",出退社入力シート!Q14)</f>
        <v>0</v>
      </c>
      <c r="H13" s="325"/>
      <c r="I13" s="326"/>
      <c r="J13" s="326"/>
      <c r="K13" s="327"/>
    </row>
    <row r="14" spans="1:11" ht="16.5" customHeight="1">
      <c r="B14" s="128">
        <f>出退社入力シート!C15</f>
        <v>44690</v>
      </c>
      <c r="C14" s="115" t="str">
        <f>出退社入力シート!D15</f>
        <v>月</v>
      </c>
      <c r="D14" s="129" t="str">
        <f>出退社入力シート!E15</f>
        <v/>
      </c>
      <c r="E14" s="115" t="str">
        <f>出退社入力シート!G15</f>
        <v>○</v>
      </c>
      <c r="F14" s="27">
        <f>IF(出退社入力シート!K15=0,"",出退社入力シート!K15)</f>
        <v>7.5</v>
      </c>
      <c r="G14" s="325" t="str">
        <f>IF(AND(E14="○",出退社入力シート!Q15=""),"入力漏れ！！",出退社入力シート!Q15)</f>
        <v>KBK D2-D12_CRUD図　調査　</v>
      </c>
      <c r="H14" s="325"/>
      <c r="I14" s="326"/>
      <c r="J14" s="326"/>
      <c r="K14" s="327"/>
    </row>
    <row r="15" spans="1:11" ht="16.5" customHeight="1">
      <c r="B15" s="128">
        <f>出退社入力シート!C16</f>
        <v>44691</v>
      </c>
      <c r="C15" s="115" t="str">
        <f>出退社入力シート!D16</f>
        <v>火</v>
      </c>
      <c r="D15" s="129" t="str">
        <f>出退社入力シート!E16</f>
        <v/>
      </c>
      <c r="E15" s="115" t="str">
        <f>出退社入力シート!G16</f>
        <v>○</v>
      </c>
      <c r="F15" s="27">
        <f>IF(出退社入力シート!K16=0,"",出退社入力シート!K16)</f>
        <v>7.5</v>
      </c>
      <c r="G15" s="325" t="str">
        <f>IF(AND(E15="○",出退社入力シート!Q16=""),"入力漏れ！！",出退社入力シート!Q16)</f>
        <v>KBK D2-D12_CRUD図　調査　</v>
      </c>
      <c r="H15" s="325"/>
      <c r="I15" s="326"/>
      <c r="J15" s="326"/>
      <c r="K15" s="327"/>
    </row>
    <row r="16" spans="1:11" ht="16.5" customHeight="1">
      <c r="B16" s="128">
        <f>出退社入力シート!C17</f>
        <v>44692</v>
      </c>
      <c r="C16" s="115" t="str">
        <f>出退社入力シート!D17</f>
        <v>水</v>
      </c>
      <c r="D16" s="129" t="str">
        <f>出退社入力シート!E17</f>
        <v/>
      </c>
      <c r="E16" s="115" t="str">
        <f>出退社入力シート!G17</f>
        <v>○</v>
      </c>
      <c r="F16" s="27">
        <f>IF(出退社入力シート!K17=0,"",出退社入力シート!K17)</f>
        <v>8.25</v>
      </c>
      <c r="G16" s="325" t="str">
        <f>IF(AND(E16="○",出退社入力シート!Q17=""),"入力漏れ！！",出退社入力シート!Q17)</f>
        <v>KBK D2-D12_CRUD図　調査　</v>
      </c>
      <c r="H16" s="325"/>
      <c r="I16" s="326"/>
      <c r="J16" s="326"/>
      <c r="K16" s="327"/>
    </row>
    <row r="17" spans="2:11" ht="16.5" customHeight="1">
      <c r="B17" s="128">
        <f>出退社入力シート!C18</f>
        <v>44693</v>
      </c>
      <c r="C17" s="115" t="str">
        <f>出退社入力シート!D18</f>
        <v>木</v>
      </c>
      <c r="D17" s="129" t="str">
        <f>出退社入力シート!E18</f>
        <v/>
      </c>
      <c r="E17" s="115" t="str">
        <f>出退社入力シート!G18</f>
        <v>○</v>
      </c>
      <c r="F17" s="27">
        <f>IF(出退社入力シート!K18=0,"",出退社入力シート!K18)</f>
        <v>8.25</v>
      </c>
      <c r="G17" s="325" t="str">
        <f>IF(AND(E17="○",出退社入力シート!Q18=""),"入力漏れ！！",出退社入力シート!Q18)</f>
        <v>KBK D2-D12_CRUD図　調査　</v>
      </c>
      <c r="H17" s="325"/>
      <c r="I17" s="326"/>
      <c r="J17" s="326"/>
      <c r="K17" s="327"/>
    </row>
    <row r="18" spans="2:11" ht="16.5" customHeight="1">
      <c r="B18" s="128">
        <f>出退社入力シート!C19</f>
        <v>44694</v>
      </c>
      <c r="C18" s="115" t="str">
        <f>出退社入力シート!D19</f>
        <v>金</v>
      </c>
      <c r="D18" s="129" t="str">
        <f>出退社入力シート!E19</f>
        <v/>
      </c>
      <c r="E18" s="115" t="str">
        <f>出退社入力シート!G19</f>
        <v>○</v>
      </c>
      <c r="F18" s="27">
        <f>IF(出退社入力シート!K19=0,"",出退社入力シート!K19)</f>
        <v>8.25</v>
      </c>
      <c r="G18" s="325" t="str">
        <f>IF(AND(E18="○",出退社入力シート!Q19=""),"入力漏れ！！",出退社入力シート!Q19)</f>
        <v>#28946　製造</v>
      </c>
      <c r="H18" s="325"/>
      <c r="I18" s="326"/>
      <c r="J18" s="326"/>
      <c r="K18" s="327"/>
    </row>
    <row r="19" spans="2:11" ht="16.5" customHeight="1">
      <c r="B19" s="128">
        <f>出退社入力シート!C20</f>
        <v>44695</v>
      </c>
      <c r="C19" s="115" t="str">
        <f>出退社入力シート!D20</f>
        <v>土</v>
      </c>
      <c r="D19" s="129" t="str">
        <f>出退社入力シート!E20</f>
        <v/>
      </c>
      <c r="E19" s="115" t="str">
        <f>出退社入力シート!G20</f>
        <v/>
      </c>
      <c r="F19" s="27" t="str">
        <f>IF(出退社入力シート!K20=0,"",出退社入力シート!K20)</f>
        <v/>
      </c>
      <c r="G19" s="325">
        <f>IF(AND(E19="○",出退社入力シート!Q20=""),"入力漏れ！！",出退社入力シート!Q20)</f>
        <v>0</v>
      </c>
      <c r="H19" s="325"/>
      <c r="I19" s="326"/>
      <c r="J19" s="326"/>
      <c r="K19" s="327"/>
    </row>
    <row r="20" spans="2:11" ht="16.5" customHeight="1">
      <c r="B20" s="128">
        <f>出退社入力シート!C21</f>
        <v>44696</v>
      </c>
      <c r="C20" s="115" t="str">
        <f>出退社入力シート!D21</f>
        <v>日</v>
      </c>
      <c r="D20" s="129" t="str">
        <f>出退社入力シート!E21</f>
        <v/>
      </c>
      <c r="E20" s="115" t="str">
        <f>出退社入力シート!G21</f>
        <v/>
      </c>
      <c r="F20" s="27" t="str">
        <f>IF(出退社入力シート!K21=0,"",出退社入力シート!K21)</f>
        <v/>
      </c>
      <c r="G20" s="325">
        <f>IF(AND(E20="○",出退社入力シート!Q21=""),"入力漏れ！！",出退社入力シート!Q21)</f>
        <v>0</v>
      </c>
      <c r="H20" s="325"/>
      <c r="I20" s="326"/>
      <c r="J20" s="326"/>
      <c r="K20" s="327"/>
    </row>
    <row r="21" spans="2:11" ht="16.5" customHeight="1">
      <c r="B21" s="128">
        <f>出退社入力シート!C22</f>
        <v>44697</v>
      </c>
      <c r="C21" s="115" t="str">
        <f>出退社入力シート!D22</f>
        <v>月</v>
      </c>
      <c r="D21" s="129" t="str">
        <f>出退社入力シート!E22</f>
        <v/>
      </c>
      <c r="E21" s="115" t="str">
        <f>出退社入力シート!G22</f>
        <v>○</v>
      </c>
      <c r="F21" s="27">
        <f>IF(出退社入力シート!K22=0,"",出退社入力シート!K22)</f>
        <v>8.25</v>
      </c>
      <c r="G21" s="325" t="str">
        <f>IF(AND(E21="○",出退社入力シート!Q22=""),"入力漏れ！！",出退社入力シート!Q22)</f>
        <v>#28946　製造</v>
      </c>
      <c r="H21" s="325"/>
      <c r="I21" s="326"/>
      <c r="J21" s="326"/>
      <c r="K21" s="327"/>
    </row>
    <row r="22" spans="2:11" ht="16.5" customHeight="1">
      <c r="B22" s="128">
        <f>出退社入力シート!C23</f>
        <v>44698</v>
      </c>
      <c r="C22" s="115" t="str">
        <f>出退社入力シート!D23</f>
        <v>火</v>
      </c>
      <c r="D22" s="129" t="str">
        <f>出退社入力シート!E23</f>
        <v/>
      </c>
      <c r="E22" s="115" t="str">
        <f>出退社入力シート!G23</f>
        <v>○</v>
      </c>
      <c r="F22" s="27">
        <f>IF(出退社入力シート!K23=0,"",出退社入力シート!K23)</f>
        <v>8.25</v>
      </c>
      <c r="G22" s="325" t="str">
        <f>IF(AND(E22="○",出退社入力シート!Q23=""),"入力漏れ！！",出退社入力シート!Q23)</f>
        <v>#28946　UT仕様書作成</v>
      </c>
      <c r="H22" s="325"/>
      <c r="I22" s="326"/>
      <c r="J22" s="326"/>
      <c r="K22" s="327"/>
    </row>
    <row r="23" spans="2:11" ht="16.5" customHeight="1">
      <c r="B23" s="128">
        <f>出退社入力シート!C24</f>
        <v>44699</v>
      </c>
      <c r="C23" s="115" t="str">
        <f>出退社入力シート!D24</f>
        <v>水</v>
      </c>
      <c r="D23" s="129" t="str">
        <f>出退社入力シート!E24</f>
        <v/>
      </c>
      <c r="E23" s="115" t="str">
        <f>出退社入力シート!G24</f>
        <v>○</v>
      </c>
      <c r="F23" s="27">
        <f>IF(出退社入力シート!K24=0,"",出退社入力シート!K24)</f>
        <v>8.25</v>
      </c>
      <c r="G23" s="325" t="str">
        <f>IF(AND(E23="○",出退社入力シート!Q24=""),"入力漏れ！！",出退社入力シート!Q24)</f>
        <v>#28946　UT仕様書作成</v>
      </c>
      <c r="H23" s="325"/>
      <c r="I23" s="326"/>
      <c r="J23" s="326"/>
      <c r="K23" s="327"/>
    </row>
    <row r="24" spans="2:11" ht="16.5" customHeight="1">
      <c r="B24" s="128">
        <f>出退社入力シート!C25</f>
        <v>44700</v>
      </c>
      <c r="C24" s="115" t="str">
        <f>出退社入力シート!D25</f>
        <v>木</v>
      </c>
      <c r="D24" s="129" t="str">
        <f>出退社入力シート!E25</f>
        <v/>
      </c>
      <c r="E24" s="115" t="str">
        <f>出退社入力シート!G25</f>
        <v>○</v>
      </c>
      <c r="F24" s="27">
        <f>IF(出退社入力シート!K25=0,"",出退社入力シート!K25)</f>
        <v>4.5</v>
      </c>
      <c r="G24" s="325" t="str">
        <f>IF(AND(E24="○",出退社入力シート!Q25=""),"入力漏れ！！",出退社入力シート!Q25)</f>
        <v>#28946　UT仕様書作成</v>
      </c>
      <c r="H24" s="325"/>
      <c r="I24" s="326"/>
      <c r="J24" s="326"/>
      <c r="K24" s="327"/>
    </row>
    <row r="25" spans="2:11" ht="16.5" customHeight="1">
      <c r="B25" s="128">
        <f>出退社入力シート!C26</f>
        <v>44701</v>
      </c>
      <c r="C25" s="115" t="str">
        <f>出退社入力シート!D26</f>
        <v>金</v>
      </c>
      <c r="D25" s="129" t="str">
        <f>出退社入力シート!E26</f>
        <v/>
      </c>
      <c r="E25" s="115" t="str">
        <f>出退社入力シート!G26</f>
        <v>○</v>
      </c>
      <c r="F25" s="27">
        <f>IF(出退社入力シート!K26=0,"",出退社入力シート!K26)</f>
        <v>8.25</v>
      </c>
      <c r="G25" s="325" t="str">
        <f>IF(AND(E25="○",出退社入力シート!Q26=""),"入力漏れ！！",出退社入力シート!Q26)</f>
        <v>#28946　テスト実施</v>
      </c>
      <c r="H25" s="325"/>
      <c r="I25" s="326"/>
      <c r="J25" s="326"/>
      <c r="K25" s="327"/>
    </row>
    <row r="26" spans="2:11" ht="16.5" customHeight="1">
      <c r="B26" s="128">
        <f>出退社入力シート!C27</f>
        <v>44702</v>
      </c>
      <c r="C26" s="115" t="str">
        <f>出退社入力シート!D27</f>
        <v>土</v>
      </c>
      <c r="D26" s="129" t="str">
        <f>出退社入力シート!E27</f>
        <v/>
      </c>
      <c r="E26" s="115" t="str">
        <f>出退社入力シート!G27</f>
        <v/>
      </c>
      <c r="F26" s="27" t="str">
        <f>IF(出退社入力シート!K27=0,"",出退社入力シート!K27)</f>
        <v/>
      </c>
      <c r="G26" s="325">
        <f>IF(AND(E26="○",出退社入力シート!Q27=""),"入力漏れ！！",出退社入力シート!Q27)</f>
        <v>0</v>
      </c>
      <c r="H26" s="325"/>
      <c r="I26" s="326"/>
      <c r="J26" s="326"/>
      <c r="K26" s="327"/>
    </row>
    <row r="27" spans="2:11" ht="16.5" customHeight="1">
      <c r="B27" s="128">
        <f>出退社入力シート!C28</f>
        <v>44703</v>
      </c>
      <c r="C27" s="115" t="str">
        <f>出退社入力シート!D28</f>
        <v>日</v>
      </c>
      <c r="D27" s="129" t="str">
        <f>出退社入力シート!E28</f>
        <v/>
      </c>
      <c r="E27" s="115" t="str">
        <f>出退社入力シート!G28</f>
        <v/>
      </c>
      <c r="F27" s="27" t="str">
        <f>IF(出退社入力シート!K28=0,"",出退社入力シート!K28)</f>
        <v/>
      </c>
      <c r="G27" s="325">
        <f>IF(AND(E27="○",出退社入力シート!Q28=""),"入力漏れ！！",出退社入力シート!Q28)</f>
        <v>0</v>
      </c>
      <c r="H27" s="325"/>
      <c r="I27" s="326"/>
      <c r="J27" s="326"/>
      <c r="K27" s="327"/>
    </row>
    <row r="28" spans="2:11" ht="16.5" customHeight="1">
      <c r="B28" s="128">
        <f>出退社入力シート!C29</f>
        <v>44704</v>
      </c>
      <c r="C28" s="115" t="str">
        <f>出退社入力シート!D29</f>
        <v>月</v>
      </c>
      <c r="D28" s="129" t="str">
        <f>出退社入力シート!E29</f>
        <v/>
      </c>
      <c r="E28" s="115" t="str">
        <f>出退社入力シート!G29</f>
        <v>○</v>
      </c>
      <c r="F28" s="27">
        <f>IF(出退社入力シート!K29=0,"",出退社入力シート!K29)</f>
        <v>8.25</v>
      </c>
      <c r="G28" s="325" t="str">
        <f>IF(AND(E28="○",出退社入力シート!Q29=""),"入力漏れ！！",出退社入力シート!Q29)</f>
        <v>#28946　テスト実施</v>
      </c>
      <c r="H28" s="325"/>
      <c r="I28" s="326"/>
      <c r="J28" s="326"/>
      <c r="K28" s="327"/>
    </row>
    <row r="29" spans="2:11" ht="16.5" customHeight="1">
      <c r="B29" s="128">
        <f>出退社入力シート!C30</f>
        <v>44705</v>
      </c>
      <c r="C29" s="115" t="str">
        <f>出退社入力シート!D30</f>
        <v>火</v>
      </c>
      <c r="D29" s="129" t="str">
        <f>出退社入力シート!E30</f>
        <v/>
      </c>
      <c r="E29" s="115" t="str">
        <f>出退社入力シート!G30</f>
        <v>○</v>
      </c>
      <c r="F29" s="27">
        <f>IF(出退社入力シート!K30=0,"",出退社入力シート!K30)</f>
        <v>11</v>
      </c>
      <c r="G29" s="325" t="str">
        <f>IF(AND(E29="○",出退社入力シート!Q30=""),"入力漏れ！！",出退社入力シート!Q30)</f>
        <v>#28805　本番障害対応</v>
      </c>
      <c r="H29" s="325"/>
      <c r="I29" s="326"/>
      <c r="J29" s="326"/>
      <c r="K29" s="327"/>
    </row>
    <row r="30" spans="2:11" ht="16.5" customHeight="1">
      <c r="B30" s="128">
        <f>出退社入力シート!C31</f>
        <v>44706</v>
      </c>
      <c r="C30" s="115" t="str">
        <f>出退社入力シート!D31</f>
        <v>水</v>
      </c>
      <c r="D30" s="129" t="str">
        <f>出退社入力シート!E31</f>
        <v/>
      </c>
      <c r="E30" s="115" t="str">
        <f>出退社入力シート!G31</f>
        <v>○</v>
      </c>
      <c r="F30" s="27">
        <f>IF(出退社入力シート!K31=0,"",出退社入力シート!K31)</f>
        <v>10.25</v>
      </c>
      <c r="G30" s="325" t="str">
        <f>IF(AND(E30="○",出退社入力シート!Q31=""),"入力漏れ！！",出退社入力シート!Q31)</f>
        <v>#28805　本番障害対応</v>
      </c>
      <c r="H30" s="325"/>
      <c r="I30" s="326"/>
      <c r="J30" s="326"/>
      <c r="K30" s="327"/>
    </row>
    <row r="31" spans="2:11" ht="16.5" customHeight="1">
      <c r="B31" s="128">
        <f>出退社入力シート!C32</f>
        <v>44707</v>
      </c>
      <c r="C31" s="115" t="str">
        <f>出退社入力シート!D32</f>
        <v>木</v>
      </c>
      <c r="D31" s="129" t="str">
        <f>出退社入力シート!E32</f>
        <v/>
      </c>
      <c r="E31" s="115" t="str">
        <f>出退社入力シート!G32</f>
        <v>○</v>
      </c>
      <c r="F31" s="27">
        <f>IF(出退社入力シート!K32=0,"",出退社入力シート!K32)</f>
        <v>8.25</v>
      </c>
      <c r="G31" s="325" t="str">
        <f>IF(AND(E31="○",出退社入力シート!Q32=""),"入力漏れ！！",出退社入力シート!Q32)</f>
        <v>#28805　本番障害対応</v>
      </c>
      <c r="H31" s="325"/>
      <c r="I31" s="326"/>
      <c r="J31" s="326"/>
      <c r="K31" s="327"/>
    </row>
    <row r="32" spans="2:11" ht="16.5" customHeight="1">
      <c r="B32" s="128">
        <f>出退社入力シート!C33</f>
        <v>44708</v>
      </c>
      <c r="C32" s="115" t="str">
        <f>出退社入力シート!D33</f>
        <v>金</v>
      </c>
      <c r="D32" s="129" t="str">
        <f>出退社入力シート!E33</f>
        <v/>
      </c>
      <c r="E32" s="115" t="str">
        <f>出退社入力シート!G33</f>
        <v>○</v>
      </c>
      <c r="F32" s="27">
        <f>IF(出退社入力シート!K33=0,"",出退社入力シート!K33)</f>
        <v>8.25</v>
      </c>
      <c r="G32" s="325" t="str">
        <f>IF(AND(E32="○",出退社入力シート!Q33=""),"入力漏れ！！",出退社入力シート!Q33)</f>
        <v>#28946　テスト実施</v>
      </c>
      <c r="H32" s="325"/>
      <c r="I32" s="326"/>
      <c r="J32" s="326"/>
      <c r="K32" s="327"/>
    </row>
    <row r="33" spans="2:11" ht="16.5" customHeight="1">
      <c r="B33" s="128">
        <f>出退社入力シート!C34</f>
        <v>44709</v>
      </c>
      <c r="C33" s="115" t="str">
        <f>出退社入力シート!D34</f>
        <v>土</v>
      </c>
      <c r="D33" s="129" t="str">
        <f>出退社入力シート!E34</f>
        <v/>
      </c>
      <c r="E33" s="115" t="str">
        <f>出退社入力シート!G34</f>
        <v/>
      </c>
      <c r="F33" s="27" t="str">
        <f>IF(出退社入力シート!K34=0,"",出退社入力シート!K34)</f>
        <v/>
      </c>
      <c r="G33" s="325">
        <f>IF(AND(E33="○",出退社入力シート!Q34=""),"入力漏れ！！",出退社入力シート!Q34)</f>
        <v>0</v>
      </c>
      <c r="H33" s="325"/>
      <c r="I33" s="326"/>
      <c r="J33" s="326"/>
      <c r="K33" s="327"/>
    </row>
    <row r="34" spans="2:11" ht="16.5" customHeight="1">
      <c r="B34" s="128">
        <f>出退社入力シート!C35</f>
        <v>44710</v>
      </c>
      <c r="C34" s="115" t="str">
        <f>出退社入力シート!D35</f>
        <v>日</v>
      </c>
      <c r="D34" s="129" t="str">
        <f>出退社入力シート!E35</f>
        <v/>
      </c>
      <c r="E34" s="115" t="str">
        <f>出退社入力シート!G35</f>
        <v/>
      </c>
      <c r="F34" s="27" t="str">
        <f>IF(出退社入力シート!K35=0,"",出退社入力シート!K35)</f>
        <v/>
      </c>
      <c r="G34" s="325">
        <f>IF(AND(E34="○",出退社入力シート!Q35=""),"入力漏れ！！",出退社入力シート!Q35)</f>
        <v>0</v>
      </c>
      <c r="H34" s="325"/>
      <c r="I34" s="326"/>
      <c r="J34" s="326"/>
      <c r="K34" s="327"/>
    </row>
    <row r="35" spans="2:11" ht="16.5" customHeight="1">
      <c r="B35" s="128">
        <f>出退社入力シート!C36</f>
        <v>44711</v>
      </c>
      <c r="C35" s="115" t="str">
        <f>出退社入力シート!D36</f>
        <v>月</v>
      </c>
      <c r="D35" s="129" t="str">
        <f>出退社入力シート!E36</f>
        <v/>
      </c>
      <c r="E35" s="115" t="str">
        <f>出退社入力シート!G36</f>
        <v>○</v>
      </c>
      <c r="F35" s="27">
        <f>IF(出退社入力シート!K36=0,"",出退社入力シート!K36)</f>
        <v>7.5</v>
      </c>
      <c r="G35" s="325" t="str">
        <f>IF(AND(E35="○",出退社入力シート!Q36=""),"入力漏れ！！",出退社入力シート!Q36)</f>
        <v>#28946　テスト実施</v>
      </c>
      <c r="H35" s="325"/>
      <c r="I35" s="326"/>
      <c r="J35" s="326"/>
      <c r="K35" s="327"/>
    </row>
    <row r="36" spans="2:11" ht="16.5" customHeight="1">
      <c r="B36" s="128">
        <f>出退社入力シート!C37</f>
        <v>44712</v>
      </c>
      <c r="C36" s="115" t="str">
        <f>出退社入力シート!D37</f>
        <v>火</v>
      </c>
      <c r="D36" s="129" t="str">
        <f>出退社入力シート!E37</f>
        <v/>
      </c>
      <c r="E36" s="115" t="str">
        <f>出退社入力シート!G37</f>
        <v>○</v>
      </c>
      <c r="F36" s="27">
        <f>IF(出退社入力シート!K37=0,"",出退社入力シート!K37)</f>
        <v>7.5</v>
      </c>
      <c r="G36" s="325" t="str">
        <f>IF(AND(E36="○",出退社入力シート!Q37=""),"入力漏れ！！",出退社入力シート!Q37)</f>
        <v>#28946　テスト実施</v>
      </c>
      <c r="H36" s="325"/>
      <c r="I36" s="326"/>
      <c r="J36" s="326"/>
      <c r="K36" s="327"/>
    </row>
    <row r="37" spans="2:11" s="116" customFormat="1" ht="16.5" customHeight="1">
      <c r="B37" s="333" t="s">
        <v>29</v>
      </c>
      <c r="C37" s="334"/>
      <c r="D37" s="130"/>
      <c r="E37" s="130" t="s">
        <v>31</v>
      </c>
      <c r="F37" s="130" t="s">
        <v>32</v>
      </c>
      <c r="G37" s="335" t="s">
        <v>17</v>
      </c>
      <c r="H37" s="337"/>
      <c r="I37" s="338"/>
      <c r="J37" s="335" t="s">
        <v>33</v>
      </c>
      <c r="K37" s="336"/>
    </row>
    <row r="38" spans="2:11" ht="16.5" customHeight="1">
      <c r="B38" s="315">
        <f>出退社入力シート!F38</f>
        <v>19</v>
      </c>
      <c r="C38" s="316"/>
      <c r="D38" s="129"/>
      <c r="E38" s="129">
        <f>出退社入力シート!G38</f>
        <v>19</v>
      </c>
      <c r="F38" s="27">
        <f>出退社入力シート!K38</f>
        <v>153.25</v>
      </c>
      <c r="G38" s="131" t="str">
        <f>IF(出退社入力シート!K41="","",出退社入力シート!K41)</f>
        <v>1220843</v>
      </c>
      <c r="H38" s="311" t="str">
        <f>IF(出退社入力シート!L41="","",出退社入力シート!L41)</f>
        <v>準委116_1003520000_購買物流システム開発支援作業　2022/4～2023/3</v>
      </c>
      <c r="I38" s="312"/>
      <c r="J38" s="344">
        <f>出退社入力シート!P41</f>
        <v>153.25</v>
      </c>
      <c r="K38" s="345"/>
    </row>
    <row r="39" spans="2:11" ht="16.5" customHeight="1">
      <c r="B39" s="317" t="s">
        <v>34</v>
      </c>
      <c r="C39" s="318"/>
      <c r="D39" s="318"/>
      <c r="E39" s="318"/>
      <c r="F39" s="319"/>
      <c r="G39" s="131" t="str">
        <f>IF(OR(出退社入力シート!K42="",出退社入力シート!P42=""),"",出退社入力シート!K42)</f>
        <v/>
      </c>
      <c r="H39" s="311" t="str">
        <f>IF(OR(出退社入力シート!L42="",出退社入力シート!P42=""),"",出退社入力シート!L42)</f>
        <v/>
      </c>
      <c r="I39" s="312"/>
      <c r="J39" s="344" t="str">
        <f>出退社入力シート!P42</f>
        <v/>
      </c>
      <c r="K39" s="345"/>
    </row>
    <row r="40" spans="2:11" ht="16.5" customHeight="1">
      <c r="B40" s="320" t="str">
        <f>IF(出退社入力シート!D40="","入力漏れ！！",出退社入力シート!D40)</f>
        <v>株式会社　トップワンテック</v>
      </c>
      <c r="C40" s="321"/>
      <c r="D40" s="321"/>
      <c r="E40" s="321"/>
      <c r="F40" s="322"/>
      <c r="G40" s="131" t="str">
        <f>IF(OR(出退社入力シート!K43="",出退社入力シート!P43=""),"",出退社入力シート!K43)</f>
        <v/>
      </c>
      <c r="H40" s="311" t="str">
        <f>IF(OR(出退社入力シート!L43="",出退社入力シート!P43=""),"",出退社入力シート!L43)</f>
        <v/>
      </c>
      <c r="I40" s="312"/>
      <c r="J40" s="344" t="str">
        <f>出退社入力シート!P43</f>
        <v/>
      </c>
      <c r="K40" s="345"/>
    </row>
    <row r="41" spans="2:11" ht="16.5" customHeight="1">
      <c r="B41" s="305" t="str">
        <f>IF(出退社入力シート!D42="","",出退社入力シート!D42)</f>
        <v>史正韵</v>
      </c>
      <c r="C41" s="306"/>
      <c r="D41" s="306"/>
      <c r="E41" s="306"/>
      <c r="F41" s="307"/>
      <c r="G41" s="131" t="str">
        <f>IF(OR(出退社入力シート!K44="",出退社入力シート!P44=""),"",出退社入力シート!K44)</f>
        <v/>
      </c>
      <c r="H41" s="311" t="str">
        <f>IF(OR(出退社入力シート!L44="",出退社入力シート!P44=""),"",出退社入力シート!L44)</f>
        <v/>
      </c>
      <c r="I41" s="312"/>
      <c r="J41" s="344" t="str">
        <f>出退社入力シート!P44</f>
        <v/>
      </c>
      <c r="K41" s="345"/>
    </row>
    <row r="42" spans="2:11" ht="16.5" customHeight="1" thickBot="1">
      <c r="B42" s="308"/>
      <c r="C42" s="309"/>
      <c r="D42" s="309"/>
      <c r="E42" s="309"/>
      <c r="F42" s="310"/>
      <c r="G42" s="132" t="str">
        <f>IF(OR(出退社入力シート!K45="",出退社入力シート!P45=""),"",出退社入力シート!K45)</f>
        <v/>
      </c>
      <c r="H42" s="313" t="str">
        <f>IF(OR(出退社入力シート!L45="",出退社入力シート!P45=""),"",出退社入力シート!L45)</f>
        <v/>
      </c>
      <c r="I42" s="314"/>
      <c r="J42" s="342" t="str">
        <f>出退社入力シート!P45</f>
        <v/>
      </c>
      <c r="K42" s="343"/>
    </row>
    <row r="43" spans="2:11" ht="14.25" thickBot="1"/>
    <row r="44" spans="2:11">
      <c r="B44" s="137" t="s">
        <v>162</v>
      </c>
      <c r="C44" s="134"/>
      <c r="D44" s="135"/>
      <c r="E44" s="135"/>
      <c r="F44" s="135"/>
      <c r="G44" s="135"/>
      <c r="H44" s="136"/>
      <c r="I44" s="339" t="str">
        <f>出退社入力シート!J3&amp;"確認欄"</f>
        <v>tdi確認欄</v>
      </c>
      <c r="J44" s="340"/>
      <c r="K44" s="341"/>
    </row>
    <row r="45" spans="2:11">
      <c r="B45" s="299" t="str">
        <f>IF(出退社入力シート!Q41="","",出退社入力シート!Q41)</f>
        <v/>
      </c>
      <c r="C45" s="300"/>
      <c r="D45" s="300"/>
      <c r="E45" s="300"/>
      <c r="F45" s="300"/>
      <c r="G45" s="300"/>
      <c r="H45" s="301"/>
      <c r="I45" s="290" t="s">
        <v>37</v>
      </c>
      <c r="J45" s="293" t="s">
        <v>67</v>
      </c>
      <c r="K45" s="294"/>
    </row>
    <row r="46" spans="2:11">
      <c r="B46" s="299" t="str">
        <f>IF(出退社入力シート!Q42="","",出退社入力シート!Q42)</f>
        <v/>
      </c>
      <c r="C46" s="300"/>
      <c r="D46" s="300"/>
      <c r="E46" s="300"/>
      <c r="F46" s="300"/>
      <c r="G46" s="300"/>
      <c r="H46" s="301"/>
      <c r="I46" s="291"/>
      <c r="J46" s="295"/>
      <c r="K46" s="296"/>
    </row>
    <row r="47" spans="2:11">
      <c r="B47" s="299" t="str">
        <f>IF(出退社入力シート!Q43="","",出退社入力シート!Q43)</f>
        <v/>
      </c>
      <c r="C47" s="300"/>
      <c r="D47" s="300"/>
      <c r="E47" s="300"/>
      <c r="F47" s="300"/>
      <c r="G47" s="300"/>
      <c r="H47" s="301"/>
      <c r="I47" s="291"/>
      <c r="J47" s="295"/>
      <c r="K47" s="296"/>
    </row>
    <row r="48" spans="2:11" ht="13.5" customHeight="1">
      <c r="B48" s="299" t="str">
        <f>IF(出退社入力シート!Q44="","",出退社入力シート!Q44)</f>
        <v/>
      </c>
      <c r="C48" s="300"/>
      <c r="D48" s="300"/>
      <c r="E48" s="300"/>
      <c r="F48" s="300"/>
      <c r="G48" s="300"/>
      <c r="H48" s="301"/>
      <c r="I48" s="291"/>
      <c r="J48" s="295"/>
      <c r="K48" s="296"/>
    </row>
    <row r="49" spans="2:11" ht="14.25" thickBot="1">
      <c r="B49" s="302" t="str">
        <f>IF(出退社入力シート!Q45="","",出退社入力シート!Q45)</f>
        <v/>
      </c>
      <c r="C49" s="303"/>
      <c r="D49" s="303"/>
      <c r="E49" s="303"/>
      <c r="F49" s="303"/>
      <c r="G49" s="303"/>
      <c r="H49" s="304"/>
      <c r="I49" s="292"/>
      <c r="J49" s="297"/>
      <c r="K49" s="298"/>
    </row>
  </sheetData>
  <sheetProtection password="F6FE" sheet="1" selectLockedCells="1"/>
  <mergeCells count="62">
    <mergeCell ref="I44:K44"/>
    <mergeCell ref="G32:K32"/>
    <mergeCell ref="J42:K42"/>
    <mergeCell ref="G28:K28"/>
    <mergeCell ref="G34:K34"/>
    <mergeCell ref="G35:K35"/>
    <mergeCell ref="G36:K36"/>
    <mergeCell ref="J41:K41"/>
    <mergeCell ref="G31:K31"/>
    <mergeCell ref="G30:K30"/>
    <mergeCell ref="J40:K40"/>
    <mergeCell ref="J38:K38"/>
    <mergeCell ref="J39:K39"/>
    <mergeCell ref="G16:K16"/>
    <mergeCell ref="G18:K18"/>
    <mergeCell ref="G19:K19"/>
    <mergeCell ref="G17:K17"/>
    <mergeCell ref="G13:K13"/>
    <mergeCell ref="G14:K14"/>
    <mergeCell ref="G15:K15"/>
    <mergeCell ref="G25:K25"/>
    <mergeCell ref="G27:K27"/>
    <mergeCell ref="G20:K20"/>
    <mergeCell ref="G21:K21"/>
    <mergeCell ref="B37:C37"/>
    <mergeCell ref="J37:K37"/>
    <mergeCell ref="G37:I37"/>
    <mergeCell ref="G24:K24"/>
    <mergeCell ref="G22:K22"/>
    <mergeCell ref="G23:K23"/>
    <mergeCell ref="G33:K33"/>
    <mergeCell ref="G26:K26"/>
    <mergeCell ref="G29:K29"/>
    <mergeCell ref="B2:C3"/>
    <mergeCell ref="E2:F3"/>
    <mergeCell ref="G2:H3"/>
    <mergeCell ref="G11:K11"/>
    <mergeCell ref="G12:K12"/>
    <mergeCell ref="I2:K2"/>
    <mergeCell ref="I4:J4"/>
    <mergeCell ref="G5:K5"/>
    <mergeCell ref="G8:K8"/>
    <mergeCell ref="G9:K9"/>
    <mergeCell ref="G10:K10"/>
    <mergeCell ref="G6:K6"/>
    <mergeCell ref="G7:K7"/>
    <mergeCell ref="B41:F42"/>
    <mergeCell ref="H38:I38"/>
    <mergeCell ref="H39:I39"/>
    <mergeCell ref="H40:I40"/>
    <mergeCell ref="H41:I41"/>
    <mergeCell ref="H42:I42"/>
    <mergeCell ref="B38:C38"/>
    <mergeCell ref="B39:F39"/>
    <mergeCell ref="B40:F40"/>
    <mergeCell ref="I45:I49"/>
    <mergeCell ref="J45:K49"/>
    <mergeCell ref="B45:H45"/>
    <mergeCell ref="B46:H46"/>
    <mergeCell ref="B47:H47"/>
    <mergeCell ref="B48:H48"/>
    <mergeCell ref="B49:H49"/>
  </mergeCells>
  <phoneticPr fontId="2"/>
  <conditionalFormatting sqref="B6:B36">
    <cfRule type="expression" dxfId="80" priority="4" stopIfTrue="1">
      <formula>D6&lt;&gt;""</formula>
    </cfRule>
    <cfRule type="expression" dxfId="79" priority="5" stopIfTrue="1">
      <formula>C6="土"</formula>
    </cfRule>
    <cfRule type="expression" dxfId="78" priority="6" stopIfTrue="1">
      <formula>C6="日"</formula>
    </cfRule>
  </conditionalFormatting>
  <conditionalFormatting sqref="C6:C36">
    <cfRule type="expression" dxfId="77" priority="7" stopIfTrue="1">
      <formula>D6&lt;&gt;""</formula>
    </cfRule>
    <cfRule type="cellIs" dxfId="76" priority="8" stopIfTrue="1" operator="equal">
      <formula>"土"</formula>
    </cfRule>
    <cfRule type="cellIs" dxfId="75" priority="9" stopIfTrue="1" operator="equal">
      <formula>"日"</formula>
    </cfRule>
  </conditionalFormatting>
  <conditionalFormatting sqref="G6:K36">
    <cfRule type="expression" dxfId="74" priority="2" stopIfTrue="1">
      <formula>$G6="入力漏れ！！"</formula>
    </cfRule>
  </conditionalFormatting>
  <conditionalFormatting sqref="B40:F40">
    <cfRule type="expression" dxfId="73" priority="1" stopIfTrue="1">
      <formula>$B$40="入力漏れ！！"</formula>
    </cfRule>
  </conditionalFormatting>
  <printOptions horizontalCentered="1" verticalCentered="1"/>
  <pageMargins left="0.43307086614173229" right="0.35433070866141736" top="0.19685039370078741" bottom="0.35433070866141736" header="0" footer="0"/>
  <pageSetup paperSize="9" orientation="portrait" r:id="rId1"/>
  <headerFooter alignWithMargins="0">
    <oddFooter>&amp;RP209210312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6" tint="0.39997558519241921"/>
    <pageSetUpPr fitToPage="1"/>
  </sheetPr>
  <dimension ref="A1:U54"/>
  <sheetViews>
    <sheetView showGridLines="0" showWhiteSpace="0" zoomScale="90" zoomScaleNormal="90" workbookViewId="0">
      <selection activeCell="H1" sqref="H1:K2"/>
    </sheetView>
  </sheetViews>
  <sheetFormatPr defaultRowHeight="13.5"/>
  <cols>
    <col min="1" max="1" width="0.375" customWidth="1"/>
    <col min="2" max="3" width="5.25" style="2" bestFit="1" customWidth="1"/>
    <col min="4" max="4" width="9" hidden="1" customWidth="1"/>
    <col min="5" max="5" width="7.125" bestFit="1" customWidth="1"/>
    <col min="6" max="9" width="5.25" customWidth="1"/>
    <col min="10" max="11" width="10.125" customWidth="1"/>
    <col min="12" max="12" width="1.875" customWidth="1"/>
    <col min="13" max="18" width="6.375" customWidth="1"/>
    <col min="19" max="19" width="2" customWidth="1"/>
    <col min="20" max="20" width="9" customWidth="1"/>
  </cols>
  <sheetData>
    <row r="1" spans="2:21" ht="13.5" customHeight="1">
      <c r="B1" s="346" t="str">
        <f>出退社入力シート!C3&amp;"年"</f>
        <v>2022年</v>
      </c>
      <c r="C1" s="346"/>
      <c r="E1" s="347" t="str">
        <f>出退社入力シート!H3&amp;"月"</f>
        <v>5月</v>
      </c>
      <c r="F1" s="347"/>
      <c r="G1" s="54"/>
      <c r="H1" s="346" t="s">
        <v>44</v>
      </c>
      <c r="I1" s="346"/>
      <c r="J1" s="346"/>
      <c r="K1" s="346"/>
      <c r="L1" s="54"/>
      <c r="M1" s="348"/>
      <c r="N1" s="348"/>
      <c r="O1" s="348"/>
      <c r="P1" s="348"/>
      <c r="Q1" s="348"/>
      <c r="R1" s="348"/>
      <c r="S1" s="348"/>
    </row>
    <row r="2" spans="2:21" ht="13.5" customHeight="1">
      <c r="B2" s="346"/>
      <c r="C2" s="346"/>
      <c r="E2" s="347"/>
      <c r="F2" s="347"/>
      <c r="G2" s="54"/>
      <c r="H2" s="346"/>
      <c r="I2" s="346"/>
      <c r="J2" s="346"/>
      <c r="K2" s="346"/>
      <c r="L2" s="54"/>
      <c r="M2" s="349"/>
      <c r="N2" s="349"/>
      <c r="O2" s="349"/>
      <c r="P2" s="349"/>
      <c r="Q2" s="349"/>
      <c r="R2" s="349"/>
      <c r="S2" s="349"/>
    </row>
    <row r="3" spans="2:21" ht="7.5" customHeight="1" thickBot="1">
      <c r="M3" s="350"/>
      <c r="N3" s="350"/>
      <c r="O3" s="350"/>
      <c r="P3" s="350"/>
      <c r="Q3" s="350"/>
      <c r="R3" s="350"/>
      <c r="S3" s="350"/>
    </row>
    <row r="4" spans="2:21" ht="20.25" customHeight="1">
      <c r="B4" s="351" t="s">
        <v>20</v>
      </c>
      <c r="C4" s="353" t="s">
        <v>21</v>
      </c>
      <c r="D4" s="56" t="s">
        <v>39</v>
      </c>
      <c r="E4" s="353" t="s">
        <v>46</v>
      </c>
      <c r="F4" s="355" t="s">
        <v>40</v>
      </c>
      <c r="G4" s="356"/>
      <c r="H4" s="355" t="s">
        <v>14</v>
      </c>
      <c r="I4" s="356"/>
      <c r="J4" s="353" t="s">
        <v>15</v>
      </c>
      <c r="K4" s="353" t="s">
        <v>16</v>
      </c>
      <c r="L4" s="364" t="s">
        <v>19</v>
      </c>
      <c r="M4" s="365"/>
      <c r="N4" s="366"/>
      <c r="O4" s="367" t="str">
        <f>IF(出退社入力シート!G58="","入力漏れ！！",出退社入力シート!G58)</f>
        <v>情報処理システム開発</v>
      </c>
      <c r="P4" s="368"/>
      <c r="Q4" s="368"/>
      <c r="R4" s="368"/>
      <c r="S4" s="369"/>
    </row>
    <row r="5" spans="2:21" ht="18" customHeight="1">
      <c r="B5" s="352"/>
      <c r="C5" s="354"/>
      <c r="D5" s="57"/>
      <c r="E5" s="354"/>
      <c r="F5" s="357"/>
      <c r="G5" s="358"/>
      <c r="H5" s="357"/>
      <c r="I5" s="358"/>
      <c r="J5" s="354"/>
      <c r="K5" s="354"/>
      <c r="L5" s="370" t="s">
        <v>92</v>
      </c>
      <c r="M5" s="371"/>
      <c r="N5" s="371"/>
      <c r="O5" s="371"/>
      <c r="P5" s="371"/>
      <c r="Q5" s="371"/>
      <c r="R5" s="371"/>
      <c r="S5" s="372"/>
    </row>
    <row r="6" spans="2:21" ht="18" customHeight="1">
      <c r="B6" s="58">
        <f>出退社入力シート!C7</f>
        <v>44682</v>
      </c>
      <c r="C6" s="59" t="str">
        <f>出退社入力シート!D7</f>
        <v>日</v>
      </c>
      <c r="D6" s="60" t="str">
        <f>出退社入力シート!E7</f>
        <v/>
      </c>
      <c r="E6" s="59" t="str">
        <f>出退社入力シート!G7</f>
        <v/>
      </c>
      <c r="F6" s="359" t="str">
        <f>IF(出退社入力シート!H7="","",出退社入力シート!H7)</f>
        <v/>
      </c>
      <c r="G6" s="360"/>
      <c r="H6" s="359" t="str">
        <f>IF(出退社入力シート!I7="","",出退社入力シート!I7)</f>
        <v/>
      </c>
      <c r="I6" s="360"/>
      <c r="J6" s="61" t="str">
        <f>IF(出退社入力シート!J7="","",出退社入力シート!J7)</f>
        <v/>
      </c>
      <c r="K6" s="62" t="str">
        <f>IF(出退社入力シート!K7=0,"",出退社入力シート!K7)</f>
        <v/>
      </c>
      <c r="L6" s="361">
        <f>IF(AND(E6="○",出退社入力シート!Q7=""),"入力漏れ！！",出退社入力シート!Q7)</f>
        <v>0</v>
      </c>
      <c r="M6" s="362"/>
      <c r="N6" s="362"/>
      <c r="O6" s="362"/>
      <c r="P6" s="362"/>
      <c r="Q6" s="362"/>
      <c r="R6" s="362"/>
      <c r="S6" s="363"/>
    </row>
    <row r="7" spans="2:21" ht="18" customHeight="1">
      <c r="B7" s="58">
        <f>出退社入力シート!C8</f>
        <v>44683</v>
      </c>
      <c r="C7" s="59" t="str">
        <f>出退社入力シート!D8</f>
        <v>月</v>
      </c>
      <c r="D7" s="60" t="str">
        <f>出退社入力シート!E8</f>
        <v/>
      </c>
      <c r="E7" s="59" t="str">
        <f>出退社入力シート!G8</f>
        <v>○</v>
      </c>
      <c r="F7" s="359">
        <f>IF(出退社入力シート!H8="","",出退社入力シート!H8)</f>
        <v>0.375</v>
      </c>
      <c r="G7" s="360"/>
      <c r="H7" s="359">
        <f>IF(出退社入力シート!I8="","",出退社入力シート!I8)</f>
        <v>0.72916666666666663</v>
      </c>
      <c r="I7" s="360"/>
      <c r="J7" s="61">
        <f>IF(出退社入力シート!J8="","",出退社入力シート!J8)</f>
        <v>1</v>
      </c>
      <c r="K7" s="62">
        <f>IF(出退社入力シート!K8=0,"",出退社入力シート!K8)</f>
        <v>7.5</v>
      </c>
      <c r="L7" s="361" t="str">
        <f>IF(AND(E7="○",出退社入力シート!Q8=""),"入力漏れ！！",出退社入力シート!Q8)</f>
        <v>KBK D2-D12_CRUD図　調査　</v>
      </c>
      <c r="M7" s="362"/>
      <c r="N7" s="362"/>
      <c r="O7" s="362"/>
      <c r="P7" s="362"/>
      <c r="Q7" s="362"/>
      <c r="R7" s="362"/>
      <c r="S7" s="363"/>
    </row>
    <row r="8" spans="2:21" ht="18" customHeight="1">
      <c r="B8" s="58">
        <f>出退社入力シート!C9</f>
        <v>44684</v>
      </c>
      <c r="C8" s="59" t="str">
        <f>出退社入力シート!D9</f>
        <v>火</v>
      </c>
      <c r="D8" s="60" t="str">
        <f>出退社入力シート!E9</f>
        <v>憲法記念日</v>
      </c>
      <c r="E8" s="59" t="str">
        <f>出退社入力シート!G9</f>
        <v/>
      </c>
      <c r="F8" s="359" t="str">
        <f>IF(出退社入力シート!H9="","",出退社入力シート!H9)</f>
        <v/>
      </c>
      <c r="G8" s="360"/>
      <c r="H8" s="359" t="str">
        <f>IF(出退社入力シート!I9="","",出退社入力シート!I9)</f>
        <v/>
      </c>
      <c r="I8" s="360"/>
      <c r="J8" s="61" t="str">
        <f>IF(出退社入力シート!J9="","",出退社入力シート!J9)</f>
        <v/>
      </c>
      <c r="K8" s="62" t="str">
        <f>IF(出退社入力シート!K9=0,"",出退社入力シート!K9)</f>
        <v/>
      </c>
      <c r="L8" s="361">
        <f>IF(AND(E8="○",出退社入力シート!Q9=""),"入力漏れ！！",出退社入力シート!Q9)</f>
        <v>0</v>
      </c>
      <c r="M8" s="362"/>
      <c r="N8" s="362"/>
      <c r="O8" s="362"/>
      <c r="P8" s="362"/>
      <c r="Q8" s="362"/>
      <c r="R8" s="362"/>
      <c r="S8" s="363"/>
    </row>
    <row r="9" spans="2:21" ht="18" customHeight="1">
      <c r="B9" s="58">
        <f>出退社入力シート!C10</f>
        <v>44685</v>
      </c>
      <c r="C9" s="59" t="str">
        <f>出退社入力シート!D10</f>
        <v>水</v>
      </c>
      <c r="D9" s="60" t="str">
        <f>出退社入力シート!E10</f>
        <v>みどりの日</v>
      </c>
      <c r="E9" s="59" t="str">
        <f>出退社入力シート!G10</f>
        <v/>
      </c>
      <c r="F9" s="359" t="str">
        <f>IF(出退社入力シート!H10="","",出退社入力シート!H10)</f>
        <v/>
      </c>
      <c r="G9" s="360"/>
      <c r="H9" s="359" t="str">
        <f>IF(出退社入力シート!I10="","",出退社入力シート!I10)</f>
        <v/>
      </c>
      <c r="I9" s="360"/>
      <c r="J9" s="61" t="str">
        <f>IF(出退社入力シート!J10="","",出退社入力シート!J10)</f>
        <v/>
      </c>
      <c r="K9" s="62" t="str">
        <f>IF(出退社入力シート!K10=0,"",出退社入力シート!K10)</f>
        <v/>
      </c>
      <c r="L9" s="361">
        <f>IF(AND(E9="○",出退社入力シート!Q10=""),"入力漏れ！！",出退社入力シート!Q10)</f>
        <v>0</v>
      </c>
      <c r="M9" s="362"/>
      <c r="N9" s="362"/>
      <c r="O9" s="362"/>
      <c r="P9" s="362"/>
      <c r="Q9" s="362"/>
      <c r="R9" s="362"/>
      <c r="S9" s="363"/>
      <c r="U9" s="79"/>
    </row>
    <row r="10" spans="2:21" ht="18" customHeight="1">
      <c r="B10" s="58">
        <f>出退社入力シート!C11</f>
        <v>44686</v>
      </c>
      <c r="C10" s="59" t="str">
        <f>出退社入力シート!D11</f>
        <v>木</v>
      </c>
      <c r="D10" s="60" t="str">
        <f>出退社入力シート!E11</f>
        <v>こどもの日</v>
      </c>
      <c r="E10" s="59" t="str">
        <f>出退社入力シート!G11</f>
        <v/>
      </c>
      <c r="F10" s="359" t="str">
        <f>IF(出退社入力シート!H11="","",出退社入力シート!H11)</f>
        <v/>
      </c>
      <c r="G10" s="360"/>
      <c r="H10" s="359" t="str">
        <f>IF(出退社入力シート!I11="","",出退社入力シート!I11)</f>
        <v/>
      </c>
      <c r="I10" s="360"/>
      <c r="J10" s="61" t="str">
        <f>IF(出退社入力シート!J11="","",出退社入力シート!J11)</f>
        <v/>
      </c>
      <c r="K10" s="62" t="str">
        <f>IF(出退社入力シート!K11=0,"",出退社入力シート!K11)</f>
        <v/>
      </c>
      <c r="L10" s="361">
        <f>IF(AND(E10="○",出退社入力シート!Q11=""),"入力漏れ！！",出退社入力シート!Q11)</f>
        <v>0</v>
      </c>
      <c r="M10" s="362"/>
      <c r="N10" s="362"/>
      <c r="O10" s="362"/>
      <c r="P10" s="362"/>
      <c r="Q10" s="362"/>
      <c r="R10" s="362"/>
      <c r="S10" s="363"/>
    </row>
    <row r="11" spans="2:21" ht="18" customHeight="1">
      <c r="B11" s="58">
        <f>出退社入力シート!C12</f>
        <v>44687</v>
      </c>
      <c r="C11" s="59" t="str">
        <f>出退社入力シート!D12</f>
        <v>金</v>
      </c>
      <c r="D11" s="60" t="str">
        <f>出退社入力シート!E12</f>
        <v/>
      </c>
      <c r="E11" s="59" t="str">
        <f>出退社入力シート!G12</f>
        <v>○</v>
      </c>
      <c r="F11" s="359">
        <f>IF(出退社入力シート!H12="","",出退社入力シート!H12)</f>
        <v>0.375</v>
      </c>
      <c r="G11" s="360"/>
      <c r="H11" s="359">
        <f>IF(出退社入力シート!I12="","",出退社入力シート!I12)</f>
        <v>0.72916666666666663</v>
      </c>
      <c r="I11" s="360"/>
      <c r="J11" s="61">
        <f>IF(出退社入力シート!J12="","",出退社入力シート!J12)</f>
        <v>1</v>
      </c>
      <c r="K11" s="62">
        <f>IF(出退社入力シート!K12=0,"",出退社入力シート!K12)</f>
        <v>7.5</v>
      </c>
      <c r="L11" s="361" t="str">
        <f>IF(AND(E11="○",出退社入力シート!Q12=""),"入力漏れ！！",出退社入力シート!Q12)</f>
        <v>KBK D2-D12_CRUD図　調査　</v>
      </c>
      <c r="M11" s="362"/>
      <c r="N11" s="362"/>
      <c r="O11" s="362"/>
      <c r="P11" s="362"/>
      <c r="Q11" s="362"/>
      <c r="R11" s="362"/>
      <c r="S11" s="363"/>
    </row>
    <row r="12" spans="2:21" ht="18" customHeight="1">
      <c r="B12" s="58">
        <f>出退社入力シート!C13</f>
        <v>44688</v>
      </c>
      <c r="C12" s="59" t="str">
        <f>出退社入力シート!D13</f>
        <v>土</v>
      </c>
      <c r="D12" s="60" t="str">
        <f>出退社入力シート!E13</f>
        <v/>
      </c>
      <c r="E12" s="59" t="str">
        <f>出退社入力シート!G13</f>
        <v/>
      </c>
      <c r="F12" s="359" t="str">
        <f>IF(出退社入力シート!H13="","",出退社入力シート!H13)</f>
        <v/>
      </c>
      <c r="G12" s="360"/>
      <c r="H12" s="359" t="str">
        <f>IF(出退社入力シート!I13="","",出退社入力シート!I13)</f>
        <v/>
      </c>
      <c r="I12" s="360"/>
      <c r="J12" s="61" t="str">
        <f>IF(出退社入力シート!J13="","",出退社入力シート!J13)</f>
        <v/>
      </c>
      <c r="K12" s="62" t="str">
        <f>IF(出退社入力シート!K13=0,"",出退社入力シート!K13)</f>
        <v/>
      </c>
      <c r="L12" s="361">
        <f>IF(AND(E12="○",出退社入力シート!Q13=""),"入力漏れ！！",出退社入力シート!Q13)</f>
        <v>0</v>
      </c>
      <c r="M12" s="362"/>
      <c r="N12" s="362"/>
      <c r="O12" s="362"/>
      <c r="P12" s="362"/>
      <c r="Q12" s="362"/>
      <c r="R12" s="362"/>
      <c r="S12" s="363"/>
    </row>
    <row r="13" spans="2:21" ht="18" customHeight="1">
      <c r="B13" s="58">
        <f>出退社入力シート!C14</f>
        <v>44689</v>
      </c>
      <c r="C13" s="59" t="str">
        <f>出退社入力シート!D14</f>
        <v>日</v>
      </c>
      <c r="D13" s="60" t="str">
        <f>出退社入力シート!E14</f>
        <v/>
      </c>
      <c r="E13" s="59" t="str">
        <f>出退社入力シート!G14</f>
        <v/>
      </c>
      <c r="F13" s="359" t="str">
        <f>IF(出退社入力シート!H14="","",出退社入力シート!H14)</f>
        <v/>
      </c>
      <c r="G13" s="360"/>
      <c r="H13" s="359" t="str">
        <f>IF(出退社入力シート!I14="","",出退社入力シート!I14)</f>
        <v/>
      </c>
      <c r="I13" s="360"/>
      <c r="J13" s="61" t="str">
        <f>IF(出退社入力シート!J14="","",出退社入力シート!J14)</f>
        <v/>
      </c>
      <c r="K13" s="62" t="str">
        <f>IF(出退社入力シート!K14=0,"",出退社入力シート!K14)</f>
        <v/>
      </c>
      <c r="L13" s="361">
        <f>IF(AND(E13="○",出退社入力シート!Q14=""),"入力漏れ！！",出退社入力シート!Q14)</f>
        <v>0</v>
      </c>
      <c r="M13" s="362"/>
      <c r="N13" s="362"/>
      <c r="O13" s="362"/>
      <c r="P13" s="362"/>
      <c r="Q13" s="362"/>
      <c r="R13" s="362"/>
      <c r="S13" s="363"/>
    </row>
    <row r="14" spans="2:21" ht="18" customHeight="1">
      <c r="B14" s="58">
        <f>出退社入力シート!C15</f>
        <v>44690</v>
      </c>
      <c r="C14" s="59" t="str">
        <f>出退社入力シート!D15</f>
        <v>月</v>
      </c>
      <c r="D14" s="60" t="str">
        <f>出退社入力シート!E15</f>
        <v/>
      </c>
      <c r="E14" s="59" t="str">
        <f>出退社入力シート!G15</f>
        <v>○</v>
      </c>
      <c r="F14" s="359">
        <f>IF(出退社入力シート!H15="","",出退社入力シート!H15)</f>
        <v>0.375</v>
      </c>
      <c r="G14" s="360"/>
      <c r="H14" s="359">
        <f>IF(出退社入力シート!I15="","",出退社入力シート!I15)</f>
        <v>0.72916666666666663</v>
      </c>
      <c r="I14" s="360"/>
      <c r="J14" s="61">
        <f>IF(出退社入力シート!J15="","",出退社入力シート!J15)</f>
        <v>1</v>
      </c>
      <c r="K14" s="62">
        <f>IF(出退社入力シート!K15=0,"",出退社入力シート!K15)</f>
        <v>7.5</v>
      </c>
      <c r="L14" s="361" t="str">
        <f>IF(AND(E14="○",出退社入力シート!Q15=""),"入力漏れ！！",出退社入力シート!Q15)</f>
        <v>KBK D2-D12_CRUD図　調査　</v>
      </c>
      <c r="M14" s="362"/>
      <c r="N14" s="362"/>
      <c r="O14" s="362"/>
      <c r="P14" s="362"/>
      <c r="Q14" s="362"/>
      <c r="R14" s="362"/>
      <c r="S14" s="363"/>
    </row>
    <row r="15" spans="2:21" ht="18" customHeight="1">
      <c r="B15" s="58">
        <f>出退社入力シート!C16</f>
        <v>44691</v>
      </c>
      <c r="C15" s="59" t="str">
        <f>出退社入力シート!D16</f>
        <v>火</v>
      </c>
      <c r="D15" s="60" t="str">
        <f>出退社入力シート!E16</f>
        <v/>
      </c>
      <c r="E15" s="59" t="str">
        <f>出退社入力シート!G16</f>
        <v>○</v>
      </c>
      <c r="F15" s="359">
        <f>IF(出退社入力シート!H16="","",出退社入力シート!H16)</f>
        <v>0.375</v>
      </c>
      <c r="G15" s="360"/>
      <c r="H15" s="359">
        <f>IF(出退社入力シート!I16="","",出退社入力シート!I16)</f>
        <v>0.72916666666666663</v>
      </c>
      <c r="I15" s="360"/>
      <c r="J15" s="61">
        <f>IF(出退社入力シート!J16="","",出退社入力シート!J16)</f>
        <v>1</v>
      </c>
      <c r="K15" s="62">
        <f>IF(出退社入力シート!K16=0,"",出退社入力シート!K16)</f>
        <v>7.5</v>
      </c>
      <c r="L15" s="361" t="str">
        <f>IF(AND(E15="○",出退社入力シート!Q16=""),"入力漏れ！！",出退社入力シート!Q16)</f>
        <v>KBK D2-D12_CRUD図　調査　</v>
      </c>
      <c r="M15" s="362"/>
      <c r="N15" s="362"/>
      <c r="O15" s="362"/>
      <c r="P15" s="362"/>
      <c r="Q15" s="362"/>
      <c r="R15" s="362"/>
      <c r="S15" s="363"/>
    </row>
    <row r="16" spans="2:21" ht="18" customHeight="1">
      <c r="B16" s="58">
        <f>出退社入力シート!C17</f>
        <v>44692</v>
      </c>
      <c r="C16" s="59" t="str">
        <f>出退社入力シート!D17</f>
        <v>水</v>
      </c>
      <c r="D16" s="60" t="str">
        <f>出退社入力シート!E17</f>
        <v/>
      </c>
      <c r="E16" s="59" t="str">
        <f>出退社入力シート!G17</f>
        <v>○</v>
      </c>
      <c r="F16" s="359">
        <f>IF(出退社入力シート!H17="","",出退社入力シート!H17)</f>
        <v>0.375</v>
      </c>
      <c r="G16" s="360"/>
      <c r="H16" s="359">
        <f>IF(出退社入力シート!I17="","",出退社入力シート!I17)</f>
        <v>0.77083333333333337</v>
      </c>
      <c r="I16" s="360"/>
      <c r="J16" s="61">
        <f>IF(出退社入力シート!J17="","",出退社入力シート!J17)</f>
        <v>1.25</v>
      </c>
      <c r="K16" s="62">
        <f>IF(出退社入力シート!K17=0,"",出退社入力シート!K17)</f>
        <v>8.25</v>
      </c>
      <c r="L16" s="361" t="str">
        <f>IF(AND(E16="○",出退社入力シート!Q17=""),"入力漏れ！！",出退社入力シート!Q17)</f>
        <v>KBK D2-D12_CRUD図　調査　</v>
      </c>
      <c r="M16" s="362"/>
      <c r="N16" s="362"/>
      <c r="O16" s="362"/>
      <c r="P16" s="362"/>
      <c r="Q16" s="362"/>
      <c r="R16" s="362"/>
      <c r="S16" s="363"/>
    </row>
    <row r="17" spans="1:21" ht="18" customHeight="1">
      <c r="B17" s="58">
        <f>出退社入力シート!C18</f>
        <v>44693</v>
      </c>
      <c r="C17" s="59" t="str">
        <f>出退社入力シート!D18</f>
        <v>木</v>
      </c>
      <c r="D17" s="60" t="str">
        <f>出退社入力シート!E18</f>
        <v/>
      </c>
      <c r="E17" s="59" t="str">
        <f>出退社入力シート!G18</f>
        <v>○</v>
      </c>
      <c r="F17" s="359">
        <f>IF(出退社入力シート!H18="","",出退社入力シート!H18)</f>
        <v>0.375</v>
      </c>
      <c r="G17" s="360"/>
      <c r="H17" s="359">
        <f>IF(出退社入力シート!I18="","",出退社入力シート!I18)</f>
        <v>0.77083333333333337</v>
      </c>
      <c r="I17" s="360"/>
      <c r="J17" s="61">
        <f>IF(出退社入力シート!J18="","",出退社入力シート!J18)</f>
        <v>1.25</v>
      </c>
      <c r="K17" s="62">
        <f>IF(出退社入力シート!K18=0,"",出退社入力シート!K18)</f>
        <v>8.25</v>
      </c>
      <c r="L17" s="361" t="str">
        <f>IF(AND(E17="○",出退社入力シート!Q18=""),"入力漏れ！！",出退社入力シート!Q18)</f>
        <v>KBK D2-D12_CRUD図　調査　</v>
      </c>
      <c r="M17" s="362"/>
      <c r="N17" s="362"/>
      <c r="O17" s="362"/>
      <c r="P17" s="362"/>
      <c r="Q17" s="362"/>
      <c r="R17" s="362"/>
      <c r="S17" s="363"/>
    </row>
    <row r="18" spans="1:21" ht="18" customHeight="1">
      <c r="B18" s="58">
        <f>出退社入力シート!C19</f>
        <v>44694</v>
      </c>
      <c r="C18" s="59" t="str">
        <f>出退社入力シート!D19</f>
        <v>金</v>
      </c>
      <c r="D18" s="60" t="str">
        <f>出退社入力シート!E19</f>
        <v/>
      </c>
      <c r="E18" s="59" t="str">
        <f>出退社入力シート!G19</f>
        <v>○</v>
      </c>
      <c r="F18" s="359">
        <f>IF(出退社入力シート!H19="","",出退社入力シート!H19)</f>
        <v>0.375</v>
      </c>
      <c r="G18" s="360"/>
      <c r="H18" s="359">
        <f>IF(出退社入力シート!I19="","",出退社入力シート!I19)</f>
        <v>0.77083333333333337</v>
      </c>
      <c r="I18" s="360"/>
      <c r="J18" s="61">
        <f>IF(出退社入力シート!J19="","",出退社入力シート!J19)</f>
        <v>1.25</v>
      </c>
      <c r="K18" s="62">
        <f>IF(出退社入力シート!K19=0,"",出退社入力シート!K19)</f>
        <v>8.25</v>
      </c>
      <c r="L18" s="361" t="str">
        <f>IF(AND(E18="○",出退社入力シート!Q19=""),"入力漏れ！！",出退社入力シート!Q19)</f>
        <v>#28946　製造</v>
      </c>
      <c r="M18" s="362"/>
      <c r="N18" s="362"/>
      <c r="O18" s="362"/>
      <c r="P18" s="362"/>
      <c r="Q18" s="362"/>
      <c r="R18" s="362"/>
      <c r="S18" s="363"/>
    </row>
    <row r="19" spans="1:21" ht="18" customHeight="1">
      <c r="B19" s="58">
        <f>出退社入力シート!C20</f>
        <v>44695</v>
      </c>
      <c r="C19" s="59" t="str">
        <f>出退社入力シート!D20</f>
        <v>土</v>
      </c>
      <c r="D19" s="60" t="str">
        <f>出退社入力シート!E20</f>
        <v/>
      </c>
      <c r="E19" s="59" t="str">
        <f>出退社入力シート!G20</f>
        <v/>
      </c>
      <c r="F19" s="359" t="str">
        <f>IF(出退社入力シート!H20="","",出退社入力シート!H20)</f>
        <v/>
      </c>
      <c r="G19" s="360"/>
      <c r="H19" s="359" t="str">
        <f>IF(出退社入力シート!I20="","",出退社入力シート!I20)</f>
        <v/>
      </c>
      <c r="I19" s="360"/>
      <c r="J19" s="61" t="str">
        <f>IF(出退社入力シート!J20="","",出退社入力シート!J20)</f>
        <v/>
      </c>
      <c r="K19" s="62" t="str">
        <f>IF(出退社入力シート!K20=0,"",出退社入力シート!K20)</f>
        <v/>
      </c>
      <c r="L19" s="361">
        <f>IF(AND(E19="○",出退社入力シート!Q20=""),"入力漏れ！！",出退社入力シート!Q20)</f>
        <v>0</v>
      </c>
      <c r="M19" s="362"/>
      <c r="N19" s="362"/>
      <c r="O19" s="362"/>
      <c r="P19" s="362"/>
      <c r="Q19" s="362"/>
      <c r="R19" s="362"/>
      <c r="S19" s="363"/>
      <c r="U19" s="80"/>
    </row>
    <row r="20" spans="1:21" ht="18" customHeight="1">
      <c r="B20" s="58">
        <f>出退社入力シート!C21</f>
        <v>44696</v>
      </c>
      <c r="C20" s="59" t="str">
        <f>出退社入力シート!D21</f>
        <v>日</v>
      </c>
      <c r="D20" s="60" t="str">
        <f>出退社入力シート!E21</f>
        <v/>
      </c>
      <c r="E20" s="59" t="str">
        <f>出退社入力シート!G21</f>
        <v/>
      </c>
      <c r="F20" s="359" t="str">
        <f>IF(出退社入力シート!H21="","",出退社入力シート!H21)</f>
        <v/>
      </c>
      <c r="G20" s="360"/>
      <c r="H20" s="359" t="str">
        <f>IF(出退社入力シート!I21="","",出退社入力シート!I21)</f>
        <v/>
      </c>
      <c r="I20" s="360"/>
      <c r="J20" s="61" t="str">
        <f>IF(出退社入力シート!J21="","",出退社入力シート!J21)</f>
        <v/>
      </c>
      <c r="K20" s="62" t="str">
        <f>IF(出退社入力シート!K21=0,"",出退社入力シート!K21)</f>
        <v/>
      </c>
      <c r="L20" s="361">
        <f>IF(AND(E20="○",出退社入力シート!Q21=""),"入力漏れ！！",出退社入力シート!Q21)</f>
        <v>0</v>
      </c>
      <c r="M20" s="362"/>
      <c r="N20" s="362"/>
      <c r="O20" s="362"/>
      <c r="P20" s="362"/>
      <c r="Q20" s="362"/>
      <c r="R20" s="362"/>
      <c r="S20" s="363"/>
    </row>
    <row r="21" spans="1:21" ht="18" customHeight="1">
      <c r="B21" s="58">
        <f>出退社入力シート!C22</f>
        <v>44697</v>
      </c>
      <c r="C21" s="59" t="str">
        <f>出退社入力シート!D22</f>
        <v>月</v>
      </c>
      <c r="D21" s="60" t="str">
        <f>出退社入力シート!E22</f>
        <v/>
      </c>
      <c r="E21" s="59" t="str">
        <f>出退社入力シート!G22</f>
        <v>○</v>
      </c>
      <c r="F21" s="359">
        <f>IF(出退社入力シート!H22="","",出退社入力シート!H22)</f>
        <v>0.375</v>
      </c>
      <c r="G21" s="360"/>
      <c r="H21" s="359">
        <f>IF(出退社入力シート!I22="","",出退社入力シート!I22)</f>
        <v>0.77083333333333337</v>
      </c>
      <c r="I21" s="360"/>
      <c r="J21" s="61">
        <f>IF(出退社入力シート!J22="","",出退社入力シート!J22)</f>
        <v>1.25</v>
      </c>
      <c r="K21" s="62">
        <f>IF(出退社入力シート!K22=0,"",出退社入力シート!K22)</f>
        <v>8.25</v>
      </c>
      <c r="L21" s="361" t="str">
        <f>IF(AND(E21="○",出退社入力シート!Q22=""),"入力漏れ！！",出退社入力シート!Q22)</f>
        <v>#28946　製造</v>
      </c>
      <c r="M21" s="362"/>
      <c r="N21" s="362"/>
      <c r="O21" s="362"/>
      <c r="P21" s="362"/>
      <c r="Q21" s="362"/>
      <c r="R21" s="362"/>
      <c r="S21" s="363"/>
    </row>
    <row r="22" spans="1:21" ht="18" customHeight="1">
      <c r="B22" s="58">
        <f>出退社入力シート!C23</f>
        <v>44698</v>
      </c>
      <c r="C22" s="59" t="str">
        <f>出退社入力シート!D23</f>
        <v>火</v>
      </c>
      <c r="D22" s="60" t="str">
        <f>出退社入力シート!E23</f>
        <v/>
      </c>
      <c r="E22" s="59" t="str">
        <f>出退社入力シート!G23</f>
        <v>○</v>
      </c>
      <c r="F22" s="359">
        <f>IF(出退社入力シート!H23="","",出退社入力シート!H23)</f>
        <v>0.375</v>
      </c>
      <c r="G22" s="360"/>
      <c r="H22" s="359">
        <f>IF(出退社入力シート!I23="","",出退社入力シート!I23)</f>
        <v>0.77083333333333337</v>
      </c>
      <c r="I22" s="360"/>
      <c r="J22" s="61">
        <f>IF(出退社入力シート!J23="","",出退社入力シート!J23)</f>
        <v>1.25</v>
      </c>
      <c r="K22" s="62">
        <f>IF(出退社入力シート!K23=0,"",出退社入力シート!K23)</f>
        <v>8.25</v>
      </c>
      <c r="L22" s="361" t="str">
        <f>IF(AND(E22="○",出退社入力シート!Q23=""),"入力漏れ！！",出退社入力シート!Q23)</f>
        <v>#28946　UT仕様書作成</v>
      </c>
      <c r="M22" s="362"/>
      <c r="N22" s="362"/>
      <c r="O22" s="362"/>
      <c r="P22" s="362"/>
      <c r="Q22" s="362"/>
      <c r="R22" s="362"/>
      <c r="S22" s="363"/>
    </row>
    <row r="23" spans="1:21" ht="18" customHeight="1">
      <c r="B23" s="58">
        <f>出退社入力シート!C24</f>
        <v>44699</v>
      </c>
      <c r="C23" s="59" t="str">
        <f>出退社入力シート!D24</f>
        <v>水</v>
      </c>
      <c r="D23" s="60" t="str">
        <f>出退社入力シート!E24</f>
        <v/>
      </c>
      <c r="E23" s="59" t="str">
        <f>出退社入力シート!G24</f>
        <v>○</v>
      </c>
      <c r="F23" s="359">
        <f>IF(出退社入力シート!H24="","",出退社入力シート!H24)</f>
        <v>0.375</v>
      </c>
      <c r="G23" s="360"/>
      <c r="H23" s="359">
        <f>IF(出退社入力シート!I24="","",出退社入力シート!I24)</f>
        <v>0.77083333333333337</v>
      </c>
      <c r="I23" s="360"/>
      <c r="J23" s="61">
        <f>IF(出退社入力シート!J24="","",出退社入力シート!J24)</f>
        <v>1.25</v>
      </c>
      <c r="K23" s="62">
        <f>IF(出退社入力シート!K24=0,"",出退社入力シート!K24)</f>
        <v>8.25</v>
      </c>
      <c r="L23" s="361" t="str">
        <f>IF(AND(E23="○",出退社入力シート!Q24=""),"入力漏れ！！",出退社入力シート!Q24)</f>
        <v>#28946　UT仕様書作成</v>
      </c>
      <c r="M23" s="362"/>
      <c r="N23" s="362"/>
      <c r="O23" s="362"/>
      <c r="P23" s="362"/>
      <c r="Q23" s="362"/>
      <c r="R23" s="362"/>
      <c r="S23" s="363"/>
    </row>
    <row r="24" spans="1:21" ht="18" customHeight="1">
      <c r="B24" s="58">
        <f>出退社入力シート!C25</f>
        <v>44700</v>
      </c>
      <c r="C24" s="59" t="str">
        <f>出退社入力シート!D25</f>
        <v>木</v>
      </c>
      <c r="D24" s="60" t="str">
        <f>出退社入力シート!E25</f>
        <v/>
      </c>
      <c r="E24" s="59" t="str">
        <f>出退社入力シート!G25</f>
        <v>○</v>
      </c>
      <c r="F24" s="359">
        <f>IF(出退社入力シート!H25="","",出退社入力シート!H25)</f>
        <v>0.54166666666666663</v>
      </c>
      <c r="G24" s="360"/>
      <c r="H24" s="359">
        <f>IF(出退社入力シート!I25="","",出退社入力シート!I25)</f>
        <v>0.72916666666666663</v>
      </c>
      <c r="I24" s="360"/>
      <c r="J24" s="61" t="str">
        <f>IF(出退社入力シート!J25="","",出退社入力シート!J25)</f>
        <v/>
      </c>
      <c r="K24" s="62">
        <f>IF(出退社入力シート!K25=0,"",出退社入力シート!K25)</f>
        <v>4.5</v>
      </c>
      <c r="L24" s="361" t="str">
        <f>IF(AND(E24="○",出退社入力シート!Q25=""),"入力漏れ！！",出退社入力シート!Q25)</f>
        <v>#28946　UT仕様書作成</v>
      </c>
      <c r="M24" s="362"/>
      <c r="N24" s="362"/>
      <c r="O24" s="362"/>
      <c r="P24" s="362"/>
      <c r="Q24" s="362"/>
      <c r="R24" s="362"/>
      <c r="S24" s="363"/>
    </row>
    <row r="25" spans="1:21" ht="18" customHeight="1">
      <c r="B25" s="58">
        <f>出退社入力シート!C26</f>
        <v>44701</v>
      </c>
      <c r="C25" s="59" t="str">
        <f>出退社入力シート!D26</f>
        <v>金</v>
      </c>
      <c r="D25" s="60" t="str">
        <f>出退社入力シート!E26</f>
        <v/>
      </c>
      <c r="E25" s="59" t="str">
        <f>出退社入力シート!G26</f>
        <v>○</v>
      </c>
      <c r="F25" s="359">
        <f>IF(出退社入力シート!H26="","",出退社入力シート!H26)</f>
        <v>0.375</v>
      </c>
      <c r="G25" s="360"/>
      <c r="H25" s="359">
        <f>IF(出退社入力シート!I26="","",出退社入力シート!I26)</f>
        <v>0.77083333333333337</v>
      </c>
      <c r="I25" s="360"/>
      <c r="J25" s="61">
        <f>IF(出退社入力シート!J26="","",出退社入力シート!J26)</f>
        <v>1.25</v>
      </c>
      <c r="K25" s="62">
        <f>IF(出退社入力シート!K26=0,"",出退社入力シート!K26)</f>
        <v>8.25</v>
      </c>
      <c r="L25" s="361" t="str">
        <f>IF(AND(E25="○",出退社入力シート!Q26=""),"入力漏れ！！",出退社入力シート!Q26)</f>
        <v>#28946　テスト実施</v>
      </c>
      <c r="M25" s="362"/>
      <c r="N25" s="362"/>
      <c r="O25" s="362"/>
      <c r="P25" s="362"/>
      <c r="Q25" s="362"/>
      <c r="R25" s="362"/>
      <c r="S25" s="363"/>
    </row>
    <row r="26" spans="1:21" ht="18" customHeight="1">
      <c r="B26" s="63">
        <f>出退社入力シート!C27</f>
        <v>44702</v>
      </c>
      <c r="C26" s="64" t="str">
        <f>出退社入力シート!D27</f>
        <v>土</v>
      </c>
      <c r="D26" s="65" t="str">
        <f>出退社入力シート!E27</f>
        <v/>
      </c>
      <c r="E26" s="64" t="str">
        <f>出退社入力シート!G27</f>
        <v/>
      </c>
      <c r="F26" s="359" t="str">
        <f>IF(出退社入力シート!H27="","",出退社入力シート!H27)</f>
        <v/>
      </c>
      <c r="G26" s="360"/>
      <c r="H26" s="359" t="str">
        <f>IF(出退社入力シート!I27="","",出退社入力シート!I27)</f>
        <v/>
      </c>
      <c r="I26" s="360"/>
      <c r="J26" s="66" t="str">
        <f>IF(出退社入力シート!J27="","",出退社入力シート!J27)</f>
        <v/>
      </c>
      <c r="K26" s="67" t="str">
        <f>IF(出退社入力シート!K27=0,"",出退社入力シート!K27)</f>
        <v/>
      </c>
      <c r="L26" s="361">
        <f>IF(AND(E26="○",出退社入力シート!Q27=""),"入力漏れ！！",出退社入力シート!Q27)</f>
        <v>0</v>
      </c>
      <c r="M26" s="362"/>
      <c r="N26" s="362"/>
      <c r="O26" s="362"/>
      <c r="P26" s="362"/>
      <c r="Q26" s="362"/>
      <c r="R26" s="362"/>
      <c r="S26" s="363"/>
    </row>
    <row r="27" spans="1:21" ht="18" customHeight="1">
      <c r="B27" s="63">
        <f>出退社入力シート!C28</f>
        <v>44703</v>
      </c>
      <c r="C27" s="64" t="str">
        <f>出退社入力シート!D28</f>
        <v>日</v>
      </c>
      <c r="D27" s="65" t="str">
        <f>出退社入力シート!E28</f>
        <v/>
      </c>
      <c r="E27" s="64" t="str">
        <f>出退社入力シート!G28</f>
        <v/>
      </c>
      <c r="F27" s="359" t="str">
        <f>IF(出退社入力シート!H28="","",出退社入力シート!H28)</f>
        <v/>
      </c>
      <c r="G27" s="360"/>
      <c r="H27" s="359" t="str">
        <f>IF(出退社入力シート!I28="","",出退社入力シート!I28)</f>
        <v/>
      </c>
      <c r="I27" s="360"/>
      <c r="J27" s="66" t="str">
        <f>IF(出退社入力シート!J28="","",出退社入力シート!J28)</f>
        <v/>
      </c>
      <c r="K27" s="67" t="str">
        <f>IF(出退社入力シート!K28=0,"",出退社入力シート!K28)</f>
        <v/>
      </c>
      <c r="L27" s="361">
        <f>IF(AND(E27="○",出退社入力シート!Q28=""),"入力漏れ！！",出退社入力シート!Q28)</f>
        <v>0</v>
      </c>
      <c r="M27" s="362"/>
      <c r="N27" s="362"/>
      <c r="O27" s="362"/>
      <c r="P27" s="362"/>
      <c r="Q27" s="362"/>
      <c r="R27" s="362"/>
      <c r="S27" s="363"/>
    </row>
    <row r="28" spans="1:21" ht="18" customHeight="1">
      <c r="A28" s="26"/>
      <c r="B28" s="63">
        <f>出退社入力シート!C29</f>
        <v>44704</v>
      </c>
      <c r="C28" s="64" t="str">
        <f>出退社入力シート!D29</f>
        <v>月</v>
      </c>
      <c r="D28" s="65" t="str">
        <f>出退社入力シート!E29</f>
        <v/>
      </c>
      <c r="E28" s="64" t="str">
        <f>出退社入力シート!G29</f>
        <v>○</v>
      </c>
      <c r="F28" s="359">
        <f>IF(出退社入力シート!H29="","",出退社入力シート!H29)</f>
        <v>0.375</v>
      </c>
      <c r="G28" s="360"/>
      <c r="H28" s="359">
        <f>IF(出退社入力シート!I29="","",出退社入力シート!I29)</f>
        <v>0.77083333333333337</v>
      </c>
      <c r="I28" s="360"/>
      <c r="J28" s="66">
        <f>IF(出退社入力シート!J29="","",出退社入力シート!J29)</f>
        <v>1.25</v>
      </c>
      <c r="K28" s="67">
        <f>IF(出退社入力シート!K29=0,"",出退社入力シート!K29)</f>
        <v>8.25</v>
      </c>
      <c r="L28" s="361" t="str">
        <f>IF(AND(E28="○",出退社入力シート!Q29=""),"入力漏れ！！",出退社入力シート!Q29)</f>
        <v>#28946　テスト実施</v>
      </c>
      <c r="M28" s="362"/>
      <c r="N28" s="362"/>
      <c r="O28" s="362"/>
      <c r="P28" s="362"/>
      <c r="Q28" s="362"/>
      <c r="R28" s="362"/>
      <c r="S28" s="363"/>
    </row>
    <row r="29" spans="1:21" ht="18" customHeight="1">
      <c r="B29" s="63">
        <f>出退社入力シート!C30</f>
        <v>44705</v>
      </c>
      <c r="C29" s="64" t="str">
        <f>出退社入力シート!D30</f>
        <v>火</v>
      </c>
      <c r="D29" s="65" t="str">
        <f>出退社入力シート!E30</f>
        <v/>
      </c>
      <c r="E29" s="64" t="str">
        <f>出退社入力シート!G30</f>
        <v>○</v>
      </c>
      <c r="F29" s="359">
        <f>IF(出退社入力シート!H30="","",出退社入力シート!H30)</f>
        <v>0.375</v>
      </c>
      <c r="G29" s="360"/>
      <c r="H29" s="359">
        <f>IF(出退社入力シート!I30="","",出退社入力シート!I30)</f>
        <v>0.88541666666666663</v>
      </c>
      <c r="I29" s="360"/>
      <c r="J29" s="66">
        <f>IF(出退社入力シート!J30="","",出退社入力シート!J30)</f>
        <v>1.25</v>
      </c>
      <c r="K29" s="67">
        <f>IF(出退社入力シート!K30=0,"",出退社入力シート!K30)</f>
        <v>11</v>
      </c>
      <c r="L29" s="361" t="str">
        <f>IF(AND(E29="○",出退社入力シート!Q30=""),"入力漏れ！！",出退社入力シート!Q30)</f>
        <v>#28805　本番障害対応</v>
      </c>
      <c r="M29" s="362"/>
      <c r="N29" s="362"/>
      <c r="O29" s="362"/>
      <c r="P29" s="362"/>
      <c r="Q29" s="362"/>
      <c r="R29" s="362"/>
      <c r="S29" s="363"/>
    </row>
    <row r="30" spans="1:21" ht="18" customHeight="1">
      <c r="B30" s="58">
        <f>出退社入力シート!C31</f>
        <v>44706</v>
      </c>
      <c r="C30" s="59" t="str">
        <f>出退社入力シート!D31</f>
        <v>水</v>
      </c>
      <c r="D30" s="60" t="str">
        <f>出退社入力シート!E31</f>
        <v/>
      </c>
      <c r="E30" s="59" t="str">
        <f>出退社入力シート!G31</f>
        <v>○</v>
      </c>
      <c r="F30" s="359">
        <f>IF(出退社入力シート!H31="","",出退社入力シート!H31)</f>
        <v>0.375</v>
      </c>
      <c r="G30" s="360"/>
      <c r="H30" s="359">
        <f>IF(出退社入力シート!I31="","",出退社入力シート!I31)</f>
        <v>0.85416666666666663</v>
      </c>
      <c r="I30" s="360"/>
      <c r="J30" s="61">
        <f>IF(出退社入力シート!J31="","",出退社入力シート!J31)</f>
        <v>1.25</v>
      </c>
      <c r="K30" s="62">
        <f>IF(出退社入力シート!K31=0,"",出退社入力シート!K31)</f>
        <v>10.25</v>
      </c>
      <c r="L30" s="361" t="str">
        <f>IF(AND(E30="○",出退社入力シート!Q31=""),"入力漏れ！！",出退社入力シート!Q31)</f>
        <v>#28805　本番障害対応</v>
      </c>
      <c r="M30" s="362"/>
      <c r="N30" s="362"/>
      <c r="O30" s="362"/>
      <c r="P30" s="362"/>
      <c r="Q30" s="362"/>
      <c r="R30" s="362"/>
      <c r="S30" s="363"/>
    </row>
    <row r="31" spans="1:21" ht="18" customHeight="1">
      <c r="B31" s="58">
        <f>出退社入力シート!C32</f>
        <v>44707</v>
      </c>
      <c r="C31" s="59" t="str">
        <f>出退社入力シート!D32</f>
        <v>木</v>
      </c>
      <c r="D31" s="60" t="str">
        <f>出退社入力シート!E32</f>
        <v/>
      </c>
      <c r="E31" s="59" t="str">
        <f>出退社入力シート!G32</f>
        <v>○</v>
      </c>
      <c r="F31" s="359">
        <f>IF(出退社入力シート!H32="","",出退社入力シート!H32)</f>
        <v>0.375</v>
      </c>
      <c r="G31" s="360"/>
      <c r="H31" s="359">
        <f>IF(出退社入力シート!I32="","",出退社入力シート!I32)</f>
        <v>0.77083333333333337</v>
      </c>
      <c r="I31" s="360"/>
      <c r="J31" s="61">
        <f>IF(出退社入力シート!J32="","",出退社入力シート!J32)</f>
        <v>1.25</v>
      </c>
      <c r="K31" s="62">
        <f>IF(出退社入力シート!K32=0,"",出退社入力シート!K32)</f>
        <v>8.25</v>
      </c>
      <c r="L31" s="361" t="str">
        <f>IF(AND(E31="○",出退社入力シート!Q32=""),"入力漏れ！！",出退社入力シート!Q32)</f>
        <v>#28805　本番障害対応</v>
      </c>
      <c r="M31" s="362"/>
      <c r="N31" s="362"/>
      <c r="O31" s="362"/>
      <c r="P31" s="362"/>
      <c r="Q31" s="362"/>
      <c r="R31" s="362"/>
      <c r="S31" s="363"/>
    </row>
    <row r="32" spans="1:21" ht="18" customHeight="1">
      <c r="B32" s="58">
        <f>出退社入力シート!C33</f>
        <v>44708</v>
      </c>
      <c r="C32" s="59" t="str">
        <f>出退社入力シート!D33</f>
        <v>金</v>
      </c>
      <c r="D32" s="60" t="str">
        <f>出退社入力シート!E33</f>
        <v/>
      </c>
      <c r="E32" s="59" t="str">
        <f>出退社入力シート!G33</f>
        <v>○</v>
      </c>
      <c r="F32" s="359">
        <f>IF(出退社入力シート!H33="","",出退社入力シート!H33)</f>
        <v>0.375</v>
      </c>
      <c r="G32" s="360"/>
      <c r="H32" s="359">
        <f>IF(出退社入力シート!I33="","",出退社入力シート!I33)</f>
        <v>0.77083333333333337</v>
      </c>
      <c r="I32" s="360"/>
      <c r="J32" s="61">
        <f>IF(出退社入力シート!J33="","",出退社入力シート!J33)</f>
        <v>1.25</v>
      </c>
      <c r="K32" s="62">
        <f>IF(出退社入力シート!K33=0,"",出退社入力シート!K33)</f>
        <v>8.25</v>
      </c>
      <c r="L32" s="361" t="str">
        <f>IF(AND(E32="○",出退社入力シート!Q33=""),"入力漏れ！！",出退社入力シート!Q33)</f>
        <v>#28946　テスト実施</v>
      </c>
      <c r="M32" s="362"/>
      <c r="N32" s="362"/>
      <c r="O32" s="362"/>
      <c r="P32" s="362"/>
      <c r="Q32" s="362"/>
      <c r="R32" s="362"/>
      <c r="S32" s="363"/>
    </row>
    <row r="33" spans="2:19" ht="18" customHeight="1">
      <c r="B33" s="58">
        <f>出退社入力シート!C34</f>
        <v>44709</v>
      </c>
      <c r="C33" s="59" t="str">
        <f>出退社入力シート!D34</f>
        <v>土</v>
      </c>
      <c r="D33" s="60" t="str">
        <f>出退社入力シート!E34</f>
        <v/>
      </c>
      <c r="E33" s="59" t="str">
        <f>出退社入力シート!G34</f>
        <v/>
      </c>
      <c r="F33" s="359" t="str">
        <f>IF(出退社入力シート!H34="","",出退社入力シート!H34)</f>
        <v/>
      </c>
      <c r="G33" s="360"/>
      <c r="H33" s="359" t="str">
        <f>IF(出退社入力シート!I34="","",出退社入力シート!I34)</f>
        <v/>
      </c>
      <c r="I33" s="360"/>
      <c r="J33" s="61" t="str">
        <f>IF(出退社入力シート!J34="","",出退社入力シート!J34)</f>
        <v/>
      </c>
      <c r="K33" s="62" t="str">
        <f>IF(出退社入力シート!K34=0,"",出退社入力シート!K34)</f>
        <v/>
      </c>
      <c r="L33" s="361">
        <f>IF(AND(E33="○",出退社入力シート!Q34=""),"入力漏れ！！",出退社入力シート!Q34)</f>
        <v>0</v>
      </c>
      <c r="M33" s="362"/>
      <c r="N33" s="362"/>
      <c r="O33" s="362"/>
      <c r="P33" s="362"/>
      <c r="Q33" s="362"/>
      <c r="R33" s="362"/>
      <c r="S33" s="363"/>
    </row>
    <row r="34" spans="2:19" ht="18" customHeight="1">
      <c r="B34" s="58">
        <f>出退社入力シート!C35</f>
        <v>44710</v>
      </c>
      <c r="C34" s="59" t="str">
        <f>出退社入力シート!D35</f>
        <v>日</v>
      </c>
      <c r="D34" s="60" t="str">
        <f>出退社入力シート!E35</f>
        <v/>
      </c>
      <c r="E34" s="59" t="str">
        <f>出退社入力シート!G35</f>
        <v/>
      </c>
      <c r="F34" s="359" t="str">
        <f>IF(出退社入力シート!H35="","",出退社入力シート!H35)</f>
        <v/>
      </c>
      <c r="G34" s="360"/>
      <c r="H34" s="359" t="str">
        <f>IF(出退社入力シート!I35="","",出退社入力シート!I35)</f>
        <v/>
      </c>
      <c r="I34" s="360"/>
      <c r="J34" s="61" t="str">
        <f>IF(出退社入力シート!J35="","",出退社入力シート!J35)</f>
        <v/>
      </c>
      <c r="K34" s="62" t="str">
        <f>IF(出退社入力シート!K35=0,"",出退社入力シート!K35)</f>
        <v/>
      </c>
      <c r="L34" s="361">
        <f>IF(AND(E34="○",出退社入力シート!Q35=""),"入力漏れ！！",出退社入力シート!Q35)</f>
        <v>0</v>
      </c>
      <c r="M34" s="362"/>
      <c r="N34" s="362"/>
      <c r="O34" s="362"/>
      <c r="P34" s="362"/>
      <c r="Q34" s="362"/>
      <c r="R34" s="362"/>
      <c r="S34" s="363"/>
    </row>
    <row r="35" spans="2:19" ht="18" customHeight="1">
      <c r="B35" s="58">
        <f>出退社入力シート!C36</f>
        <v>44711</v>
      </c>
      <c r="C35" s="59" t="str">
        <f>出退社入力シート!D36</f>
        <v>月</v>
      </c>
      <c r="D35" s="60" t="str">
        <f>出退社入力シート!E36</f>
        <v/>
      </c>
      <c r="E35" s="59" t="str">
        <f>出退社入力シート!G36</f>
        <v>○</v>
      </c>
      <c r="F35" s="359">
        <f>IF(出退社入力シート!H36="","",出退社入力シート!H36)</f>
        <v>0.375</v>
      </c>
      <c r="G35" s="360"/>
      <c r="H35" s="359">
        <f>IF(出退社入力シート!I36="","",出退社入力シート!I36)</f>
        <v>0.72916666666666663</v>
      </c>
      <c r="I35" s="360"/>
      <c r="J35" s="61">
        <f>IF(出退社入力シート!J36="","",出退社入力シート!J36)</f>
        <v>1</v>
      </c>
      <c r="K35" s="62">
        <f>IF(出退社入力シート!K36=0,"",出退社入力シート!K36)</f>
        <v>7.5</v>
      </c>
      <c r="L35" s="361" t="str">
        <f>IF(AND(E35="○",出退社入力シート!Q36=""),"入力漏れ！！",出退社入力シート!Q36)</f>
        <v>#28946　テスト実施</v>
      </c>
      <c r="M35" s="362"/>
      <c r="N35" s="362"/>
      <c r="O35" s="362"/>
      <c r="P35" s="362"/>
      <c r="Q35" s="362"/>
      <c r="R35" s="362"/>
      <c r="S35" s="363"/>
    </row>
    <row r="36" spans="2:19" ht="18" customHeight="1" thickBot="1">
      <c r="B36" s="58">
        <f>出退社入力シート!C37</f>
        <v>44712</v>
      </c>
      <c r="C36" s="59" t="str">
        <f>出退社入力シート!D37</f>
        <v>火</v>
      </c>
      <c r="D36" s="60" t="str">
        <f>出退社入力シート!E37</f>
        <v/>
      </c>
      <c r="E36" s="59" t="str">
        <f>出退社入力シート!G37</f>
        <v>○</v>
      </c>
      <c r="F36" s="359">
        <f>IF(出退社入力シート!H37="","",出退社入力シート!H37)</f>
        <v>0.375</v>
      </c>
      <c r="G36" s="360"/>
      <c r="H36" s="359">
        <f>IF(出退社入力シート!I37="","",出退社入力シート!I37)</f>
        <v>0.72916666666666663</v>
      </c>
      <c r="I36" s="360"/>
      <c r="J36" s="61">
        <f>IF(出退社入力シート!J37="","",出退社入力シート!J37)</f>
        <v>1</v>
      </c>
      <c r="K36" s="62">
        <f>IF(出退社入力シート!K37=0,"",出退社入力シート!K37)</f>
        <v>7.5</v>
      </c>
      <c r="L36" s="373" t="str">
        <f>IF(AND(E36="○",出退社入力シート!Q37=""),"入力漏れ！！",出退社入力シート!Q37)</f>
        <v>#28946　テスト実施</v>
      </c>
      <c r="M36" s="374"/>
      <c r="N36" s="374"/>
      <c r="O36" s="374"/>
      <c r="P36" s="374"/>
      <c r="Q36" s="374"/>
      <c r="R36" s="374"/>
      <c r="S36" s="375"/>
    </row>
    <row r="37" spans="2:19" ht="18" customHeight="1" thickBot="1">
      <c r="B37" s="410" t="s">
        <v>128</v>
      </c>
      <c r="C37" s="411"/>
      <c r="D37" s="69"/>
      <c r="E37" s="68" t="s">
        <v>30</v>
      </c>
      <c r="F37" s="412"/>
      <c r="G37" s="413"/>
      <c r="H37" s="412"/>
      <c r="I37" s="413"/>
      <c r="J37" s="70" t="s">
        <v>41</v>
      </c>
      <c r="K37" s="71" t="s">
        <v>42</v>
      </c>
      <c r="L37" s="72"/>
      <c r="M37" s="72"/>
      <c r="N37" s="72"/>
      <c r="O37" s="72"/>
      <c r="P37" s="72"/>
      <c r="Q37" s="72"/>
      <c r="R37" s="72"/>
      <c r="S37" s="72"/>
    </row>
    <row r="38" spans="2:19" ht="17.25" customHeight="1">
      <c r="B38" s="416">
        <f>出退社入力シート!F38</f>
        <v>19</v>
      </c>
      <c r="C38" s="417"/>
      <c r="D38" s="73"/>
      <c r="E38" s="64">
        <f>COUNTIF(E6:E29,"○")+COUNTIF(E30:E36,"○")</f>
        <v>19</v>
      </c>
      <c r="F38" s="414"/>
      <c r="G38" s="415"/>
      <c r="H38" s="414"/>
      <c r="I38" s="415"/>
      <c r="J38" s="74">
        <f>出退社入力シート!J38</f>
        <v>21</v>
      </c>
      <c r="K38" s="75">
        <f>出退社入力シート!K38</f>
        <v>153.25</v>
      </c>
      <c r="L38" s="72"/>
      <c r="M38" s="109" t="s">
        <v>129</v>
      </c>
      <c r="N38" s="110"/>
      <c r="O38" s="110"/>
      <c r="P38" s="110"/>
      <c r="Q38" s="110"/>
      <c r="R38" s="110"/>
      <c r="S38" s="111"/>
    </row>
    <row r="39" spans="2:19" ht="17.25" customHeight="1">
      <c r="B39" s="418" t="s">
        <v>17</v>
      </c>
      <c r="C39" s="419"/>
      <c r="D39" s="419"/>
      <c r="E39" s="419"/>
      <c r="F39" s="419"/>
      <c r="G39" s="419"/>
      <c r="H39" s="419"/>
      <c r="I39" s="419"/>
      <c r="J39" s="419"/>
      <c r="K39" s="76" t="s">
        <v>33</v>
      </c>
      <c r="L39" s="72"/>
      <c r="M39" s="376" t="str">
        <f>IF(OR(出退社入力シート!I53="",出退社入力シート!L53=""),"入力漏れ！！",出退社入力シート!G53&amp;出退社入力シート!H53&amp;出退社入力シート!I53&amp;出退社入力シート!J53&amp;出退社入力シート!K53&amp;出退社入力シート!G53&amp;出退社入力シート!H53&amp;出退社入力シート!L53&amp;出退社入力シート!M53)</f>
        <v>入力漏れ！！</v>
      </c>
      <c r="N39" s="377"/>
      <c r="O39" s="377"/>
      <c r="P39" s="377"/>
      <c r="Q39" s="377"/>
      <c r="R39" s="377"/>
      <c r="S39" s="378"/>
    </row>
    <row r="40" spans="2:19" ht="17.25" customHeight="1">
      <c r="B40" s="387" t="str">
        <f>IF(出退社入力シート!K41="","",出退社入力シート!K41)</f>
        <v>1220843</v>
      </c>
      <c r="C40" s="388" t="s">
        <v>131</v>
      </c>
      <c r="D40" s="176"/>
      <c r="E40" s="389" t="str">
        <f>IF(出退社入力シート!L41="","",出退社入力シート!L41)</f>
        <v>準委116_1003520000_購買物流システム開発支援作業　2022/4～2023/3</v>
      </c>
      <c r="F40" s="389"/>
      <c r="G40" s="389"/>
      <c r="H40" s="389"/>
      <c r="I40" s="389"/>
      <c r="J40" s="389"/>
      <c r="K40" s="78">
        <f>出退社入力シート!P41</f>
        <v>153.25</v>
      </c>
      <c r="L40" s="72"/>
      <c r="M40" s="379"/>
      <c r="N40" s="380"/>
      <c r="O40" s="380"/>
      <c r="P40" s="380"/>
      <c r="Q40" s="380"/>
      <c r="R40" s="380"/>
      <c r="S40" s="381"/>
    </row>
    <row r="41" spans="2:19" ht="17.25" customHeight="1">
      <c r="B41" s="387" t="str">
        <f>IF(OR(出退社入力シート!K42="",出退社入力シート!P42=""),"",出退社入力シート!K42)</f>
        <v/>
      </c>
      <c r="C41" s="388" t="s">
        <v>131</v>
      </c>
      <c r="D41" s="176"/>
      <c r="E41" s="389" t="str">
        <f>IF(OR(出退社入力シート!L42="",出退社入力シート!P42=""),"",出退社入力シート!L42)</f>
        <v/>
      </c>
      <c r="F41" s="389"/>
      <c r="G41" s="389"/>
      <c r="H41" s="389"/>
      <c r="I41" s="389"/>
      <c r="J41" s="389"/>
      <c r="K41" s="78" t="str">
        <f>出退社入力シート!P42</f>
        <v/>
      </c>
      <c r="L41" s="72"/>
      <c r="M41" s="112" t="s">
        <v>130</v>
      </c>
      <c r="N41" s="113"/>
      <c r="O41" s="113"/>
      <c r="P41" s="113"/>
      <c r="Q41" s="113"/>
      <c r="R41" s="113"/>
      <c r="S41" s="114"/>
    </row>
    <row r="42" spans="2:19" ht="17.25" customHeight="1">
      <c r="B42" s="387" t="str">
        <f>IF(OR(出退社入力シート!K43="",出退社入力シート!P43=""),"",出退社入力シート!K43)</f>
        <v/>
      </c>
      <c r="C42" s="388" t="s">
        <v>131</v>
      </c>
      <c r="D42" s="176"/>
      <c r="E42" s="389" t="str">
        <f>IF(OR(出退社入力シート!L43="",出退社入力シート!P43=""),"",出退社入力シート!L43)</f>
        <v/>
      </c>
      <c r="F42" s="389"/>
      <c r="G42" s="389"/>
      <c r="H42" s="389"/>
      <c r="I42" s="389"/>
      <c r="J42" s="389"/>
      <c r="K42" s="78" t="str">
        <f>出退社入力シート!P43</f>
        <v/>
      </c>
      <c r="L42" s="72"/>
      <c r="M42" s="396" t="str">
        <f>出退社入力シート!G48</f>
        <v>情報技術開発株式会社</v>
      </c>
      <c r="N42" s="397"/>
      <c r="O42" s="397"/>
      <c r="P42" s="397"/>
      <c r="Q42" s="397"/>
      <c r="R42" s="397"/>
      <c r="S42" s="398"/>
    </row>
    <row r="43" spans="2:19" ht="17.25" customHeight="1">
      <c r="B43" s="387" t="str">
        <f>IF(OR(出退社入力シート!K44="",出退社入力シート!P44=""),"",出退社入力シート!K44)</f>
        <v/>
      </c>
      <c r="C43" s="388" t="s">
        <v>131</v>
      </c>
      <c r="D43" s="176"/>
      <c r="E43" s="389" t="str">
        <f>IF(OR(出退社入力シート!L44="",出退社入力シート!P44=""),"",出退社入力シート!L44)</f>
        <v/>
      </c>
      <c r="F43" s="389"/>
      <c r="G43" s="389"/>
      <c r="H43" s="389"/>
      <c r="I43" s="389"/>
      <c r="J43" s="389"/>
      <c r="K43" s="78" t="str">
        <f>出退社入力シート!P44</f>
        <v/>
      </c>
      <c r="L43" s="72"/>
      <c r="M43" s="399"/>
      <c r="N43" s="400"/>
      <c r="O43" s="400"/>
      <c r="P43" s="400"/>
      <c r="Q43" s="400"/>
      <c r="R43" s="400"/>
      <c r="S43" s="401"/>
    </row>
    <row r="44" spans="2:19" ht="17.25" customHeight="1">
      <c r="B44" s="387" t="str">
        <f>IF(OR(出退社入力シート!K45="",出退社入力シート!P45=""),"",出退社入力シート!K45)</f>
        <v/>
      </c>
      <c r="C44" s="388" t="s">
        <v>131</v>
      </c>
      <c r="D44" s="176"/>
      <c r="E44" s="389" t="str">
        <f>IF(OR(出退社入力シート!L45="",出退社入力シート!P45=""),"",出退社入力シート!L45)</f>
        <v/>
      </c>
      <c r="F44" s="389"/>
      <c r="G44" s="389"/>
      <c r="H44" s="389"/>
      <c r="I44" s="389"/>
      <c r="J44" s="389"/>
      <c r="K44" s="78" t="str">
        <f>出退社入力シート!P45</f>
        <v/>
      </c>
      <c r="L44" s="72"/>
      <c r="M44" s="112" t="s">
        <v>292</v>
      </c>
      <c r="N44" s="113"/>
      <c r="O44" s="113"/>
      <c r="P44" s="113"/>
      <c r="Q44" s="113"/>
      <c r="R44" s="113"/>
      <c r="S44" s="114"/>
    </row>
    <row r="45" spans="2:19" ht="14.25" customHeight="1">
      <c r="B45" s="422" t="s">
        <v>72</v>
      </c>
      <c r="C45" s="423"/>
      <c r="D45" s="423"/>
      <c r="E45" s="423"/>
      <c r="F45" s="423"/>
      <c r="G45" s="423"/>
      <c r="H45" s="423"/>
      <c r="I45" s="423"/>
      <c r="J45" s="423"/>
      <c r="K45" s="424"/>
      <c r="L45" s="72"/>
      <c r="M45" s="402" t="str">
        <f>IF(出退社入力シート!G50="","入力漏れ！！",出退社入力シート!G50)</f>
        <v>入力漏れ！！</v>
      </c>
      <c r="N45" s="403"/>
      <c r="O45" s="403"/>
      <c r="P45" s="403"/>
      <c r="Q45" s="403"/>
      <c r="R45" s="403"/>
      <c r="S45" s="404"/>
    </row>
    <row r="46" spans="2:19" ht="14.25" customHeight="1">
      <c r="B46" s="390" t="str">
        <f>IF(出退社入力シート!Q41="","",出退社入力シート!Q41)</f>
        <v/>
      </c>
      <c r="C46" s="391"/>
      <c r="D46" s="391"/>
      <c r="E46" s="391"/>
      <c r="F46" s="391"/>
      <c r="G46" s="391"/>
      <c r="H46" s="391"/>
      <c r="I46" s="391"/>
      <c r="J46" s="391"/>
      <c r="K46" s="392"/>
      <c r="L46" s="72"/>
      <c r="M46" s="405" t="str">
        <f>IF(出退社入力シート!G51="","入力漏れ！！",出退社入力シート!G51)</f>
        <v>入力漏れ！！</v>
      </c>
      <c r="N46" s="406"/>
      <c r="O46" s="406"/>
      <c r="P46" s="406"/>
      <c r="Q46" s="406"/>
      <c r="R46" s="406"/>
      <c r="S46" s="407"/>
    </row>
    <row r="47" spans="2:19" ht="14.25" customHeight="1">
      <c r="B47" s="390" t="str">
        <f>IF(出退社入力シート!Q42="","",出退社入力シート!Q42)</f>
        <v/>
      </c>
      <c r="C47" s="391"/>
      <c r="D47" s="391"/>
      <c r="E47" s="391"/>
      <c r="F47" s="391"/>
      <c r="G47" s="391"/>
      <c r="H47" s="391"/>
      <c r="I47" s="391"/>
      <c r="J47" s="391"/>
      <c r="K47" s="392"/>
      <c r="L47" s="72"/>
      <c r="M47" s="112" t="s">
        <v>146</v>
      </c>
      <c r="N47" s="113"/>
      <c r="O47" s="113"/>
      <c r="P47" s="113"/>
      <c r="Q47" s="113"/>
      <c r="R47" s="113"/>
      <c r="S47" s="114"/>
    </row>
    <row r="48" spans="2:19" ht="14.25" customHeight="1">
      <c r="B48" s="390" t="str">
        <f>IF(出退社入力シート!Q43="","",出退社入力シート!Q43)</f>
        <v/>
      </c>
      <c r="C48" s="391"/>
      <c r="D48" s="391"/>
      <c r="E48" s="391"/>
      <c r="F48" s="391"/>
      <c r="G48" s="391"/>
      <c r="H48" s="391"/>
      <c r="I48" s="391"/>
      <c r="J48" s="391"/>
      <c r="K48" s="392"/>
      <c r="L48" s="72"/>
      <c r="M48" s="402" t="str">
        <f>IF(出退社入力シート!H55="","入力漏れ！！","　"&amp;出退社入力シート!H55)</f>
        <v>入力漏れ！！</v>
      </c>
      <c r="N48" s="403"/>
      <c r="O48" s="403"/>
      <c r="P48" s="403"/>
      <c r="Q48" s="403"/>
      <c r="R48" s="403"/>
      <c r="S48" s="404"/>
    </row>
    <row r="49" spans="2:19" ht="14.25" customHeight="1" thickBot="1">
      <c r="B49" s="390" t="str">
        <f>IF(出退社入力シート!Q44="","",出退社入力シート!Q44)</f>
        <v/>
      </c>
      <c r="C49" s="391"/>
      <c r="D49" s="391"/>
      <c r="E49" s="391"/>
      <c r="F49" s="391"/>
      <c r="G49" s="391"/>
      <c r="H49" s="391"/>
      <c r="I49" s="391"/>
      <c r="J49" s="391"/>
      <c r="K49" s="392"/>
      <c r="L49" s="72"/>
      <c r="M49" s="393" t="str">
        <f>IF(出退社入力シート!H56="","","　"&amp;出退社入力シート!H56)</f>
        <v/>
      </c>
      <c r="N49" s="394"/>
      <c r="O49" s="394"/>
      <c r="P49" s="394"/>
      <c r="Q49" s="394"/>
      <c r="R49" s="394"/>
      <c r="S49" s="395"/>
    </row>
    <row r="50" spans="2:19" ht="14.25" customHeight="1">
      <c r="B50" s="390" t="str">
        <f>IF(出退社入力シート!Q45="","",出退社入力シート!Q45)</f>
        <v/>
      </c>
      <c r="C50" s="391"/>
      <c r="D50" s="391"/>
      <c r="E50" s="391"/>
      <c r="F50" s="391"/>
      <c r="G50" s="391"/>
      <c r="H50" s="391"/>
      <c r="I50" s="391"/>
      <c r="J50" s="391"/>
      <c r="K50" s="392"/>
      <c r="L50" s="72"/>
      <c r="M50" s="72"/>
      <c r="N50" s="72"/>
      <c r="O50" s="72"/>
      <c r="P50" s="72"/>
      <c r="Q50" s="72"/>
      <c r="R50" s="72"/>
      <c r="S50" s="77"/>
    </row>
    <row r="51" spans="2:19" ht="17.25" customHeight="1">
      <c r="B51" s="382" t="str">
        <f>IF(出退社入力シート!D40=0,"入力漏れ！！",出退社入力シート!D40)</f>
        <v>株式会社　トップワンテック</v>
      </c>
      <c r="C51" s="383"/>
      <c r="D51" s="383"/>
      <c r="E51" s="383"/>
      <c r="F51" s="383"/>
      <c r="G51" s="383"/>
      <c r="H51" s="383"/>
      <c r="I51" s="384"/>
      <c r="J51" s="385" t="str">
        <f>M42</f>
        <v>情報技術開発株式会社</v>
      </c>
      <c r="K51" s="386"/>
      <c r="L51" s="72"/>
      <c r="S51" s="72"/>
    </row>
    <row r="52" spans="2:19" ht="18" customHeight="1">
      <c r="B52" s="429" t="s">
        <v>43</v>
      </c>
      <c r="C52" s="430"/>
      <c r="D52" s="430"/>
      <c r="E52" s="430"/>
      <c r="F52" s="430"/>
      <c r="G52" s="430"/>
      <c r="H52" s="430"/>
      <c r="I52" s="431"/>
      <c r="J52" s="138" t="s">
        <v>163</v>
      </c>
      <c r="K52" s="139" t="s">
        <v>61</v>
      </c>
      <c r="L52" s="72"/>
      <c r="S52" s="72"/>
    </row>
    <row r="53" spans="2:19" ht="22.5" customHeight="1">
      <c r="B53" s="402" t="str">
        <f>出退社入力シート!D42</f>
        <v>史正韵</v>
      </c>
      <c r="C53" s="403"/>
      <c r="D53" s="403"/>
      <c r="E53" s="403"/>
      <c r="F53" s="403"/>
      <c r="G53" s="403"/>
      <c r="H53" s="403"/>
      <c r="I53" s="425" t="s">
        <v>37</v>
      </c>
      <c r="J53" s="408" t="s">
        <v>37</v>
      </c>
      <c r="K53" s="420" t="s">
        <v>66</v>
      </c>
      <c r="L53" s="72"/>
      <c r="S53" s="77"/>
    </row>
    <row r="54" spans="2:19" ht="22.5" customHeight="1" thickBot="1">
      <c r="B54" s="427"/>
      <c r="C54" s="428"/>
      <c r="D54" s="428"/>
      <c r="E54" s="428"/>
      <c r="F54" s="428"/>
      <c r="G54" s="428"/>
      <c r="H54" s="428"/>
      <c r="I54" s="426"/>
      <c r="J54" s="409"/>
      <c r="K54" s="421"/>
      <c r="L54" s="72"/>
      <c r="S54" s="77"/>
    </row>
  </sheetData>
  <sheetProtection password="F6FE" sheet="1" selectLockedCells="1"/>
  <mergeCells count="142">
    <mergeCell ref="J53:J54"/>
    <mergeCell ref="B47:K47"/>
    <mergeCell ref="B37:C37"/>
    <mergeCell ref="F37:G38"/>
    <mergeCell ref="H37:I38"/>
    <mergeCell ref="B38:C38"/>
    <mergeCell ref="B39:J39"/>
    <mergeCell ref="E43:J43"/>
    <mergeCell ref="B50:K50"/>
    <mergeCell ref="K53:K54"/>
    <mergeCell ref="B44:C44"/>
    <mergeCell ref="E44:J44"/>
    <mergeCell ref="B45:K45"/>
    <mergeCell ref="B46:K46"/>
    <mergeCell ref="I53:I54"/>
    <mergeCell ref="B53:H54"/>
    <mergeCell ref="B52:I52"/>
    <mergeCell ref="B41:C41"/>
    <mergeCell ref="E41:J41"/>
    <mergeCell ref="B42:C42"/>
    <mergeCell ref="E42:J42"/>
    <mergeCell ref="B43:C43"/>
    <mergeCell ref="H35:I35"/>
    <mergeCell ref="L35:S35"/>
    <mergeCell ref="M39:S40"/>
    <mergeCell ref="B51:I51"/>
    <mergeCell ref="J51:K51"/>
    <mergeCell ref="B40:C40"/>
    <mergeCell ref="E40:J40"/>
    <mergeCell ref="B48:K48"/>
    <mergeCell ref="B49:K49"/>
    <mergeCell ref="M49:S49"/>
    <mergeCell ref="M42:S43"/>
    <mergeCell ref="M45:S45"/>
    <mergeCell ref="M46:S46"/>
    <mergeCell ref="M48:S48"/>
    <mergeCell ref="H27:I27"/>
    <mergeCell ref="L27:S27"/>
    <mergeCell ref="F36:G36"/>
    <mergeCell ref="H36:I36"/>
    <mergeCell ref="L36:S36"/>
    <mergeCell ref="F29:G29"/>
    <mergeCell ref="H29:I29"/>
    <mergeCell ref="L29:S29"/>
    <mergeCell ref="F30:G30"/>
    <mergeCell ref="H30:I30"/>
    <mergeCell ref="L30:S30"/>
    <mergeCell ref="F31:G31"/>
    <mergeCell ref="H31:I31"/>
    <mergeCell ref="L31:S31"/>
    <mergeCell ref="F32:G32"/>
    <mergeCell ref="H32:I32"/>
    <mergeCell ref="L32:S32"/>
    <mergeCell ref="F33:G33"/>
    <mergeCell ref="H33:I33"/>
    <mergeCell ref="L33:S33"/>
    <mergeCell ref="F34:G34"/>
    <mergeCell ref="H34:I34"/>
    <mergeCell ref="L34:S34"/>
    <mergeCell ref="F35:G35"/>
    <mergeCell ref="H19:I19"/>
    <mergeCell ref="L19:S19"/>
    <mergeCell ref="F28:G28"/>
    <mergeCell ref="H28:I28"/>
    <mergeCell ref="L28:S28"/>
    <mergeCell ref="F21:G21"/>
    <mergeCell ref="H21:I21"/>
    <mergeCell ref="L21:S21"/>
    <mergeCell ref="F22:G22"/>
    <mergeCell ref="H22:I22"/>
    <mergeCell ref="L22:S22"/>
    <mergeCell ref="F23:G23"/>
    <mergeCell ref="H23:I23"/>
    <mergeCell ref="L23:S23"/>
    <mergeCell ref="F24:G24"/>
    <mergeCell ref="H24:I24"/>
    <mergeCell ref="L24:S24"/>
    <mergeCell ref="F25:G25"/>
    <mergeCell ref="H25:I25"/>
    <mergeCell ref="L25:S25"/>
    <mergeCell ref="F26:G26"/>
    <mergeCell ref="H26:I26"/>
    <mergeCell ref="L26:S26"/>
    <mergeCell ref="F27:G27"/>
    <mergeCell ref="H11:I11"/>
    <mergeCell ref="L11:S11"/>
    <mergeCell ref="F20:G20"/>
    <mergeCell ref="H20:I20"/>
    <mergeCell ref="L20:S20"/>
    <mergeCell ref="F13:G13"/>
    <mergeCell ref="H13:I13"/>
    <mergeCell ref="L13:S13"/>
    <mergeCell ref="F14:G14"/>
    <mergeCell ref="H14:I14"/>
    <mergeCell ref="L14:S14"/>
    <mergeCell ref="F15:G15"/>
    <mergeCell ref="H15:I15"/>
    <mergeCell ref="L15:S15"/>
    <mergeCell ref="F16:G16"/>
    <mergeCell ref="H16:I16"/>
    <mergeCell ref="L16:S16"/>
    <mergeCell ref="F17:G17"/>
    <mergeCell ref="H17:I17"/>
    <mergeCell ref="L17:S17"/>
    <mergeCell ref="F18:G18"/>
    <mergeCell ref="H18:I18"/>
    <mergeCell ref="L18:S18"/>
    <mergeCell ref="F19:G19"/>
    <mergeCell ref="F12:G12"/>
    <mergeCell ref="H12:I12"/>
    <mergeCell ref="L12:S12"/>
    <mergeCell ref="J4:J5"/>
    <mergeCell ref="K4:K5"/>
    <mergeCell ref="L4:N4"/>
    <mergeCell ref="O4:S4"/>
    <mergeCell ref="L5:S5"/>
    <mergeCell ref="F6:G6"/>
    <mergeCell ref="H6:I6"/>
    <mergeCell ref="L6:S6"/>
    <mergeCell ref="F7:G7"/>
    <mergeCell ref="H7:I7"/>
    <mergeCell ref="L7:S7"/>
    <mergeCell ref="F8:G8"/>
    <mergeCell ref="H8:I8"/>
    <mergeCell ref="L8:S8"/>
    <mergeCell ref="F9:G9"/>
    <mergeCell ref="H9:I9"/>
    <mergeCell ref="L9:S9"/>
    <mergeCell ref="F10:G10"/>
    <mergeCell ref="H10:I10"/>
    <mergeCell ref="L10:S10"/>
    <mergeCell ref="F11:G11"/>
    <mergeCell ref="B1:C2"/>
    <mergeCell ref="E1:F2"/>
    <mergeCell ref="H1:K2"/>
    <mergeCell ref="M1:S1"/>
    <mergeCell ref="M2:S3"/>
    <mergeCell ref="B4:B5"/>
    <mergeCell ref="C4:C5"/>
    <mergeCell ref="E4:E5"/>
    <mergeCell ref="F4:G5"/>
    <mergeCell ref="H4:I5"/>
  </mergeCells>
  <phoneticPr fontId="2"/>
  <conditionalFormatting sqref="B6:B36">
    <cfRule type="expression" dxfId="72" priority="20" stopIfTrue="1">
      <formula>D6&lt;&gt;""</formula>
    </cfRule>
    <cfRule type="expression" dxfId="71" priority="21" stopIfTrue="1">
      <formula>C6="土"</formula>
    </cfRule>
    <cfRule type="expression" dxfId="70" priority="22" stopIfTrue="1">
      <formula>C6="日"</formula>
    </cfRule>
  </conditionalFormatting>
  <conditionalFormatting sqref="C6:C36">
    <cfRule type="expression" dxfId="69" priority="17" stopIfTrue="1">
      <formula>D6&lt;&gt;""</formula>
    </cfRule>
    <cfRule type="cellIs" dxfId="68" priority="18" stopIfTrue="1" operator="equal">
      <formula>"土"</formula>
    </cfRule>
    <cfRule type="cellIs" dxfId="67" priority="19" stopIfTrue="1" operator="equal">
      <formula>"日"</formula>
    </cfRule>
  </conditionalFormatting>
  <conditionalFormatting sqref="L6:S6">
    <cfRule type="expression" dxfId="66" priority="16" stopIfTrue="1">
      <formula>$L6="入力漏れ！！"</formula>
    </cfRule>
  </conditionalFormatting>
  <conditionalFormatting sqref="L7:S36">
    <cfRule type="expression" dxfId="65" priority="14" stopIfTrue="1">
      <formula>$L7="入力漏れ！！"</formula>
    </cfRule>
  </conditionalFormatting>
  <conditionalFormatting sqref="M39">
    <cfRule type="expression" dxfId="64" priority="13" stopIfTrue="1">
      <formula>$M$39="入力漏れ！！"</formula>
    </cfRule>
  </conditionalFormatting>
  <conditionalFormatting sqref="M45">
    <cfRule type="expression" dxfId="63" priority="12" stopIfTrue="1">
      <formula>$M$45="入力漏れ！！"</formula>
    </cfRule>
  </conditionalFormatting>
  <conditionalFormatting sqref="M49">
    <cfRule type="expression" dxfId="62" priority="10" stopIfTrue="1">
      <formula>$M49="入力漏れ！！"</formula>
    </cfRule>
  </conditionalFormatting>
  <conditionalFormatting sqref="M49">
    <cfRule type="expression" dxfId="61" priority="9" stopIfTrue="1">
      <formula>$M49="入力漏れ！！"</formula>
    </cfRule>
  </conditionalFormatting>
  <conditionalFormatting sqref="B51:I51">
    <cfRule type="expression" dxfId="60" priority="7" stopIfTrue="1">
      <formula>$B$51="入力漏れ！！"</formula>
    </cfRule>
  </conditionalFormatting>
  <conditionalFormatting sqref="O4:S4">
    <cfRule type="expression" dxfId="59" priority="6" stopIfTrue="1">
      <formula>$O$4="入力漏れ！！"</formula>
    </cfRule>
  </conditionalFormatting>
  <conditionalFormatting sqref="M46">
    <cfRule type="expression" dxfId="58" priority="5" stopIfTrue="1">
      <formula>$M$46="入力漏れ！！"</formula>
    </cfRule>
  </conditionalFormatting>
  <conditionalFormatting sqref="L7:S36">
    <cfRule type="expression" dxfId="57" priority="4" stopIfTrue="1">
      <formula>$L7="入力漏れ！！"</formula>
    </cfRule>
  </conditionalFormatting>
  <conditionalFormatting sqref="M48">
    <cfRule type="expression" dxfId="56" priority="1" stopIfTrue="1">
      <formula>$M$48="入力漏れ！！"</formula>
    </cfRule>
  </conditionalFormatting>
  <pageMargins left="0.62992125984251968" right="0.15748031496062992" top="0.47244094488188981" bottom="0.15748031496062992" header="0.31496062992125984" footer="0.15748031496062992"/>
  <pageSetup paperSize="9" scale="93" orientation="portrait" r:id="rId1"/>
  <headerFooter>
    <oddFooter>&amp;RP309210312</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39997558519241921"/>
  </sheetPr>
  <dimension ref="A1:M40"/>
  <sheetViews>
    <sheetView showGridLines="0" zoomScaleNormal="100" workbookViewId="0">
      <selection activeCell="D9" sqref="D9"/>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65">
        <v>1</v>
      </c>
      <c r="M1" s="465"/>
    </row>
    <row r="2" spans="1:13" ht="16.5" customHeight="1">
      <c r="A2" s="42"/>
      <c r="B2" s="324" t="str">
        <f>出退社入力シート!C3&amp;"年"&amp;出退社入力シート!H3&amp;"月"</f>
        <v>2022年5月</v>
      </c>
      <c r="C2" s="324"/>
      <c r="D2" s="324"/>
      <c r="E2" s="323" t="s">
        <v>52</v>
      </c>
      <c r="F2" s="323"/>
      <c r="G2" s="323"/>
      <c r="H2" s="323"/>
      <c r="I2" s="323"/>
      <c r="J2" s="119" t="s">
        <v>58</v>
      </c>
      <c r="K2" s="466" t="str">
        <f>IF(出退社入力シート!D40="","",出退社入力シート!D40)</f>
        <v>株式会社　トップワンテック</v>
      </c>
      <c r="L2" s="466"/>
      <c r="M2" s="466"/>
    </row>
    <row r="3" spans="1:13" ht="16.5" customHeight="1">
      <c r="A3" s="42"/>
      <c r="B3" s="324"/>
      <c r="C3" s="324"/>
      <c r="D3" s="324"/>
      <c r="E3" s="323"/>
      <c r="F3" s="323"/>
      <c r="G3" s="323"/>
      <c r="H3" s="323"/>
      <c r="I3" s="323"/>
      <c r="J3" s="119" t="s">
        <v>36</v>
      </c>
      <c r="K3" s="466" t="str">
        <f>IF(出退社入力シート!D42="","",出退社入力シート!D42)</f>
        <v>史正韵</v>
      </c>
      <c r="L3" s="466"/>
      <c r="M3" s="117" t="s">
        <v>37</v>
      </c>
    </row>
    <row r="4" spans="1:13" ht="22.5" customHeight="1" thickBot="1">
      <c r="A4" s="42"/>
      <c r="B4" s="120"/>
      <c r="C4" s="120"/>
      <c r="D4" s="120"/>
      <c r="E4" s="120"/>
      <c r="F4" s="120"/>
      <c r="G4" s="42"/>
      <c r="H4" s="42"/>
      <c r="I4" s="42"/>
      <c r="J4" s="42"/>
      <c r="K4" s="42"/>
      <c r="L4" s="42"/>
      <c r="M4" s="42"/>
    </row>
    <row r="5" spans="1:13" ht="22.5" customHeight="1">
      <c r="A5" s="42"/>
      <c r="B5" s="458" t="s">
        <v>20</v>
      </c>
      <c r="C5" s="460" t="s">
        <v>21</v>
      </c>
      <c r="D5" s="462" t="s">
        <v>57</v>
      </c>
      <c r="E5" s="464" t="s">
        <v>60</v>
      </c>
      <c r="F5" s="464"/>
      <c r="G5" s="464"/>
      <c r="H5" s="464"/>
      <c r="I5" s="464"/>
      <c r="J5" s="464" t="s">
        <v>77</v>
      </c>
      <c r="K5" s="464"/>
      <c r="L5" s="454" t="s">
        <v>23</v>
      </c>
      <c r="M5" s="435"/>
    </row>
    <row r="6" spans="1:13" ht="22.5" customHeight="1">
      <c r="A6" s="42"/>
      <c r="B6" s="459"/>
      <c r="C6" s="461"/>
      <c r="D6" s="463"/>
      <c r="E6" s="121" t="s">
        <v>56</v>
      </c>
      <c r="F6" s="457" t="s">
        <v>53</v>
      </c>
      <c r="G6" s="457"/>
      <c r="H6" s="457"/>
      <c r="I6" s="121" t="s">
        <v>55</v>
      </c>
      <c r="J6" s="121" t="s">
        <v>65</v>
      </c>
      <c r="K6" s="121" t="s">
        <v>55</v>
      </c>
      <c r="L6" s="455"/>
      <c r="M6" s="456"/>
    </row>
    <row r="7" spans="1:13" ht="30" customHeight="1">
      <c r="B7" s="140"/>
      <c r="C7" s="38" t="str">
        <f>IF(B7="","",VLOOKUP(B7,出退社入力シート!A7:D37,4))</f>
        <v/>
      </c>
      <c r="D7" s="35"/>
      <c r="E7" s="36"/>
      <c r="F7" s="36"/>
      <c r="G7" s="115" t="s">
        <v>54</v>
      </c>
      <c r="H7" s="36"/>
      <c r="I7" s="37"/>
      <c r="J7" s="35"/>
      <c r="K7" s="37"/>
      <c r="L7" s="446" t="str">
        <f>IF(I7+K7=0,"",I7+K7)</f>
        <v/>
      </c>
      <c r="M7" s="447"/>
    </row>
    <row r="8" spans="1:13" ht="30" customHeight="1">
      <c r="B8" s="140"/>
      <c r="C8" s="38" t="str">
        <f>IF(B8="","",VLOOKUP(B8,出退社入力シート!A7:D37,4))</f>
        <v/>
      </c>
      <c r="D8" s="35"/>
      <c r="E8" s="36"/>
      <c r="F8" s="36"/>
      <c r="G8" s="115" t="s">
        <v>54</v>
      </c>
      <c r="H8" s="36"/>
      <c r="I8" s="37"/>
      <c r="J8" s="35"/>
      <c r="K8" s="37"/>
      <c r="L8" s="446" t="str">
        <f>IF(I8+K8=0,"",I8+K8)</f>
        <v/>
      </c>
      <c r="M8" s="447"/>
    </row>
    <row r="9" spans="1:13" ht="30" customHeight="1">
      <c r="B9" s="140"/>
      <c r="C9" s="38" t="str">
        <f>IF(B9="","",VLOOKUP(B9,出退社入力シート!A7:D37,4))</f>
        <v/>
      </c>
      <c r="D9" s="35"/>
      <c r="E9" s="36"/>
      <c r="F9" s="36"/>
      <c r="G9" s="115" t="s">
        <v>54</v>
      </c>
      <c r="H9" s="36"/>
      <c r="I9" s="37"/>
      <c r="J9" s="35"/>
      <c r="K9" s="37"/>
      <c r="L9" s="446" t="str">
        <f>IF(I9+K9=0,"",I9+K9)</f>
        <v/>
      </c>
      <c r="M9" s="447"/>
    </row>
    <row r="10" spans="1:13" ht="30" customHeight="1">
      <c r="B10" s="140"/>
      <c r="C10" s="38" t="str">
        <f>IF(B10="","",VLOOKUP(B10,出退社入力シート!A7:D37,4))</f>
        <v/>
      </c>
      <c r="D10" s="35"/>
      <c r="E10" s="36"/>
      <c r="F10" s="36"/>
      <c r="G10" s="115" t="s">
        <v>54</v>
      </c>
      <c r="H10" s="36"/>
      <c r="I10" s="37"/>
      <c r="J10" s="35"/>
      <c r="K10" s="37"/>
      <c r="L10" s="446" t="str">
        <f>IF(I10+K10=0,"",I10+K10)</f>
        <v/>
      </c>
      <c r="M10" s="447"/>
    </row>
    <row r="11" spans="1:13" ht="30" customHeight="1">
      <c r="B11" s="140"/>
      <c r="C11" s="38" t="str">
        <f>IF(B11="","",VLOOKUP(B11,出退社入力シート!A7:D37,4))</f>
        <v/>
      </c>
      <c r="D11" s="35"/>
      <c r="E11" s="36"/>
      <c r="F11" s="36"/>
      <c r="G11" s="115" t="s">
        <v>54</v>
      </c>
      <c r="H11" s="36"/>
      <c r="I11" s="37"/>
      <c r="J11" s="35"/>
      <c r="K11" s="37"/>
      <c r="L11" s="446" t="str">
        <f>IF(I11+K11=0,"",I11+K11)</f>
        <v/>
      </c>
      <c r="M11" s="447"/>
    </row>
    <row r="12" spans="1:13" ht="30" customHeight="1">
      <c r="B12" s="140"/>
      <c r="C12" s="38" t="str">
        <f>IF(B12="","",VLOOKUP(B12,出退社入力シート!A7:D37,4))</f>
        <v/>
      </c>
      <c r="D12" s="35"/>
      <c r="E12" s="36"/>
      <c r="F12" s="36"/>
      <c r="G12" s="115" t="s">
        <v>54</v>
      </c>
      <c r="H12" s="36"/>
      <c r="I12" s="37"/>
      <c r="J12" s="35"/>
      <c r="K12" s="37"/>
      <c r="L12" s="446" t="str">
        <f t="shared" ref="L12:L32" si="0">IF(I12+K12=0,"",I12+K12)</f>
        <v/>
      </c>
      <c r="M12" s="447"/>
    </row>
    <row r="13" spans="1:13" ht="30" customHeight="1">
      <c r="B13" s="140"/>
      <c r="C13" s="38" t="str">
        <f>IF(B13="","",VLOOKUP(B13,出退社入力シート!A7:D37,4))</f>
        <v/>
      </c>
      <c r="D13" s="35"/>
      <c r="E13" s="36"/>
      <c r="F13" s="36"/>
      <c r="G13" s="115" t="s">
        <v>54</v>
      </c>
      <c r="H13" s="36"/>
      <c r="I13" s="37"/>
      <c r="J13" s="35"/>
      <c r="K13" s="37"/>
      <c r="L13" s="446" t="str">
        <f>IF(I13+K13=0,"",I13+K13)</f>
        <v/>
      </c>
      <c r="M13" s="447"/>
    </row>
    <row r="14" spans="1:13" ht="30" customHeight="1">
      <c r="B14" s="140"/>
      <c r="C14" s="38" t="str">
        <f>IF(B14="","",VLOOKUP(B14,出退社入力シート!A7:D37,4))</f>
        <v/>
      </c>
      <c r="D14" s="35"/>
      <c r="E14" s="36"/>
      <c r="F14" s="36"/>
      <c r="G14" s="115" t="s">
        <v>54</v>
      </c>
      <c r="H14" s="36"/>
      <c r="I14" s="37"/>
      <c r="J14" s="35"/>
      <c r="K14" s="37"/>
      <c r="L14" s="446" t="str">
        <f t="shared" si="0"/>
        <v/>
      </c>
      <c r="M14" s="447"/>
    </row>
    <row r="15" spans="1:13" ht="30" customHeight="1">
      <c r="B15" s="140"/>
      <c r="C15" s="38" t="str">
        <f>IF(B15="","",VLOOKUP(B15,出退社入力シート!A7:D37,4))</f>
        <v/>
      </c>
      <c r="D15" s="35"/>
      <c r="E15" s="36"/>
      <c r="F15" s="36"/>
      <c r="G15" s="115" t="s">
        <v>54</v>
      </c>
      <c r="H15" s="36"/>
      <c r="I15" s="37"/>
      <c r="J15" s="35"/>
      <c r="K15" s="37"/>
      <c r="L15" s="446" t="str">
        <f t="shared" si="0"/>
        <v/>
      </c>
      <c r="M15" s="447"/>
    </row>
    <row r="16" spans="1:13" ht="30" customHeight="1">
      <c r="B16" s="140"/>
      <c r="C16" s="38" t="str">
        <f>IF(B16="","",VLOOKUP(B16,出退社入力シート!A7:D37,4))</f>
        <v/>
      </c>
      <c r="D16" s="35"/>
      <c r="E16" s="36"/>
      <c r="F16" s="36"/>
      <c r="G16" s="115" t="s">
        <v>54</v>
      </c>
      <c r="H16" s="36"/>
      <c r="I16" s="37"/>
      <c r="J16" s="35"/>
      <c r="K16" s="37"/>
      <c r="L16" s="446" t="str">
        <f>IF(I16+K16=0,"",I16+K16)</f>
        <v/>
      </c>
      <c r="M16" s="447"/>
    </row>
    <row r="17" spans="2:13" ht="30" customHeight="1">
      <c r="B17" s="140"/>
      <c r="C17" s="38" t="str">
        <f>IF(B17="","",VLOOKUP(B17,出退社入力シート!A7:D37,4))</f>
        <v/>
      </c>
      <c r="D17" s="35"/>
      <c r="E17" s="36"/>
      <c r="F17" s="36"/>
      <c r="G17" s="115" t="s">
        <v>54</v>
      </c>
      <c r="H17" s="36"/>
      <c r="I17" s="37"/>
      <c r="J17" s="35"/>
      <c r="K17" s="37"/>
      <c r="L17" s="446" t="str">
        <f t="shared" si="0"/>
        <v/>
      </c>
      <c r="M17" s="447"/>
    </row>
    <row r="18" spans="2:13" ht="30" customHeight="1">
      <c r="B18" s="140"/>
      <c r="C18" s="38" t="str">
        <f>IF(B18="","",VLOOKUP(B18,出退社入力シート!A7:D37,4))</f>
        <v/>
      </c>
      <c r="D18" s="35"/>
      <c r="E18" s="36"/>
      <c r="F18" s="36"/>
      <c r="G18" s="115" t="s">
        <v>54</v>
      </c>
      <c r="H18" s="36"/>
      <c r="I18" s="37"/>
      <c r="J18" s="35"/>
      <c r="K18" s="37"/>
      <c r="L18" s="446" t="str">
        <f t="shared" si="0"/>
        <v/>
      </c>
      <c r="M18" s="447"/>
    </row>
    <row r="19" spans="2:13" ht="30" customHeight="1">
      <c r="B19" s="140"/>
      <c r="C19" s="38" t="str">
        <f>IF(B19="","",VLOOKUP(B19,出退社入力シート!A7:D37,4))</f>
        <v/>
      </c>
      <c r="D19" s="35"/>
      <c r="E19" s="36"/>
      <c r="F19" s="36"/>
      <c r="G19" s="115" t="s">
        <v>54</v>
      </c>
      <c r="H19" s="36"/>
      <c r="I19" s="37"/>
      <c r="J19" s="35"/>
      <c r="K19" s="37"/>
      <c r="L19" s="446" t="str">
        <f t="shared" si="0"/>
        <v/>
      </c>
      <c r="M19" s="447"/>
    </row>
    <row r="20" spans="2:13" ht="30" customHeight="1">
      <c r="B20" s="140"/>
      <c r="C20" s="38" t="str">
        <f>IF(B20="","",VLOOKUP(B20,出退社入力シート!A7:D37,4))</f>
        <v/>
      </c>
      <c r="D20" s="35"/>
      <c r="E20" s="36"/>
      <c r="F20" s="36"/>
      <c r="G20" s="115" t="s">
        <v>54</v>
      </c>
      <c r="H20" s="36"/>
      <c r="I20" s="37"/>
      <c r="J20" s="35"/>
      <c r="K20" s="37"/>
      <c r="L20" s="446" t="str">
        <f t="shared" si="0"/>
        <v/>
      </c>
      <c r="M20" s="447"/>
    </row>
    <row r="21" spans="2:13" ht="30" customHeight="1">
      <c r="B21" s="140"/>
      <c r="C21" s="38" t="str">
        <f>IF(B21="","",VLOOKUP(B21,出退社入力シート!A7:D37,4))</f>
        <v/>
      </c>
      <c r="D21" s="35"/>
      <c r="E21" s="36"/>
      <c r="F21" s="36"/>
      <c r="G21" s="115" t="s">
        <v>54</v>
      </c>
      <c r="H21" s="36"/>
      <c r="I21" s="37"/>
      <c r="J21" s="35"/>
      <c r="K21" s="37"/>
      <c r="L21" s="446" t="str">
        <f t="shared" si="0"/>
        <v/>
      </c>
      <c r="M21" s="447"/>
    </row>
    <row r="22" spans="2:13" ht="30" customHeight="1">
      <c r="B22" s="140"/>
      <c r="C22" s="38" t="str">
        <f>IF(B22="","",VLOOKUP(B22,出退社入力シート!A7:D37,4))</f>
        <v/>
      </c>
      <c r="D22" s="35"/>
      <c r="E22" s="36"/>
      <c r="F22" s="36"/>
      <c r="G22" s="115" t="s">
        <v>54</v>
      </c>
      <c r="H22" s="36"/>
      <c r="I22" s="37"/>
      <c r="J22" s="35"/>
      <c r="K22" s="37"/>
      <c r="L22" s="446" t="str">
        <f t="shared" si="0"/>
        <v/>
      </c>
      <c r="M22" s="447"/>
    </row>
    <row r="23" spans="2:13" ht="30" customHeight="1">
      <c r="B23" s="140"/>
      <c r="C23" s="38" t="str">
        <f>IF(B23="","",VLOOKUP(B23,出退社入力シート!A7:D37,4))</f>
        <v/>
      </c>
      <c r="D23" s="35"/>
      <c r="E23" s="36"/>
      <c r="F23" s="36"/>
      <c r="G23" s="115" t="s">
        <v>54</v>
      </c>
      <c r="H23" s="36"/>
      <c r="I23" s="37"/>
      <c r="J23" s="35"/>
      <c r="K23" s="37"/>
      <c r="L23" s="446" t="str">
        <f t="shared" si="0"/>
        <v/>
      </c>
      <c r="M23" s="447"/>
    </row>
    <row r="24" spans="2:13" ht="30" customHeight="1">
      <c r="B24" s="140"/>
      <c r="C24" s="38" t="str">
        <f>IF(B24="","",VLOOKUP(B24,出退社入力シート!A7:D37,4))</f>
        <v/>
      </c>
      <c r="D24" s="35"/>
      <c r="E24" s="36"/>
      <c r="F24" s="36"/>
      <c r="G24" s="115" t="s">
        <v>54</v>
      </c>
      <c r="H24" s="36"/>
      <c r="I24" s="37"/>
      <c r="J24" s="35"/>
      <c r="K24" s="37"/>
      <c r="L24" s="446" t="str">
        <f t="shared" si="0"/>
        <v/>
      </c>
      <c r="M24" s="447"/>
    </row>
    <row r="25" spans="2:13" ht="30" customHeight="1">
      <c r="B25" s="140"/>
      <c r="C25" s="38" t="str">
        <f>IF(B25="","",VLOOKUP(B25,出退社入力シート!A7:D37,4))</f>
        <v/>
      </c>
      <c r="D25" s="35"/>
      <c r="E25" s="36"/>
      <c r="F25" s="36"/>
      <c r="G25" s="115" t="s">
        <v>54</v>
      </c>
      <c r="H25" s="36"/>
      <c r="I25" s="37"/>
      <c r="J25" s="35"/>
      <c r="K25" s="37"/>
      <c r="L25" s="446" t="str">
        <f t="shared" si="0"/>
        <v/>
      </c>
      <c r="M25" s="447"/>
    </row>
    <row r="26" spans="2:13" ht="30" customHeight="1">
      <c r="B26" s="140"/>
      <c r="C26" s="38" t="str">
        <f>IF(B26="","",VLOOKUP(B26,出退社入力シート!A7:D37,4))</f>
        <v/>
      </c>
      <c r="D26" s="35"/>
      <c r="E26" s="36"/>
      <c r="F26" s="36"/>
      <c r="G26" s="115" t="s">
        <v>54</v>
      </c>
      <c r="H26" s="36"/>
      <c r="I26" s="37"/>
      <c r="J26" s="35"/>
      <c r="K26" s="37"/>
      <c r="L26" s="446" t="str">
        <f t="shared" si="0"/>
        <v/>
      </c>
      <c r="M26" s="447"/>
    </row>
    <row r="27" spans="2:13" ht="30" customHeight="1">
      <c r="B27" s="140"/>
      <c r="C27" s="38" t="str">
        <f>IF(B27="","",VLOOKUP(B27,出退社入力シート!A7:D37,4))</f>
        <v/>
      </c>
      <c r="D27" s="35"/>
      <c r="E27" s="36"/>
      <c r="F27" s="36"/>
      <c r="G27" s="115" t="s">
        <v>54</v>
      </c>
      <c r="H27" s="36"/>
      <c r="I27" s="37"/>
      <c r="J27" s="35"/>
      <c r="K27" s="37"/>
      <c r="L27" s="446" t="str">
        <f t="shared" si="0"/>
        <v/>
      </c>
      <c r="M27" s="447"/>
    </row>
    <row r="28" spans="2:13" ht="30" customHeight="1">
      <c r="B28" s="140"/>
      <c r="C28" s="38" t="str">
        <f>IF(B28="","",VLOOKUP(B28,出退社入力シート!A7:D37,4))</f>
        <v/>
      </c>
      <c r="D28" s="35"/>
      <c r="E28" s="36"/>
      <c r="F28" s="36"/>
      <c r="G28" s="115" t="s">
        <v>54</v>
      </c>
      <c r="H28" s="36"/>
      <c r="I28" s="37"/>
      <c r="J28" s="35"/>
      <c r="K28" s="37"/>
      <c r="L28" s="446" t="str">
        <f t="shared" si="0"/>
        <v/>
      </c>
      <c r="M28" s="447"/>
    </row>
    <row r="29" spans="2:13" ht="30" customHeight="1">
      <c r="B29" s="140"/>
      <c r="C29" s="38" t="str">
        <f>IF(B29="","",VLOOKUP(B29,出退社入力シート!A7:D37,4))</f>
        <v/>
      </c>
      <c r="D29" s="35"/>
      <c r="E29" s="36"/>
      <c r="F29" s="36"/>
      <c r="G29" s="115" t="s">
        <v>54</v>
      </c>
      <c r="H29" s="36"/>
      <c r="I29" s="37"/>
      <c r="J29" s="35"/>
      <c r="K29" s="37"/>
      <c r="L29" s="446" t="str">
        <f t="shared" si="0"/>
        <v/>
      </c>
      <c r="M29" s="447"/>
    </row>
    <row r="30" spans="2:13" ht="30" customHeight="1">
      <c r="B30" s="140"/>
      <c r="C30" s="38" t="str">
        <f>IF(B30="","",VLOOKUP(B30,出退社入力シート!A7:D37,4))</f>
        <v/>
      </c>
      <c r="D30" s="35"/>
      <c r="E30" s="36"/>
      <c r="F30" s="36"/>
      <c r="G30" s="115" t="s">
        <v>54</v>
      </c>
      <c r="H30" s="36"/>
      <c r="I30" s="37"/>
      <c r="J30" s="35"/>
      <c r="K30" s="37"/>
      <c r="L30" s="446" t="str">
        <f t="shared" si="0"/>
        <v/>
      </c>
      <c r="M30" s="447"/>
    </row>
    <row r="31" spans="2:13" ht="30" customHeight="1">
      <c r="B31" s="140"/>
      <c r="C31" s="38" t="str">
        <f>IF(B31="","",VLOOKUP(B31,出退社入力シート!A7:D37,4))</f>
        <v/>
      </c>
      <c r="D31" s="35"/>
      <c r="E31" s="36"/>
      <c r="F31" s="36"/>
      <c r="G31" s="115" t="s">
        <v>54</v>
      </c>
      <c r="H31" s="36"/>
      <c r="I31" s="37"/>
      <c r="J31" s="35"/>
      <c r="K31" s="37"/>
      <c r="L31" s="446" t="str">
        <f t="shared" si="0"/>
        <v/>
      </c>
      <c r="M31" s="447"/>
    </row>
    <row r="32" spans="2:13" ht="30" customHeight="1">
      <c r="B32" s="140"/>
      <c r="C32" s="38" t="str">
        <f>IF(B32="","",VLOOKUP(B32,出退社入力シート!A7:D37,4))</f>
        <v/>
      </c>
      <c r="D32" s="35"/>
      <c r="E32" s="36"/>
      <c r="F32" s="36"/>
      <c r="G32" s="115" t="s">
        <v>54</v>
      </c>
      <c r="H32" s="36"/>
      <c r="I32" s="37"/>
      <c r="J32" s="35"/>
      <c r="K32" s="37"/>
      <c r="L32" s="446" t="str">
        <f t="shared" si="0"/>
        <v/>
      </c>
      <c r="M32" s="447"/>
    </row>
    <row r="33" spans="2:13" ht="37.5" customHeight="1" thickBot="1">
      <c r="B33" s="448"/>
      <c r="C33" s="449"/>
      <c r="D33" s="449"/>
      <c r="E33" s="449"/>
      <c r="F33" s="449"/>
      <c r="G33" s="449"/>
      <c r="H33" s="449"/>
      <c r="I33" s="450"/>
      <c r="J33" s="451" t="s">
        <v>59</v>
      </c>
      <c r="K33" s="451"/>
      <c r="L33" s="452">
        <f>SUM(L7:L32)</f>
        <v>0</v>
      </c>
      <c r="M33" s="453"/>
    </row>
    <row r="34" spans="2:13" ht="15" customHeight="1"/>
    <row r="35" spans="2:13" ht="15" customHeight="1" thickBot="1">
      <c r="B35" s="39" t="s">
        <v>73</v>
      </c>
    </row>
    <row r="36" spans="2:13" ht="15" customHeight="1">
      <c r="B36" s="436" t="str">
        <f>IF(出退社入力シート!K41="","",出退社入力シート!K41)</f>
        <v>1220843</v>
      </c>
      <c r="C36" s="436"/>
      <c r="D36" s="432" t="str">
        <f>IF(出退社入力シート!L41="","",出退社入力シート!L41)</f>
        <v>準委116_1003520000_購買物流システム開発支援作業　2022/4～2023/3</v>
      </c>
      <c r="E36" s="432"/>
      <c r="F36" s="49">
        <f>L33-F37-F38-F39-F40</f>
        <v>0</v>
      </c>
      <c r="K36" s="433" t="str">
        <f>出退社入力シート!J3&amp;"確認欄"</f>
        <v>tdi確認欄</v>
      </c>
      <c r="L36" s="434"/>
      <c r="M36" s="435"/>
    </row>
    <row r="37" spans="2:13" ht="15" customHeight="1">
      <c r="B37" s="436" t="str">
        <f>IF(OR(出退社入力シート!K42="",出退社入力シート!P42=""),"",出退社入力シート!K42)</f>
        <v/>
      </c>
      <c r="C37" s="436"/>
      <c r="D37" s="432" t="str">
        <f>IF(OR(出退社入力シート!L42="",出退社入力シート!P42=""),"",出退社入力シート!L42)</f>
        <v/>
      </c>
      <c r="E37" s="432"/>
      <c r="F37" s="49"/>
      <c r="K37" s="437" t="s">
        <v>37</v>
      </c>
      <c r="L37" s="440" t="s">
        <v>37</v>
      </c>
      <c r="M37" s="441"/>
    </row>
    <row r="38" spans="2:13" ht="15" customHeight="1">
      <c r="B38" s="436" t="str">
        <f>IF(OR(出退社入力シート!K43="",出退社入力シート!P43=""),"",出退社入力シート!K43)</f>
        <v/>
      </c>
      <c r="C38" s="436"/>
      <c r="D38" s="432" t="str">
        <f>IF(OR(出退社入力シート!L43="",出退社入力シート!P43=""),"",出退社入力シート!L43)</f>
        <v/>
      </c>
      <c r="E38" s="432"/>
      <c r="F38" s="49"/>
      <c r="K38" s="438"/>
      <c r="L38" s="442"/>
      <c r="M38" s="443"/>
    </row>
    <row r="39" spans="2:13" ht="15" customHeight="1">
      <c r="B39" s="436" t="str">
        <f>IF(OR(出退社入力シート!K44="",出退社入力シート!P44=""),"",出退社入力シート!K44)</f>
        <v/>
      </c>
      <c r="C39" s="436"/>
      <c r="D39" s="432" t="str">
        <f>IF(OR(出退社入力シート!L44="",出退社入力シート!P44=""),"",出退社入力シート!L44)</f>
        <v/>
      </c>
      <c r="E39" s="432"/>
      <c r="F39" s="49"/>
      <c r="K39" s="438"/>
      <c r="L39" s="442"/>
      <c r="M39" s="443"/>
    </row>
    <row r="40" spans="2:13" ht="15" customHeight="1" thickBot="1">
      <c r="B40" s="436" t="str">
        <f>IF(OR(出退社入力シート!K45="",出退社入力シート!P45=""),"",出退社入力シート!K45)</f>
        <v/>
      </c>
      <c r="C40" s="436"/>
      <c r="D40" s="432" t="str">
        <f>IF(OR(出退社入力シート!L45="",出退社入力シート!P45=""),"",出退社入力シート!L45)</f>
        <v/>
      </c>
      <c r="E40" s="432"/>
      <c r="F40" s="49"/>
      <c r="K40" s="439"/>
      <c r="L40" s="444"/>
      <c r="M40" s="445"/>
    </row>
  </sheetData>
  <sheetProtection password="F6FE" sheet="1" objects="1" scenarios="1" selectLockedCells="1"/>
  <mergeCells count="54">
    <mergeCell ref="L1:M1"/>
    <mergeCell ref="E2:I3"/>
    <mergeCell ref="K2:M2"/>
    <mergeCell ref="K3:L3"/>
    <mergeCell ref="B2:D3"/>
    <mergeCell ref="B5:B6"/>
    <mergeCell ref="C5:C6"/>
    <mergeCell ref="D5:D6"/>
    <mergeCell ref="E5:I5"/>
    <mergeCell ref="J5:K5"/>
    <mergeCell ref="L5:M6"/>
    <mergeCell ref="F6:H6"/>
    <mergeCell ref="L7:M7"/>
    <mergeCell ref="L8:M8"/>
    <mergeCell ref="L9:M9"/>
    <mergeCell ref="L10:M10"/>
    <mergeCell ref="L11:M11"/>
    <mergeCell ref="L12:M12"/>
    <mergeCell ref="L13:M13"/>
    <mergeCell ref="L14:M14"/>
    <mergeCell ref="L15:M15"/>
    <mergeCell ref="L16:M16"/>
    <mergeCell ref="L17:M17"/>
    <mergeCell ref="L18:M18"/>
    <mergeCell ref="L19:M19"/>
    <mergeCell ref="L20:M20"/>
    <mergeCell ref="L21:M21"/>
    <mergeCell ref="L22:M22"/>
    <mergeCell ref="L23:M23"/>
    <mergeCell ref="L24:M24"/>
    <mergeCell ref="L25:M25"/>
    <mergeCell ref="L26:M26"/>
    <mergeCell ref="L27:M27"/>
    <mergeCell ref="L28:M28"/>
    <mergeCell ref="L29:M29"/>
    <mergeCell ref="L30:M30"/>
    <mergeCell ref="L31:M31"/>
    <mergeCell ref="L32:M32"/>
    <mergeCell ref="B33:I33"/>
    <mergeCell ref="J33:K33"/>
    <mergeCell ref="L33:M33"/>
    <mergeCell ref="D36:E36"/>
    <mergeCell ref="K36:M36"/>
    <mergeCell ref="B37:C37"/>
    <mergeCell ref="D37:E37"/>
    <mergeCell ref="K37:K40"/>
    <mergeCell ref="L37:M40"/>
    <mergeCell ref="B38:C38"/>
    <mergeCell ref="D38:E38"/>
    <mergeCell ref="B39:C39"/>
    <mergeCell ref="D39:E39"/>
    <mergeCell ref="B40:C40"/>
    <mergeCell ref="D40:E40"/>
    <mergeCell ref="B36:C36"/>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39997558519241921"/>
  </sheetPr>
  <dimension ref="A1:M40"/>
  <sheetViews>
    <sheetView showGridLines="0" zoomScaleNormal="100" workbookViewId="0">
      <selection activeCell="J8" sqref="J8"/>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65">
        <v>2</v>
      </c>
      <c r="M1" s="465"/>
    </row>
    <row r="2" spans="1:13" ht="16.5" customHeight="1">
      <c r="A2" s="42"/>
      <c r="B2" s="324" t="str">
        <f>出退社入力シート!C3&amp;"年"&amp;出退社入力シート!H3&amp;"月"</f>
        <v>2022年5月</v>
      </c>
      <c r="C2" s="324"/>
      <c r="D2" s="324"/>
      <c r="E2" s="323" t="s">
        <v>52</v>
      </c>
      <c r="F2" s="323"/>
      <c r="G2" s="323"/>
      <c r="H2" s="323"/>
      <c r="I2" s="323"/>
      <c r="J2" s="119" t="s">
        <v>58</v>
      </c>
      <c r="K2" s="466" t="str">
        <f>IF(出退社入力シート!D40="","",出退社入力シート!D40)</f>
        <v>株式会社　トップワンテック</v>
      </c>
      <c r="L2" s="466"/>
      <c r="M2" s="466"/>
    </row>
    <row r="3" spans="1:13" ht="16.5" customHeight="1">
      <c r="A3" s="42"/>
      <c r="B3" s="324"/>
      <c r="C3" s="324"/>
      <c r="D3" s="324"/>
      <c r="E3" s="323"/>
      <c r="F3" s="323"/>
      <c r="G3" s="323"/>
      <c r="H3" s="323"/>
      <c r="I3" s="323"/>
      <c r="J3" s="119" t="s">
        <v>36</v>
      </c>
      <c r="K3" s="466" t="str">
        <f>IF(出退社入力シート!D42="","",出退社入力シート!D42)</f>
        <v>史正韵</v>
      </c>
      <c r="L3" s="466"/>
      <c r="M3" s="117" t="s">
        <v>37</v>
      </c>
    </row>
    <row r="4" spans="1:13" ht="22.5" customHeight="1" thickBot="1">
      <c r="A4" s="42"/>
      <c r="B4" s="120"/>
      <c r="C4" s="120"/>
      <c r="D4" s="120"/>
      <c r="E4" s="120"/>
      <c r="F4" s="120"/>
      <c r="G4" s="42"/>
      <c r="H4" s="42"/>
      <c r="I4" s="42"/>
      <c r="J4" s="42"/>
      <c r="K4" s="42"/>
      <c r="L4" s="42"/>
      <c r="M4" s="42"/>
    </row>
    <row r="5" spans="1:13" ht="22.5" customHeight="1">
      <c r="A5" s="42"/>
      <c r="B5" s="458" t="s">
        <v>20</v>
      </c>
      <c r="C5" s="460" t="s">
        <v>21</v>
      </c>
      <c r="D5" s="462" t="s">
        <v>57</v>
      </c>
      <c r="E5" s="464" t="s">
        <v>60</v>
      </c>
      <c r="F5" s="464"/>
      <c r="G5" s="464"/>
      <c r="H5" s="464"/>
      <c r="I5" s="464"/>
      <c r="J5" s="464" t="s">
        <v>77</v>
      </c>
      <c r="K5" s="464"/>
      <c r="L5" s="454" t="s">
        <v>23</v>
      </c>
      <c r="M5" s="435"/>
    </row>
    <row r="6" spans="1:13" ht="22.5" customHeight="1">
      <c r="A6" s="42"/>
      <c r="B6" s="459"/>
      <c r="C6" s="461"/>
      <c r="D6" s="463"/>
      <c r="E6" s="145" t="s">
        <v>56</v>
      </c>
      <c r="F6" s="457" t="s">
        <v>53</v>
      </c>
      <c r="G6" s="457"/>
      <c r="H6" s="457"/>
      <c r="I6" s="145" t="s">
        <v>55</v>
      </c>
      <c r="J6" s="145" t="s">
        <v>65</v>
      </c>
      <c r="K6" s="145" t="s">
        <v>55</v>
      </c>
      <c r="L6" s="455"/>
      <c r="M6" s="456"/>
    </row>
    <row r="7" spans="1:13" ht="30" customHeight="1">
      <c r="B7" s="140"/>
      <c r="C7" s="38" t="str">
        <f>IF(B7="","",VLOOKUP(B7,出退社入力シート!A7:D37,4))</f>
        <v/>
      </c>
      <c r="D7" s="35"/>
      <c r="E7" s="36"/>
      <c r="F7" s="36"/>
      <c r="G7" s="115" t="s">
        <v>54</v>
      </c>
      <c r="H7" s="36"/>
      <c r="I7" s="37"/>
      <c r="J7" s="35"/>
      <c r="K7" s="37"/>
      <c r="L7" s="446" t="str">
        <f>IF(I7+K7=0,"",I7+K7)</f>
        <v/>
      </c>
      <c r="M7" s="447"/>
    </row>
    <row r="8" spans="1:13" ht="30" customHeight="1">
      <c r="B8" s="141"/>
      <c r="C8" s="38" t="str">
        <f>IF(B8="","",VLOOKUP(B8,出退社入力シート!A7:D37,4))</f>
        <v/>
      </c>
      <c r="D8" s="35"/>
      <c r="E8" s="36"/>
      <c r="F8" s="36"/>
      <c r="G8" s="115" t="s">
        <v>54</v>
      </c>
      <c r="H8" s="36"/>
      <c r="I8" s="37"/>
      <c r="J8" s="35"/>
      <c r="K8" s="37"/>
      <c r="L8" s="446" t="str">
        <f>IF(I8+K8=0,"",I8+K8)</f>
        <v/>
      </c>
      <c r="M8" s="447"/>
    </row>
    <row r="9" spans="1:13" ht="30" customHeight="1">
      <c r="B9" s="141"/>
      <c r="C9" s="38" t="str">
        <f>IF(B9="","",VLOOKUP(B9,出退社入力シート!A7:D37,4))</f>
        <v/>
      </c>
      <c r="D9" s="35"/>
      <c r="E9" s="36"/>
      <c r="F9" s="36"/>
      <c r="G9" s="115" t="s">
        <v>54</v>
      </c>
      <c r="H9" s="36"/>
      <c r="I9" s="37"/>
      <c r="J9" s="35"/>
      <c r="K9" s="37"/>
      <c r="L9" s="446" t="str">
        <f>IF(I9+K9=0,"",I9+K9)</f>
        <v/>
      </c>
      <c r="M9" s="447"/>
    </row>
    <row r="10" spans="1:13" ht="30" customHeight="1">
      <c r="B10" s="141"/>
      <c r="C10" s="38" t="str">
        <f>IF(B10="","",VLOOKUP(B10,出退社入力シート!A7:D37,4))</f>
        <v/>
      </c>
      <c r="D10" s="35"/>
      <c r="E10" s="36"/>
      <c r="F10" s="36"/>
      <c r="G10" s="115" t="s">
        <v>54</v>
      </c>
      <c r="H10" s="36"/>
      <c r="I10" s="37"/>
      <c r="J10" s="35"/>
      <c r="K10" s="37"/>
      <c r="L10" s="446" t="str">
        <f>IF(I10+K10=0,"",I10+K10)</f>
        <v/>
      </c>
      <c r="M10" s="447"/>
    </row>
    <row r="11" spans="1:13" ht="30" customHeight="1">
      <c r="B11" s="141"/>
      <c r="C11" s="38" t="str">
        <f>IF(B11="","",VLOOKUP(B11,出退社入力シート!A7:D37,4))</f>
        <v/>
      </c>
      <c r="D11" s="35"/>
      <c r="E11" s="36"/>
      <c r="F11" s="36"/>
      <c r="G11" s="115" t="s">
        <v>54</v>
      </c>
      <c r="H11" s="36"/>
      <c r="I11" s="37"/>
      <c r="J11" s="35"/>
      <c r="K11" s="37"/>
      <c r="L11" s="446" t="str">
        <f>IF(I11+K11=0,"",I11+K11)</f>
        <v/>
      </c>
      <c r="M11" s="447"/>
    </row>
    <row r="12" spans="1:13" ht="30" customHeight="1">
      <c r="B12" s="141"/>
      <c r="C12" s="38" t="str">
        <f>IF(B12="","",VLOOKUP(B12,出退社入力シート!A7:D37,4))</f>
        <v/>
      </c>
      <c r="D12" s="35"/>
      <c r="E12" s="36"/>
      <c r="F12" s="36"/>
      <c r="G12" s="115" t="s">
        <v>54</v>
      </c>
      <c r="H12" s="36"/>
      <c r="I12" s="37"/>
      <c r="J12" s="35"/>
      <c r="K12" s="37"/>
      <c r="L12" s="446" t="str">
        <f t="shared" ref="L12:L32" si="0">IF(I12+K12=0,"",I12+K12)</f>
        <v/>
      </c>
      <c r="M12" s="447"/>
    </row>
    <row r="13" spans="1:13" ht="30" customHeight="1">
      <c r="B13" s="141"/>
      <c r="C13" s="38" t="str">
        <f>IF(B13="","",VLOOKUP(B13,出退社入力シート!A7:D37,4))</f>
        <v/>
      </c>
      <c r="D13" s="35"/>
      <c r="E13" s="36"/>
      <c r="F13" s="36"/>
      <c r="G13" s="115" t="s">
        <v>54</v>
      </c>
      <c r="H13" s="36"/>
      <c r="I13" s="37"/>
      <c r="J13" s="35"/>
      <c r="K13" s="37"/>
      <c r="L13" s="446" t="str">
        <f>IF(I13+K13=0,"",I13+K13)</f>
        <v/>
      </c>
      <c r="M13" s="447"/>
    </row>
    <row r="14" spans="1:13" ht="30" customHeight="1">
      <c r="B14" s="141"/>
      <c r="C14" s="38" t="str">
        <f>IF(B14="","",VLOOKUP(B14,出退社入力シート!A7:D37,4))</f>
        <v/>
      </c>
      <c r="D14" s="35"/>
      <c r="E14" s="36"/>
      <c r="F14" s="36"/>
      <c r="G14" s="115" t="s">
        <v>54</v>
      </c>
      <c r="H14" s="36"/>
      <c r="I14" s="37"/>
      <c r="J14" s="35"/>
      <c r="K14" s="37"/>
      <c r="L14" s="446" t="str">
        <f t="shared" si="0"/>
        <v/>
      </c>
      <c r="M14" s="447"/>
    </row>
    <row r="15" spans="1:13" ht="30" customHeight="1">
      <c r="B15" s="141"/>
      <c r="C15" s="38" t="str">
        <f>IF(B15="","",VLOOKUP(B15,出退社入力シート!A7:D37,4))</f>
        <v/>
      </c>
      <c r="D15" s="35"/>
      <c r="E15" s="36"/>
      <c r="F15" s="36"/>
      <c r="G15" s="115" t="s">
        <v>54</v>
      </c>
      <c r="H15" s="36"/>
      <c r="I15" s="37"/>
      <c r="J15" s="35"/>
      <c r="K15" s="37"/>
      <c r="L15" s="446" t="str">
        <f t="shared" si="0"/>
        <v/>
      </c>
      <c r="M15" s="447"/>
    </row>
    <row r="16" spans="1:13" ht="30" customHeight="1">
      <c r="B16" s="141"/>
      <c r="C16" s="38" t="str">
        <f>IF(B16="","",VLOOKUP(B16,出退社入力シート!A7:D37,4))</f>
        <v/>
      </c>
      <c r="D16" s="35"/>
      <c r="E16" s="36"/>
      <c r="F16" s="36"/>
      <c r="G16" s="115" t="s">
        <v>54</v>
      </c>
      <c r="H16" s="36"/>
      <c r="I16" s="37"/>
      <c r="J16" s="35"/>
      <c r="K16" s="37"/>
      <c r="L16" s="446" t="str">
        <f>IF(I16+K16=0,"",I16+K16)</f>
        <v/>
      </c>
      <c r="M16" s="447"/>
    </row>
    <row r="17" spans="2:13" ht="30" customHeight="1">
      <c r="B17" s="141"/>
      <c r="C17" s="38" t="str">
        <f>IF(B17="","",VLOOKUP(B17,出退社入力シート!A7:D37,4))</f>
        <v/>
      </c>
      <c r="D17" s="35"/>
      <c r="E17" s="36"/>
      <c r="F17" s="36"/>
      <c r="G17" s="115" t="s">
        <v>54</v>
      </c>
      <c r="H17" s="36"/>
      <c r="I17" s="37"/>
      <c r="J17" s="35"/>
      <c r="K17" s="37"/>
      <c r="L17" s="446" t="str">
        <f t="shared" si="0"/>
        <v/>
      </c>
      <c r="M17" s="447"/>
    </row>
    <row r="18" spans="2:13" ht="30" customHeight="1">
      <c r="B18" s="141"/>
      <c r="C18" s="38" t="str">
        <f>IF(B18="","",VLOOKUP(B18,出退社入力シート!A7:D37,4))</f>
        <v/>
      </c>
      <c r="D18" s="35"/>
      <c r="E18" s="36"/>
      <c r="F18" s="36"/>
      <c r="G18" s="115" t="s">
        <v>54</v>
      </c>
      <c r="H18" s="36"/>
      <c r="I18" s="37"/>
      <c r="J18" s="35"/>
      <c r="K18" s="37"/>
      <c r="L18" s="446" t="str">
        <f t="shared" si="0"/>
        <v/>
      </c>
      <c r="M18" s="447"/>
    </row>
    <row r="19" spans="2:13" ht="30" customHeight="1">
      <c r="B19" s="141"/>
      <c r="C19" s="38" t="str">
        <f>IF(B19="","",VLOOKUP(B19,出退社入力シート!A7:D37,4))</f>
        <v/>
      </c>
      <c r="D19" s="35"/>
      <c r="E19" s="36"/>
      <c r="F19" s="36"/>
      <c r="G19" s="115" t="s">
        <v>54</v>
      </c>
      <c r="H19" s="36"/>
      <c r="I19" s="37"/>
      <c r="J19" s="35"/>
      <c r="K19" s="37"/>
      <c r="L19" s="446" t="str">
        <f t="shared" si="0"/>
        <v/>
      </c>
      <c r="M19" s="447"/>
    </row>
    <row r="20" spans="2:13" ht="30" customHeight="1">
      <c r="B20" s="141"/>
      <c r="C20" s="38" t="str">
        <f>IF(B20="","",VLOOKUP(B20,出退社入力シート!A7:D37,4))</f>
        <v/>
      </c>
      <c r="D20" s="35"/>
      <c r="E20" s="36"/>
      <c r="F20" s="36"/>
      <c r="G20" s="115" t="s">
        <v>54</v>
      </c>
      <c r="H20" s="36"/>
      <c r="I20" s="37"/>
      <c r="J20" s="35"/>
      <c r="K20" s="37"/>
      <c r="L20" s="446" t="str">
        <f t="shared" si="0"/>
        <v/>
      </c>
      <c r="M20" s="447"/>
    </row>
    <row r="21" spans="2:13" ht="30" customHeight="1">
      <c r="B21" s="141"/>
      <c r="C21" s="38" t="str">
        <f>IF(B21="","",VLOOKUP(B21,出退社入力シート!A7:D37,4))</f>
        <v/>
      </c>
      <c r="D21" s="35"/>
      <c r="E21" s="36"/>
      <c r="F21" s="36"/>
      <c r="G21" s="115" t="s">
        <v>54</v>
      </c>
      <c r="H21" s="36"/>
      <c r="I21" s="37"/>
      <c r="J21" s="35"/>
      <c r="K21" s="37"/>
      <c r="L21" s="446" t="str">
        <f t="shared" si="0"/>
        <v/>
      </c>
      <c r="M21" s="447"/>
    </row>
    <row r="22" spans="2:13" ht="30" customHeight="1">
      <c r="B22" s="141"/>
      <c r="C22" s="38" t="str">
        <f>IF(B22="","",VLOOKUP(B22,出退社入力シート!A7:D37,4))</f>
        <v/>
      </c>
      <c r="D22" s="35"/>
      <c r="E22" s="36"/>
      <c r="F22" s="36"/>
      <c r="G22" s="115" t="s">
        <v>54</v>
      </c>
      <c r="H22" s="36"/>
      <c r="I22" s="37"/>
      <c r="J22" s="35"/>
      <c r="K22" s="37"/>
      <c r="L22" s="446" t="str">
        <f t="shared" si="0"/>
        <v/>
      </c>
      <c r="M22" s="447"/>
    </row>
    <row r="23" spans="2:13" ht="30" customHeight="1">
      <c r="B23" s="141"/>
      <c r="C23" s="38" t="str">
        <f>IF(B23="","",VLOOKUP(B23,出退社入力シート!A7:D37,4))</f>
        <v/>
      </c>
      <c r="D23" s="35"/>
      <c r="E23" s="36"/>
      <c r="F23" s="36"/>
      <c r="G23" s="115" t="s">
        <v>54</v>
      </c>
      <c r="H23" s="36"/>
      <c r="I23" s="37"/>
      <c r="J23" s="35"/>
      <c r="K23" s="37"/>
      <c r="L23" s="446" t="str">
        <f t="shared" si="0"/>
        <v/>
      </c>
      <c r="M23" s="447"/>
    </row>
    <row r="24" spans="2:13" ht="30" customHeight="1">
      <c r="B24" s="141"/>
      <c r="C24" s="38" t="str">
        <f>IF(B24="","",VLOOKUP(B24,出退社入力シート!A7:D37,4))</f>
        <v/>
      </c>
      <c r="D24" s="35"/>
      <c r="E24" s="36"/>
      <c r="F24" s="36"/>
      <c r="G24" s="115" t="s">
        <v>54</v>
      </c>
      <c r="H24" s="36"/>
      <c r="I24" s="37"/>
      <c r="J24" s="35"/>
      <c r="K24" s="37"/>
      <c r="L24" s="446" t="str">
        <f t="shared" si="0"/>
        <v/>
      </c>
      <c r="M24" s="447"/>
    </row>
    <row r="25" spans="2:13" ht="30" customHeight="1">
      <c r="B25" s="141"/>
      <c r="C25" s="38" t="str">
        <f>IF(B25="","",VLOOKUP(B25,出退社入力シート!A7:D37,4))</f>
        <v/>
      </c>
      <c r="D25" s="35"/>
      <c r="E25" s="36"/>
      <c r="F25" s="36"/>
      <c r="G25" s="115" t="s">
        <v>54</v>
      </c>
      <c r="H25" s="36"/>
      <c r="I25" s="37"/>
      <c r="J25" s="35"/>
      <c r="K25" s="37"/>
      <c r="L25" s="446" t="str">
        <f t="shared" si="0"/>
        <v/>
      </c>
      <c r="M25" s="447"/>
    </row>
    <row r="26" spans="2:13" ht="30" customHeight="1">
      <c r="B26" s="141"/>
      <c r="C26" s="38" t="str">
        <f>IF(B26="","",VLOOKUP(B26,出退社入力シート!A7:D37,4))</f>
        <v/>
      </c>
      <c r="D26" s="35"/>
      <c r="E26" s="36"/>
      <c r="F26" s="36"/>
      <c r="G26" s="115" t="s">
        <v>54</v>
      </c>
      <c r="H26" s="36"/>
      <c r="I26" s="37"/>
      <c r="J26" s="35"/>
      <c r="K26" s="37"/>
      <c r="L26" s="446" t="str">
        <f t="shared" si="0"/>
        <v/>
      </c>
      <c r="M26" s="447"/>
    </row>
    <row r="27" spans="2:13" ht="30" customHeight="1">
      <c r="B27" s="141"/>
      <c r="C27" s="38" t="str">
        <f>IF(B27="","",VLOOKUP(B27,出退社入力シート!A7:D37,4))</f>
        <v/>
      </c>
      <c r="D27" s="35"/>
      <c r="E27" s="36"/>
      <c r="F27" s="36"/>
      <c r="G27" s="115" t="s">
        <v>54</v>
      </c>
      <c r="H27" s="36"/>
      <c r="I27" s="37"/>
      <c r="J27" s="35"/>
      <c r="K27" s="37"/>
      <c r="L27" s="446" t="str">
        <f t="shared" si="0"/>
        <v/>
      </c>
      <c r="M27" s="447"/>
    </row>
    <row r="28" spans="2:13" ht="30" customHeight="1">
      <c r="B28" s="141"/>
      <c r="C28" s="38" t="str">
        <f>IF(B28="","",VLOOKUP(B28,出退社入力シート!A7:D37,4))</f>
        <v/>
      </c>
      <c r="D28" s="35"/>
      <c r="E28" s="36"/>
      <c r="F28" s="36"/>
      <c r="G28" s="115" t="s">
        <v>54</v>
      </c>
      <c r="H28" s="36"/>
      <c r="I28" s="37"/>
      <c r="J28" s="35"/>
      <c r="K28" s="37"/>
      <c r="L28" s="446" t="str">
        <f t="shared" si="0"/>
        <v/>
      </c>
      <c r="M28" s="447"/>
    </row>
    <row r="29" spans="2:13" ht="30" customHeight="1">
      <c r="B29" s="141"/>
      <c r="C29" s="38" t="str">
        <f>IF(B29="","",VLOOKUP(B29,出退社入力シート!A7:D37,4))</f>
        <v/>
      </c>
      <c r="D29" s="35"/>
      <c r="E29" s="36"/>
      <c r="F29" s="36"/>
      <c r="G29" s="115" t="s">
        <v>54</v>
      </c>
      <c r="H29" s="36"/>
      <c r="I29" s="37"/>
      <c r="J29" s="35"/>
      <c r="K29" s="37"/>
      <c r="L29" s="446" t="str">
        <f t="shared" si="0"/>
        <v/>
      </c>
      <c r="M29" s="447"/>
    </row>
    <row r="30" spans="2:13" ht="30" customHeight="1">
      <c r="B30" s="141"/>
      <c r="C30" s="38" t="str">
        <f>IF(B30="","",VLOOKUP(B30,出退社入力シート!A7:D37,4))</f>
        <v/>
      </c>
      <c r="D30" s="35"/>
      <c r="E30" s="36"/>
      <c r="F30" s="36"/>
      <c r="G30" s="115" t="s">
        <v>54</v>
      </c>
      <c r="H30" s="36"/>
      <c r="I30" s="37"/>
      <c r="J30" s="35"/>
      <c r="K30" s="37"/>
      <c r="L30" s="446" t="str">
        <f t="shared" si="0"/>
        <v/>
      </c>
      <c r="M30" s="447"/>
    </row>
    <row r="31" spans="2:13" ht="30" customHeight="1">
      <c r="B31" s="141"/>
      <c r="C31" s="38" t="str">
        <f>IF(B31="","",VLOOKUP(B31,出退社入力シート!A7:D37,4))</f>
        <v/>
      </c>
      <c r="D31" s="35"/>
      <c r="E31" s="36"/>
      <c r="F31" s="36"/>
      <c r="G31" s="115" t="s">
        <v>54</v>
      </c>
      <c r="H31" s="36"/>
      <c r="I31" s="37"/>
      <c r="J31" s="35"/>
      <c r="K31" s="37"/>
      <c r="L31" s="446" t="str">
        <f t="shared" si="0"/>
        <v/>
      </c>
      <c r="M31" s="447"/>
    </row>
    <row r="32" spans="2:13" ht="30" customHeight="1">
      <c r="B32" s="141"/>
      <c r="C32" s="38" t="str">
        <f>IF(B32="","",VLOOKUP(B32,出退社入力シート!A7:D37,4))</f>
        <v/>
      </c>
      <c r="D32" s="35"/>
      <c r="E32" s="36"/>
      <c r="F32" s="36"/>
      <c r="G32" s="115" t="s">
        <v>54</v>
      </c>
      <c r="H32" s="36"/>
      <c r="I32" s="37"/>
      <c r="J32" s="35"/>
      <c r="K32" s="37"/>
      <c r="L32" s="446" t="str">
        <f t="shared" si="0"/>
        <v/>
      </c>
      <c r="M32" s="447"/>
    </row>
    <row r="33" spans="2:13" ht="37.5" customHeight="1" thickBot="1">
      <c r="B33" s="448"/>
      <c r="C33" s="449"/>
      <c r="D33" s="449"/>
      <c r="E33" s="449"/>
      <c r="F33" s="449"/>
      <c r="G33" s="449"/>
      <c r="H33" s="449"/>
      <c r="I33" s="450"/>
      <c r="J33" s="451" t="s">
        <v>59</v>
      </c>
      <c r="K33" s="451"/>
      <c r="L33" s="452">
        <f>SUM(L7:L32)</f>
        <v>0</v>
      </c>
      <c r="M33" s="453"/>
    </row>
    <row r="34" spans="2:13" ht="15" customHeight="1"/>
    <row r="35" spans="2:13" ht="15" customHeight="1" thickBot="1">
      <c r="B35" s="39" t="s">
        <v>73</v>
      </c>
    </row>
    <row r="36" spans="2:13" ht="15" customHeight="1">
      <c r="B36" s="436" t="str">
        <f>IF(出退社入力シート!K41="","",出退社入力シート!K41)</f>
        <v>1220843</v>
      </c>
      <c r="C36" s="436"/>
      <c r="D36" s="432" t="str">
        <f>IF(出退社入力シート!L41="","",出退社入力シート!L41)</f>
        <v>準委116_1003520000_購買物流システム開発支援作業　2022/4～2023/3</v>
      </c>
      <c r="E36" s="432"/>
      <c r="F36" s="49">
        <f>L33-F37-F38-F39-F40</f>
        <v>0</v>
      </c>
      <c r="K36" s="433" t="str">
        <f>出退社入力シート!J3&amp;"確認欄"</f>
        <v>tdi確認欄</v>
      </c>
      <c r="L36" s="434"/>
      <c r="M36" s="435"/>
    </row>
    <row r="37" spans="2:13" ht="15" customHeight="1">
      <c r="B37" s="436" t="str">
        <f>IF(OR(出退社入力シート!K42="",出退社入力シート!P42=""),"",出退社入力シート!K42)</f>
        <v/>
      </c>
      <c r="C37" s="436"/>
      <c r="D37" s="432" t="str">
        <f>IF(OR(出退社入力シート!L42="",出退社入力シート!P42=""),"",出退社入力シート!L42)</f>
        <v/>
      </c>
      <c r="E37" s="432"/>
      <c r="F37" s="49"/>
      <c r="K37" s="437" t="s">
        <v>37</v>
      </c>
      <c r="L37" s="440" t="s">
        <v>37</v>
      </c>
      <c r="M37" s="441"/>
    </row>
    <row r="38" spans="2:13" ht="15" customHeight="1">
      <c r="B38" s="436" t="str">
        <f>IF(OR(出退社入力シート!K43="",出退社入力シート!P43=""),"",出退社入力シート!K43)</f>
        <v/>
      </c>
      <c r="C38" s="436"/>
      <c r="D38" s="432" t="str">
        <f>IF(OR(出退社入力シート!L43="",出退社入力シート!P43=""),"",出退社入力シート!L43)</f>
        <v/>
      </c>
      <c r="E38" s="432"/>
      <c r="F38" s="49"/>
      <c r="K38" s="438"/>
      <c r="L38" s="442"/>
      <c r="M38" s="443"/>
    </row>
    <row r="39" spans="2:13" ht="15" customHeight="1">
      <c r="B39" s="436" t="str">
        <f>IF(OR(出退社入力シート!K44="",出退社入力シート!P44=""),"",出退社入力シート!K44)</f>
        <v/>
      </c>
      <c r="C39" s="436"/>
      <c r="D39" s="432" t="str">
        <f>IF(OR(出退社入力シート!L44="",出退社入力シート!P44=""),"",出退社入力シート!L44)</f>
        <v/>
      </c>
      <c r="E39" s="432"/>
      <c r="F39" s="49"/>
      <c r="K39" s="438"/>
      <c r="L39" s="442"/>
      <c r="M39" s="443"/>
    </row>
    <row r="40" spans="2:13" ht="15" customHeight="1" thickBot="1">
      <c r="B40" s="436" t="str">
        <f>IF(OR(出退社入力シート!K45="",出退社入力シート!P45=""),"",出退社入力シート!K45)</f>
        <v/>
      </c>
      <c r="C40" s="436"/>
      <c r="D40" s="432" t="str">
        <f>IF(OR(出退社入力シート!L45="",出退社入力シート!P45=""),"",出退社入力シート!L45)</f>
        <v/>
      </c>
      <c r="E40" s="432"/>
      <c r="F40" s="49"/>
      <c r="K40" s="439"/>
      <c r="L40" s="444"/>
      <c r="M40" s="445"/>
    </row>
  </sheetData>
  <sheetProtection password="F6FE" sheet="1" objects="1" scenarios="1" selectLockedCells="1"/>
  <mergeCells count="54">
    <mergeCell ref="B5:B6"/>
    <mergeCell ref="C5:C6"/>
    <mergeCell ref="D5:D6"/>
    <mergeCell ref="E5:I5"/>
    <mergeCell ref="J5:K5"/>
    <mergeCell ref="L1:M1"/>
    <mergeCell ref="B2:D3"/>
    <mergeCell ref="E2:I3"/>
    <mergeCell ref="K2:M2"/>
    <mergeCell ref="K3:L3"/>
    <mergeCell ref="L16:M16"/>
    <mergeCell ref="L5:M6"/>
    <mergeCell ref="F6:H6"/>
    <mergeCell ref="L7:M7"/>
    <mergeCell ref="L8:M8"/>
    <mergeCell ref="L9:M9"/>
    <mergeCell ref="L10:M10"/>
    <mergeCell ref="L11:M11"/>
    <mergeCell ref="L12:M12"/>
    <mergeCell ref="L13:M13"/>
    <mergeCell ref="L14:M14"/>
    <mergeCell ref="L15:M15"/>
    <mergeCell ref="L28:M28"/>
    <mergeCell ref="L17:M17"/>
    <mergeCell ref="L18:M18"/>
    <mergeCell ref="L19:M19"/>
    <mergeCell ref="L20:M20"/>
    <mergeCell ref="L21:M21"/>
    <mergeCell ref="L22:M22"/>
    <mergeCell ref="L23:M23"/>
    <mergeCell ref="L24:M24"/>
    <mergeCell ref="L25:M25"/>
    <mergeCell ref="L26:M26"/>
    <mergeCell ref="L27:M27"/>
    <mergeCell ref="L29:M29"/>
    <mergeCell ref="L30:M30"/>
    <mergeCell ref="L31:M31"/>
    <mergeCell ref="L32:M32"/>
    <mergeCell ref="B33:I33"/>
    <mergeCell ref="J33:K33"/>
    <mergeCell ref="L33:M33"/>
    <mergeCell ref="K36:M36"/>
    <mergeCell ref="B37:C37"/>
    <mergeCell ref="D37:E37"/>
    <mergeCell ref="K37:K40"/>
    <mergeCell ref="L37:M40"/>
    <mergeCell ref="B38:C38"/>
    <mergeCell ref="D38:E38"/>
    <mergeCell ref="B39:C39"/>
    <mergeCell ref="D39:E39"/>
    <mergeCell ref="B40:C40"/>
    <mergeCell ref="D40:E40"/>
    <mergeCell ref="B36:C36"/>
    <mergeCell ref="D36:E36"/>
  </mergeCells>
  <phoneticPr fontId="2"/>
  <dataValidations count="2">
    <dataValidation type="list" allowBlank="1" showInputMessage="1" showErrorMessage="1" sqref="E7:E32">
      <formula1>"鉄道,鉄道（新幹線）,鉄道（特急）,航空機,船,タクシー,バス,その他"</formula1>
    </dataValidation>
    <dataValidation type="whole" operator="lessThanOrEqual" allowBlank="1" showInputMessage="1" showErrorMessage="1" errorTitle="入力エラー" error="合計金額を超えています" sqref="F36:F40">
      <formula1>L33</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tint="0.39997558519241921"/>
  </sheetPr>
  <dimension ref="A1:M40"/>
  <sheetViews>
    <sheetView showGridLines="0" zoomScaleNormal="100" workbookViewId="0">
      <selection activeCell="J42" sqref="J42"/>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65">
        <v>3</v>
      </c>
      <c r="M1" s="465"/>
    </row>
    <row r="2" spans="1:13" ht="16.5" customHeight="1">
      <c r="A2" s="42"/>
      <c r="B2" s="324" t="str">
        <f>出退社入力シート!C3&amp;"年"&amp;出退社入力シート!H3&amp;"月"</f>
        <v>2022年5月</v>
      </c>
      <c r="C2" s="324"/>
      <c r="D2" s="324"/>
      <c r="E2" s="323" t="s">
        <v>52</v>
      </c>
      <c r="F2" s="323"/>
      <c r="G2" s="323"/>
      <c r="H2" s="323"/>
      <c r="I2" s="323"/>
      <c r="J2" s="119" t="s">
        <v>58</v>
      </c>
      <c r="K2" s="466" t="str">
        <f>IF(出退社入力シート!D40="","",出退社入力シート!D40)</f>
        <v>株式会社　トップワンテック</v>
      </c>
      <c r="L2" s="466"/>
      <c r="M2" s="466"/>
    </row>
    <row r="3" spans="1:13" ht="16.5" customHeight="1">
      <c r="A3" s="42"/>
      <c r="B3" s="324"/>
      <c r="C3" s="324"/>
      <c r="D3" s="324"/>
      <c r="E3" s="323"/>
      <c r="F3" s="323"/>
      <c r="G3" s="323"/>
      <c r="H3" s="323"/>
      <c r="I3" s="323"/>
      <c r="J3" s="119" t="s">
        <v>36</v>
      </c>
      <c r="K3" s="466" t="str">
        <f>IF(出退社入力シート!D42="","",出退社入力シート!D42)</f>
        <v>史正韵</v>
      </c>
      <c r="L3" s="466"/>
      <c r="M3" s="117" t="s">
        <v>37</v>
      </c>
    </row>
    <row r="4" spans="1:13" ht="22.5" customHeight="1" thickBot="1">
      <c r="A4" s="42"/>
      <c r="B4" s="120"/>
      <c r="C4" s="120"/>
      <c r="D4" s="120"/>
      <c r="E4" s="120"/>
      <c r="F4" s="120"/>
      <c r="G4" s="42"/>
      <c r="H4" s="42"/>
      <c r="I4" s="42"/>
      <c r="J4" s="42"/>
      <c r="K4" s="42"/>
      <c r="L4" s="42"/>
      <c r="M4" s="42"/>
    </row>
    <row r="5" spans="1:13" ht="22.5" customHeight="1">
      <c r="A5" s="42"/>
      <c r="B5" s="458" t="s">
        <v>20</v>
      </c>
      <c r="C5" s="460" t="s">
        <v>21</v>
      </c>
      <c r="D5" s="462" t="s">
        <v>57</v>
      </c>
      <c r="E5" s="464" t="s">
        <v>60</v>
      </c>
      <c r="F5" s="464"/>
      <c r="G5" s="464"/>
      <c r="H5" s="464"/>
      <c r="I5" s="464"/>
      <c r="J5" s="464" t="s">
        <v>77</v>
      </c>
      <c r="K5" s="464"/>
      <c r="L5" s="454" t="s">
        <v>23</v>
      </c>
      <c r="M5" s="435"/>
    </row>
    <row r="6" spans="1:13" ht="22.5" customHeight="1">
      <c r="A6" s="42"/>
      <c r="B6" s="459"/>
      <c r="C6" s="461"/>
      <c r="D6" s="463"/>
      <c r="E6" s="145" t="s">
        <v>56</v>
      </c>
      <c r="F6" s="457" t="s">
        <v>53</v>
      </c>
      <c r="G6" s="457"/>
      <c r="H6" s="457"/>
      <c r="I6" s="145" t="s">
        <v>55</v>
      </c>
      <c r="J6" s="145" t="s">
        <v>65</v>
      </c>
      <c r="K6" s="145" t="s">
        <v>55</v>
      </c>
      <c r="L6" s="455"/>
      <c r="M6" s="456"/>
    </row>
    <row r="7" spans="1:13" ht="30" customHeight="1">
      <c r="B7" s="140"/>
      <c r="C7" s="38" t="str">
        <f>IF(B7="","",VLOOKUP(B7,出退社入力シート!A7:D37,4))</f>
        <v/>
      </c>
      <c r="D7" s="35"/>
      <c r="E7" s="36"/>
      <c r="F7" s="36"/>
      <c r="G7" s="115" t="s">
        <v>54</v>
      </c>
      <c r="H7" s="36"/>
      <c r="I7" s="37"/>
      <c r="J7" s="35"/>
      <c r="K7" s="37"/>
      <c r="L7" s="446" t="str">
        <f>IF(I7+K7=0,"",I7+K7)</f>
        <v/>
      </c>
      <c r="M7" s="447"/>
    </row>
    <row r="8" spans="1:13" ht="30" customHeight="1">
      <c r="B8" s="141"/>
      <c r="C8" s="38" t="str">
        <f>IF(B8="","",VLOOKUP(B8,出退社入力シート!A7:D37,4))</f>
        <v/>
      </c>
      <c r="D8" s="35"/>
      <c r="E8" s="36"/>
      <c r="F8" s="36"/>
      <c r="G8" s="115" t="s">
        <v>54</v>
      </c>
      <c r="H8" s="36"/>
      <c r="I8" s="37"/>
      <c r="J8" s="35"/>
      <c r="K8" s="37"/>
      <c r="L8" s="446" t="str">
        <f>IF(I8+K8=0,"",I8+K8)</f>
        <v/>
      </c>
      <c r="M8" s="447"/>
    </row>
    <row r="9" spans="1:13" ht="30" customHeight="1">
      <c r="B9" s="141"/>
      <c r="C9" s="38" t="str">
        <f>IF(B9="","",VLOOKUP(B9,出退社入力シート!A7:D37,4))</f>
        <v/>
      </c>
      <c r="D9" s="35"/>
      <c r="E9" s="36"/>
      <c r="F9" s="36"/>
      <c r="G9" s="115" t="s">
        <v>54</v>
      </c>
      <c r="H9" s="36"/>
      <c r="I9" s="37"/>
      <c r="J9" s="35"/>
      <c r="K9" s="37"/>
      <c r="L9" s="446" t="str">
        <f>IF(I9+K9=0,"",I9+K9)</f>
        <v/>
      </c>
      <c r="M9" s="447"/>
    </row>
    <row r="10" spans="1:13" ht="30" customHeight="1">
      <c r="B10" s="141"/>
      <c r="C10" s="38" t="str">
        <f>IF(B10="","",VLOOKUP(B10,出退社入力シート!A7:D37,4))</f>
        <v/>
      </c>
      <c r="D10" s="35"/>
      <c r="E10" s="36"/>
      <c r="F10" s="36"/>
      <c r="G10" s="115" t="s">
        <v>54</v>
      </c>
      <c r="H10" s="36"/>
      <c r="I10" s="37"/>
      <c r="J10" s="35"/>
      <c r="K10" s="37"/>
      <c r="L10" s="446" t="str">
        <f>IF(I10+K10=0,"",I10+K10)</f>
        <v/>
      </c>
      <c r="M10" s="447"/>
    </row>
    <row r="11" spans="1:13" ht="30" customHeight="1">
      <c r="B11" s="141"/>
      <c r="C11" s="38" t="str">
        <f>IF(B11="","",VLOOKUP(B11,出退社入力シート!A7:D37,4))</f>
        <v/>
      </c>
      <c r="D11" s="35"/>
      <c r="E11" s="36"/>
      <c r="F11" s="36"/>
      <c r="G11" s="115" t="s">
        <v>54</v>
      </c>
      <c r="H11" s="36"/>
      <c r="I11" s="37"/>
      <c r="J11" s="35"/>
      <c r="K11" s="37"/>
      <c r="L11" s="446" t="str">
        <f>IF(I11+K11=0,"",I11+K11)</f>
        <v/>
      </c>
      <c r="M11" s="447"/>
    </row>
    <row r="12" spans="1:13" ht="30" customHeight="1">
      <c r="B12" s="141"/>
      <c r="C12" s="38" t="str">
        <f>IF(B12="","",VLOOKUP(B12,出退社入力シート!A7:D37,4))</f>
        <v/>
      </c>
      <c r="D12" s="35"/>
      <c r="E12" s="36"/>
      <c r="F12" s="36"/>
      <c r="G12" s="115" t="s">
        <v>54</v>
      </c>
      <c r="H12" s="36"/>
      <c r="I12" s="37"/>
      <c r="J12" s="35"/>
      <c r="K12" s="37"/>
      <c r="L12" s="446" t="str">
        <f t="shared" ref="L12:L32" si="0">IF(I12+K12=0,"",I12+K12)</f>
        <v/>
      </c>
      <c r="M12" s="447"/>
    </row>
    <row r="13" spans="1:13" ht="30" customHeight="1">
      <c r="B13" s="141"/>
      <c r="C13" s="38" t="str">
        <f>IF(B13="","",VLOOKUP(B13,出退社入力シート!A7:D37,4))</f>
        <v/>
      </c>
      <c r="D13" s="35"/>
      <c r="E13" s="36"/>
      <c r="F13" s="36"/>
      <c r="G13" s="115" t="s">
        <v>54</v>
      </c>
      <c r="H13" s="36"/>
      <c r="I13" s="37"/>
      <c r="J13" s="35"/>
      <c r="K13" s="37"/>
      <c r="L13" s="446" t="str">
        <f>IF(I13+K13=0,"",I13+K13)</f>
        <v/>
      </c>
      <c r="M13" s="447"/>
    </row>
    <row r="14" spans="1:13" ht="30" customHeight="1">
      <c r="B14" s="141"/>
      <c r="C14" s="38" t="str">
        <f>IF(B14="","",VLOOKUP(B14,出退社入力シート!A7:D37,4))</f>
        <v/>
      </c>
      <c r="D14" s="35"/>
      <c r="E14" s="36"/>
      <c r="F14" s="36"/>
      <c r="G14" s="115" t="s">
        <v>54</v>
      </c>
      <c r="H14" s="36"/>
      <c r="I14" s="37"/>
      <c r="J14" s="35"/>
      <c r="K14" s="37"/>
      <c r="L14" s="446" t="str">
        <f t="shared" si="0"/>
        <v/>
      </c>
      <c r="M14" s="447"/>
    </row>
    <row r="15" spans="1:13" ht="30" customHeight="1">
      <c r="B15" s="141"/>
      <c r="C15" s="38" t="str">
        <f>IF(B15="","",VLOOKUP(B15,出退社入力シート!A7:D37,4))</f>
        <v/>
      </c>
      <c r="D15" s="35"/>
      <c r="E15" s="36"/>
      <c r="F15" s="36"/>
      <c r="G15" s="115" t="s">
        <v>54</v>
      </c>
      <c r="H15" s="36"/>
      <c r="I15" s="37"/>
      <c r="J15" s="35"/>
      <c r="K15" s="37"/>
      <c r="L15" s="446" t="str">
        <f t="shared" si="0"/>
        <v/>
      </c>
      <c r="M15" s="447"/>
    </row>
    <row r="16" spans="1:13" ht="30" customHeight="1">
      <c r="B16" s="141"/>
      <c r="C16" s="38" t="str">
        <f>IF(B16="","",VLOOKUP(B16,出退社入力シート!A7:D37,4))</f>
        <v/>
      </c>
      <c r="D16" s="35"/>
      <c r="E16" s="36"/>
      <c r="F16" s="36"/>
      <c r="G16" s="115" t="s">
        <v>54</v>
      </c>
      <c r="H16" s="36"/>
      <c r="I16" s="37"/>
      <c r="J16" s="35"/>
      <c r="K16" s="37"/>
      <c r="L16" s="446" t="str">
        <f>IF(I16+K16=0,"",I16+K16)</f>
        <v/>
      </c>
      <c r="M16" s="447"/>
    </row>
    <row r="17" spans="2:13" ht="30" customHeight="1">
      <c r="B17" s="141"/>
      <c r="C17" s="38" t="str">
        <f>IF(B17="","",VLOOKUP(B17,出退社入力シート!A7:D37,4))</f>
        <v/>
      </c>
      <c r="D17" s="35"/>
      <c r="E17" s="36"/>
      <c r="F17" s="36"/>
      <c r="G17" s="115" t="s">
        <v>54</v>
      </c>
      <c r="H17" s="36"/>
      <c r="I17" s="37"/>
      <c r="J17" s="35"/>
      <c r="K17" s="37"/>
      <c r="L17" s="446" t="str">
        <f t="shared" si="0"/>
        <v/>
      </c>
      <c r="M17" s="447"/>
    </row>
    <row r="18" spans="2:13" ht="30" customHeight="1">
      <c r="B18" s="141"/>
      <c r="C18" s="38" t="str">
        <f>IF(B18="","",VLOOKUP(B18,出退社入力シート!A7:D37,4))</f>
        <v/>
      </c>
      <c r="D18" s="35"/>
      <c r="E18" s="36"/>
      <c r="F18" s="36"/>
      <c r="G18" s="115" t="s">
        <v>54</v>
      </c>
      <c r="H18" s="36"/>
      <c r="I18" s="37"/>
      <c r="J18" s="35"/>
      <c r="K18" s="37"/>
      <c r="L18" s="446" t="str">
        <f t="shared" si="0"/>
        <v/>
      </c>
      <c r="M18" s="447"/>
    </row>
    <row r="19" spans="2:13" ht="30" customHeight="1">
      <c r="B19" s="141"/>
      <c r="C19" s="38" t="str">
        <f>IF(B19="","",VLOOKUP(B19,出退社入力シート!A7:D37,4))</f>
        <v/>
      </c>
      <c r="D19" s="35"/>
      <c r="E19" s="36"/>
      <c r="F19" s="36"/>
      <c r="G19" s="115" t="s">
        <v>54</v>
      </c>
      <c r="H19" s="36"/>
      <c r="I19" s="37"/>
      <c r="J19" s="35"/>
      <c r="K19" s="37"/>
      <c r="L19" s="446" t="str">
        <f t="shared" si="0"/>
        <v/>
      </c>
      <c r="M19" s="447"/>
    </row>
    <row r="20" spans="2:13" ht="30" customHeight="1">
      <c r="B20" s="141"/>
      <c r="C20" s="38" t="str">
        <f>IF(B20="","",VLOOKUP(B20,出退社入力シート!A7:D37,4))</f>
        <v/>
      </c>
      <c r="D20" s="35"/>
      <c r="E20" s="36"/>
      <c r="F20" s="36"/>
      <c r="G20" s="115" t="s">
        <v>54</v>
      </c>
      <c r="H20" s="36"/>
      <c r="I20" s="37"/>
      <c r="J20" s="35"/>
      <c r="K20" s="37"/>
      <c r="L20" s="446" t="str">
        <f t="shared" si="0"/>
        <v/>
      </c>
      <c r="M20" s="447"/>
    </row>
    <row r="21" spans="2:13" ht="30" customHeight="1">
      <c r="B21" s="141"/>
      <c r="C21" s="38" t="str">
        <f>IF(B21="","",VLOOKUP(B21,出退社入力シート!A7:D37,4))</f>
        <v/>
      </c>
      <c r="D21" s="35"/>
      <c r="E21" s="36"/>
      <c r="F21" s="36"/>
      <c r="G21" s="115" t="s">
        <v>54</v>
      </c>
      <c r="H21" s="36"/>
      <c r="I21" s="37"/>
      <c r="J21" s="35"/>
      <c r="K21" s="37"/>
      <c r="L21" s="446" t="str">
        <f t="shared" si="0"/>
        <v/>
      </c>
      <c r="M21" s="447"/>
    </row>
    <row r="22" spans="2:13" ht="30" customHeight="1">
      <c r="B22" s="141"/>
      <c r="C22" s="38" t="str">
        <f>IF(B22="","",VLOOKUP(B22,出退社入力シート!A7:D37,4))</f>
        <v/>
      </c>
      <c r="D22" s="35"/>
      <c r="E22" s="36"/>
      <c r="F22" s="36"/>
      <c r="G22" s="115" t="s">
        <v>54</v>
      </c>
      <c r="H22" s="36"/>
      <c r="I22" s="37"/>
      <c r="J22" s="35"/>
      <c r="K22" s="37"/>
      <c r="L22" s="446" t="str">
        <f t="shared" si="0"/>
        <v/>
      </c>
      <c r="M22" s="447"/>
    </row>
    <row r="23" spans="2:13" ht="30" customHeight="1">
      <c r="B23" s="141"/>
      <c r="C23" s="38" t="str">
        <f>IF(B23="","",VLOOKUP(B23,出退社入力シート!A7:D37,4))</f>
        <v/>
      </c>
      <c r="D23" s="35"/>
      <c r="E23" s="36"/>
      <c r="F23" s="36"/>
      <c r="G23" s="115" t="s">
        <v>54</v>
      </c>
      <c r="H23" s="36"/>
      <c r="I23" s="37"/>
      <c r="J23" s="35"/>
      <c r="K23" s="37"/>
      <c r="L23" s="446" t="str">
        <f t="shared" si="0"/>
        <v/>
      </c>
      <c r="M23" s="447"/>
    </row>
    <row r="24" spans="2:13" ht="30" customHeight="1">
      <c r="B24" s="141"/>
      <c r="C24" s="38" t="str">
        <f>IF(B24="","",VLOOKUP(B24,出退社入力シート!A7:D37,4))</f>
        <v/>
      </c>
      <c r="D24" s="35"/>
      <c r="E24" s="36"/>
      <c r="F24" s="36"/>
      <c r="G24" s="115" t="s">
        <v>54</v>
      </c>
      <c r="H24" s="36"/>
      <c r="I24" s="37"/>
      <c r="J24" s="35"/>
      <c r="K24" s="37"/>
      <c r="L24" s="446" t="str">
        <f t="shared" si="0"/>
        <v/>
      </c>
      <c r="M24" s="447"/>
    </row>
    <row r="25" spans="2:13" ht="30" customHeight="1">
      <c r="B25" s="141"/>
      <c r="C25" s="38" t="str">
        <f>IF(B25="","",VLOOKUP(B25,出退社入力シート!A7:D37,4))</f>
        <v/>
      </c>
      <c r="D25" s="35"/>
      <c r="E25" s="36"/>
      <c r="F25" s="36"/>
      <c r="G25" s="115" t="s">
        <v>54</v>
      </c>
      <c r="H25" s="36"/>
      <c r="I25" s="37"/>
      <c r="J25" s="35"/>
      <c r="K25" s="37"/>
      <c r="L25" s="446" t="str">
        <f t="shared" si="0"/>
        <v/>
      </c>
      <c r="M25" s="447"/>
    </row>
    <row r="26" spans="2:13" ht="30" customHeight="1">
      <c r="B26" s="141"/>
      <c r="C26" s="38" t="str">
        <f>IF(B26="","",VLOOKUP(B26,出退社入力シート!A7:D37,4))</f>
        <v/>
      </c>
      <c r="D26" s="35"/>
      <c r="E26" s="36"/>
      <c r="F26" s="36"/>
      <c r="G26" s="115" t="s">
        <v>54</v>
      </c>
      <c r="H26" s="36"/>
      <c r="I26" s="37"/>
      <c r="J26" s="35"/>
      <c r="K26" s="37"/>
      <c r="L26" s="446" t="str">
        <f t="shared" si="0"/>
        <v/>
      </c>
      <c r="M26" s="447"/>
    </row>
    <row r="27" spans="2:13" ht="30" customHeight="1">
      <c r="B27" s="141"/>
      <c r="C27" s="38" t="str">
        <f>IF(B27="","",VLOOKUP(B27,出退社入力シート!A7:D37,4))</f>
        <v/>
      </c>
      <c r="D27" s="35"/>
      <c r="E27" s="36"/>
      <c r="F27" s="36"/>
      <c r="G27" s="115" t="s">
        <v>54</v>
      </c>
      <c r="H27" s="36"/>
      <c r="I27" s="37"/>
      <c r="J27" s="35"/>
      <c r="K27" s="37"/>
      <c r="L27" s="446" t="str">
        <f t="shared" si="0"/>
        <v/>
      </c>
      <c r="M27" s="447"/>
    </row>
    <row r="28" spans="2:13" ht="30" customHeight="1">
      <c r="B28" s="141"/>
      <c r="C28" s="38" t="str">
        <f>IF(B28="","",VLOOKUP(B28,出退社入力シート!A7:D37,4))</f>
        <v/>
      </c>
      <c r="D28" s="35"/>
      <c r="E28" s="36"/>
      <c r="F28" s="36"/>
      <c r="G28" s="115" t="s">
        <v>54</v>
      </c>
      <c r="H28" s="36"/>
      <c r="I28" s="37"/>
      <c r="J28" s="35"/>
      <c r="K28" s="37"/>
      <c r="L28" s="446" t="str">
        <f t="shared" si="0"/>
        <v/>
      </c>
      <c r="M28" s="447"/>
    </row>
    <row r="29" spans="2:13" ht="30" customHeight="1">
      <c r="B29" s="141"/>
      <c r="C29" s="38" t="str">
        <f>IF(B29="","",VLOOKUP(B29,出退社入力シート!A7:D37,4))</f>
        <v/>
      </c>
      <c r="D29" s="35"/>
      <c r="E29" s="36"/>
      <c r="F29" s="36"/>
      <c r="G29" s="115" t="s">
        <v>54</v>
      </c>
      <c r="H29" s="36"/>
      <c r="I29" s="37"/>
      <c r="J29" s="35"/>
      <c r="K29" s="37"/>
      <c r="L29" s="446" t="str">
        <f t="shared" si="0"/>
        <v/>
      </c>
      <c r="M29" s="447"/>
    </row>
    <row r="30" spans="2:13" ht="30" customHeight="1">
      <c r="B30" s="141"/>
      <c r="C30" s="38" t="str">
        <f>IF(B30="","",VLOOKUP(B30,出退社入力シート!A7:D37,4))</f>
        <v/>
      </c>
      <c r="D30" s="35"/>
      <c r="E30" s="36"/>
      <c r="F30" s="36"/>
      <c r="G30" s="115" t="s">
        <v>54</v>
      </c>
      <c r="H30" s="36"/>
      <c r="I30" s="37"/>
      <c r="J30" s="35"/>
      <c r="K30" s="37"/>
      <c r="L30" s="446" t="str">
        <f t="shared" si="0"/>
        <v/>
      </c>
      <c r="M30" s="447"/>
    </row>
    <row r="31" spans="2:13" ht="30" customHeight="1">
      <c r="B31" s="141"/>
      <c r="C31" s="38" t="str">
        <f>IF(B31="","",VLOOKUP(B31,出退社入力シート!A7:D37,4))</f>
        <v/>
      </c>
      <c r="D31" s="35"/>
      <c r="E31" s="36"/>
      <c r="F31" s="36"/>
      <c r="G31" s="115" t="s">
        <v>54</v>
      </c>
      <c r="H31" s="36"/>
      <c r="I31" s="37"/>
      <c r="J31" s="35"/>
      <c r="K31" s="37"/>
      <c r="L31" s="446" t="str">
        <f t="shared" si="0"/>
        <v/>
      </c>
      <c r="M31" s="447"/>
    </row>
    <row r="32" spans="2:13" ht="30" customHeight="1">
      <c r="B32" s="141"/>
      <c r="C32" s="38" t="str">
        <f>IF(B32="","",VLOOKUP(B32,出退社入力シート!A7:D37,4))</f>
        <v/>
      </c>
      <c r="D32" s="35"/>
      <c r="E32" s="36"/>
      <c r="F32" s="36"/>
      <c r="G32" s="115" t="s">
        <v>54</v>
      </c>
      <c r="H32" s="36"/>
      <c r="I32" s="37"/>
      <c r="J32" s="35"/>
      <c r="K32" s="37"/>
      <c r="L32" s="446" t="str">
        <f t="shared" si="0"/>
        <v/>
      </c>
      <c r="M32" s="447"/>
    </row>
    <row r="33" spans="2:13" ht="37.5" customHeight="1" thickBot="1">
      <c r="B33" s="448"/>
      <c r="C33" s="449"/>
      <c r="D33" s="449"/>
      <c r="E33" s="449"/>
      <c r="F33" s="449"/>
      <c r="G33" s="449"/>
      <c r="H33" s="449"/>
      <c r="I33" s="450"/>
      <c r="J33" s="451" t="s">
        <v>59</v>
      </c>
      <c r="K33" s="451"/>
      <c r="L33" s="452">
        <f>SUM(L7:L32)</f>
        <v>0</v>
      </c>
      <c r="M33" s="453"/>
    </row>
    <row r="34" spans="2:13" ht="15" customHeight="1"/>
    <row r="35" spans="2:13" ht="15" customHeight="1" thickBot="1">
      <c r="B35" s="39" t="s">
        <v>73</v>
      </c>
    </row>
    <row r="36" spans="2:13" ht="15" customHeight="1">
      <c r="B36" s="436" t="str">
        <f>IF(出退社入力シート!K41="","",出退社入力シート!K41)</f>
        <v>1220843</v>
      </c>
      <c r="C36" s="436"/>
      <c r="D36" s="432" t="str">
        <f>IF(出退社入力シート!L41="","",出退社入力シート!L41)</f>
        <v>準委116_1003520000_購買物流システム開発支援作業　2022/4～2023/3</v>
      </c>
      <c r="E36" s="432"/>
      <c r="F36" s="49">
        <f>L33-F37-F38-F39-F40</f>
        <v>0</v>
      </c>
      <c r="K36" s="433" t="str">
        <f>出退社入力シート!J3&amp;"確認欄"</f>
        <v>tdi確認欄</v>
      </c>
      <c r="L36" s="434"/>
      <c r="M36" s="435"/>
    </row>
    <row r="37" spans="2:13" ht="15" customHeight="1">
      <c r="B37" s="436" t="str">
        <f>IF(OR(出退社入力シート!K42="",出退社入力シート!P42=""),"",出退社入力シート!K42)</f>
        <v/>
      </c>
      <c r="C37" s="436"/>
      <c r="D37" s="432" t="str">
        <f>IF(OR(出退社入力シート!L42="",出退社入力シート!P42=""),"",出退社入力シート!L42)</f>
        <v/>
      </c>
      <c r="E37" s="432"/>
      <c r="F37" s="49"/>
      <c r="K37" s="437" t="s">
        <v>37</v>
      </c>
      <c r="L37" s="440" t="s">
        <v>37</v>
      </c>
      <c r="M37" s="441"/>
    </row>
    <row r="38" spans="2:13" ht="15" customHeight="1">
      <c r="B38" s="436" t="str">
        <f>IF(OR(出退社入力シート!K43="",出退社入力シート!P43=""),"",出退社入力シート!K43)</f>
        <v/>
      </c>
      <c r="C38" s="436"/>
      <c r="D38" s="432" t="str">
        <f>IF(OR(出退社入力シート!L43="",出退社入力シート!P43=""),"",出退社入力シート!L43)</f>
        <v/>
      </c>
      <c r="E38" s="432"/>
      <c r="F38" s="49"/>
      <c r="K38" s="438"/>
      <c r="L38" s="442"/>
      <c r="M38" s="443"/>
    </row>
    <row r="39" spans="2:13" ht="15" customHeight="1">
      <c r="B39" s="436" t="str">
        <f>IF(OR(出退社入力シート!K44="",出退社入力シート!P44=""),"",出退社入力シート!K44)</f>
        <v/>
      </c>
      <c r="C39" s="436"/>
      <c r="D39" s="432" t="str">
        <f>IF(OR(出退社入力シート!L44="",出退社入力シート!P44=""),"",出退社入力シート!L44)</f>
        <v/>
      </c>
      <c r="E39" s="432"/>
      <c r="F39" s="49"/>
      <c r="K39" s="438"/>
      <c r="L39" s="442"/>
      <c r="M39" s="443"/>
    </row>
    <row r="40" spans="2:13" ht="15" customHeight="1" thickBot="1">
      <c r="B40" s="436" t="str">
        <f>IF(OR(出退社入力シート!K45="",出退社入力シート!P45=""),"",出退社入力シート!K45)</f>
        <v/>
      </c>
      <c r="C40" s="436"/>
      <c r="D40" s="432" t="str">
        <f>IF(OR(出退社入力シート!L45="",出退社入力シート!P45=""),"",出退社入力シート!L45)</f>
        <v/>
      </c>
      <c r="E40" s="432"/>
      <c r="F40" s="49"/>
      <c r="K40" s="439"/>
      <c r="L40" s="444"/>
      <c r="M40" s="445"/>
    </row>
  </sheetData>
  <sheetProtection password="F6FE" sheet="1" objects="1" scenarios="1" selectLockedCells="1"/>
  <mergeCells count="54">
    <mergeCell ref="B5:B6"/>
    <mergeCell ref="C5:C6"/>
    <mergeCell ref="D5:D6"/>
    <mergeCell ref="E5:I5"/>
    <mergeCell ref="J5:K5"/>
    <mergeCell ref="L1:M1"/>
    <mergeCell ref="B2:D3"/>
    <mergeCell ref="E2:I3"/>
    <mergeCell ref="K2:M2"/>
    <mergeCell ref="K3:L3"/>
    <mergeCell ref="L16:M16"/>
    <mergeCell ref="L5:M6"/>
    <mergeCell ref="F6:H6"/>
    <mergeCell ref="L7:M7"/>
    <mergeCell ref="L8:M8"/>
    <mergeCell ref="L9:M9"/>
    <mergeCell ref="L10:M10"/>
    <mergeCell ref="L11:M11"/>
    <mergeCell ref="L12:M12"/>
    <mergeCell ref="L13:M13"/>
    <mergeCell ref="L14:M14"/>
    <mergeCell ref="L15:M15"/>
    <mergeCell ref="L28:M28"/>
    <mergeCell ref="L17:M17"/>
    <mergeCell ref="L18:M18"/>
    <mergeCell ref="L19:M19"/>
    <mergeCell ref="L20:M20"/>
    <mergeCell ref="L21:M21"/>
    <mergeCell ref="L22:M22"/>
    <mergeCell ref="L23:M23"/>
    <mergeCell ref="L24:M24"/>
    <mergeCell ref="L25:M25"/>
    <mergeCell ref="L26:M26"/>
    <mergeCell ref="L27:M27"/>
    <mergeCell ref="L29:M29"/>
    <mergeCell ref="L30:M30"/>
    <mergeCell ref="L31:M31"/>
    <mergeCell ref="L32:M32"/>
    <mergeCell ref="B33:I33"/>
    <mergeCell ref="J33:K33"/>
    <mergeCell ref="L33:M33"/>
    <mergeCell ref="K36:M36"/>
    <mergeCell ref="B37:C37"/>
    <mergeCell ref="D37:E37"/>
    <mergeCell ref="K37:K40"/>
    <mergeCell ref="L37:M40"/>
    <mergeCell ref="B38:C38"/>
    <mergeCell ref="D38:E38"/>
    <mergeCell ref="B39:C39"/>
    <mergeCell ref="D39:E39"/>
    <mergeCell ref="B40:C40"/>
    <mergeCell ref="D40:E40"/>
    <mergeCell ref="B36:C36"/>
    <mergeCell ref="D36:E36"/>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55"/>
  </sheetPr>
  <dimension ref="A1:G30"/>
  <sheetViews>
    <sheetView workbookViewId="0"/>
  </sheetViews>
  <sheetFormatPr defaultColWidth="9" defaultRowHeight="13.5"/>
  <cols>
    <col min="1" max="1" width="10.5" style="39" bestFit="1" customWidth="1"/>
    <col min="2" max="2" width="3.375" style="41" bestFit="1" customWidth="1"/>
    <col min="3" max="3" width="13" style="39" bestFit="1" customWidth="1"/>
    <col min="4" max="6" width="9" style="39"/>
    <col min="7" max="7" width="9.5" style="39" bestFit="1" customWidth="1"/>
    <col min="8" max="16384" width="9" style="39"/>
  </cols>
  <sheetData>
    <row r="1" spans="1:7">
      <c r="A1" s="158">
        <f>DATE(出退社入力シート!C3,1,1)</f>
        <v>44562</v>
      </c>
      <c r="B1" s="159" t="str">
        <f>IF(A1="","",CHOOSE(WEEKDAY(A1,1),"日","月","火","水","木","金","土"))</f>
        <v>土</v>
      </c>
      <c r="C1" s="160" t="s">
        <v>2</v>
      </c>
      <c r="D1" s="42"/>
    </row>
    <row r="2" spans="1:7">
      <c r="A2" s="43">
        <f>DATE(出退社入力シート!C3,1,2)</f>
        <v>44563</v>
      </c>
      <c r="B2" s="44" t="str">
        <f>IF(A2="","",CHOOSE(WEEKDAY(A2,1),"日","月","火","水","木","金","土"))</f>
        <v>日</v>
      </c>
      <c r="C2" s="45" t="s">
        <v>168</v>
      </c>
    </row>
    <row r="3" spans="1:7">
      <c r="A3" s="180">
        <f>DATE(出退社入力シート!C3,1,3)</f>
        <v>44564</v>
      </c>
      <c r="B3" s="44" t="str">
        <f>IF(A3="","",CHOOSE(WEEKDAY(A3,1),"日","月","火","水","木","金","土"))</f>
        <v>月</v>
      </c>
      <c r="C3" s="181" t="s">
        <v>168</v>
      </c>
    </row>
    <row r="4" spans="1:7">
      <c r="A4" s="177">
        <f>IF(出退社入力シート!C3="","",DATE(出退社入力シート!C3,1,14)-WEEKDAY(DATE(出退社入力シート!C3,1,14),3))</f>
        <v>44571</v>
      </c>
      <c r="B4" s="178" t="str">
        <f>IF(A4="","",CHOOSE(WEEKDAY(A4,1),"日","月","火","水","木","金","土"))</f>
        <v>月</v>
      </c>
      <c r="C4" s="179" t="s">
        <v>3</v>
      </c>
      <c r="D4" s="42" t="s">
        <v>47</v>
      </c>
    </row>
    <row r="5" spans="1:7">
      <c r="A5" s="43">
        <f>DATE(出退社入力シート!C3,2,11)</f>
        <v>44603</v>
      </c>
      <c r="B5" s="44" t="str">
        <f t="shared" ref="B5:B21" si="0">IF(A5="","",CHOOSE(WEEKDAY(A5,1),"日","月","火","水","木","金","土"))</f>
        <v>金</v>
      </c>
      <c r="C5" s="45" t="s">
        <v>4</v>
      </c>
      <c r="D5" s="42"/>
    </row>
    <row r="6" spans="1:7">
      <c r="A6" s="43" t="str">
        <f>IF(B5="日",A5+1,"")</f>
        <v/>
      </c>
      <c r="B6" s="44" t="str">
        <f>IF(A6="","",CHOOSE(WEEKDAY(A6,1),"日","月","火","水","木","金","土"))</f>
        <v/>
      </c>
      <c r="C6" s="45" t="str">
        <f>IF(B5="日","振替休日","")</f>
        <v/>
      </c>
      <c r="D6" s="42"/>
    </row>
    <row r="7" spans="1:7">
      <c r="A7" s="43">
        <f>DATE(出退社入力シート!C3,2,23)</f>
        <v>44615</v>
      </c>
      <c r="B7" s="44" t="str">
        <f>IF(A7="","",CHOOSE(WEEKDAY(A7,1),"日","月","火","水","木","金","土"))</f>
        <v>水</v>
      </c>
      <c r="C7" s="45" t="s">
        <v>285</v>
      </c>
      <c r="D7" s="42"/>
    </row>
    <row r="8" spans="1:7">
      <c r="A8" s="43" t="str">
        <f>IF(B7="日",A7+1,"")</f>
        <v/>
      </c>
      <c r="B8" s="44" t="str">
        <f>IF(A8="","",CHOOSE(WEEKDAY(A8,1),"日","月","火","水","木","金","土"))</f>
        <v/>
      </c>
      <c r="C8" s="45" t="str">
        <f>IF(B7="日","振替休日","")</f>
        <v/>
      </c>
      <c r="D8" s="42"/>
    </row>
    <row r="9" spans="1:7">
      <c r="A9" s="43">
        <f>IF(出退社入力シート!C3="","",DATE(出退社入力シート!C3,3,23)-MATCH(出退社入力シート!C3,CHOOSE(MOD(出退社入力シート!C3,4)+1,
{0,1900,1960,2092},{0,1901,1993},{0,1902,2026},{1903,1927,2059})))</f>
        <v>44641</v>
      </c>
      <c r="B9" s="44" t="str">
        <f t="shared" si="0"/>
        <v>月</v>
      </c>
      <c r="C9" s="45" t="s">
        <v>5</v>
      </c>
      <c r="D9" s="42"/>
      <c r="G9" s="40"/>
    </row>
    <row r="10" spans="1:7">
      <c r="A10" s="43" t="str">
        <f>IF(B9="日",A9+1,"")</f>
        <v/>
      </c>
      <c r="B10" s="44" t="str">
        <f t="shared" si="0"/>
        <v/>
      </c>
      <c r="C10" s="45" t="str">
        <f>IF(B9="日","振替休日","")</f>
        <v/>
      </c>
      <c r="D10" s="42"/>
      <c r="G10" s="40"/>
    </row>
    <row r="11" spans="1:7">
      <c r="A11" s="43">
        <f>DATE(出退社入力シート!C3,4,29)</f>
        <v>44680</v>
      </c>
      <c r="B11" s="44" t="str">
        <f t="shared" si="0"/>
        <v>金</v>
      </c>
      <c r="C11" s="45" t="s">
        <v>6</v>
      </c>
      <c r="D11" s="42"/>
    </row>
    <row r="12" spans="1:7">
      <c r="A12" s="43">
        <f>DATE(出退社入力シート!C3,5,3)</f>
        <v>44684</v>
      </c>
      <c r="B12" s="44" t="str">
        <f t="shared" si="0"/>
        <v>火</v>
      </c>
      <c r="C12" s="45" t="s">
        <v>7</v>
      </c>
      <c r="D12" s="42"/>
    </row>
    <row r="13" spans="1:7">
      <c r="A13" s="43">
        <f>DATE(出退社入力シート!C3,5,4)</f>
        <v>44685</v>
      </c>
      <c r="B13" s="44" t="str">
        <f t="shared" si="0"/>
        <v>水</v>
      </c>
      <c r="C13" s="45" t="s">
        <v>8</v>
      </c>
      <c r="D13" s="42"/>
    </row>
    <row r="14" spans="1:7">
      <c r="A14" s="43">
        <f>DATE(出退社入力シート!C3,5,5)</f>
        <v>44686</v>
      </c>
      <c r="B14" s="44" t="str">
        <f t="shared" si="0"/>
        <v>木</v>
      </c>
      <c r="C14" s="45" t="s">
        <v>9</v>
      </c>
      <c r="D14" s="42"/>
    </row>
    <row r="15" spans="1:7">
      <c r="A15" s="43" t="str">
        <f>IF(OR(B12="日",B13="日",B14="日"),A14+1,"")</f>
        <v/>
      </c>
      <c r="B15" s="44" t="str">
        <f t="shared" si="0"/>
        <v/>
      </c>
      <c r="C15" s="45" t="str">
        <f>IF(OR(B12="日",B13="日",B14="日"),"振替休日","")</f>
        <v/>
      </c>
      <c r="D15" s="42"/>
    </row>
    <row r="16" spans="1:7">
      <c r="A16" s="43">
        <f>DATE(出退社入力シート!C3,7,22)</f>
        <v>44764</v>
      </c>
      <c r="B16" s="44" t="str">
        <f t="shared" si="0"/>
        <v>金</v>
      </c>
      <c r="C16" s="45" t="s">
        <v>10</v>
      </c>
      <c r="D16" s="42" t="s">
        <v>298</v>
      </c>
    </row>
    <row r="17" spans="1:4">
      <c r="A17" s="43">
        <f>DATE(出退社入力シート!C3,7,23)</f>
        <v>44765</v>
      </c>
      <c r="B17" s="44" t="str">
        <f t="shared" ref="B17" si="1">IF(A17="","",CHOOSE(WEEKDAY(A17,1),"日","月","火","水","木","金","土"))</f>
        <v>土</v>
      </c>
      <c r="C17" s="45" t="s">
        <v>291</v>
      </c>
      <c r="D17" s="42" t="s">
        <v>298</v>
      </c>
    </row>
    <row r="18" spans="1:4">
      <c r="A18" s="43">
        <f>DATE(出退社入力シート!C3,8,8)</f>
        <v>44781</v>
      </c>
      <c r="B18" s="44" t="str">
        <f t="shared" si="0"/>
        <v>月</v>
      </c>
      <c r="C18" s="45" t="s">
        <v>167</v>
      </c>
      <c r="D18" s="42" t="s">
        <v>298</v>
      </c>
    </row>
    <row r="19" spans="1:4">
      <c r="A19" s="43" t="str">
        <f>IF(B18="日",A18+1,"")</f>
        <v/>
      </c>
      <c r="B19" s="44" t="str">
        <f t="shared" ref="B19" si="2">IF(A19="","",CHOOSE(WEEKDAY(A19,1),"日","月","火","水","木","金","土"))</f>
        <v/>
      </c>
      <c r="C19" s="45" t="str">
        <f>IF(B18="日","振替休日","")</f>
        <v/>
      </c>
      <c r="D19" s="42"/>
    </row>
    <row r="20" spans="1:4">
      <c r="A20" s="43">
        <f>IF(出退社入力シート!C3="","",DATE(出退社入力シート!C3,9,21)-WEEKDAY(DATE(出退社入力シート!C3,9,21),3))</f>
        <v>44823</v>
      </c>
      <c r="B20" s="44" t="str">
        <f t="shared" si="0"/>
        <v>月</v>
      </c>
      <c r="C20" s="45" t="s">
        <v>302</v>
      </c>
      <c r="D20" s="42" t="s">
        <v>48</v>
      </c>
    </row>
    <row r="21" spans="1:4">
      <c r="A21" s="43" t="str">
        <f>IF(A22-A20=2,A20+1,"")</f>
        <v/>
      </c>
      <c r="B21" s="44" t="str">
        <f t="shared" si="0"/>
        <v/>
      </c>
      <c r="C21" s="45" t="str">
        <f>IF(B22="水","国民の休日","")</f>
        <v/>
      </c>
      <c r="D21" s="42"/>
    </row>
    <row r="22" spans="1:4">
      <c r="A22" s="142">
        <f>IF(出退社入力シート!C3="","",DATE(出退社入力シート!C3,9,25)-MATCH(出退社入力シート!C3,CHOOSE(MOD(出退社入力シート!C3,4)+1,
{0,1900,2012},{1901,1921,2045},{1902,1950,2078},{1903,1983})))</f>
        <v>44827</v>
      </c>
      <c r="B22" s="44" t="str">
        <f t="shared" ref="B22:B29" si="3">IF(A22="","",CHOOSE(WEEKDAY(A22,1),"日","月","火","水","木","金","土"))</f>
        <v>金</v>
      </c>
      <c r="C22" s="45" t="s">
        <v>303</v>
      </c>
      <c r="D22" s="42"/>
    </row>
    <row r="23" spans="1:4">
      <c r="A23" s="43" t="str">
        <f>IF(B22="日",A22+1,"")</f>
        <v/>
      </c>
      <c r="B23" s="44" t="str">
        <f t="shared" si="3"/>
        <v/>
      </c>
      <c r="C23" s="45" t="str">
        <f>IF(B22="日","振替休日","")</f>
        <v/>
      </c>
      <c r="D23" s="42"/>
    </row>
    <row r="24" spans="1:4">
      <c r="A24" s="43">
        <f>DATE(出退社入力シート!C3,11,3)</f>
        <v>44868</v>
      </c>
      <c r="B24" s="44" t="str">
        <f t="shared" si="3"/>
        <v>木</v>
      </c>
      <c r="C24" s="45" t="s">
        <v>11</v>
      </c>
      <c r="D24" s="42"/>
    </row>
    <row r="25" spans="1:4">
      <c r="A25" s="43" t="str">
        <f>IF(B24="日",A24+1,"")</f>
        <v/>
      </c>
      <c r="B25" s="44" t="str">
        <f t="shared" si="3"/>
        <v/>
      </c>
      <c r="C25" s="45" t="str">
        <f>IF(B24="日","振替休日","")</f>
        <v/>
      </c>
      <c r="D25" s="42"/>
    </row>
    <row r="26" spans="1:4">
      <c r="A26" s="43">
        <f>DATE(出退社入力シート!C3,11,23)</f>
        <v>44888</v>
      </c>
      <c r="B26" s="44" t="str">
        <f t="shared" si="3"/>
        <v>水</v>
      </c>
      <c r="C26" s="45" t="s">
        <v>12</v>
      </c>
      <c r="D26" s="42"/>
    </row>
    <row r="27" spans="1:4">
      <c r="A27" s="43" t="str">
        <f>IF(B26="日",A26+1,"")</f>
        <v/>
      </c>
      <c r="B27" s="44" t="str">
        <f t="shared" si="3"/>
        <v/>
      </c>
      <c r="C27" s="45" t="str">
        <f>IF(B26="日","振替休日","")</f>
        <v/>
      </c>
      <c r="D27" s="42"/>
    </row>
    <row r="28" spans="1:4">
      <c r="A28" s="43">
        <f>DATE(出退社入力シート!C3,12,29)</f>
        <v>44924</v>
      </c>
      <c r="B28" s="44" t="str">
        <f t="shared" si="3"/>
        <v>木</v>
      </c>
      <c r="C28" s="45" t="s">
        <v>168</v>
      </c>
      <c r="D28" s="42"/>
    </row>
    <row r="29" spans="1:4">
      <c r="A29" s="43">
        <f>DATE(出退社入力シート!C3,12,30)</f>
        <v>44925</v>
      </c>
      <c r="B29" s="44" t="str">
        <f t="shared" si="3"/>
        <v>金</v>
      </c>
      <c r="C29" s="45" t="s">
        <v>168</v>
      </c>
      <c r="D29" s="42"/>
    </row>
    <row r="30" spans="1:4" ht="14.25" thickBot="1">
      <c r="A30" s="182">
        <f>DATE(出退社入力シート!C3,12,31)</f>
        <v>44926</v>
      </c>
      <c r="B30" s="183" t="str">
        <f t="shared" ref="B30" si="4">IF(A30="","",CHOOSE(WEEKDAY(A30,1),"日","月","火","水","木","金","土"))</f>
        <v>土</v>
      </c>
      <c r="C30" s="184" t="s">
        <v>168</v>
      </c>
      <c r="D30" s="42"/>
    </row>
  </sheetData>
  <sheetProtection selectLockedCells="1"/>
  <phoneticPr fontId="2"/>
  <pageMargins left="0.78700000000000003" right="0.78700000000000003" top="0.98399999999999999" bottom="0.98399999999999999" header="0.51200000000000001" footer="0.5120000000000000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9"/>
  <sheetViews>
    <sheetView topLeftCell="A19" workbookViewId="0">
      <selection activeCell="A20" sqref="A20"/>
    </sheetView>
  </sheetViews>
  <sheetFormatPr defaultRowHeight="13.5"/>
  <cols>
    <col min="1" max="1" width="11.875" customWidth="1"/>
    <col min="2" max="2" width="45.875" customWidth="1"/>
    <col min="3" max="3" width="19.75" customWidth="1"/>
    <col min="4" max="4" width="11.75" customWidth="1"/>
    <col min="5" max="5" width="11.125" customWidth="1"/>
  </cols>
  <sheetData>
    <row r="1" spans="1:5">
      <c r="A1" s="50" t="s">
        <v>20</v>
      </c>
      <c r="B1" s="50" t="s">
        <v>78</v>
      </c>
      <c r="C1" s="50" t="s">
        <v>79</v>
      </c>
      <c r="D1" s="50" t="s">
        <v>80</v>
      </c>
      <c r="E1" s="50" t="s">
        <v>85</v>
      </c>
    </row>
    <row r="2" spans="1:5" ht="41.25" customHeight="1">
      <c r="A2" s="52">
        <v>41760</v>
      </c>
      <c r="B2" s="51" t="s">
        <v>81</v>
      </c>
      <c r="C2" s="3" t="s">
        <v>82</v>
      </c>
      <c r="D2" s="4" t="s">
        <v>83</v>
      </c>
      <c r="E2" s="4" t="s">
        <v>84</v>
      </c>
    </row>
    <row r="3" spans="1:5" ht="45.75" customHeight="1">
      <c r="A3" s="53">
        <v>41761</v>
      </c>
      <c r="B3" s="51" t="s">
        <v>86</v>
      </c>
      <c r="C3" s="3" t="s">
        <v>87</v>
      </c>
      <c r="D3" s="4" t="s">
        <v>83</v>
      </c>
      <c r="E3" s="4" t="s">
        <v>84</v>
      </c>
    </row>
    <row r="4" spans="1:5" ht="31.5" customHeight="1">
      <c r="A4" s="53">
        <v>41766</v>
      </c>
      <c r="B4" s="51" t="s">
        <v>88</v>
      </c>
      <c r="C4" s="3" t="s">
        <v>89</v>
      </c>
      <c r="D4" s="4" t="s">
        <v>84</v>
      </c>
      <c r="E4" s="4" t="s">
        <v>84</v>
      </c>
    </row>
    <row r="5" spans="1:5" ht="31.5" customHeight="1">
      <c r="A5" s="53">
        <v>41878</v>
      </c>
      <c r="B5" s="51" t="s">
        <v>90</v>
      </c>
      <c r="C5" s="3" t="s">
        <v>91</v>
      </c>
      <c r="D5" s="4" t="s">
        <v>84</v>
      </c>
      <c r="E5" s="4" t="s">
        <v>84</v>
      </c>
    </row>
    <row r="6" spans="1:5" ht="81">
      <c r="A6" s="53">
        <v>41899</v>
      </c>
      <c r="B6" s="51" t="s">
        <v>145</v>
      </c>
      <c r="C6" s="3" t="s">
        <v>150</v>
      </c>
      <c r="D6" s="4" t="s">
        <v>84</v>
      </c>
      <c r="E6" s="4" t="s">
        <v>84</v>
      </c>
    </row>
    <row r="7" spans="1:5" ht="40.5">
      <c r="A7" s="53">
        <v>41962</v>
      </c>
      <c r="B7" s="51" t="s">
        <v>160</v>
      </c>
      <c r="C7" s="3" t="s">
        <v>159</v>
      </c>
      <c r="D7" s="4" t="s">
        <v>84</v>
      </c>
      <c r="E7" s="4" t="s">
        <v>84</v>
      </c>
    </row>
    <row r="8" spans="1:5" ht="255.75" customHeight="1">
      <c r="A8" s="53">
        <v>42180</v>
      </c>
      <c r="B8" s="51" t="s">
        <v>166</v>
      </c>
      <c r="C8" s="3" t="s">
        <v>165</v>
      </c>
      <c r="D8" s="4" t="s">
        <v>84</v>
      </c>
      <c r="E8" s="4" t="s">
        <v>84</v>
      </c>
    </row>
    <row r="9" spans="1:5" ht="40.5">
      <c r="A9" s="53">
        <v>42381</v>
      </c>
      <c r="B9" s="51" t="s">
        <v>169</v>
      </c>
      <c r="C9" s="3" t="s">
        <v>170</v>
      </c>
      <c r="D9" s="4" t="s">
        <v>84</v>
      </c>
      <c r="E9" s="4" t="s">
        <v>84</v>
      </c>
    </row>
    <row r="10" spans="1:5" ht="27">
      <c r="A10" s="53">
        <v>42717</v>
      </c>
      <c r="B10" s="51" t="s">
        <v>171</v>
      </c>
      <c r="C10" s="3" t="s">
        <v>172</v>
      </c>
      <c r="D10" s="4" t="s">
        <v>84</v>
      </c>
      <c r="E10" s="4" t="s">
        <v>84</v>
      </c>
    </row>
    <row r="11" spans="1:5" ht="135">
      <c r="A11" s="53">
        <v>42998</v>
      </c>
      <c r="B11" s="51" t="s">
        <v>187</v>
      </c>
      <c r="C11" s="3" t="s">
        <v>175</v>
      </c>
      <c r="D11" s="4" t="s">
        <v>173</v>
      </c>
      <c r="E11" s="4" t="s">
        <v>173</v>
      </c>
    </row>
    <row r="12" spans="1:5" ht="27" customHeight="1">
      <c r="A12" s="53">
        <v>42999</v>
      </c>
      <c r="B12" s="146" t="s">
        <v>179</v>
      </c>
      <c r="C12" s="3" t="s">
        <v>181</v>
      </c>
      <c r="D12" s="147" t="s">
        <v>180</v>
      </c>
      <c r="E12" s="147" t="s">
        <v>180</v>
      </c>
    </row>
    <row r="13" spans="1:5" ht="27">
      <c r="A13" s="53">
        <v>43083</v>
      </c>
      <c r="B13" s="51" t="s">
        <v>186</v>
      </c>
      <c r="C13" s="3" t="s">
        <v>188</v>
      </c>
      <c r="D13" s="4" t="s">
        <v>173</v>
      </c>
      <c r="E13" s="4" t="s">
        <v>173</v>
      </c>
    </row>
    <row r="14" spans="1:5" ht="27">
      <c r="A14" s="53">
        <v>43087</v>
      </c>
      <c r="B14" s="51" t="s">
        <v>191</v>
      </c>
      <c r="C14" s="3" t="s">
        <v>192</v>
      </c>
      <c r="D14" s="4" t="s">
        <v>173</v>
      </c>
      <c r="E14" s="4" t="s">
        <v>173</v>
      </c>
    </row>
    <row r="15" spans="1:5" ht="54">
      <c r="A15" s="53">
        <v>43122</v>
      </c>
      <c r="B15" s="146" t="s">
        <v>289</v>
      </c>
      <c r="C15" s="3" t="s">
        <v>192</v>
      </c>
      <c r="D15" s="147" t="s">
        <v>180</v>
      </c>
      <c r="E15" s="147" t="s">
        <v>180</v>
      </c>
    </row>
    <row r="16" spans="1:5" ht="54">
      <c r="A16" s="53">
        <v>43210</v>
      </c>
      <c r="B16" s="146" t="s">
        <v>279</v>
      </c>
      <c r="C16" s="3" t="s">
        <v>193</v>
      </c>
      <c r="D16" s="147" t="s">
        <v>180</v>
      </c>
      <c r="E16" s="147" t="s">
        <v>180</v>
      </c>
    </row>
    <row r="17" spans="1:5" ht="67.5">
      <c r="A17" s="53">
        <v>43552</v>
      </c>
      <c r="B17" s="146" t="s">
        <v>290</v>
      </c>
      <c r="C17" s="3" t="s">
        <v>287</v>
      </c>
      <c r="D17" s="147" t="s">
        <v>288</v>
      </c>
      <c r="E17" s="147" t="s">
        <v>180</v>
      </c>
    </row>
    <row r="18" spans="1:5" ht="202.5">
      <c r="A18" s="53">
        <v>43888</v>
      </c>
      <c r="B18" s="146" t="s">
        <v>295</v>
      </c>
      <c r="C18" s="3" t="s">
        <v>296</v>
      </c>
      <c r="D18" s="147" t="s">
        <v>180</v>
      </c>
      <c r="E18" s="147" t="s">
        <v>180</v>
      </c>
    </row>
    <row r="19" spans="1:5" ht="81">
      <c r="A19" s="53">
        <v>44264</v>
      </c>
      <c r="B19" s="146" t="s">
        <v>301</v>
      </c>
      <c r="C19" s="3" t="s">
        <v>297</v>
      </c>
      <c r="D19" s="147" t="s">
        <v>180</v>
      </c>
      <c r="E19" s="147" t="s">
        <v>180</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12</vt:i4>
      </vt:variant>
    </vt:vector>
  </HeadingPairs>
  <TitlesOfParts>
    <vt:vector size="21" baseType="lpstr">
      <vt:lpstr>運用方法</vt:lpstr>
      <vt:lpstr>出退社入力シート</vt:lpstr>
      <vt:lpstr>準委任用</vt:lpstr>
      <vt:lpstr>派遣用</vt:lpstr>
      <vt:lpstr>交通費・出張費明細書</vt:lpstr>
      <vt:lpstr>交通費・出張費明細書 (2)</vt:lpstr>
      <vt:lpstr>交通費・出張費明細書 (3)</vt:lpstr>
      <vt:lpstr>祝日・休日設定</vt:lpstr>
      <vt:lpstr>変更履歴</vt:lpstr>
      <vt:lpstr>交通費・出張費明細書!Print_Area</vt:lpstr>
      <vt:lpstr>'交通費・出張費明細書 (2)'!Print_Area</vt:lpstr>
      <vt:lpstr>'交通費・出張費明細書 (3)'!Print_Area</vt:lpstr>
      <vt:lpstr>準委任用!Print_Area</vt:lpstr>
      <vt:lpstr>派遣用!Print_Area</vt:lpstr>
      <vt:lpstr>実績値</vt:lpstr>
      <vt:lpstr>祝日一覧</vt:lpstr>
      <vt:lpstr>日付</vt:lpstr>
      <vt:lpstr>'交通費・出張費明細書 (2)'!明細</vt:lpstr>
      <vt:lpstr>'交通費・出張費明細書 (3)'!明細</vt:lpstr>
      <vt:lpstr>明細</vt:lpstr>
      <vt:lpstr>曜日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安田 裕貴</dc:creator>
  <cp:lastModifiedBy>史 正韵</cp:lastModifiedBy>
  <cp:lastPrinted>2021-03-12T06:22:54Z</cp:lastPrinted>
  <dcterms:created xsi:type="dcterms:W3CDTF">2010-08-16T07:09:11Z</dcterms:created>
  <dcterms:modified xsi:type="dcterms:W3CDTF">2022-05-26T08:31:50Z</dcterms:modified>
</cp:coreProperties>
</file>