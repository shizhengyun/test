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ptn54719\Desktop\shi\"/>
    </mc:Choice>
  </mc:AlternateContent>
  <bookViews>
    <workbookView xWindow="0" yWindow="7200" windowWidth="20820" windowHeight="8415" tabRatio="757" activeTab="5"/>
  </bookViews>
  <sheets>
    <sheet name="変更履歴" sheetId="2" r:id="rId1"/>
    <sheet name="定義" sheetId="6" r:id="rId2"/>
    <sheet name="作業チェックリスト" sheetId="10" r:id="rId3"/>
    <sheet name="サマリ" sheetId="11" r:id="rId4"/>
    <sheet name="履歴シートを削除できるようにする" sheetId="16" r:id="rId5"/>
    <sheet name="index" sheetId="18" r:id="rId6"/>
    <sheet name="対象データ" sheetId="17" state="hidden" r:id="rId7"/>
    <sheet name="tmp" sheetId="15" state="hidden" r:id="rId8"/>
  </sheets>
  <externalReferences>
    <externalReference r:id="rId9"/>
    <externalReference r:id="rId10"/>
    <externalReference r:id="rId11"/>
    <externalReference r:id="rId12"/>
    <externalReference r:id="rId13"/>
    <externalReference r:id="rId14"/>
  </externalReferences>
  <definedNames>
    <definedName name="_xlnm._FilterDatabase" localSheetId="5" hidden="1">index!$I$1:$I$1</definedName>
    <definedName name="_xlnm._FilterDatabase" localSheetId="2" hidden="1">作業チェックリスト!#REF!</definedName>
    <definedName name="_Regression_X" localSheetId="7" hidden="1">#REF!</definedName>
    <definedName name="_Regression_X" localSheetId="3" hidden="1">#REF!</definedName>
    <definedName name="_Regression_X" localSheetId="4" hidden="1">#REF!</definedName>
    <definedName name="_Regression_X" hidden="1">#REF!</definedName>
    <definedName name="ｋ" localSheetId="7" hidden="1">#REF!</definedName>
    <definedName name="ｋ" localSheetId="3" hidden="1">#REF!</definedName>
    <definedName name="ｋ" localSheetId="4" hidden="1">#REF!</definedName>
    <definedName name="ｋ" hidden="1">#REF!</definedName>
    <definedName name="_xlnm.Print_Area" localSheetId="3">サマリ!$A$1:$CE$39</definedName>
    <definedName name="_xlnm.Print_Area" localSheetId="0">変更履歴!$A$1:$CE$41</definedName>
    <definedName name="_xlnm.Print_Titles" localSheetId="7">tmp!$1:$9</definedName>
    <definedName name="_xlnm.Print_Titles" localSheetId="3">サマリ!$1:$3</definedName>
    <definedName name="_xlnm.Print_Titles" localSheetId="2">作業チェックリスト!$1:$7</definedName>
    <definedName name="_xlnm.Print_Titles" localSheetId="0">変更履歴!$1:$4</definedName>
    <definedName name="_xlnm.Print_Titles" localSheetId="4">履歴シートを削除できるようにする!$1:$9</definedName>
    <definedName name="あ" localSheetId="7" hidden="1">#REF!</definedName>
    <definedName name="あ" localSheetId="3" hidden="1">#REF!</definedName>
    <definedName name="あ" localSheetId="4" hidden="1">#REF!</definedName>
    <definedName name="あ" hidden="1">#REF!</definedName>
    <definedName name="ああ" localSheetId="7" hidden="1">#REF!</definedName>
    <definedName name="ああ" localSheetId="3" hidden="1">#REF!</definedName>
    <definedName name="ああ" localSheetId="4" hidden="1">#REF!</definedName>
    <definedName name="ああ" hidden="1">#REF!</definedName>
    <definedName name="い" localSheetId="7" hidden="1">#REF!</definedName>
    <definedName name="い" localSheetId="3" hidden="1">#REF!</definedName>
    <definedName name="い" localSheetId="4" hidden="1">#REF!</definedName>
    <definedName name="い" hidden="1">#REF!</definedName>
    <definedName name="う" localSheetId="7" hidden="1">#REF!</definedName>
    <definedName name="う" localSheetId="3" hidden="1">#REF!</definedName>
    <definedName name="う" localSheetId="4" hidden="1">#REF!</definedName>
    <definedName name="う" hidden="1">#REF!</definedName>
    <definedName name="テスト分類" localSheetId="7">定義!$A$2:$A$8</definedName>
    <definedName name="テスト分類" localSheetId="4">定義!$A$2:$A$8</definedName>
    <definedName name="テスト分類">定義!$A$2:$A$8</definedName>
    <definedName name="確認結果" localSheetId="7">定義!$D$2:$D$4</definedName>
    <definedName name="確認結果" localSheetId="4">定義!$D$2:$D$4</definedName>
    <definedName name="確認結果">定義!$D$2:$D$4</definedName>
    <definedName name="関連表" localSheetId="7" hidden="1">#REF!</definedName>
    <definedName name="関連表" localSheetId="3" hidden="1">#REF!</definedName>
    <definedName name="関連表" localSheetId="4" hidden="1">#REF!</definedName>
    <definedName name="関連表" hidden="1">#REF!</definedName>
  </definedNames>
  <calcPr calcId="152511" fullCalcOnLoad="1"/>
</workbook>
</file>

<file path=xl/calcChain.xml><?xml version="1.0" encoding="utf-8"?>
<calcChain xmlns="http://schemas.openxmlformats.org/spreadsheetml/2006/main">
  <c r="BE2" i="2" l="1"/>
  <c r="O2" i="16"/>
  <c r="AV2" i="2"/>
  <c r="AV2" i="11"/>
  <c r="BW2" i="2"/>
  <c r="BS2" i="15"/>
  <c r="BN2" i="2"/>
  <c r="J6" i="15"/>
  <c r="AH6" i="15"/>
  <c r="BE2" i="11"/>
  <c r="BA2" i="15"/>
  <c r="G5" i="15"/>
  <c r="I5" i="15"/>
  <c r="K5" i="15"/>
  <c r="J5" i="15"/>
  <c r="H5" i="15"/>
  <c r="F5" i="15"/>
  <c r="E5" i="15"/>
  <c r="D5" i="15"/>
  <c r="C5" i="15"/>
  <c r="B5" i="15"/>
  <c r="O2" i="15"/>
  <c r="BH37" i="11"/>
  <c r="BD37" i="11"/>
  <c r="AZ37" i="11"/>
  <c r="AV37" i="11"/>
  <c r="AR37" i="11"/>
  <c r="AN37" i="11"/>
  <c r="AJ37" i="11"/>
  <c r="AF37" i="11"/>
  <c r="AB37" i="11"/>
  <c r="X37" i="11"/>
  <c r="T37" i="11"/>
  <c r="BH36" i="11"/>
  <c r="BD36" i="11"/>
  <c r="AZ36" i="11"/>
  <c r="AV36" i="11"/>
  <c r="AR36" i="11"/>
  <c r="AN36" i="11"/>
  <c r="AJ36" i="11"/>
  <c r="AF36" i="11"/>
  <c r="AB36" i="11"/>
  <c r="X36" i="11"/>
  <c r="T36" i="11"/>
  <c r="BH35" i="11"/>
  <c r="BD35" i="11"/>
  <c r="AZ35" i="11"/>
  <c r="AV35" i="11"/>
  <c r="AR35" i="11"/>
  <c r="AN35" i="11"/>
  <c r="AJ35" i="11"/>
  <c r="AF35" i="11"/>
  <c r="AB35" i="11"/>
  <c r="X35" i="11"/>
  <c r="T35" i="11"/>
  <c r="BH34" i="11"/>
  <c r="BD34" i="11"/>
  <c r="AZ34" i="11"/>
  <c r="AV34" i="11"/>
  <c r="AR34" i="11"/>
  <c r="AN34" i="11"/>
  <c r="AJ34" i="11"/>
  <c r="AF34" i="11"/>
  <c r="AB34" i="11"/>
  <c r="X34" i="11"/>
  <c r="T34" i="11"/>
  <c r="BH33" i="11"/>
  <c r="BD33" i="11"/>
  <c r="AZ33" i="11"/>
  <c r="AV33" i="11"/>
  <c r="AR33" i="11"/>
  <c r="AN33" i="11"/>
  <c r="AJ33" i="11"/>
  <c r="AF33" i="11"/>
  <c r="AB33" i="11"/>
  <c r="X33" i="11"/>
  <c r="T33" i="11"/>
  <c r="BH32" i="11"/>
  <c r="BD32" i="11"/>
  <c r="AZ32" i="11"/>
  <c r="AV32" i="11"/>
  <c r="AR32" i="11"/>
  <c r="AN32" i="11"/>
  <c r="AJ32" i="11"/>
  <c r="AF32" i="11"/>
  <c r="AB32" i="11"/>
  <c r="X32" i="11"/>
  <c r="T32" i="11"/>
  <c r="BH31" i="11"/>
  <c r="BD31" i="11"/>
  <c r="AZ31" i="11"/>
  <c r="AV31" i="11"/>
  <c r="AR31" i="11"/>
  <c r="AN31" i="11"/>
  <c r="AJ31" i="11"/>
  <c r="AF31" i="11"/>
  <c r="AB31" i="11"/>
  <c r="X31" i="11"/>
  <c r="T31" i="11"/>
  <c r="BH30" i="11"/>
  <c r="BD30" i="11"/>
  <c r="AZ30" i="11"/>
  <c r="AV30" i="11"/>
  <c r="AR30" i="11"/>
  <c r="AN30" i="11"/>
  <c r="AJ30" i="11"/>
  <c r="AF30" i="11"/>
  <c r="AB30" i="11"/>
  <c r="X30" i="11"/>
  <c r="T30" i="11"/>
  <c r="BH29" i="11"/>
  <c r="BD29" i="11"/>
  <c r="AZ29" i="11"/>
  <c r="AV29" i="11"/>
  <c r="AR29" i="11"/>
  <c r="AN29" i="11"/>
  <c r="AJ29" i="11"/>
  <c r="AF29" i="11"/>
  <c r="AB29" i="11"/>
  <c r="X29" i="11"/>
  <c r="T29" i="11"/>
  <c r="BH28" i="11"/>
  <c r="BD28" i="11"/>
  <c r="AZ28" i="11"/>
  <c r="AV28" i="11"/>
  <c r="AR28" i="11"/>
  <c r="AN28" i="11"/>
  <c r="AJ28" i="11"/>
  <c r="AF28" i="11"/>
  <c r="AB28" i="11"/>
  <c r="X28" i="11"/>
  <c r="T28" i="11"/>
  <c r="BH27" i="11"/>
  <c r="BD27" i="11"/>
  <c r="AZ27" i="11"/>
  <c r="AV27" i="11"/>
  <c r="AR27" i="11"/>
  <c r="AN27" i="11"/>
  <c r="AJ27" i="11"/>
  <c r="AF27" i="11"/>
  <c r="AB27" i="11"/>
  <c r="X27" i="11"/>
  <c r="T27" i="11"/>
  <c r="BH26" i="11"/>
  <c r="BD26" i="11"/>
  <c r="AZ26" i="11"/>
  <c r="AV26" i="11"/>
  <c r="AR26" i="11"/>
  <c r="AN26" i="11"/>
  <c r="AJ26" i="11"/>
  <c r="AF26" i="11"/>
  <c r="AB26" i="11"/>
  <c r="X26" i="11"/>
  <c r="T26" i="11"/>
  <c r="BH25" i="11"/>
  <c r="BD25" i="11"/>
  <c r="AZ25" i="11"/>
  <c r="AV25" i="11"/>
  <c r="AR25" i="11"/>
  <c r="AN25" i="11"/>
  <c r="AJ25" i="11"/>
  <c r="AF25" i="11"/>
  <c r="AB25" i="11"/>
  <c r="X25" i="11"/>
  <c r="T25" i="11"/>
  <c r="BH24" i="11"/>
  <c r="BD24" i="11"/>
  <c r="AZ24" i="11"/>
  <c r="AV24" i="11"/>
  <c r="AR24" i="11"/>
  <c r="AN24" i="11"/>
  <c r="AJ24" i="11"/>
  <c r="AF24" i="11"/>
  <c r="AB24" i="11"/>
  <c r="X24" i="11"/>
  <c r="T24" i="11"/>
  <c r="BH23" i="11"/>
  <c r="BD23" i="11"/>
  <c r="AZ23" i="11"/>
  <c r="AV23" i="11"/>
  <c r="AR23" i="11"/>
  <c r="AN23" i="11"/>
  <c r="AJ23" i="11"/>
  <c r="AF23" i="11"/>
  <c r="AB23" i="11"/>
  <c r="X23" i="11"/>
  <c r="T23" i="11"/>
  <c r="BH22" i="11"/>
  <c r="BD22" i="11"/>
  <c r="AZ22" i="11"/>
  <c r="AV22" i="11"/>
  <c r="AR22" i="11"/>
  <c r="AN22" i="11"/>
  <c r="AJ22" i="11"/>
  <c r="AF22" i="11"/>
  <c r="AB22" i="11"/>
  <c r="X22" i="11"/>
  <c r="T22" i="11"/>
  <c r="BH21" i="11"/>
  <c r="BD21" i="11"/>
  <c r="AZ21" i="11"/>
  <c r="AV21" i="11"/>
  <c r="AR21" i="11"/>
  <c r="AN21" i="11"/>
  <c r="AJ21" i="11"/>
  <c r="AF21" i="11"/>
  <c r="AB21" i="11"/>
  <c r="X21" i="11"/>
  <c r="T21" i="11"/>
  <c r="BH20" i="11"/>
  <c r="BD20" i="11"/>
  <c r="AZ20" i="11"/>
  <c r="AV20" i="11"/>
  <c r="AR20" i="11"/>
  <c r="AN20" i="11"/>
  <c r="AJ20" i="11"/>
  <c r="AF20" i="11"/>
  <c r="AB20" i="11"/>
  <c r="X20" i="11"/>
  <c r="T20" i="11"/>
  <c r="BH19" i="11"/>
  <c r="BD19" i="11"/>
  <c r="AZ19" i="11"/>
  <c r="AV19" i="11"/>
  <c r="AR19" i="11"/>
  <c r="AN19" i="11"/>
  <c r="AJ19" i="11"/>
  <c r="AF19" i="11"/>
  <c r="AB19" i="11"/>
  <c r="X19" i="11"/>
  <c r="T19" i="11"/>
  <c r="BH18" i="11"/>
  <c r="BD18" i="11"/>
  <c r="AZ18" i="11"/>
  <c r="AV18" i="11"/>
  <c r="AR18" i="11"/>
  <c r="AN18" i="11"/>
  <c r="AJ18" i="11"/>
  <c r="AF18" i="11"/>
  <c r="AB18" i="11"/>
  <c r="X18" i="11"/>
  <c r="T18" i="11"/>
  <c r="BH17" i="11"/>
  <c r="BD17" i="11"/>
  <c r="AZ17" i="11"/>
  <c r="AV17" i="11"/>
  <c r="AR17" i="11"/>
  <c r="AN17" i="11"/>
  <c r="AJ17" i="11"/>
  <c r="AF17" i="11"/>
  <c r="AB17" i="11"/>
  <c r="X17" i="11"/>
  <c r="T17" i="11"/>
  <c r="BH16" i="11"/>
  <c r="BD16" i="11"/>
  <c r="AZ16" i="11"/>
  <c r="AV16" i="11"/>
  <c r="AR16" i="11"/>
  <c r="AN16" i="11"/>
  <c r="AJ16" i="11"/>
  <c r="AF16" i="11"/>
  <c r="AB16" i="11"/>
  <c r="X16" i="11"/>
  <c r="T16" i="11"/>
  <c r="BH15" i="11"/>
  <c r="BD15" i="11"/>
  <c r="AZ15" i="11"/>
  <c r="AV15" i="11"/>
  <c r="AR15" i="11"/>
  <c r="AN15" i="11"/>
  <c r="AJ15" i="11"/>
  <c r="AF15" i="11"/>
  <c r="AB15" i="11"/>
  <c r="X15" i="11"/>
  <c r="T15" i="11"/>
  <c r="O2" i="11"/>
  <c r="AR2" i="15"/>
  <c r="BJ2" i="15"/>
  <c r="BN2" i="11"/>
  <c r="A5" i="15"/>
  <c r="AV9" i="11"/>
  <c r="A5" i="16"/>
  <c r="BW2" i="11"/>
  <c r="BD14" i="11"/>
  <c r="BH14" i="11"/>
  <c r="T14" i="11"/>
  <c r="AJ14" i="11"/>
  <c r="AN14" i="11"/>
  <c r="AF14" i="11"/>
  <c r="X14" i="11"/>
  <c r="AR14" i="11"/>
  <c r="AB14" i="11"/>
  <c r="AV14" i="11"/>
</calcChain>
</file>

<file path=xl/comments1.xml><?xml version="1.0" encoding="utf-8"?>
<comments xmlns="http://schemas.openxmlformats.org/spreadsheetml/2006/main">
  <authors>
    <author>tepHagiwara</author>
  </authors>
  <commentList>
    <comment ref="AJ7" authorId="0" shapeId="0">
      <text>
        <r>
          <rPr>
            <sz val="9"/>
            <color indexed="81"/>
            <rFont val="ＭＳ Ｐゴシック"/>
            <family val="3"/>
            <charset val="128"/>
          </rPr>
          <t>結果については、全ての内訳を合計する(再テスト分を含む)。</t>
        </r>
      </text>
    </comment>
    <comment ref="P12" authorId="0" shapeId="0">
      <text>
        <r>
          <rPr>
            <sz val="9"/>
            <color indexed="81"/>
            <rFont val="ＭＳ Ｐゴシック"/>
            <family val="3"/>
            <charset val="128"/>
          </rPr>
          <t>再テストの場合は、"○"</t>
        </r>
      </text>
    </comment>
  </commentList>
</comments>
</file>

<file path=xl/sharedStrings.xml><?xml version="1.0" encoding="utf-8"?>
<sst xmlns="http://schemas.openxmlformats.org/spreadsheetml/2006/main" count="390" uniqueCount="212">
  <si>
    <t>プロジェクト名</t>
    <rPh sb="6" eb="7">
      <t>メイ</t>
    </rPh>
    <phoneticPr fontId="7"/>
  </si>
  <si>
    <t>サブシステム名</t>
    <rPh sb="6" eb="7">
      <t>メイ</t>
    </rPh>
    <phoneticPr fontId="7"/>
  </si>
  <si>
    <t>文書名</t>
    <rPh sb="0" eb="2">
      <t>ブンショ</t>
    </rPh>
    <rPh sb="2" eb="3">
      <t>メイ</t>
    </rPh>
    <phoneticPr fontId="7"/>
  </si>
  <si>
    <t>作成者</t>
    <rPh sb="0" eb="3">
      <t>サクセイシャ</t>
    </rPh>
    <phoneticPr fontId="7"/>
  </si>
  <si>
    <t>作成日</t>
    <rPh sb="0" eb="2">
      <t>サクセイ</t>
    </rPh>
    <rPh sb="2" eb="3">
      <t>ヒ</t>
    </rPh>
    <phoneticPr fontId="7"/>
  </si>
  <si>
    <t>更新者</t>
    <rPh sb="0" eb="3">
      <t>コウシンシャ</t>
    </rPh>
    <phoneticPr fontId="7"/>
  </si>
  <si>
    <t>更新日</t>
    <rPh sb="0" eb="2">
      <t>コウシン</t>
    </rPh>
    <rPh sb="2" eb="3">
      <t>ヒ</t>
    </rPh>
    <phoneticPr fontId="7"/>
  </si>
  <si>
    <t>版</t>
    <rPh sb="0" eb="1">
      <t>バン</t>
    </rPh>
    <phoneticPr fontId="7"/>
  </si>
  <si>
    <t>変更日</t>
    <rPh sb="0" eb="2">
      <t>ヘンコウ</t>
    </rPh>
    <rPh sb="2" eb="3">
      <t>ヒ</t>
    </rPh>
    <phoneticPr fontId="7"/>
  </si>
  <si>
    <t>依頼者</t>
    <rPh sb="0" eb="3">
      <t>イライシャ</t>
    </rPh>
    <phoneticPr fontId="7"/>
  </si>
  <si>
    <t>作業者</t>
    <rPh sb="0" eb="3">
      <t>サギョウシャ</t>
    </rPh>
    <phoneticPr fontId="7"/>
  </si>
  <si>
    <t>変更種別</t>
    <rPh sb="0" eb="2">
      <t>ヘンコウ</t>
    </rPh>
    <rPh sb="2" eb="4">
      <t>シュベツ</t>
    </rPh>
    <phoneticPr fontId="7"/>
  </si>
  <si>
    <t>変更内容</t>
    <rPh sb="0" eb="2">
      <t>ヘンコウ</t>
    </rPh>
    <rPh sb="2" eb="4">
      <t>ナイヨウ</t>
    </rPh>
    <phoneticPr fontId="7"/>
  </si>
  <si>
    <t>異常系</t>
    <rPh sb="0" eb="2">
      <t>イジョウ</t>
    </rPh>
    <rPh sb="2" eb="3">
      <t>ケイ</t>
    </rPh>
    <phoneticPr fontId="1"/>
  </si>
  <si>
    <t>境界値チェック</t>
    <rPh sb="0" eb="2">
      <t>キョウカイ</t>
    </rPh>
    <rPh sb="2" eb="3">
      <t>チ</t>
    </rPh>
    <phoneticPr fontId="1"/>
  </si>
  <si>
    <t>件数</t>
    <rPh sb="0" eb="2">
      <t>ケンスウ</t>
    </rPh>
    <phoneticPr fontId="1"/>
  </si>
  <si>
    <t>単体テスト仕様書兼実施結果</t>
    <rPh sb="0" eb="2">
      <t>タンタイ</t>
    </rPh>
    <rPh sb="5" eb="8">
      <t>シヨウショ</t>
    </rPh>
    <rPh sb="8" eb="9">
      <t>ケン</t>
    </rPh>
    <rPh sb="9" eb="11">
      <t>ジッシ</t>
    </rPh>
    <rPh sb="11" eb="13">
      <t>ケッカ</t>
    </rPh>
    <phoneticPr fontId="7"/>
  </si>
  <si>
    <t>テスト対象
画面ID／バッチID</t>
    <rPh sb="3" eb="5">
      <t>タイショウ</t>
    </rPh>
    <rPh sb="6" eb="8">
      <t>ガメン</t>
    </rPh>
    <phoneticPr fontId="7"/>
  </si>
  <si>
    <t>テスト対象
画面名／バッチ名</t>
    <rPh sb="3" eb="5">
      <t>タイショウ</t>
    </rPh>
    <rPh sb="6" eb="8">
      <t>ガメン</t>
    </rPh>
    <rPh sb="13" eb="14">
      <t>メイ</t>
    </rPh>
    <phoneticPr fontId="7"/>
  </si>
  <si>
    <t>テスト分類</t>
    <rPh sb="3" eb="5">
      <t>ブンルイ</t>
    </rPh>
    <phoneticPr fontId="7"/>
  </si>
  <si>
    <t>確認者</t>
    <rPh sb="0" eb="2">
      <t>カクニン</t>
    </rPh>
    <rPh sb="2" eb="3">
      <t>シャ</t>
    </rPh>
    <phoneticPr fontId="7"/>
  </si>
  <si>
    <t>確認日</t>
    <rPh sb="0" eb="2">
      <t>カクニン</t>
    </rPh>
    <rPh sb="2" eb="3">
      <t>ビ</t>
    </rPh>
    <phoneticPr fontId="7"/>
  </si>
  <si>
    <t>確認結果</t>
    <rPh sb="0" eb="2">
      <t>カクニン</t>
    </rPh>
    <rPh sb="2" eb="4">
      <t>ケッカ</t>
    </rPh>
    <phoneticPr fontId="7"/>
  </si>
  <si>
    <t>備考</t>
    <rPh sb="0" eb="2">
      <t>ビコウ</t>
    </rPh>
    <phoneticPr fontId="7"/>
  </si>
  <si>
    <t>結果</t>
    <rPh sb="0" eb="2">
      <t>ケッカ</t>
    </rPh>
    <phoneticPr fontId="7"/>
  </si>
  <si>
    <t>件数</t>
    <rPh sb="0" eb="2">
      <t>ケンスウ</t>
    </rPh>
    <phoneticPr fontId="7"/>
  </si>
  <si>
    <t>■実施結果</t>
    <rPh sb="1" eb="3">
      <t>ジッシ</t>
    </rPh>
    <rPh sb="3" eb="5">
      <t>ケッカ</t>
    </rPh>
    <phoneticPr fontId="7"/>
  </si>
  <si>
    <t>■内訳</t>
    <rPh sb="1" eb="3">
      <t>ウチワケ</t>
    </rPh>
    <phoneticPr fontId="7"/>
  </si>
  <si>
    <t>テストケース数</t>
    <rPh sb="6" eb="7">
      <t>スウ</t>
    </rPh>
    <phoneticPr fontId="7"/>
  </si>
  <si>
    <t>限界値チェック</t>
    <rPh sb="0" eb="2">
      <t>ゲンカイ</t>
    </rPh>
    <rPh sb="2" eb="3">
      <t>チ</t>
    </rPh>
    <phoneticPr fontId="1"/>
  </si>
  <si>
    <t>その他</t>
    <rPh sb="2" eb="3">
      <t>タ</t>
    </rPh>
    <phoneticPr fontId="7"/>
  </si>
  <si>
    <t>入力値チェック</t>
    <rPh sb="0" eb="2">
      <t>ニュウリョク</t>
    </rPh>
    <rPh sb="2" eb="3">
      <t>チ</t>
    </rPh>
    <phoneticPr fontId="1"/>
  </si>
  <si>
    <t>出力項目確認</t>
    <rPh sb="0" eb="2">
      <t>シュツリョク</t>
    </rPh>
    <rPh sb="2" eb="4">
      <t>コウモク</t>
    </rPh>
    <rPh sb="4" eb="6">
      <t>カクニン</t>
    </rPh>
    <phoneticPr fontId="7"/>
  </si>
  <si>
    <t>テスト分類</t>
    <rPh sb="3" eb="5">
      <t>ブンルイ</t>
    </rPh>
    <phoneticPr fontId="12"/>
  </si>
  <si>
    <t>画面表示、DB更新、ファイル出力</t>
    <phoneticPr fontId="12"/>
  </si>
  <si>
    <t>入力項目に対する必須チェック、型桁チェック、整合性チェックなど</t>
    <rPh sb="0" eb="2">
      <t>ニュウリョク</t>
    </rPh>
    <rPh sb="2" eb="4">
      <t>コウモク</t>
    </rPh>
    <rPh sb="5" eb="6">
      <t>タイ</t>
    </rPh>
    <rPh sb="8" eb="10">
      <t>ヒッス</t>
    </rPh>
    <rPh sb="15" eb="16">
      <t>カタ</t>
    </rPh>
    <rPh sb="16" eb="17">
      <t>ケタ</t>
    </rPh>
    <rPh sb="22" eb="25">
      <t>セイゴウセイ</t>
    </rPh>
    <phoneticPr fontId="12"/>
  </si>
  <si>
    <t>確認内容</t>
    <rPh sb="0" eb="2">
      <t>カクニン</t>
    </rPh>
    <rPh sb="2" eb="4">
      <t>ナイヨウ</t>
    </rPh>
    <phoneticPr fontId="12"/>
  </si>
  <si>
    <t>チェック処理以外で、入力条件による分岐を網羅するケース</t>
    <phoneticPr fontId="12"/>
  </si>
  <si>
    <t>発生しうる例外エラー、バッチ入力ファイルのフォーマット異常など</t>
    <rPh sb="0" eb="2">
      <t>ハッセイ</t>
    </rPh>
    <rPh sb="5" eb="7">
      <t>レイガイ</t>
    </rPh>
    <rPh sb="14" eb="16">
      <t>ニュウリョク</t>
    </rPh>
    <rPh sb="27" eb="29">
      <t>イジョウ</t>
    </rPh>
    <phoneticPr fontId="12"/>
  </si>
  <si>
    <t>バッチ入力ファイルの件数に関する確認（0件ファイル、複数件ファイル）</t>
    <rPh sb="3" eb="5">
      <t>ニュウリョク</t>
    </rPh>
    <rPh sb="10" eb="12">
      <t>ケンスウ</t>
    </rPh>
    <rPh sb="13" eb="14">
      <t>カン</t>
    </rPh>
    <rPh sb="16" eb="18">
      <t>カクニン</t>
    </rPh>
    <rPh sb="20" eb="21">
      <t>ケン</t>
    </rPh>
    <rPh sb="26" eb="28">
      <t>フクスウ</t>
    </rPh>
    <rPh sb="28" eb="29">
      <t>ケン</t>
    </rPh>
    <phoneticPr fontId="12"/>
  </si>
  <si>
    <t>上記以外</t>
    <rPh sb="0" eb="2">
      <t>ジョウキ</t>
    </rPh>
    <rPh sb="2" eb="4">
      <t>イガイ</t>
    </rPh>
    <phoneticPr fontId="12"/>
  </si>
  <si>
    <t>最大桁数の値を入出力するケース</t>
    <rPh sb="0" eb="2">
      <t>サイダイ</t>
    </rPh>
    <rPh sb="2" eb="4">
      <t>ケタスウ</t>
    </rPh>
    <rPh sb="5" eb="6">
      <t>アタイ</t>
    </rPh>
    <rPh sb="7" eb="10">
      <t>ニュウシュツリョク</t>
    </rPh>
    <phoneticPr fontId="12"/>
  </si>
  <si>
    <t>確認結果</t>
    <rPh sb="0" eb="2">
      <t>カクニン</t>
    </rPh>
    <rPh sb="2" eb="4">
      <t>ケッカ</t>
    </rPh>
    <phoneticPr fontId="12"/>
  </si>
  <si>
    <t>OK</t>
    <phoneticPr fontId="12"/>
  </si>
  <si>
    <t>NG</t>
    <phoneticPr fontId="12"/>
  </si>
  <si>
    <t>対象外</t>
    <rPh sb="0" eb="3">
      <t>タイショウガイ</t>
    </rPh>
    <phoneticPr fontId="12"/>
  </si>
  <si>
    <t>合計</t>
    <rPh sb="0" eb="2">
      <t>ゴウケイ</t>
    </rPh>
    <phoneticPr fontId="7"/>
  </si>
  <si>
    <t>入力値</t>
    <rPh sb="0" eb="2">
      <t>ニュウリョク</t>
    </rPh>
    <rPh sb="2" eb="3">
      <t>チ</t>
    </rPh>
    <phoneticPr fontId="7"/>
  </si>
  <si>
    <t>境界値</t>
    <rPh sb="0" eb="2">
      <t>キョウカイ</t>
    </rPh>
    <rPh sb="2" eb="3">
      <t>チ</t>
    </rPh>
    <phoneticPr fontId="7"/>
  </si>
  <si>
    <t>限界値</t>
    <rPh sb="0" eb="2">
      <t>ゲンカイ</t>
    </rPh>
    <rPh sb="2" eb="3">
      <t>チ</t>
    </rPh>
    <phoneticPr fontId="7"/>
  </si>
  <si>
    <t>出力</t>
    <rPh sb="0" eb="2">
      <t>シュツリョク</t>
    </rPh>
    <phoneticPr fontId="7"/>
  </si>
  <si>
    <t>異常</t>
    <rPh sb="0" eb="2">
      <t>イジョウ</t>
    </rPh>
    <phoneticPr fontId="7"/>
  </si>
  <si>
    <t>OK</t>
    <phoneticPr fontId="7"/>
  </si>
  <si>
    <t>NG</t>
    <phoneticPr fontId="7"/>
  </si>
  <si>
    <t>対象外</t>
    <rPh sb="0" eb="3">
      <t>タイショウガイ</t>
    </rPh>
    <phoneticPr fontId="7"/>
  </si>
  <si>
    <t>シート名</t>
    <rPh sb="3" eb="4">
      <t>メイ</t>
    </rPh>
    <phoneticPr fontId="7"/>
  </si>
  <si>
    <t>再テスト</t>
    <rPh sb="0" eb="1">
      <t>サイ</t>
    </rPh>
    <phoneticPr fontId="7"/>
  </si>
  <si>
    <t>Javaソース</t>
  </si>
  <si>
    <t>Javascript</t>
  </si>
  <si>
    <t>シェル</t>
  </si>
  <si>
    <t>SQL</t>
  </si>
  <si>
    <t>対象案件</t>
    <rPh sb="0" eb="2">
      <t>タイショウ</t>
    </rPh>
    <rPh sb="2" eb="4">
      <t>アンケン</t>
    </rPh>
    <phoneticPr fontId="7"/>
  </si>
  <si>
    <t>対象機能</t>
    <rPh sb="0" eb="2">
      <t>タイショウ</t>
    </rPh>
    <rPh sb="2" eb="4">
      <t>キノウ</t>
    </rPh>
    <phoneticPr fontId="7"/>
  </si>
  <si>
    <t>対象ドキュメント</t>
    <rPh sb="0" eb="2">
      <t>タイショウ</t>
    </rPh>
    <phoneticPr fontId="7"/>
  </si>
  <si>
    <t>チェック者</t>
    <rPh sb="4" eb="5">
      <t>シャ</t>
    </rPh>
    <phoneticPr fontId="7"/>
  </si>
  <si>
    <t>チェック完了日</t>
    <rPh sb="4" eb="7">
      <t>カンリョウビ</t>
    </rPh>
    <phoneticPr fontId="7"/>
  </si>
  <si>
    <t>チェック分類</t>
    <rPh sb="4" eb="6">
      <t>ブンルイ</t>
    </rPh>
    <phoneticPr fontId="7"/>
  </si>
  <si>
    <t>チェック対象</t>
    <rPh sb="4" eb="6">
      <t>タイショウ</t>
    </rPh>
    <phoneticPr fontId="7"/>
  </si>
  <si>
    <t>チェックポイント</t>
    <phoneticPr fontId="7"/>
  </si>
  <si>
    <t>ﾁｪｯｸ結果</t>
    <rPh sb="4" eb="6">
      <t>ケッカ</t>
    </rPh>
    <phoneticPr fontId="7"/>
  </si>
  <si>
    <t>PG</t>
    <phoneticPr fontId="7"/>
  </si>
  <si>
    <t>規約の確認</t>
    <rPh sb="0" eb="2">
      <t>キヤク</t>
    </rPh>
    <rPh sb="3" eb="5">
      <t>カクニン</t>
    </rPh>
    <phoneticPr fontId="7"/>
  </si>
  <si>
    <t>各種コーディング・ガイドを確認してから、実装に着手しているか</t>
    <rPh sb="0" eb="2">
      <t>カクシュ</t>
    </rPh>
    <rPh sb="13" eb="15">
      <t>カクニン</t>
    </rPh>
    <rPh sb="20" eb="22">
      <t>ジッソウ</t>
    </rPh>
    <rPh sb="23" eb="25">
      <t>チャクシュ</t>
    </rPh>
    <phoneticPr fontId="7"/>
  </si>
  <si>
    <t>ソース内のコメントを正しく記載しているか（javadocコメント例_社外秘.txt 参照）（Copyright 注意）</t>
    <rPh sb="3" eb="4">
      <t>ナイ</t>
    </rPh>
    <rPh sb="10" eb="11">
      <t>タダ</t>
    </rPh>
    <rPh sb="13" eb="15">
      <t>キサイ</t>
    </rPh>
    <rPh sb="32" eb="33">
      <t>レイ</t>
    </rPh>
    <rPh sb="34" eb="37">
      <t>シャガイヒ</t>
    </rPh>
    <rPh sb="42" eb="44">
      <t>サンショウ</t>
    </rPh>
    <rPh sb="56" eb="58">
      <t>チュウイ</t>
    </rPh>
    <phoneticPr fontId="7"/>
  </si>
  <si>
    <t>不要なコメントが残っていないか</t>
    <rPh sb="0" eb="2">
      <t>フヨウ</t>
    </rPh>
    <rPh sb="8" eb="9">
      <t>ノコ</t>
    </rPh>
    <phoneticPr fontId="7"/>
  </si>
  <si>
    <t>TODOタグが残っていないか</t>
    <rPh sb="7" eb="8">
      <t>ノコ</t>
    </rPh>
    <phoneticPr fontId="7"/>
  </si>
  <si>
    <t>CheckStyle、Findbugsの警告が極力排除されているか</t>
    <rPh sb="20" eb="22">
      <t>ケイコク</t>
    </rPh>
    <rPh sb="23" eb="25">
      <t>キョクリョク</t>
    </rPh>
    <rPh sb="25" eb="27">
      <t>ハイジョ</t>
    </rPh>
    <phoneticPr fontId="7"/>
  </si>
  <si>
    <t>Javaコーディング・ガイドに則って実装されているか</t>
    <rPh sb="15" eb="16">
      <t>ノット</t>
    </rPh>
    <rPh sb="18" eb="20">
      <t>ジッソウ</t>
    </rPh>
    <phoneticPr fontId="7"/>
  </si>
  <si>
    <t>JavaScriptコーディング・ガイドに則って実装されているか</t>
    <rPh sb="21" eb="22">
      <t>ノット</t>
    </rPh>
    <rPh sb="24" eb="26">
      <t>ジッソウ</t>
    </rPh>
    <phoneticPr fontId="7"/>
  </si>
  <si>
    <t>シェルスクリプト・コーディング・ガイドに則って実装されているか</t>
    <rPh sb="20" eb="21">
      <t>ノット</t>
    </rPh>
    <rPh sb="23" eb="25">
      <t>ジッソウ</t>
    </rPh>
    <phoneticPr fontId="7"/>
  </si>
  <si>
    <t>SQLコーディング・ガイドに則って実装されているか</t>
    <rPh sb="14" eb="15">
      <t>ノット</t>
    </rPh>
    <rPh sb="17" eb="19">
      <t>ジッソウ</t>
    </rPh>
    <phoneticPr fontId="7"/>
  </si>
  <si>
    <t>実行計画の確認がされているか（SQL実行計画確認検証ガイド 参照）</t>
    <rPh sb="0" eb="2">
      <t>ジッコウ</t>
    </rPh>
    <rPh sb="2" eb="4">
      <t>ケイカク</t>
    </rPh>
    <rPh sb="5" eb="7">
      <t>カクニン</t>
    </rPh>
    <rPh sb="30" eb="32">
      <t>サンショウ</t>
    </rPh>
    <phoneticPr fontId="7"/>
  </si>
  <si>
    <t>【入力値チェック】全入力項目に対する必須チェック、型桁チェックの動作を確認するケースを挙げているか</t>
    <rPh sb="1" eb="3">
      <t>ニュウリョク</t>
    </rPh>
    <rPh sb="3" eb="4">
      <t>チ</t>
    </rPh>
    <rPh sb="9" eb="10">
      <t>ゼン</t>
    </rPh>
    <rPh sb="10" eb="12">
      <t>ニュウリョク</t>
    </rPh>
    <rPh sb="12" eb="14">
      <t>コウモク</t>
    </rPh>
    <rPh sb="15" eb="16">
      <t>タイ</t>
    </rPh>
    <rPh sb="18" eb="20">
      <t>ヒッス</t>
    </rPh>
    <rPh sb="25" eb="26">
      <t>カタ</t>
    </rPh>
    <rPh sb="26" eb="27">
      <t>ケタ</t>
    </rPh>
    <rPh sb="32" eb="34">
      <t>ドウサ</t>
    </rPh>
    <rPh sb="35" eb="37">
      <t>カクニン</t>
    </rPh>
    <rPh sb="43" eb="44">
      <t>ア</t>
    </rPh>
    <phoneticPr fontId="7"/>
  </si>
  <si>
    <t>【入力値チェック】バッチ処理で、引数のチェックを確認するケースを挙げているか</t>
    <rPh sb="1" eb="3">
      <t>ニュウリョク</t>
    </rPh>
    <rPh sb="3" eb="4">
      <t>チ</t>
    </rPh>
    <rPh sb="12" eb="14">
      <t>ショリ</t>
    </rPh>
    <rPh sb="16" eb="18">
      <t>ヒキスウ</t>
    </rPh>
    <rPh sb="24" eb="26">
      <t>カクニン</t>
    </rPh>
    <rPh sb="32" eb="33">
      <t>ア</t>
    </rPh>
    <phoneticPr fontId="7"/>
  </si>
  <si>
    <t>【入力値チェック】プログラム内で実装している全ての整合性チェック処理を確認するケースを挙げているか</t>
    <rPh sb="1" eb="3">
      <t>ニュウリョク</t>
    </rPh>
    <rPh sb="3" eb="4">
      <t>チ</t>
    </rPh>
    <rPh sb="14" eb="15">
      <t>ナイ</t>
    </rPh>
    <rPh sb="16" eb="18">
      <t>ジッソウ</t>
    </rPh>
    <rPh sb="22" eb="23">
      <t>スベ</t>
    </rPh>
    <rPh sb="25" eb="28">
      <t>セイゴウセイ</t>
    </rPh>
    <rPh sb="32" eb="34">
      <t>ショリ</t>
    </rPh>
    <rPh sb="35" eb="37">
      <t>カクニン</t>
    </rPh>
    <rPh sb="43" eb="44">
      <t>ア</t>
    </rPh>
    <phoneticPr fontId="7"/>
  </si>
  <si>
    <t>【境界値チェック】チェック処理以外で、入力条件による分岐を網羅するケースを全て挙げているか</t>
    <rPh sb="1" eb="3">
      <t>キョウカイ</t>
    </rPh>
    <rPh sb="3" eb="4">
      <t>チ</t>
    </rPh>
    <phoneticPr fontId="7"/>
  </si>
  <si>
    <t>【限界値チェック】各入力項目に対し、画面／ファイルで許容される最大入力桁数を処理するケースを挙げているか</t>
    <phoneticPr fontId="7"/>
  </si>
  <si>
    <t>【出力項目確認】DBを更新する場合、更新対象の全テーブルに対する更新仕様を確認するケースを挙げているか</t>
    <rPh sb="1" eb="3">
      <t>シュツリョク</t>
    </rPh>
    <rPh sb="3" eb="5">
      <t>コウモク</t>
    </rPh>
    <rPh sb="5" eb="7">
      <t>カクニン</t>
    </rPh>
    <phoneticPr fontId="7"/>
  </si>
  <si>
    <t>【出力項目確認】ファイルを出力する場合、出力ファイル仕様を確認するケースを挙げているか</t>
    <rPh sb="1" eb="3">
      <t>シュツリョク</t>
    </rPh>
    <rPh sb="3" eb="5">
      <t>コウモク</t>
    </rPh>
    <rPh sb="5" eb="7">
      <t>カクニン</t>
    </rPh>
    <phoneticPr fontId="7"/>
  </si>
  <si>
    <t>【出力項目確認】画面出力仕様を確認するケースを挙げているか</t>
    <rPh sb="1" eb="3">
      <t>シュツリョク</t>
    </rPh>
    <rPh sb="3" eb="5">
      <t>コウモク</t>
    </rPh>
    <rPh sb="5" eb="7">
      <t>カクニン</t>
    </rPh>
    <phoneticPr fontId="7"/>
  </si>
  <si>
    <t>【異常系】 内部で発生しうる例外によるエラーケースを挙げているか</t>
    <rPh sb="1" eb="3">
      <t>イジョウ</t>
    </rPh>
    <rPh sb="3" eb="4">
      <t>ケイ</t>
    </rPh>
    <rPh sb="6" eb="8">
      <t>ナイブ</t>
    </rPh>
    <rPh sb="9" eb="11">
      <t>ハッセイ</t>
    </rPh>
    <rPh sb="14" eb="16">
      <t>レイガイ</t>
    </rPh>
    <rPh sb="26" eb="27">
      <t>ア</t>
    </rPh>
    <phoneticPr fontId="7"/>
  </si>
  <si>
    <t>【異常系】 入力ファイルのフォーマット異常によるエラーケースを挙げているか</t>
    <rPh sb="1" eb="3">
      <t>イジョウ</t>
    </rPh>
    <rPh sb="3" eb="4">
      <t>ケイ</t>
    </rPh>
    <rPh sb="6" eb="8">
      <t>ニュウリョク</t>
    </rPh>
    <rPh sb="19" eb="21">
      <t>イジョウ</t>
    </rPh>
    <rPh sb="31" eb="32">
      <t>ア</t>
    </rPh>
    <phoneticPr fontId="7"/>
  </si>
  <si>
    <t>【件数】 バッチの入力件数が0件のケースを挙げているか</t>
    <rPh sb="1" eb="3">
      <t>ケンスウ</t>
    </rPh>
    <rPh sb="9" eb="11">
      <t>ニュウリョク</t>
    </rPh>
    <rPh sb="11" eb="13">
      <t>ケンスウ</t>
    </rPh>
    <rPh sb="15" eb="16">
      <t>ケン</t>
    </rPh>
    <rPh sb="21" eb="22">
      <t>ア</t>
    </rPh>
    <phoneticPr fontId="7"/>
  </si>
  <si>
    <t>【件数】 バッチの入力件数が複数件のケースを挙げているか</t>
    <rPh sb="1" eb="3">
      <t>ケンスウ</t>
    </rPh>
    <rPh sb="9" eb="11">
      <t>ニュウリョク</t>
    </rPh>
    <rPh sb="11" eb="13">
      <t>ケンスウ</t>
    </rPh>
    <rPh sb="14" eb="16">
      <t>フクスウ</t>
    </rPh>
    <rPh sb="16" eb="17">
      <t>ケン</t>
    </rPh>
    <rPh sb="22" eb="23">
      <t>ア</t>
    </rPh>
    <phoneticPr fontId="7"/>
  </si>
  <si>
    <t>【件数】 バッチの出力件数が0件のケースを挙げているか</t>
    <rPh sb="1" eb="3">
      <t>ケンスウ</t>
    </rPh>
    <rPh sb="9" eb="11">
      <t>シュツリョク</t>
    </rPh>
    <rPh sb="11" eb="13">
      <t>ケンスウ</t>
    </rPh>
    <rPh sb="15" eb="16">
      <t>ケン</t>
    </rPh>
    <rPh sb="21" eb="22">
      <t>ア</t>
    </rPh>
    <phoneticPr fontId="7"/>
  </si>
  <si>
    <t>【件数】 バッチの出力件数が複数件のケースを挙げているか</t>
    <rPh sb="1" eb="3">
      <t>ケンスウ</t>
    </rPh>
    <rPh sb="9" eb="11">
      <t>シュツリョク</t>
    </rPh>
    <rPh sb="11" eb="13">
      <t>ケンスウ</t>
    </rPh>
    <rPh sb="14" eb="16">
      <t>フクスウ</t>
    </rPh>
    <rPh sb="16" eb="17">
      <t>ケン</t>
    </rPh>
    <rPh sb="22" eb="23">
      <t>ア</t>
    </rPh>
    <phoneticPr fontId="7"/>
  </si>
  <si>
    <t>実施結果</t>
    <rPh sb="0" eb="2">
      <t>ジッシ</t>
    </rPh>
    <rPh sb="2" eb="4">
      <t>ケッカ</t>
    </rPh>
    <phoneticPr fontId="7"/>
  </si>
  <si>
    <t>未確認のケースが残っていないか</t>
    <rPh sb="0" eb="3">
      <t>ミカクニン</t>
    </rPh>
    <rPh sb="8" eb="9">
      <t>ノコ</t>
    </rPh>
    <phoneticPr fontId="7"/>
  </si>
  <si>
    <t>NGがあった場合、再テストの結果を正しく記載しているか</t>
    <rPh sb="6" eb="8">
      <t>バアイ</t>
    </rPh>
    <rPh sb="9" eb="10">
      <t>サイ</t>
    </rPh>
    <rPh sb="14" eb="16">
      <t>ケッカ</t>
    </rPh>
    <rPh sb="17" eb="18">
      <t>タダ</t>
    </rPh>
    <rPh sb="20" eb="22">
      <t>キサイ</t>
    </rPh>
    <phoneticPr fontId="7"/>
  </si>
  <si>
    <t>エビデンス</t>
    <phoneticPr fontId="7"/>
  </si>
  <si>
    <t>第三者が見てテスト内容・結果が確認できるエビデンスを残しているか</t>
    <rPh sb="0" eb="1">
      <t>ダイ</t>
    </rPh>
    <rPh sb="1" eb="3">
      <t>サンシャ</t>
    </rPh>
    <rPh sb="4" eb="5">
      <t>ミ</t>
    </rPh>
    <rPh sb="9" eb="11">
      <t>ナイヨウ</t>
    </rPh>
    <rPh sb="12" eb="14">
      <t>ケッカ</t>
    </rPh>
    <rPh sb="15" eb="17">
      <t>カクニン</t>
    </rPh>
    <rPh sb="26" eb="27">
      <t>ノコ</t>
    </rPh>
    <phoneticPr fontId="7"/>
  </si>
  <si>
    <t>チェックコメント：チェック時連絡事項、覚書等あれば、以下に記載のこと</t>
    <rPh sb="13" eb="14">
      <t>ジ</t>
    </rPh>
    <rPh sb="14" eb="16">
      <t>レンラク</t>
    </rPh>
    <rPh sb="16" eb="18">
      <t>ジコウ</t>
    </rPh>
    <rPh sb="19" eb="21">
      <t>オボエガキ</t>
    </rPh>
    <rPh sb="21" eb="22">
      <t>トウ</t>
    </rPh>
    <rPh sb="26" eb="28">
      <t>イカ</t>
    </rPh>
    <rPh sb="29" eb="31">
      <t>キサイ</t>
    </rPh>
    <phoneticPr fontId="7"/>
  </si>
  <si>
    <t>【ログ確認】ログ出力が必要な全ての箇所に対して、ログ内容を確認するケースを挙げているか</t>
    <rPh sb="3" eb="5">
      <t>カクニン</t>
    </rPh>
    <rPh sb="8" eb="10">
      <t>シュツリョク</t>
    </rPh>
    <rPh sb="11" eb="13">
      <t>ヒツヨウ</t>
    </rPh>
    <rPh sb="14" eb="15">
      <t>スベ</t>
    </rPh>
    <rPh sb="17" eb="19">
      <t>カショ</t>
    </rPh>
    <rPh sb="20" eb="21">
      <t>タイ</t>
    </rPh>
    <rPh sb="26" eb="28">
      <t>ナイヨウ</t>
    </rPh>
    <rPh sb="29" eb="31">
      <t>カクニン</t>
    </rPh>
    <rPh sb="37" eb="38">
      <t>ア</t>
    </rPh>
    <phoneticPr fontId="7"/>
  </si>
  <si>
    <t>1.0</t>
    <phoneticPr fontId="7"/>
  </si>
  <si>
    <t>画面内のテスト対象イベント処理がテストケースとして網羅されているか</t>
    <rPh sb="0" eb="3">
      <t>ガメンナイ</t>
    </rPh>
    <rPh sb="7" eb="9">
      <t>タイショウ</t>
    </rPh>
    <rPh sb="13" eb="15">
      <t>ショリ</t>
    </rPh>
    <rPh sb="25" eb="27">
      <t>モウラ</t>
    </rPh>
    <phoneticPr fontId="7"/>
  </si>
  <si>
    <t>進捗率</t>
    <rPh sb="0" eb="2">
      <t>シンチョク</t>
    </rPh>
    <rPh sb="2" eb="3">
      <t>リツ</t>
    </rPh>
    <phoneticPr fontId="7"/>
  </si>
  <si>
    <t>画面</t>
    <rPh sb="0" eb="2">
      <t>ガメン</t>
    </rPh>
    <phoneticPr fontId="7"/>
  </si>
  <si>
    <t>新規追加となる画面、項目について、HIDDEN項目も型桁指定、フォーマット指定を行っているか</t>
    <rPh sb="40" eb="41">
      <t>オコナ</t>
    </rPh>
    <phoneticPr fontId="7"/>
  </si>
  <si>
    <t>UT</t>
    <phoneticPr fontId="7"/>
  </si>
  <si>
    <t>テストケース</t>
    <phoneticPr fontId="7"/>
  </si>
  <si>
    <t>SOLOEL STD. MODEL  PROJECT</t>
    <phoneticPr fontId="7"/>
  </si>
  <si>
    <t>【限界値チェック】各出力項目に対し、導出元で許容される最大桁数を表示・出力するケースを挙げているか</t>
    <phoneticPr fontId="7"/>
  </si>
  <si>
    <t>SOLOEL STD. MODEL  PROJECT</t>
    <phoneticPr fontId="7"/>
  </si>
  <si>
    <t>OK</t>
    <phoneticPr fontId="7"/>
  </si>
  <si>
    <t>NG</t>
    <phoneticPr fontId="7"/>
  </si>
  <si>
    <t>ケースNo.</t>
    <phoneticPr fontId="7"/>
  </si>
  <si>
    <t>1</t>
    <phoneticPr fontId="7"/>
  </si>
  <si>
    <t>2</t>
    <phoneticPr fontId="7"/>
  </si>
  <si>
    <t>3</t>
    <phoneticPr fontId="7"/>
  </si>
  <si>
    <t>4</t>
  </si>
  <si>
    <t>5</t>
  </si>
  <si>
    <t>-</t>
    <phoneticPr fontId="7"/>
  </si>
  <si>
    <t>6</t>
  </si>
  <si>
    <t>7</t>
  </si>
  <si>
    <t>8</t>
  </si>
  <si>
    <t>入力・条件</t>
    <rPh sb="0" eb="2">
      <t>ニュウリョク</t>
    </rPh>
    <rPh sb="3" eb="5">
      <t>ジョウケン</t>
    </rPh>
    <phoneticPr fontId="12"/>
  </si>
  <si>
    <t>9</t>
  </si>
  <si>
    <t>10</t>
  </si>
  <si>
    <t>11</t>
  </si>
  <si>
    <t>12</t>
  </si>
  <si>
    <t>13</t>
  </si>
  <si>
    <t>14</t>
  </si>
  <si>
    <t>15</t>
  </si>
  <si>
    <t>16</t>
  </si>
  <si>
    <t>17</t>
  </si>
  <si>
    <t>18</t>
  </si>
  <si>
    <t>19</t>
  </si>
  <si>
    <t>20</t>
  </si>
  <si>
    <t>21</t>
  </si>
  <si>
    <t>22</t>
  </si>
  <si>
    <t>23</t>
  </si>
  <si>
    <t>24</t>
  </si>
  <si>
    <t>新規</t>
    <rPh sb="0" eb="2">
      <t>シンキ</t>
    </rPh>
    <phoneticPr fontId="7"/>
  </si>
  <si>
    <t>初版作成</t>
    <rPh sb="0" eb="2">
      <t>ショハン</t>
    </rPh>
    <rPh sb="2" eb="4">
      <t>サクセイ</t>
    </rPh>
    <phoneticPr fontId="7"/>
  </si>
  <si>
    <t>25</t>
  </si>
  <si>
    <t>26</t>
  </si>
  <si>
    <t>27</t>
  </si>
  <si>
    <t>28</t>
  </si>
  <si>
    <t>29</t>
  </si>
  <si>
    <t>30</t>
  </si>
  <si>
    <t>31</t>
  </si>
  <si>
    <t>32</t>
  </si>
  <si>
    <t>33</t>
  </si>
  <si>
    <t>34</t>
  </si>
  <si>
    <t>確認観点</t>
    <rPh sb="0" eb="2">
      <t>カクニン</t>
    </rPh>
    <rPh sb="2" eb="4">
      <t>カンテン</t>
    </rPh>
    <phoneticPr fontId="12"/>
  </si>
  <si>
    <t>対象画面</t>
    <rPh sb="0" eb="2">
      <t>タイショウ</t>
    </rPh>
    <rPh sb="2" eb="4">
      <t>ガメン</t>
    </rPh>
    <phoneticPr fontId="12"/>
  </si>
  <si>
    <t>〇</t>
    <phoneticPr fontId="12"/>
  </si>
  <si>
    <t>OK</t>
  </si>
  <si>
    <t>対象外</t>
  </si>
  <si>
    <t>バイヤ1</t>
    <phoneticPr fontId="7"/>
  </si>
  <si>
    <t>NSSOL 史</t>
    <rPh sb="6" eb="7">
      <t>シ</t>
    </rPh>
    <phoneticPr fontId="7"/>
  </si>
  <si>
    <t>SOLOEL STD. MODEL  PROJECT</t>
    <phoneticPr fontId="7"/>
  </si>
  <si>
    <t>OK</t>
    <phoneticPr fontId="7"/>
  </si>
  <si>
    <t>NG</t>
    <phoneticPr fontId="7"/>
  </si>
  <si>
    <t>ケースNo.</t>
    <phoneticPr fontId="7"/>
  </si>
  <si>
    <t>1</t>
    <phoneticPr fontId="7"/>
  </si>
  <si>
    <t>2</t>
    <phoneticPr fontId="7"/>
  </si>
  <si>
    <t>3</t>
    <phoneticPr fontId="7"/>
  </si>
  <si>
    <t>NSSOL 史</t>
    <phoneticPr fontId="12"/>
  </si>
  <si>
    <t>System.out、System.errへの出力がないか</t>
    <phoneticPr fontId="7"/>
  </si>
  <si>
    <t xml:space="preserve">DAD03020：商品番号・数量入力
</t>
    <phoneticPr fontId="12"/>
  </si>
  <si>
    <t>CASE1</t>
    <phoneticPr fontId="12"/>
  </si>
  <si>
    <t>CASE2</t>
    <phoneticPr fontId="12"/>
  </si>
  <si>
    <t>CASE3</t>
    <phoneticPr fontId="12"/>
  </si>
  <si>
    <t>CASE4</t>
    <phoneticPr fontId="12"/>
  </si>
  <si>
    <t>CASE5</t>
    <phoneticPr fontId="12"/>
  </si>
  <si>
    <t>CASE6</t>
    <phoneticPr fontId="12"/>
  </si>
  <si>
    <t>DAD03020</t>
    <phoneticPr fontId="12"/>
  </si>
  <si>
    <t>クイックオーダー入力フォーム</t>
    <rPh sb="8" eb="10">
      <t>ニュウリョク</t>
    </rPh>
    <phoneticPr fontId="12"/>
  </si>
  <si>
    <t>NO</t>
    <phoneticPr fontId="12"/>
  </si>
  <si>
    <t>お申し込み番号</t>
    <rPh sb="1" eb="2">
      <t>モウ</t>
    </rPh>
    <rPh sb="3" eb="4">
      <t>コ</t>
    </rPh>
    <rPh sb="5" eb="7">
      <t>バンゴウ</t>
    </rPh>
    <phoneticPr fontId="12"/>
  </si>
  <si>
    <t>1</t>
    <phoneticPr fontId="12"/>
  </si>
  <si>
    <t>EDE53001</t>
    <phoneticPr fontId="12"/>
  </si>
  <si>
    <t>10</t>
    <phoneticPr fontId="12"/>
  </si>
  <si>
    <t>11</t>
    <phoneticPr fontId="12"/>
  </si>
  <si>
    <t>11</t>
    <phoneticPr fontId="12"/>
  </si>
  <si>
    <t xml:space="preserve">DAD03020：商品番号・数量入力
</t>
  </si>
  <si>
    <t xml:space="preserve">DAD03020：商品番号・数量入力
</t>
    <phoneticPr fontId="12"/>
  </si>
  <si>
    <t>DAD03020：商品番号・数量入力</t>
    <phoneticPr fontId="7"/>
  </si>
  <si>
    <t>1</t>
    <phoneticPr fontId="12"/>
  </si>
  <si>
    <t>CASE7</t>
    <phoneticPr fontId="12"/>
  </si>
  <si>
    <t>9</t>
    <phoneticPr fontId="12"/>
  </si>
  <si>
    <t>N808491</t>
    <phoneticPr fontId="12"/>
  </si>
  <si>
    <t>履歴シートを削除できるようにする</t>
    <phoneticPr fontId="12"/>
  </si>
  <si>
    <t>〇</t>
    <phoneticPr fontId="12"/>
  </si>
  <si>
    <t>〇</t>
    <phoneticPr fontId="12"/>
  </si>
  <si>
    <t>保守案件#8713</t>
    <phoneticPr fontId="7"/>
  </si>
  <si>
    <t>閉じボタンを押下した後に、カートに入れるボタンを押下して、入力商品情報はクイックオーダーに反映されること</t>
    <phoneticPr fontId="12"/>
  </si>
  <si>
    <t>対象データを入力フォームに入れった後、クリアボタンを押下して、DAD04020画面に遷移して、DAD03020画面に戻る</t>
    <phoneticPr fontId="12"/>
  </si>
  <si>
    <t>クイックオーダーは5件商品がある時に、閉じボタンを押下して画面が崩れないこと</t>
    <phoneticPr fontId="12"/>
  </si>
  <si>
    <t>クイックオーダーは1件商品がある時に、閉じボタンを押下して画面が崩れないこと</t>
    <phoneticPr fontId="12"/>
  </si>
  <si>
    <t>クイックオーダーは8件商品がある時に、カートに入れるボタンを押下して、閉じボタンを押下して、クイックオーダー商品情報が崩れないこと</t>
    <phoneticPr fontId="12"/>
  </si>
  <si>
    <t>閉じボタンを押下して、CRTL+F5で画面をリフレッシュして、画面が崩れないこと</t>
    <phoneticPr fontId="12"/>
  </si>
  <si>
    <t>〇</t>
    <phoneticPr fontId="12"/>
  </si>
  <si>
    <t>〇</t>
    <phoneticPr fontId="12"/>
  </si>
  <si>
    <t>閉じボタンを押下して、クイックオーダーは削除されたこと。画面がリフレッシュしないこと。DB中対応するデータが削除されたこと</t>
    <phoneticPr fontId="12"/>
  </si>
  <si>
    <t>クイックオーダーの一つ歴史商品情報を選択して、閉じボタンを押下して、新規オーダー入力の状態になること</t>
    <rPh sb="9" eb="10">
      <t>ヒト</t>
    </rPh>
    <rPh sb="11" eb="13">
      <t>レキシ</t>
    </rPh>
    <rPh sb="13" eb="17">
      <t>ショウヒンジョウホウ</t>
    </rPh>
    <rPh sb="18" eb="20">
      <t>センタク</t>
    </rPh>
    <rPh sb="34" eb="36">
      <t>シンキ</t>
    </rPh>
    <rPh sb="40" eb="42">
      <t>ニュウリョク</t>
    </rPh>
    <rPh sb="43" eb="45">
      <t>ジョウタイ</t>
    </rPh>
    <phoneticPr fontId="12"/>
  </si>
  <si>
    <t>start</t>
    <phoneticPr fontId="12"/>
  </si>
  <si>
    <t>high</t>
    <phoneticPr fontId="12"/>
  </si>
  <si>
    <t>low</t>
    <phoneticPr fontId="12"/>
  </si>
  <si>
    <t>buy</t>
    <phoneticPr fontId="12"/>
  </si>
  <si>
    <t>sell</t>
    <phoneticPr fontId="12"/>
  </si>
</sst>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6" formatCode="&quot;¥&quot;#,##0;[Red]&quot;¥&quot;\-#,##0"/>
    <numFmt numFmtId="8" formatCode="&quot;¥&quot;#,##0.00;[Red]&quot;¥&quot;\-#,##0.00"/>
    <numFmt numFmtId="178" formatCode="#,##0;\-#,##0;&quot;-&quot;"/>
    <numFmt numFmtId="233" formatCode="m/d;@"/>
  </numFmts>
  <fonts count="24">
    <font>
      <sz val="9"/>
      <name val="ＭＳ ゴシック"/>
      <family val="3"/>
      <charset val="128"/>
    </font>
    <font>
      <sz val="10"/>
      <color indexed="8"/>
      <name val="ARIAL"/>
      <family val="2"/>
    </font>
    <font>
      <b/>
      <sz val="12"/>
      <name val="Arial"/>
      <family val="2"/>
    </font>
    <font>
      <sz val="10"/>
      <name val="ＭＳ ゴシック"/>
      <family val="3"/>
      <charset val="128"/>
    </font>
    <font>
      <sz val="10"/>
      <name val="Arial"/>
      <family val="2"/>
    </font>
    <font>
      <b/>
      <sz val="11"/>
      <name val="Helv"/>
      <family val="2"/>
    </font>
    <font>
      <sz val="11"/>
      <name val="ＭＳ Ｐゴシック"/>
      <family val="3"/>
      <charset val="128"/>
    </font>
    <font>
      <sz val="6"/>
      <name val="ＭＳ Ｐゴシック"/>
      <family val="3"/>
      <charset val="128"/>
    </font>
    <font>
      <sz val="10"/>
      <name val="ＭＳ Ｐゴシック"/>
      <family val="3"/>
      <charset val="128"/>
    </font>
    <font>
      <sz val="7.5"/>
      <name val="ＭＳ Ｐゴシック"/>
      <family val="3"/>
      <charset val="128"/>
    </font>
    <font>
      <b/>
      <sz val="12"/>
      <name val="ＭＳ Ｐゴシック"/>
      <family val="3"/>
      <charset val="128"/>
    </font>
    <font>
      <sz val="9"/>
      <name val="ＭＳ Ｐゴシック"/>
      <family val="3"/>
      <charset val="128"/>
    </font>
    <font>
      <sz val="6"/>
      <name val="ＭＳ ゴシック"/>
      <family val="3"/>
      <charset val="128"/>
    </font>
    <font>
      <sz val="9"/>
      <color indexed="81"/>
      <name val="ＭＳ Ｐゴシック"/>
      <family val="3"/>
      <charset val="128"/>
    </font>
    <font>
      <sz val="8"/>
      <name val="ＭＳ Ｐゴシック"/>
      <family val="3"/>
      <charset val="128"/>
    </font>
    <font>
      <sz val="10"/>
      <name val="MS Sans Serif"/>
      <family val="2"/>
    </font>
    <font>
      <b/>
      <sz val="10"/>
      <name val="MS Sans Serif"/>
      <family val="2"/>
    </font>
    <font>
      <sz val="10"/>
      <name val="Helv"/>
      <family val="2"/>
    </font>
    <font>
      <sz val="10"/>
      <name val="ＤＦ細丸ゴシック体"/>
      <family val="3"/>
      <charset val="128"/>
    </font>
    <font>
      <sz val="14"/>
      <name val="ＭＳ 明朝"/>
      <family val="1"/>
      <charset val="128"/>
    </font>
    <font>
      <sz val="9"/>
      <name val="メイリオ"/>
      <family val="3"/>
      <charset val="128"/>
    </font>
    <font>
      <b/>
      <u/>
      <sz val="9"/>
      <name val="メイリオ"/>
      <family val="3"/>
      <charset val="128"/>
    </font>
    <font>
      <sz val="11"/>
      <color theme="1"/>
      <name val="ＭＳ Ｐゴシック"/>
      <family val="3"/>
      <charset val="128"/>
      <scheme val="minor"/>
    </font>
    <font>
      <sz val="9"/>
      <color rgb="FFFF0000"/>
      <name val="メイリオ"/>
      <family val="3"/>
      <charset val="128"/>
    </font>
  </fonts>
  <fills count="8">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rgb="FFCCFFFF"/>
        <bgColor indexed="64"/>
      </patternFill>
    </fill>
    <fill>
      <patternFill patternType="solid">
        <fgColor theme="4" tint="0.79998168889431442"/>
        <bgColor indexed="64"/>
      </patternFill>
    </fill>
  </fills>
  <borders count="87">
    <border>
      <left/>
      <right/>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double">
        <color indexed="64"/>
      </left>
      <right/>
      <top style="thin">
        <color indexed="64"/>
      </top>
      <bottom/>
      <diagonal/>
    </border>
    <border>
      <left style="double">
        <color indexed="64"/>
      </left>
      <right/>
      <top/>
      <bottom style="thin">
        <color indexed="64"/>
      </bottom>
      <diagonal/>
    </border>
    <border>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diagonal/>
    </border>
    <border>
      <left/>
      <right style="hair">
        <color indexed="64"/>
      </right>
      <top style="hair">
        <color indexed="64"/>
      </top>
      <bottom/>
      <diagonal/>
    </border>
    <border>
      <left style="thin">
        <color indexed="64"/>
      </left>
      <right style="thin">
        <color indexed="64"/>
      </right>
      <top style="double">
        <color indexed="64"/>
      </top>
      <bottom/>
      <diagonal/>
    </border>
    <border>
      <left style="hair">
        <color indexed="64"/>
      </left>
      <right style="hair">
        <color indexed="64"/>
      </right>
      <top style="thin">
        <color indexed="64"/>
      </top>
      <bottom style="hair">
        <color indexed="64"/>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diagonal style="thin">
        <color indexed="64"/>
      </diagonal>
    </border>
    <border diagonalDown="1">
      <left/>
      <right/>
      <top/>
      <bottom/>
      <diagonal style="thin">
        <color indexed="64"/>
      </diagonal>
    </border>
    <border diagonalDown="1">
      <left/>
      <right style="thin">
        <color indexed="64"/>
      </right>
      <top/>
      <bottom/>
      <diagonal style="thin">
        <color indexed="64"/>
      </diagonal>
    </border>
    <border>
      <left style="hair">
        <color indexed="64"/>
      </left>
      <right style="thin">
        <color indexed="64"/>
      </right>
      <top style="thin">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indexed="64"/>
      </left>
      <right/>
      <top style="double">
        <color indexed="64"/>
      </top>
      <bottom style="hair">
        <color indexed="64"/>
      </bottom>
      <diagonal/>
    </border>
    <border>
      <left/>
      <right/>
      <top style="double">
        <color indexed="64"/>
      </top>
      <bottom style="hair">
        <color indexed="64"/>
      </bottom>
      <diagonal/>
    </border>
    <border>
      <left/>
      <right style="hair">
        <color indexed="64"/>
      </right>
      <top style="double">
        <color indexed="64"/>
      </top>
      <bottom style="hair">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thin">
        <color indexed="64"/>
      </left>
      <right style="thin">
        <color indexed="64"/>
      </right>
      <top/>
      <bottom style="double">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bottom style="thin">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right style="hair">
        <color indexed="64"/>
      </right>
      <top style="hair">
        <color indexed="64"/>
      </top>
      <bottom style="thin">
        <color indexed="64"/>
      </bottom>
      <diagonal/>
    </border>
  </borders>
  <cellStyleXfs count="21">
    <xf numFmtId="0" fontId="0" fillId="0" borderId="0">
      <alignment vertical="center"/>
    </xf>
    <xf numFmtId="178" fontId="1" fillId="0" borderId="0" applyFill="0" applyBorder="0" applyAlignment="0"/>
    <xf numFmtId="0" fontId="2" fillId="0" borderId="1" applyNumberFormat="0" applyAlignment="0" applyProtection="0">
      <alignment horizontal="left" vertical="center"/>
    </xf>
    <xf numFmtId="0" fontId="2" fillId="0" borderId="2">
      <alignment horizontal="left" vertical="center"/>
    </xf>
    <xf numFmtId="0" fontId="3" fillId="0" borderId="0" applyBorder="0"/>
    <xf numFmtId="0" fontId="3" fillId="0" borderId="0"/>
    <xf numFmtId="0" fontId="4" fillId="0" borderId="0"/>
    <xf numFmtId="0" fontId="15" fillId="0" borderId="0" applyNumberFormat="0" applyFont="0" applyFill="0" applyBorder="0" applyAlignment="0" applyProtection="0">
      <alignment horizontal="left"/>
    </xf>
    <xf numFmtId="0" fontId="16" fillId="0" borderId="3">
      <alignment horizontal="center"/>
    </xf>
    <xf numFmtId="0" fontId="5" fillId="0" borderId="0"/>
    <xf numFmtId="0" fontId="17" fillId="0" borderId="0"/>
    <xf numFmtId="0" fontId="18" fillId="0" borderId="0"/>
    <xf numFmtId="8" fontId="8" fillId="0" borderId="0" applyFont="0" applyFill="0" applyBorder="0" applyAlignment="0" applyProtection="0"/>
    <xf numFmtId="6" fontId="8" fillId="0" borderId="0" applyFont="0" applyFill="0" applyBorder="0" applyAlignment="0" applyProtection="0"/>
    <xf numFmtId="0" fontId="22"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1" fontId="19" fillId="0" borderId="0"/>
  </cellStyleXfs>
  <cellXfs count="248">
    <xf numFmtId="0" fontId="0" fillId="0" borderId="0" xfId="0">
      <alignment vertical="center"/>
    </xf>
    <xf numFmtId="0" fontId="8" fillId="2" borderId="0" xfId="17" applyFont="1" applyFill="1" applyBorder="1">
      <alignment vertical="center"/>
    </xf>
    <xf numFmtId="0" fontId="8" fillId="2" borderId="4" xfId="17" applyFont="1" applyFill="1" applyBorder="1">
      <alignment vertical="center"/>
    </xf>
    <xf numFmtId="0" fontId="8" fillId="2" borderId="0" xfId="19" applyFont="1" applyFill="1" applyBorder="1">
      <alignment vertical="center"/>
    </xf>
    <xf numFmtId="0" fontId="8" fillId="2" borderId="4" xfId="19" applyFont="1" applyFill="1" applyBorder="1">
      <alignment vertical="center"/>
    </xf>
    <xf numFmtId="0" fontId="6" fillId="2" borderId="5" xfId="19" applyFill="1" applyBorder="1" applyAlignment="1">
      <alignment horizontal="left" vertical="center" wrapText="1"/>
    </xf>
    <xf numFmtId="0" fontId="8" fillId="2" borderId="6" xfId="19" applyFont="1" applyFill="1" applyBorder="1">
      <alignment vertical="center"/>
    </xf>
    <xf numFmtId="0" fontId="8" fillId="2" borderId="7" xfId="19" applyFont="1" applyFill="1" applyBorder="1">
      <alignment vertical="center"/>
    </xf>
    <xf numFmtId="0" fontId="8" fillId="3" borderId="8" xfId="19" applyFont="1" applyFill="1" applyBorder="1">
      <alignment vertical="center"/>
    </xf>
    <xf numFmtId="0" fontId="8" fillId="3" borderId="2" xfId="19" applyFont="1" applyFill="1" applyBorder="1">
      <alignment vertical="center"/>
    </xf>
    <xf numFmtId="0" fontId="8" fillId="3" borderId="9" xfId="19" applyFont="1" applyFill="1" applyBorder="1">
      <alignment vertical="center"/>
    </xf>
    <xf numFmtId="0" fontId="8" fillId="2" borderId="10" xfId="19" applyFont="1" applyFill="1" applyBorder="1">
      <alignment vertical="center"/>
    </xf>
    <xf numFmtId="0" fontId="8" fillId="2" borderId="11" xfId="19" applyFont="1" applyFill="1" applyBorder="1">
      <alignment vertical="center"/>
    </xf>
    <xf numFmtId="0" fontId="8" fillId="2" borderId="12" xfId="19" applyFont="1" applyFill="1" applyBorder="1">
      <alignment vertical="center"/>
    </xf>
    <xf numFmtId="0" fontId="8" fillId="2" borderId="5" xfId="19" applyFont="1" applyFill="1" applyBorder="1">
      <alignment vertical="center"/>
    </xf>
    <xf numFmtId="0" fontId="0" fillId="4" borderId="13" xfId="0" applyFill="1" applyBorder="1">
      <alignment vertical="center"/>
    </xf>
    <xf numFmtId="0" fontId="0" fillId="0" borderId="13" xfId="0" applyBorder="1">
      <alignment vertical="center"/>
    </xf>
    <xf numFmtId="0" fontId="0" fillId="0" borderId="13" xfId="0" applyBorder="1" applyAlignment="1">
      <alignment vertical="center" wrapText="1"/>
    </xf>
    <xf numFmtId="0" fontId="8" fillId="3" borderId="14" xfId="19" applyFont="1" applyFill="1" applyBorder="1">
      <alignment vertical="center"/>
    </xf>
    <xf numFmtId="0" fontId="8" fillId="3" borderId="15" xfId="19" applyFont="1" applyFill="1" applyBorder="1">
      <alignment vertical="center"/>
    </xf>
    <xf numFmtId="0" fontId="8" fillId="3" borderId="16" xfId="19" applyFont="1" applyFill="1" applyBorder="1">
      <alignment vertical="center"/>
    </xf>
    <xf numFmtId="0" fontId="11" fillId="5" borderId="13" xfId="16" applyFont="1" applyFill="1" applyBorder="1">
      <alignment vertical="center"/>
    </xf>
    <xf numFmtId="0" fontId="11" fillId="0" borderId="0" xfId="16" applyFont="1" applyAlignment="1">
      <alignment horizontal="center" vertical="center"/>
    </xf>
    <xf numFmtId="0" fontId="11" fillId="0" borderId="0" xfId="16" applyFont="1">
      <alignment vertical="center"/>
    </xf>
    <xf numFmtId="0" fontId="11" fillId="0" borderId="0" xfId="16" applyFont="1" applyBorder="1" applyAlignment="1">
      <alignment horizontal="center" vertical="center"/>
    </xf>
    <xf numFmtId="0" fontId="11" fillId="0" borderId="13" xfId="16" applyFont="1" applyBorder="1">
      <alignment vertical="center"/>
    </xf>
    <xf numFmtId="14" fontId="11" fillId="0" borderId="13" xfId="16" applyNumberFormat="1" applyFont="1" applyBorder="1" applyAlignment="1">
      <alignment horizontal="left" vertical="center"/>
    </xf>
    <xf numFmtId="0" fontId="6" fillId="0" borderId="0" xfId="16">
      <alignment vertical="center"/>
    </xf>
    <xf numFmtId="0" fontId="11" fillId="5" borderId="13" xfId="16" applyFont="1" applyFill="1" applyBorder="1" applyAlignment="1">
      <alignment vertical="center" wrapText="1"/>
    </xf>
    <xf numFmtId="0" fontId="11" fillId="5" borderId="13" xfId="16" applyFont="1" applyFill="1" applyBorder="1" applyAlignment="1">
      <alignment horizontal="center" vertical="center" wrapText="1"/>
    </xf>
    <xf numFmtId="0" fontId="11" fillId="0" borderId="17" xfId="16" applyFont="1" applyBorder="1" applyAlignment="1">
      <alignment vertical="center" wrapText="1"/>
    </xf>
    <xf numFmtId="0" fontId="11" fillId="0" borderId="18" xfId="16" applyFont="1" applyBorder="1" applyAlignment="1">
      <alignment vertical="center" wrapText="1"/>
    </xf>
    <xf numFmtId="0" fontId="11" fillId="0" borderId="19" xfId="16" applyFont="1" applyBorder="1" applyAlignment="1">
      <alignment vertical="center" wrapText="1"/>
    </xf>
    <xf numFmtId="0" fontId="11" fillId="0" borderId="20" xfId="16" applyFont="1" applyBorder="1" applyAlignment="1">
      <alignment vertical="center" wrapText="1"/>
    </xf>
    <xf numFmtId="0" fontId="11" fillId="0" borderId="21" xfId="16" applyFont="1" applyBorder="1" applyAlignment="1">
      <alignment vertical="center" wrapText="1"/>
    </xf>
    <xf numFmtId="0" fontId="11" fillId="0" borderId="22" xfId="16" applyFont="1" applyBorder="1" applyAlignment="1">
      <alignment vertical="center" wrapText="1"/>
    </xf>
    <xf numFmtId="0" fontId="11" fillId="0" borderId="13" xfId="16" applyFont="1" applyBorder="1" applyAlignment="1">
      <alignment vertical="center" wrapText="1"/>
    </xf>
    <xf numFmtId="0" fontId="11" fillId="0" borderId="23" xfId="16" applyFont="1" applyBorder="1" applyAlignment="1">
      <alignment vertical="center" wrapText="1"/>
    </xf>
    <xf numFmtId="0" fontId="11" fillId="0" borderId="24" xfId="16" applyFont="1" applyBorder="1" applyAlignment="1">
      <alignment vertical="center" wrapText="1"/>
    </xf>
    <xf numFmtId="0" fontId="11" fillId="0" borderId="0" xfId="16" applyFont="1" applyAlignment="1">
      <alignment vertical="center"/>
    </xf>
    <xf numFmtId="0" fontId="11" fillId="0" borderId="0" xfId="16" applyFont="1" applyBorder="1">
      <alignment vertical="center"/>
    </xf>
    <xf numFmtId="0" fontId="11" fillId="3" borderId="8" xfId="19" applyFont="1" applyFill="1" applyBorder="1" applyAlignment="1">
      <alignment vertical="center"/>
    </xf>
    <xf numFmtId="0" fontId="11" fillId="3" borderId="2" xfId="19" applyFont="1" applyFill="1" applyBorder="1" applyAlignment="1">
      <alignment vertical="center"/>
    </xf>
    <xf numFmtId="0" fontId="11" fillId="3" borderId="9" xfId="19" applyFont="1" applyFill="1" applyBorder="1" applyAlignment="1">
      <alignment vertical="center"/>
    </xf>
    <xf numFmtId="0" fontId="11" fillId="2" borderId="0" xfId="19" applyFont="1" applyFill="1" applyBorder="1">
      <alignment vertical="center"/>
    </xf>
    <xf numFmtId="0" fontId="14" fillId="4" borderId="8" xfId="19" applyFont="1" applyFill="1" applyBorder="1" applyAlignment="1">
      <alignment vertical="center"/>
    </xf>
    <xf numFmtId="0" fontId="14" fillId="4" borderId="15" xfId="19" applyFont="1" applyFill="1" applyBorder="1" applyAlignment="1">
      <alignment vertical="center"/>
    </xf>
    <xf numFmtId="0" fontId="14" fillId="4" borderId="8" xfId="19" applyFont="1" applyFill="1" applyBorder="1" applyAlignment="1">
      <alignment vertical="center" shrinkToFit="1"/>
    </xf>
    <xf numFmtId="0" fontId="14" fillId="4" borderId="15" xfId="19" applyFont="1" applyFill="1" applyBorder="1" applyAlignment="1">
      <alignment vertical="center" shrinkToFit="1"/>
    </xf>
    <xf numFmtId="0" fontId="11" fillId="0" borderId="13" xfId="16" applyFont="1" applyFill="1" applyBorder="1" applyAlignment="1">
      <alignment vertical="center" wrapText="1"/>
    </xf>
    <xf numFmtId="0" fontId="6" fillId="2" borderId="6" xfId="19" applyFill="1" applyBorder="1" applyAlignment="1">
      <alignment vertical="center" wrapText="1"/>
    </xf>
    <xf numFmtId="0" fontId="6" fillId="2" borderId="0" xfId="19" applyFill="1" applyBorder="1" applyAlignment="1">
      <alignment vertical="center" wrapText="1"/>
    </xf>
    <xf numFmtId="0" fontId="8" fillId="2" borderId="0" xfId="19" applyFont="1" applyFill="1" applyBorder="1" applyAlignment="1">
      <alignment vertical="center"/>
    </xf>
    <xf numFmtId="14" fontId="6" fillId="0" borderId="0" xfId="16" applyNumberFormat="1">
      <alignment vertical="center"/>
    </xf>
    <xf numFmtId="0" fontId="11" fillId="3" borderId="10" xfId="19" applyFont="1" applyFill="1" applyBorder="1" applyAlignment="1">
      <alignment vertical="center"/>
    </xf>
    <xf numFmtId="0" fontId="11" fillId="3" borderId="6" xfId="19" applyFont="1" applyFill="1" applyBorder="1" applyAlignment="1">
      <alignment vertical="center"/>
    </xf>
    <xf numFmtId="0" fontId="11" fillId="3" borderId="0" xfId="19" applyFont="1" applyFill="1" applyBorder="1" applyAlignment="1">
      <alignment vertical="center"/>
    </xf>
    <xf numFmtId="0" fontId="11" fillId="0" borderId="18" xfId="16" applyFont="1" applyBorder="1" applyAlignment="1">
      <alignment horizontal="center" vertical="center" wrapText="1"/>
    </xf>
    <xf numFmtId="0" fontId="11" fillId="0" borderId="20" xfId="16" applyFont="1" applyBorder="1" applyAlignment="1">
      <alignment horizontal="center" vertical="center" wrapText="1"/>
    </xf>
    <xf numFmtId="0" fontId="11" fillId="0" borderId="22" xfId="16" applyFont="1" applyBorder="1" applyAlignment="1">
      <alignment horizontal="center" vertical="center" wrapText="1"/>
    </xf>
    <xf numFmtId="0" fontId="11" fillId="0" borderId="13" xfId="16" applyFont="1" applyBorder="1" applyAlignment="1">
      <alignment horizontal="center" vertical="center" wrapText="1"/>
    </xf>
    <xf numFmtId="0" fontId="11" fillId="0" borderId="19" xfId="16" applyFont="1" applyBorder="1" applyAlignment="1">
      <alignment horizontal="center" vertical="center" wrapText="1"/>
    </xf>
    <xf numFmtId="0" fontId="11" fillId="0" borderId="21" xfId="16" applyFont="1" applyBorder="1" applyAlignment="1">
      <alignment horizontal="center" vertical="center" wrapText="1"/>
    </xf>
    <xf numFmtId="0" fontId="0" fillId="0" borderId="0" xfId="0" applyAlignment="1">
      <alignment horizontal="left" vertical="center" indent="1"/>
    </xf>
    <xf numFmtId="0" fontId="11" fillId="3" borderId="4" xfId="19" applyFont="1" applyFill="1" applyBorder="1" applyAlignment="1">
      <alignment vertical="center"/>
    </xf>
    <xf numFmtId="0" fontId="11" fillId="6" borderId="0" xfId="19" applyFont="1" applyFill="1" applyBorder="1" applyAlignment="1">
      <alignment vertical="center"/>
    </xf>
    <xf numFmtId="0" fontId="11" fillId="6" borderId="4" xfId="19" applyFont="1" applyFill="1" applyBorder="1" applyAlignment="1">
      <alignment vertical="center"/>
    </xf>
    <xf numFmtId="0" fontId="11" fillId="3" borderId="0" xfId="19" quotePrefix="1" applyFont="1" applyFill="1" applyBorder="1" applyAlignment="1">
      <alignment vertical="center"/>
    </xf>
    <xf numFmtId="0" fontId="11" fillId="3" borderId="11" xfId="19" applyFont="1" applyFill="1" applyBorder="1" applyAlignment="1">
      <alignment vertical="center"/>
    </xf>
    <xf numFmtId="0" fontId="11" fillId="3" borderId="7" xfId="19" applyFont="1" applyFill="1" applyBorder="1" applyAlignment="1">
      <alignment vertical="center"/>
    </xf>
    <xf numFmtId="0" fontId="11" fillId="3" borderId="25" xfId="19" applyFont="1" applyFill="1" applyBorder="1" applyAlignment="1">
      <alignment vertical="center"/>
    </xf>
    <xf numFmtId="0" fontId="11" fillId="3" borderId="26" xfId="19" applyFont="1" applyFill="1" applyBorder="1" applyAlignment="1">
      <alignment vertical="center"/>
    </xf>
    <xf numFmtId="0" fontId="11" fillId="3" borderId="27" xfId="19" applyFont="1" applyFill="1" applyBorder="1" applyAlignment="1">
      <alignment vertical="center"/>
    </xf>
    <xf numFmtId="0" fontId="11" fillId="3" borderId="28" xfId="19" applyFont="1" applyFill="1" applyBorder="1" applyAlignment="1">
      <alignment vertical="center"/>
    </xf>
    <xf numFmtId="0" fontId="11" fillId="3" borderId="29" xfId="19" applyFont="1" applyFill="1" applyBorder="1" applyAlignment="1">
      <alignment vertical="center"/>
    </xf>
    <xf numFmtId="0" fontId="11" fillId="6" borderId="29" xfId="19" applyFont="1" applyFill="1" applyBorder="1" applyAlignment="1">
      <alignment vertical="center"/>
    </xf>
    <xf numFmtId="0" fontId="11" fillId="3" borderId="30" xfId="19" applyFont="1" applyFill="1" applyBorder="1" applyAlignment="1">
      <alignment vertical="center"/>
    </xf>
    <xf numFmtId="49" fontId="20" fillId="0" borderId="0" xfId="0" applyNumberFormat="1" applyFont="1">
      <alignment vertical="center"/>
    </xf>
    <xf numFmtId="49" fontId="21" fillId="0" borderId="0" xfId="0" applyNumberFormat="1" applyFont="1" applyAlignment="1">
      <alignment horizontal="left" vertical="center"/>
    </xf>
    <xf numFmtId="49" fontId="23" fillId="0" borderId="0" xfId="0" applyNumberFormat="1" applyFont="1">
      <alignment vertical="center"/>
    </xf>
    <xf numFmtId="49" fontId="20" fillId="7" borderId="13" xfId="0" applyNumberFormat="1" applyFont="1" applyFill="1" applyBorder="1">
      <alignment vertical="center"/>
    </xf>
    <xf numFmtId="49" fontId="20" fillId="0" borderId="13" xfId="0" applyNumberFormat="1" applyFont="1" applyBorder="1">
      <alignment vertical="center"/>
    </xf>
    <xf numFmtId="0" fontId="11" fillId="3" borderId="12" xfId="19" applyFont="1" applyFill="1" applyBorder="1" applyAlignment="1">
      <alignment vertical="center"/>
    </xf>
    <xf numFmtId="0" fontId="11" fillId="3" borderId="31" xfId="19" quotePrefix="1" applyFont="1" applyFill="1" applyBorder="1" applyAlignment="1">
      <alignment vertical="center"/>
    </xf>
    <xf numFmtId="0" fontId="11" fillId="3" borderId="32" xfId="19" applyFont="1" applyFill="1" applyBorder="1" applyAlignment="1">
      <alignment vertical="center"/>
    </xf>
    <xf numFmtId="0" fontId="11" fillId="3" borderId="33" xfId="19" applyFont="1" applyFill="1" applyBorder="1" applyAlignment="1">
      <alignment vertical="center"/>
    </xf>
    <xf numFmtId="0" fontId="11" fillId="2" borderId="8" xfId="17" applyFont="1" applyFill="1" applyBorder="1" applyAlignment="1">
      <alignment horizontal="center" vertical="center"/>
    </xf>
    <xf numFmtId="0" fontId="11" fillId="2" borderId="2" xfId="17" applyFont="1" applyFill="1" applyBorder="1" applyAlignment="1">
      <alignment horizontal="center" vertical="center"/>
    </xf>
    <xf numFmtId="0" fontId="11" fillId="2" borderId="9" xfId="17" applyFont="1" applyFill="1" applyBorder="1" applyAlignment="1">
      <alignment horizontal="center" vertical="center"/>
    </xf>
    <xf numFmtId="0" fontId="11" fillId="2" borderId="8" xfId="17" applyFont="1" applyFill="1" applyBorder="1" applyAlignment="1">
      <alignment horizontal="left" vertical="center"/>
    </xf>
    <xf numFmtId="0" fontId="11" fillId="2" borderId="2" xfId="17" applyFont="1" applyFill="1" applyBorder="1" applyAlignment="1">
      <alignment horizontal="left" vertical="center"/>
    </xf>
    <xf numFmtId="0" fontId="11" fillId="2" borderId="9" xfId="17" applyFont="1" applyFill="1" applyBorder="1" applyAlignment="1">
      <alignment horizontal="left" vertical="center"/>
    </xf>
    <xf numFmtId="14" fontId="11" fillId="2" borderId="13" xfId="17" applyNumberFormat="1" applyFont="1" applyFill="1" applyBorder="1" applyAlignment="1">
      <alignment horizontal="center" vertical="center"/>
    </xf>
    <xf numFmtId="49" fontId="11" fillId="2" borderId="13" xfId="17" applyNumberFormat="1" applyFont="1" applyFill="1" applyBorder="1" applyAlignment="1">
      <alignment horizontal="center" vertical="center"/>
    </xf>
    <xf numFmtId="0" fontId="11" fillId="2" borderId="8" xfId="18" applyFont="1" applyFill="1" applyBorder="1" applyAlignment="1">
      <alignment horizontal="left" vertical="center"/>
    </xf>
    <xf numFmtId="0" fontId="11" fillId="2" borderId="2" xfId="18" applyFont="1" applyFill="1" applyBorder="1" applyAlignment="1">
      <alignment horizontal="left" vertical="center"/>
    </xf>
    <xf numFmtId="0" fontId="11" fillId="2" borderId="9" xfId="18" applyFont="1" applyFill="1" applyBorder="1" applyAlignment="1">
      <alignment horizontal="left" vertical="center"/>
    </xf>
    <xf numFmtId="0" fontId="11" fillId="2" borderId="8" xfId="17" applyFont="1" applyFill="1" applyBorder="1" applyAlignment="1">
      <alignment horizontal="left" vertical="center" wrapText="1"/>
    </xf>
    <xf numFmtId="0" fontId="11" fillId="2" borderId="8" xfId="18" applyFont="1" applyFill="1" applyBorder="1" applyAlignment="1">
      <alignment horizontal="center" vertical="center"/>
    </xf>
    <xf numFmtId="0" fontId="11" fillId="2" borderId="2" xfId="18" applyFont="1" applyFill="1" applyBorder="1" applyAlignment="1">
      <alignment horizontal="center" vertical="center"/>
    </xf>
    <xf numFmtId="0" fontId="11" fillId="2" borderId="9" xfId="18" applyFont="1" applyFill="1" applyBorder="1" applyAlignment="1">
      <alignment horizontal="center" vertical="center"/>
    </xf>
    <xf numFmtId="49" fontId="11" fillId="2" borderId="8" xfId="17" applyNumberFormat="1" applyFont="1" applyFill="1" applyBorder="1" applyAlignment="1">
      <alignment horizontal="center" vertical="center"/>
    </xf>
    <xf numFmtId="49" fontId="11" fillId="2" borderId="2" xfId="17" applyNumberFormat="1" applyFont="1" applyFill="1" applyBorder="1" applyAlignment="1">
      <alignment horizontal="center" vertical="center"/>
    </xf>
    <xf numFmtId="49" fontId="11" fillId="2" borderId="9" xfId="17" applyNumberFormat="1" applyFont="1" applyFill="1" applyBorder="1" applyAlignment="1">
      <alignment horizontal="center" vertical="center"/>
    </xf>
    <xf numFmtId="14" fontId="11" fillId="2" borderId="8" xfId="17" applyNumberFormat="1" applyFont="1" applyFill="1" applyBorder="1" applyAlignment="1">
      <alignment horizontal="center" vertical="center"/>
    </xf>
    <xf numFmtId="14" fontId="11" fillId="2" borderId="2" xfId="17" applyNumberFormat="1" applyFont="1" applyFill="1" applyBorder="1" applyAlignment="1">
      <alignment horizontal="center" vertical="center"/>
    </xf>
    <xf numFmtId="14" fontId="11" fillId="2" borderId="9" xfId="17" applyNumberFormat="1" applyFont="1" applyFill="1" applyBorder="1" applyAlignment="1">
      <alignment horizontal="center" vertical="center"/>
    </xf>
    <xf numFmtId="14" fontId="8" fillId="2" borderId="13" xfId="17" applyNumberFormat="1" applyFont="1" applyFill="1" applyBorder="1" applyAlignment="1">
      <alignment horizontal="center" vertical="center"/>
    </xf>
    <xf numFmtId="0" fontId="8" fillId="3" borderId="13" xfId="17" applyFont="1" applyFill="1" applyBorder="1" applyAlignment="1">
      <alignment horizontal="center" vertical="center"/>
    </xf>
    <xf numFmtId="0" fontId="9" fillId="2" borderId="13" xfId="17" applyFont="1" applyFill="1" applyBorder="1" applyAlignment="1">
      <alignment horizontal="center" vertical="center"/>
    </xf>
    <xf numFmtId="0" fontId="8" fillId="2" borderId="13" xfId="17" applyFont="1" applyFill="1" applyBorder="1" applyAlignment="1">
      <alignment horizontal="center" vertical="center"/>
    </xf>
    <xf numFmtId="0" fontId="10" fillId="0" borderId="0" xfId="17" applyFont="1" applyFill="1" applyBorder="1" applyAlignment="1">
      <alignment horizontal="center" vertical="center"/>
    </xf>
    <xf numFmtId="0" fontId="8" fillId="3" borderId="8" xfId="17" applyFont="1" applyFill="1" applyBorder="1" applyAlignment="1">
      <alignment horizontal="center" vertical="center"/>
    </xf>
    <xf numFmtId="0" fontId="8" fillId="3" borderId="2" xfId="17" applyFont="1" applyFill="1" applyBorder="1" applyAlignment="1">
      <alignment horizontal="center" vertical="center"/>
    </xf>
    <xf numFmtId="0" fontId="8" fillId="3" borderId="9" xfId="17" applyFont="1" applyFill="1" applyBorder="1" applyAlignment="1">
      <alignment horizontal="center" vertical="center"/>
    </xf>
    <xf numFmtId="0" fontId="8" fillId="2" borderId="13" xfId="17" applyNumberFormat="1" applyFont="1" applyFill="1" applyBorder="1" applyAlignment="1">
      <alignment horizontal="center" vertical="center"/>
    </xf>
    <xf numFmtId="0" fontId="8" fillId="2" borderId="13" xfId="19" applyFont="1" applyFill="1" applyBorder="1" applyAlignment="1">
      <alignment horizontal="center" vertical="center"/>
    </xf>
    <xf numFmtId="0" fontId="11" fillId="0" borderId="8" xfId="16" applyFont="1" applyBorder="1" applyAlignment="1">
      <alignment vertical="center" wrapText="1"/>
    </xf>
    <xf numFmtId="0" fontId="11" fillId="0" borderId="9" xfId="16" applyFont="1" applyBorder="1">
      <alignment vertical="center"/>
    </xf>
    <xf numFmtId="0" fontId="8" fillId="2" borderId="39" xfId="19" applyFont="1" applyFill="1" applyBorder="1" applyAlignment="1">
      <alignment horizontal="center" vertical="center"/>
    </xf>
    <xf numFmtId="0" fontId="8" fillId="2" borderId="16" xfId="19" applyFont="1" applyFill="1" applyBorder="1" applyAlignment="1">
      <alignment horizontal="center" vertical="center"/>
    </xf>
    <xf numFmtId="0" fontId="8" fillId="2" borderId="40" xfId="19" applyFont="1" applyFill="1" applyBorder="1" applyAlignment="1">
      <alignment horizontal="center" vertical="center"/>
    </xf>
    <xf numFmtId="0" fontId="8" fillId="2" borderId="8" xfId="19" applyFont="1" applyFill="1" applyBorder="1" applyAlignment="1">
      <alignment horizontal="center" vertical="center"/>
    </xf>
    <xf numFmtId="0" fontId="8" fillId="2" borderId="2" xfId="19" applyFont="1" applyFill="1" applyBorder="1" applyAlignment="1">
      <alignment horizontal="center" vertical="center"/>
    </xf>
    <xf numFmtId="0" fontId="8" fillId="2" borderId="9" xfId="19" applyFont="1" applyFill="1" applyBorder="1" applyAlignment="1">
      <alignment horizontal="center" vertical="center"/>
    </xf>
    <xf numFmtId="0" fontId="8" fillId="2" borderId="8" xfId="19" applyFont="1" applyFill="1" applyBorder="1" applyAlignment="1">
      <alignment vertical="center"/>
    </xf>
    <xf numFmtId="0" fontId="8" fillId="2" borderId="2" xfId="19" applyFont="1" applyFill="1" applyBorder="1" applyAlignment="1">
      <alignment vertical="center"/>
    </xf>
    <xf numFmtId="0" fontId="8" fillId="2" borderId="9" xfId="19" applyFont="1" applyFill="1" applyBorder="1" applyAlignment="1">
      <alignment vertical="center"/>
    </xf>
    <xf numFmtId="0" fontId="8" fillId="3" borderId="8" xfId="19" applyFont="1" applyFill="1" applyBorder="1" applyAlignment="1">
      <alignment horizontal="center" vertical="center"/>
    </xf>
    <xf numFmtId="0" fontId="8" fillId="3" borderId="2" xfId="19" applyFont="1" applyFill="1" applyBorder="1" applyAlignment="1">
      <alignment horizontal="center" vertical="center"/>
    </xf>
    <xf numFmtId="0" fontId="8" fillId="3" borderId="9" xfId="19" applyFont="1" applyFill="1" applyBorder="1" applyAlignment="1">
      <alignment horizontal="center" vertical="center"/>
    </xf>
    <xf numFmtId="0" fontId="8" fillId="3" borderId="14" xfId="19" applyFont="1" applyFill="1" applyBorder="1" applyAlignment="1">
      <alignment horizontal="center" vertical="center"/>
    </xf>
    <xf numFmtId="0" fontId="8" fillId="3" borderId="15" xfId="19" applyFont="1" applyFill="1" applyBorder="1" applyAlignment="1">
      <alignment horizontal="center" vertical="center"/>
    </xf>
    <xf numFmtId="0" fontId="8" fillId="2" borderId="15" xfId="19" applyFont="1" applyFill="1" applyBorder="1" applyAlignment="1">
      <alignment horizontal="center" vertical="center"/>
    </xf>
    <xf numFmtId="9" fontId="8" fillId="0" borderId="15" xfId="19" applyNumberFormat="1" applyFont="1" applyFill="1" applyBorder="1" applyAlignment="1">
      <alignment horizontal="center" vertical="center"/>
    </xf>
    <xf numFmtId="9" fontId="8" fillId="0" borderId="2" xfId="19" applyNumberFormat="1" applyFont="1" applyFill="1" applyBorder="1" applyAlignment="1">
      <alignment horizontal="center" vertical="center"/>
    </xf>
    <xf numFmtId="9" fontId="8" fillId="0" borderId="9" xfId="19" applyNumberFormat="1" applyFont="1" applyFill="1" applyBorder="1" applyAlignment="1">
      <alignment horizontal="center" vertical="center"/>
    </xf>
    <xf numFmtId="0" fontId="8" fillId="3" borderId="10" xfId="19" applyFont="1" applyFill="1" applyBorder="1" applyAlignment="1">
      <alignment horizontal="center" vertical="center"/>
    </xf>
    <xf numFmtId="0" fontId="8" fillId="3" borderId="4" xfId="19" applyFont="1" applyFill="1" applyBorder="1" applyAlignment="1">
      <alignment horizontal="center" vertical="center"/>
    </xf>
    <xf numFmtId="0" fontId="8" fillId="3" borderId="11" xfId="19" applyFont="1" applyFill="1" applyBorder="1" applyAlignment="1">
      <alignment horizontal="center" vertical="center"/>
    </xf>
    <xf numFmtId="0" fontId="8" fillId="3" borderId="12" xfId="19" applyFont="1" applyFill="1" applyBorder="1" applyAlignment="1">
      <alignment horizontal="center" vertical="center"/>
    </xf>
    <xf numFmtId="0" fontId="8" fillId="3" borderId="5" xfId="19" applyFont="1" applyFill="1" applyBorder="1" applyAlignment="1">
      <alignment horizontal="center" vertical="center"/>
    </xf>
    <xf numFmtId="0" fontId="8" fillId="3" borderId="36" xfId="19" applyFont="1" applyFill="1" applyBorder="1" applyAlignment="1">
      <alignment horizontal="center" vertical="center"/>
    </xf>
    <xf numFmtId="0" fontId="8" fillId="3" borderId="37" xfId="19" applyFont="1" applyFill="1" applyBorder="1" applyAlignment="1">
      <alignment horizontal="center" vertical="center"/>
    </xf>
    <xf numFmtId="0" fontId="8" fillId="3" borderId="38" xfId="19" applyFont="1" applyFill="1" applyBorder="1" applyAlignment="1">
      <alignment horizontal="center" vertical="center"/>
    </xf>
    <xf numFmtId="0" fontId="8" fillId="2" borderId="14" xfId="19" applyFont="1" applyFill="1" applyBorder="1" applyAlignment="1">
      <alignment horizontal="center" vertical="center"/>
    </xf>
    <xf numFmtId="0" fontId="8" fillId="4" borderId="34" xfId="19" applyFont="1" applyFill="1" applyBorder="1" applyAlignment="1">
      <alignment horizontal="center" vertical="center"/>
    </xf>
    <xf numFmtId="0" fontId="8" fillId="4" borderId="4" xfId="19" applyFont="1" applyFill="1" applyBorder="1" applyAlignment="1">
      <alignment horizontal="center" vertical="center"/>
    </xf>
    <xf numFmtId="0" fontId="8" fillId="4" borderId="11" xfId="19" applyFont="1" applyFill="1" applyBorder="1" applyAlignment="1">
      <alignment horizontal="center" vertical="center"/>
    </xf>
    <xf numFmtId="0" fontId="8" fillId="4" borderId="35" xfId="19" applyFont="1" applyFill="1" applyBorder="1" applyAlignment="1">
      <alignment horizontal="center" vertical="center"/>
    </xf>
    <xf numFmtId="0" fontId="8" fillId="4" borderId="5" xfId="19" applyFont="1" applyFill="1" applyBorder="1" applyAlignment="1">
      <alignment horizontal="center" vertical="center"/>
    </xf>
    <xf numFmtId="0" fontId="8" fillId="4" borderId="36" xfId="19" applyFont="1" applyFill="1" applyBorder="1" applyAlignment="1">
      <alignment horizontal="center" vertical="center"/>
    </xf>
    <xf numFmtId="0" fontId="8" fillId="3" borderId="13" xfId="19" applyFont="1" applyFill="1" applyBorder="1" applyAlignment="1">
      <alignment horizontal="center" vertical="center"/>
    </xf>
    <xf numFmtId="0" fontId="8" fillId="3" borderId="8" xfId="19" applyFont="1" applyFill="1" applyBorder="1" applyAlignment="1">
      <alignment horizontal="center" vertical="center" wrapText="1"/>
    </xf>
    <xf numFmtId="0" fontId="8" fillId="3" borderId="2" xfId="19" applyFont="1" applyFill="1" applyBorder="1" applyAlignment="1">
      <alignment horizontal="center" vertical="center" wrapText="1"/>
    </xf>
    <xf numFmtId="0" fontId="8" fillId="3" borderId="9" xfId="19" applyFont="1" applyFill="1" applyBorder="1" applyAlignment="1">
      <alignment horizontal="center" vertical="center" wrapText="1"/>
    </xf>
    <xf numFmtId="0" fontId="8" fillId="2" borderId="8" xfId="19" applyFont="1" applyFill="1" applyBorder="1" applyAlignment="1">
      <alignment vertical="center" wrapText="1"/>
    </xf>
    <xf numFmtId="0" fontId="8" fillId="2" borderId="2" xfId="19" applyFont="1" applyFill="1" applyBorder="1" applyAlignment="1">
      <alignment vertical="center" wrapText="1"/>
    </xf>
    <xf numFmtId="0" fontId="8" fillId="2" borderId="9" xfId="19" applyFont="1" applyFill="1" applyBorder="1" applyAlignment="1">
      <alignment vertical="center" wrapText="1"/>
    </xf>
    <xf numFmtId="0" fontId="8" fillId="2" borderId="13" xfId="19" applyNumberFormat="1" applyFont="1" applyFill="1" applyBorder="1" applyAlignment="1">
      <alignment horizontal="center" vertical="center"/>
    </xf>
    <xf numFmtId="14" fontId="8" fillId="2" borderId="13" xfId="19" applyNumberFormat="1" applyFont="1" applyFill="1" applyBorder="1" applyAlignment="1">
      <alignment horizontal="center" vertical="center"/>
    </xf>
    <xf numFmtId="49" fontId="11" fillId="0" borderId="41" xfId="19" applyNumberFormat="1" applyFont="1" applyFill="1" applyBorder="1" applyAlignment="1">
      <alignment horizontal="center" vertical="center" shrinkToFit="1"/>
    </xf>
    <xf numFmtId="49" fontId="11" fillId="0" borderId="42" xfId="19" applyNumberFormat="1" applyFont="1" applyFill="1" applyBorder="1" applyAlignment="1">
      <alignment horizontal="center" vertical="center" shrinkToFit="1"/>
    </xf>
    <xf numFmtId="0" fontId="11" fillId="3" borderId="43" xfId="19" applyFont="1" applyFill="1" applyBorder="1" applyAlignment="1">
      <alignment horizontal="left" vertical="center" wrapText="1"/>
    </xf>
    <xf numFmtId="0" fontId="11" fillId="3" borderId="44" xfId="19" applyFont="1" applyFill="1" applyBorder="1" applyAlignment="1">
      <alignment horizontal="left" vertical="center" wrapText="1"/>
    </xf>
    <xf numFmtId="0" fontId="11" fillId="3" borderId="45" xfId="19" applyFont="1" applyFill="1" applyBorder="1" applyAlignment="1">
      <alignment horizontal="left" vertical="center" wrapText="1"/>
    </xf>
    <xf numFmtId="49" fontId="11" fillId="0" borderId="46" xfId="19" applyNumberFormat="1" applyFont="1" applyFill="1" applyBorder="1" applyAlignment="1">
      <alignment horizontal="center" vertical="center" shrinkToFit="1"/>
    </xf>
    <xf numFmtId="49" fontId="11" fillId="0" borderId="47" xfId="19" applyNumberFormat="1" applyFont="1" applyFill="1" applyBorder="1" applyAlignment="1">
      <alignment horizontal="center" vertical="center" shrinkToFit="1"/>
    </xf>
    <xf numFmtId="49" fontId="11" fillId="6" borderId="29" xfId="19" applyNumberFormat="1" applyFont="1" applyFill="1" applyBorder="1" applyAlignment="1">
      <alignment horizontal="center" vertical="center" shrinkToFit="1"/>
    </xf>
    <xf numFmtId="49" fontId="11" fillId="0" borderId="49" xfId="19" applyNumberFormat="1" applyFont="1" applyFill="1" applyBorder="1" applyAlignment="1">
      <alignment horizontal="center" vertical="center" shrinkToFit="1"/>
    </xf>
    <xf numFmtId="49" fontId="11" fillId="0" borderId="76" xfId="19" applyNumberFormat="1" applyFont="1" applyFill="1" applyBorder="1" applyAlignment="1">
      <alignment horizontal="center" vertical="center" shrinkToFit="1"/>
    </xf>
    <xf numFmtId="49" fontId="11" fillId="0" borderId="74" xfId="19" applyNumberFormat="1" applyFont="1" applyFill="1" applyBorder="1" applyAlignment="1">
      <alignment horizontal="center" vertical="center" shrinkToFit="1"/>
    </xf>
    <xf numFmtId="49" fontId="11" fillId="0" borderId="86" xfId="19" applyNumberFormat="1" applyFont="1" applyFill="1" applyBorder="1" applyAlignment="1">
      <alignment horizontal="center" vertical="center" shrinkToFit="1"/>
    </xf>
    <xf numFmtId="49" fontId="11" fillId="0" borderId="33" xfId="19" applyNumberFormat="1" applyFont="1" applyFill="1" applyBorder="1" applyAlignment="1">
      <alignment horizontal="center" vertical="center" shrinkToFit="1"/>
    </xf>
    <xf numFmtId="49" fontId="11" fillId="0" borderId="31" xfId="19" applyNumberFormat="1" applyFont="1" applyFill="1" applyBorder="1" applyAlignment="1">
      <alignment horizontal="center" vertical="center" shrinkToFit="1"/>
    </xf>
    <xf numFmtId="0" fontId="11" fillId="3" borderId="8" xfId="19" applyFont="1" applyFill="1" applyBorder="1" applyAlignment="1">
      <alignment horizontal="center" vertical="center"/>
    </xf>
    <xf numFmtId="0" fontId="11" fillId="3" borderId="2" xfId="19" applyFont="1" applyFill="1" applyBorder="1" applyAlignment="1">
      <alignment horizontal="center" vertical="center"/>
    </xf>
    <xf numFmtId="0" fontId="11" fillId="3" borderId="9" xfId="19" applyFont="1" applyFill="1" applyBorder="1" applyAlignment="1">
      <alignment horizontal="center" vertical="center"/>
    </xf>
    <xf numFmtId="0" fontId="11" fillId="3" borderId="8" xfId="19" applyFont="1" applyFill="1" applyBorder="1" applyAlignment="1">
      <alignment vertical="center" textRotation="255"/>
    </xf>
    <xf numFmtId="0" fontId="11" fillId="3" borderId="2" xfId="19" applyFont="1" applyFill="1" applyBorder="1" applyAlignment="1">
      <alignment vertical="center" textRotation="255"/>
    </xf>
    <xf numFmtId="0" fontId="11" fillId="3" borderId="9" xfId="19" applyFont="1" applyFill="1" applyBorder="1" applyAlignment="1">
      <alignment vertical="center" textRotation="255"/>
    </xf>
    <xf numFmtId="0" fontId="11" fillId="3" borderId="48" xfId="19" applyFont="1" applyFill="1" applyBorder="1" applyAlignment="1">
      <alignment horizontal="center" vertical="center" textRotation="255"/>
    </xf>
    <xf numFmtId="0" fontId="11" fillId="3" borderId="19" xfId="19" applyFont="1" applyFill="1" applyBorder="1" applyAlignment="1">
      <alignment horizontal="center" vertical="center" textRotation="255"/>
    </xf>
    <xf numFmtId="0" fontId="11" fillId="3" borderId="67" xfId="19" applyFont="1" applyFill="1" applyBorder="1" applyAlignment="1">
      <alignment horizontal="left" vertical="center" wrapText="1"/>
    </xf>
    <xf numFmtId="0" fontId="11" fillId="3" borderId="68" xfId="19" applyFont="1" applyFill="1" applyBorder="1" applyAlignment="1">
      <alignment horizontal="left" vertical="center" wrapText="1"/>
    </xf>
    <xf numFmtId="0" fontId="11" fillId="3" borderId="69" xfId="19" applyFont="1" applyFill="1" applyBorder="1" applyAlignment="1">
      <alignment horizontal="left" vertical="center" wrapText="1"/>
    </xf>
    <xf numFmtId="0" fontId="11" fillId="3" borderId="70" xfId="19" applyFont="1" applyFill="1" applyBorder="1" applyAlignment="1">
      <alignment horizontal="center" vertical="center" textRotation="255"/>
    </xf>
    <xf numFmtId="0" fontId="11" fillId="3" borderId="71" xfId="19" applyFont="1" applyFill="1" applyBorder="1" applyAlignment="1">
      <alignment horizontal="center" vertical="center" textRotation="255"/>
    </xf>
    <xf numFmtId="0" fontId="11" fillId="3" borderId="72" xfId="19" applyFont="1" applyFill="1" applyBorder="1" applyAlignment="1">
      <alignment horizontal="center" vertical="center" textRotation="255"/>
    </xf>
    <xf numFmtId="0" fontId="11" fillId="2" borderId="60" xfId="19" applyFont="1" applyFill="1" applyBorder="1" applyAlignment="1">
      <alignment vertical="center" textRotation="255" shrinkToFit="1"/>
    </xf>
    <xf numFmtId="0" fontId="11" fillId="2" borderId="64" xfId="19" applyFont="1" applyFill="1" applyBorder="1" applyAlignment="1">
      <alignment vertical="center" textRotation="255" shrinkToFit="1"/>
    </xf>
    <xf numFmtId="49" fontId="11" fillId="2" borderId="60" xfId="19" applyNumberFormat="1" applyFont="1" applyFill="1" applyBorder="1" applyAlignment="1">
      <alignment horizontal="center" vertical="center" wrapText="1" shrinkToFit="1"/>
    </xf>
    <xf numFmtId="0" fontId="11" fillId="2" borderId="65" xfId="19" applyFont="1" applyFill="1" applyBorder="1" applyAlignment="1">
      <alignment vertical="center" textRotation="255" shrinkToFit="1"/>
    </xf>
    <xf numFmtId="0" fontId="11" fillId="2" borderId="66" xfId="19" applyFont="1" applyFill="1" applyBorder="1" applyAlignment="1">
      <alignment vertical="center" textRotation="255" shrinkToFit="1"/>
    </xf>
    <xf numFmtId="49" fontId="11" fillId="2" borderId="60" xfId="19" applyNumberFormat="1" applyFont="1" applyFill="1" applyBorder="1" applyAlignment="1">
      <alignment horizontal="center" vertical="center" shrinkToFit="1"/>
    </xf>
    <xf numFmtId="49" fontId="11" fillId="2" borderId="64" xfId="19" applyNumberFormat="1" applyFont="1" applyFill="1" applyBorder="1" applyAlignment="1">
      <alignment horizontal="center" vertical="center" shrinkToFit="1"/>
    </xf>
    <xf numFmtId="49" fontId="11" fillId="2" borderId="59" xfId="19" applyNumberFormat="1" applyFont="1" applyFill="1" applyBorder="1" applyAlignment="1">
      <alignment horizontal="center" vertical="center" shrinkToFit="1"/>
    </xf>
    <xf numFmtId="233" fontId="11" fillId="2" borderId="60" xfId="19" applyNumberFormat="1" applyFont="1" applyFill="1" applyBorder="1" applyAlignment="1">
      <alignment horizontal="center" vertical="center" shrinkToFit="1"/>
    </xf>
    <xf numFmtId="233" fontId="11" fillId="2" borderId="64" xfId="19" applyNumberFormat="1" applyFont="1" applyFill="1" applyBorder="1" applyAlignment="1">
      <alignment horizontal="center" vertical="center" shrinkToFit="1"/>
    </xf>
    <xf numFmtId="0" fontId="11" fillId="2" borderId="62" xfId="19" applyFont="1" applyFill="1" applyBorder="1" applyAlignment="1">
      <alignment horizontal="center" vertical="center" textRotation="255" shrinkToFit="1"/>
    </xf>
    <xf numFmtId="0" fontId="11" fillId="2" borderId="63" xfId="19" applyFont="1" applyFill="1" applyBorder="1" applyAlignment="1">
      <alignment horizontal="center" vertical="center" textRotation="255" shrinkToFit="1"/>
    </xf>
    <xf numFmtId="0" fontId="11" fillId="2" borderId="61" xfId="19" applyFont="1" applyFill="1" applyBorder="1" applyAlignment="1">
      <alignment horizontal="center" vertical="center" textRotation="255" shrinkToFit="1"/>
    </xf>
    <xf numFmtId="49" fontId="11" fillId="0" borderId="57" xfId="19" applyNumberFormat="1" applyFont="1" applyFill="1" applyBorder="1" applyAlignment="1">
      <alignment horizontal="center" vertical="center" shrinkToFit="1"/>
    </xf>
    <xf numFmtId="49" fontId="11" fillId="0" borderId="58" xfId="19" applyNumberFormat="1" applyFont="1" applyFill="1" applyBorder="1" applyAlignment="1">
      <alignment horizontal="center" vertical="center" shrinkToFit="1"/>
    </xf>
    <xf numFmtId="49" fontId="11" fillId="0" borderId="56" xfId="19" applyNumberFormat="1" applyFont="1" applyFill="1" applyBorder="1" applyAlignment="1">
      <alignment horizontal="center" vertical="center" shrinkToFit="1"/>
    </xf>
    <xf numFmtId="49" fontId="11" fillId="6" borderId="30" xfId="19" applyNumberFormat="1" applyFont="1" applyFill="1" applyBorder="1" applyAlignment="1">
      <alignment horizontal="center" vertical="center" shrinkToFit="1"/>
    </xf>
    <xf numFmtId="49" fontId="11" fillId="3" borderId="10" xfId="19" applyNumberFormat="1" applyFont="1" applyFill="1" applyBorder="1" applyAlignment="1">
      <alignment horizontal="center" vertical="center" shrinkToFit="1"/>
    </xf>
    <xf numFmtId="49" fontId="11" fillId="3" borderId="11" xfId="19" applyNumberFormat="1" applyFont="1" applyFill="1" applyBorder="1" applyAlignment="1">
      <alignment horizontal="center" vertical="center" shrinkToFit="1"/>
    </xf>
    <xf numFmtId="0" fontId="11" fillId="3" borderId="50" xfId="19" applyFont="1" applyFill="1" applyBorder="1" applyAlignment="1">
      <alignment horizontal="center" vertical="center"/>
    </xf>
    <xf numFmtId="0" fontId="11" fillId="3" borderId="51" xfId="19" applyFont="1" applyFill="1" applyBorder="1" applyAlignment="1">
      <alignment horizontal="center" vertical="center"/>
    </xf>
    <xf numFmtId="0" fontId="11" fillId="3" borderId="52" xfId="19" applyFont="1" applyFill="1" applyBorder="1" applyAlignment="1">
      <alignment horizontal="center" vertical="center"/>
    </xf>
    <xf numFmtId="0" fontId="11" fillId="3" borderId="53" xfId="19" applyFont="1" applyFill="1" applyBorder="1" applyAlignment="1">
      <alignment horizontal="center" vertical="center"/>
    </xf>
    <xf numFmtId="0" fontId="11" fillId="3" borderId="54" xfId="19" applyFont="1" applyFill="1" applyBorder="1" applyAlignment="1">
      <alignment horizontal="center" vertical="center"/>
    </xf>
    <xf numFmtId="0" fontId="11" fillId="3" borderId="55" xfId="19" applyFont="1" applyFill="1" applyBorder="1" applyAlignment="1">
      <alignment horizontal="center" vertical="center"/>
    </xf>
    <xf numFmtId="0" fontId="8" fillId="3" borderId="8" xfId="19" applyFont="1" applyFill="1" applyBorder="1" applyAlignment="1">
      <alignment vertical="center" wrapText="1"/>
    </xf>
    <xf numFmtId="0" fontId="8" fillId="3" borderId="2" xfId="19" applyFont="1" applyFill="1" applyBorder="1" applyAlignment="1">
      <alignment vertical="center" wrapText="1"/>
    </xf>
    <xf numFmtId="0" fontId="8" fillId="3" borderId="9" xfId="19" applyFont="1" applyFill="1" applyBorder="1" applyAlignment="1">
      <alignment vertical="center" wrapText="1"/>
    </xf>
    <xf numFmtId="0" fontId="8" fillId="2" borderId="8" xfId="19" applyNumberFormat="1" applyFont="1" applyFill="1" applyBorder="1" applyAlignment="1">
      <alignment horizontal="center" vertical="center"/>
    </xf>
    <xf numFmtId="0" fontId="8" fillId="2" borderId="2" xfId="19" applyNumberFormat="1" applyFont="1" applyFill="1" applyBorder="1" applyAlignment="1">
      <alignment horizontal="center" vertical="center"/>
    </xf>
    <xf numFmtId="0" fontId="8" fillId="2" borderId="9" xfId="19" applyNumberFormat="1" applyFont="1" applyFill="1" applyBorder="1" applyAlignment="1">
      <alignment horizontal="center" vertical="center"/>
    </xf>
    <xf numFmtId="49" fontId="11" fillId="6" borderId="4" xfId="19" applyNumberFormat="1" applyFont="1" applyFill="1" applyBorder="1" applyAlignment="1">
      <alignment horizontal="center" vertical="center" shrinkToFit="1"/>
    </xf>
    <xf numFmtId="49" fontId="11" fillId="0" borderId="75" xfId="19" applyNumberFormat="1" applyFont="1" applyFill="1" applyBorder="1" applyAlignment="1">
      <alignment horizontal="center" vertical="center" shrinkToFit="1"/>
    </xf>
    <xf numFmtId="49" fontId="11" fillId="0" borderId="73" xfId="19" applyNumberFormat="1" applyFont="1" applyFill="1" applyBorder="1" applyAlignment="1">
      <alignment horizontal="center" vertical="center" shrinkToFit="1"/>
    </xf>
    <xf numFmtId="49" fontId="11" fillId="0" borderId="78" xfId="19" applyNumberFormat="1" applyFont="1" applyFill="1" applyBorder="1" applyAlignment="1">
      <alignment horizontal="center" vertical="center" shrinkToFit="1"/>
    </xf>
    <xf numFmtId="49" fontId="11" fillId="0" borderId="82" xfId="19" applyNumberFormat="1" applyFont="1" applyFill="1" applyBorder="1" applyAlignment="1">
      <alignment horizontal="center" vertical="center" shrinkToFit="1"/>
    </xf>
    <xf numFmtId="0" fontId="11" fillId="3" borderId="78" xfId="19" applyFont="1" applyFill="1" applyBorder="1" applyAlignment="1">
      <alignment horizontal="left" vertical="center" wrapText="1"/>
    </xf>
    <xf numFmtId="0" fontId="11" fillId="3" borderId="41" xfId="19" applyFont="1" applyFill="1" applyBorder="1" applyAlignment="1">
      <alignment horizontal="left" vertical="center" wrapText="1"/>
    </xf>
    <xf numFmtId="49" fontId="11" fillId="0" borderId="80" xfId="19" applyNumberFormat="1" applyFont="1" applyFill="1" applyBorder="1" applyAlignment="1">
      <alignment horizontal="center" vertical="center" shrinkToFit="1"/>
    </xf>
    <xf numFmtId="0" fontId="11" fillId="2" borderId="83" xfId="19" applyFont="1" applyFill="1" applyBorder="1" applyAlignment="1">
      <alignment horizontal="center" vertical="center" textRotation="255" shrinkToFit="1"/>
    </xf>
    <xf numFmtId="233" fontId="11" fillId="2" borderId="59" xfId="19" applyNumberFormat="1" applyFont="1" applyFill="1" applyBorder="1" applyAlignment="1">
      <alignment horizontal="center" vertical="center" shrinkToFit="1"/>
    </xf>
    <xf numFmtId="0" fontId="11" fillId="3" borderId="12" xfId="19" applyFont="1" applyFill="1" applyBorder="1" applyAlignment="1">
      <alignment horizontal="center" vertical="center"/>
    </xf>
    <xf numFmtId="0" fontId="11" fillId="3" borderId="5" xfId="19" applyFont="1" applyFill="1" applyBorder="1" applyAlignment="1">
      <alignment horizontal="center" vertical="center"/>
    </xf>
    <xf numFmtId="0" fontId="11" fillId="3" borderId="36" xfId="19" applyFont="1" applyFill="1" applyBorder="1" applyAlignment="1">
      <alignment horizontal="center" vertical="center"/>
    </xf>
    <xf numFmtId="0" fontId="11" fillId="2" borderId="85" xfId="19" applyFont="1" applyFill="1" applyBorder="1" applyAlignment="1">
      <alignment horizontal="center" vertical="center" textRotation="255" shrinkToFit="1"/>
    </xf>
    <xf numFmtId="0" fontId="11" fillId="3" borderId="12" xfId="19" applyFont="1" applyFill="1" applyBorder="1" applyAlignment="1">
      <alignment horizontal="center" vertical="center" textRotation="255"/>
    </xf>
    <xf numFmtId="0" fontId="11" fillId="3" borderId="5" xfId="19" applyFont="1" applyFill="1" applyBorder="1" applyAlignment="1">
      <alignment horizontal="center" vertical="center" textRotation="255"/>
    </xf>
    <xf numFmtId="0" fontId="11" fillId="3" borderId="36" xfId="19" applyFont="1" applyFill="1" applyBorder="1" applyAlignment="1">
      <alignment horizontal="center" vertical="center" textRotation="255"/>
    </xf>
    <xf numFmtId="0" fontId="11" fillId="2" borderId="84" xfId="19" applyFont="1" applyFill="1" applyBorder="1" applyAlignment="1">
      <alignment horizontal="center" vertical="center" textRotation="255" shrinkToFit="1"/>
    </xf>
    <xf numFmtId="0" fontId="11" fillId="3" borderId="75" xfId="19" applyFont="1" applyFill="1" applyBorder="1" applyAlignment="1">
      <alignment horizontal="left" vertical="center" wrapText="1"/>
    </xf>
    <xf numFmtId="0" fontId="11" fillId="3" borderId="73" xfId="19" applyFont="1" applyFill="1" applyBorder="1" applyAlignment="1">
      <alignment horizontal="left" vertical="center" wrapText="1"/>
    </xf>
    <xf numFmtId="0" fontId="11" fillId="3" borderId="76" xfId="19" applyFont="1" applyFill="1" applyBorder="1" applyAlignment="1">
      <alignment horizontal="left" vertical="center" wrapText="1"/>
    </xf>
    <xf numFmtId="0" fontId="11" fillId="3" borderId="49" xfId="19" applyFont="1" applyFill="1" applyBorder="1" applyAlignment="1">
      <alignment horizontal="left" vertical="center" wrapText="1"/>
    </xf>
    <xf numFmtId="49" fontId="11" fillId="6" borderId="11" xfId="19" applyNumberFormat="1" applyFont="1" applyFill="1" applyBorder="1" applyAlignment="1">
      <alignment horizontal="center" vertical="center" shrinkToFit="1"/>
    </xf>
    <xf numFmtId="49" fontId="11" fillId="0" borderId="79" xfId="19" applyNumberFormat="1" applyFont="1" applyFill="1" applyBorder="1" applyAlignment="1">
      <alignment horizontal="center" vertical="center" shrinkToFit="1"/>
    </xf>
    <xf numFmtId="49" fontId="11" fillId="0" borderId="81" xfId="19" applyNumberFormat="1" applyFont="1" applyFill="1" applyBorder="1" applyAlignment="1">
      <alignment horizontal="center" vertical="center" shrinkToFit="1"/>
    </xf>
    <xf numFmtId="0" fontId="11" fillId="3" borderId="17" xfId="19" applyFont="1" applyFill="1" applyBorder="1" applyAlignment="1">
      <alignment horizontal="center" vertical="center" textRotation="255"/>
    </xf>
    <xf numFmtId="0" fontId="11" fillId="3" borderId="21" xfId="19" applyFont="1" applyFill="1" applyBorder="1" applyAlignment="1">
      <alignment horizontal="center" vertical="center" textRotation="255"/>
    </xf>
    <xf numFmtId="0" fontId="11" fillId="3" borderId="77" xfId="19" applyFont="1" applyFill="1" applyBorder="1" applyAlignment="1">
      <alignment horizontal="center" vertical="center" textRotation="255"/>
    </xf>
  </cellXfs>
  <cellStyles count="21">
    <cellStyle name="Calc Currency (0)" xfId="1"/>
    <cellStyle name="Header1" xfId="2"/>
    <cellStyle name="Header2" xfId="3"/>
    <cellStyle name="IBM(401K)" xfId="4"/>
    <cellStyle name="J401K" xfId="5"/>
    <cellStyle name="Normal_#18-Internet" xfId="6"/>
    <cellStyle name="PSChar" xfId="7"/>
    <cellStyle name="PSHeading" xfId="8"/>
    <cellStyle name="subhead" xfId="9"/>
    <cellStyle name="スタイル 1" xfId="10"/>
    <cellStyle name="常规_単票_2006MMDD_(課題・QA・通達名)" xfId="11"/>
    <cellStyle name="脱浦 [0.00]_3990#10" xfId="12"/>
    <cellStyle name="脱浦_3990#10" xfId="13"/>
    <cellStyle name="標準" xfId="0" builtinId="0"/>
    <cellStyle name="標準 2" xfId="14"/>
    <cellStyle name="標準 3" xfId="15"/>
    <cellStyle name="標準_V1.2作業チェックリスト_PG・UT_社外秘" xfId="16"/>
    <cellStyle name="標準_サンプル-3005005_共通処理機能記述_CK0030_01_高度検索_社外秘" xfId="17"/>
    <cellStyle name="標準_ヘッダー・フッター設定・ファイル名変更ツール" xfId="18"/>
    <cellStyle name="標準_単体テストケース_BM4A40030_組織マスタ全件取込_社外秘" xfId="19"/>
    <cellStyle name="未定義" xfId="20"/>
  </cellStyles>
  <dxfs count="6">
    <dxf>
      <fill>
        <patternFill>
          <bgColor indexed="13"/>
        </patternFill>
      </fill>
    </dxf>
    <dxf>
      <fill>
        <patternFill>
          <bgColor indexed="13"/>
        </patternFill>
      </fill>
    </dxf>
    <dxf>
      <fill>
        <patternFill>
          <bgColor indexed="22"/>
        </patternFill>
      </fill>
    </dxf>
    <dxf>
      <fill>
        <patternFill>
          <bgColor indexed="22"/>
        </patternFill>
      </fill>
    </dxf>
    <dxf>
      <fill>
        <patternFill>
          <bgColor indexed="22"/>
        </patternFill>
      </fill>
    </dxf>
    <dxf>
      <fill>
        <patternFill>
          <bgColor indexed="13"/>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s>
</file>

<file path=xl/drawings/drawing1.xml><?xml version="1.0" encoding="utf-8"?>
<xdr:wsDr xmlns:xdr="http://schemas.openxmlformats.org/drawingml/2006/spreadsheetDrawing" xmlns:a="http://schemas.openxmlformats.org/drawingml/2006/main">
  <xdr:twoCellAnchor>
    <xdr:from>
      <xdr:col>11</xdr:col>
      <xdr:colOff>0</xdr:colOff>
      <xdr:row>3</xdr:row>
      <xdr:rowOff>0</xdr:rowOff>
    </xdr:from>
    <xdr:to>
      <xdr:col>20</xdr:col>
      <xdr:colOff>0</xdr:colOff>
      <xdr:row>5</xdr:row>
      <xdr:rowOff>0</xdr:rowOff>
    </xdr:to>
    <xdr:sp macro="" textlink="">
      <xdr:nvSpPr>
        <xdr:cNvPr id="2" name="Text Box 6"/>
        <xdr:cNvSpPr txBox="1">
          <a:spLocks noChangeArrowheads="1"/>
        </xdr:cNvSpPr>
      </xdr:nvSpPr>
      <xdr:spPr bwMode="auto">
        <a:xfrm>
          <a:off x="1524000" y="400050"/>
          <a:ext cx="1143000" cy="30480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800" b="0" i="0" u="none" strike="noStrike" baseline="0">
              <a:solidFill>
                <a:srgbClr val="FF0000"/>
              </a:solidFill>
              <a:latin typeface="ＭＳ ゴシック"/>
              <a:ea typeface="ＭＳ ゴシック"/>
            </a:rPr>
            <a:t>←集計用エリア</a:t>
          </a:r>
        </a:p>
        <a:p>
          <a:pPr algn="l" rtl="0">
            <a:defRPr sz="1000"/>
          </a:pPr>
          <a:r>
            <a:rPr lang="ja-JP" altLang="en-US" sz="800" b="0" i="0" u="none" strike="noStrike" baseline="0">
              <a:solidFill>
                <a:srgbClr val="FF0000"/>
              </a:solidFill>
              <a:latin typeface="ＭＳ ゴシック"/>
              <a:ea typeface="ＭＳ ゴシック"/>
            </a:rPr>
            <a:t>行、列の挿入禁止</a:t>
          </a:r>
        </a:p>
      </xdr:txBody>
    </xdr:sp>
    <xdr:clientData/>
  </xdr:twoCellAnchor>
  <xdr:twoCellAnchor>
    <xdr:from>
      <xdr:col>11</xdr:col>
      <xdr:colOff>0</xdr:colOff>
      <xdr:row>3</xdr:row>
      <xdr:rowOff>0</xdr:rowOff>
    </xdr:from>
    <xdr:to>
      <xdr:col>20</xdr:col>
      <xdr:colOff>0</xdr:colOff>
      <xdr:row>5</xdr:row>
      <xdr:rowOff>0</xdr:rowOff>
    </xdr:to>
    <xdr:sp macro="" textlink="">
      <xdr:nvSpPr>
        <xdr:cNvPr id="3" name="Text Box 6"/>
        <xdr:cNvSpPr txBox="1">
          <a:spLocks noChangeArrowheads="1"/>
        </xdr:cNvSpPr>
      </xdr:nvSpPr>
      <xdr:spPr bwMode="auto">
        <a:xfrm>
          <a:off x="1524000" y="400050"/>
          <a:ext cx="1143000" cy="30480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800" b="0" i="0" u="none" strike="noStrike" baseline="0">
              <a:solidFill>
                <a:srgbClr val="FF0000"/>
              </a:solidFill>
              <a:latin typeface="ＭＳ ゴシック"/>
              <a:ea typeface="ＭＳ ゴシック"/>
            </a:rPr>
            <a:t>←集計用エリア</a:t>
          </a:r>
        </a:p>
        <a:p>
          <a:pPr algn="l" rtl="0">
            <a:defRPr sz="1000"/>
          </a:pPr>
          <a:r>
            <a:rPr lang="ja-JP" altLang="en-US" sz="800" b="0" i="0" u="none" strike="noStrike" baseline="0">
              <a:solidFill>
                <a:srgbClr val="FF0000"/>
              </a:solidFill>
              <a:latin typeface="ＭＳ ゴシック"/>
              <a:ea typeface="ＭＳ ゴシック"/>
            </a:rPr>
            <a:t>行、列の挿入禁止</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0</xdr:colOff>
      <xdr:row>3</xdr:row>
      <xdr:rowOff>0</xdr:rowOff>
    </xdr:from>
    <xdr:to>
      <xdr:col>20</xdr:col>
      <xdr:colOff>0</xdr:colOff>
      <xdr:row>5</xdr:row>
      <xdr:rowOff>0</xdr:rowOff>
    </xdr:to>
    <xdr:sp macro="" textlink="">
      <xdr:nvSpPr>
        <xdr:cNvPr id="2" name="Text Box 6"/>
        <xdr:cNvSpPr txBox="1">
          <a:spLocks noChangeArrowheads="1"/>
        </xdr:cNvSpPr>
      </xdr:nvSpPr>
      <xdr:spPr bwMode="auto">
        <a:xfrm>
          <a:off x="1362075" y="400050"/>
          <a:ext cx="1143000" cy="30480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800" b="0" i="0" u="none" strike="noStrike" baseline="0">
              <a:solidFill>
                <a:srgbClr val="FF0000"/>
              </a:solidFill>
              <a:latin typeface="ＭＳ ゴシック"/>
              <a:ea typeface="ＭＳ ゴシック"/>
            </a:rPr>
            <a:t>←集計用エリア</a:t>
          </a:r>
        </a:p>
        <a:p>
          <a:pPr algn="l" rtl="0">
            <a:defRPr sz="1000"/>
          </a:pPr>
          <a:r>
            <a:rPr lang="ja-JP" altLang="en-US" sz="800" b="0" i="0" u="none" strike="noStrike" baseline="0">
              <a:solidFill>
                <a:srgbClr val="FF0000"/>
              </a:solidFill>
              <a:latin typeface="ＭＳ ゴシック"/>
              <a:ea typeface="ＭＳ ゴシック"/>
            </a:rPr>
            <a:t>行、列の挿入禁止</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65.56\temp\TEMP\&#12503;&#12525;&#12475;&#12473;&#38291;&#38306;&#20418;&#2225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65.56\temp\My%20Documents\Kayama\&#20966;&#29702;&#12497;&#12479;&#12540;&#12531;&#215;&#12503;&#12525;&#12475;&#12473;&#38306;&#36899;&#3492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0.22.3\common\work2002\fujitv\guide\&#35373;&#35336;&#26360;_0828\&#22522;&#26412;&#35373;&#35336;\&#22522;&#26412;&#35373;&#35336;\My%20Documents\Kayama\&#20966;&#29702;&#12497;&#12479;&#12540;&#12531;&#215;&#12503;&#12525;&#12475;&#12473;&#38306;&#36899;&#3492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0.0.22.3\common\work2002\fujitv\guide\&#35373;&#35336;&#26360;_0828\&#22522;&#26412;&#35373;&#35336;\&#35443;&#32048;&#35373;&#35336;\&#35443;&#32048;&#35373;&#35336;\DB&#35373;&#35336;&#26360;\Kayama\&#20966;&#29702;&#12497;&#12479;&#12540;&#12531;&#215;&#12503;&#12525;&#12475;&#12473;&#38306;&#36899;&#3492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11.3\common\work2002\fujitv\guide\&#35373;&#35336;&#26360;_0828\&#22522;&#26412;&#35373;&#35336;\&#22522;&#26412;&#35373;&#35336;\My%20Documents\Kayama\&#20966;&#29702;&#12497;&#12479;&#12540;&#12531;&#215;&#12503;&#12525;&#12475;&#12473;&#38306;&#36899;&#34920;.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192.168.11.3\common\work2002\fujitv\guide\&#35373;&#35336;&#26360;_0828\&#22522;&#26412;&#35373;&#35336;\&#22522;&#26412;&#35373;&#35336;\TEMP\&#12503;&#12525;&#12475;&#12473;&#38291;&#38306;&#20418;&#2225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作成要領・プロセス間関係図"/>
      <sheetName val="フォーム・プロセス間関係図"/>
      <sheetName val="ED-013 ｼｰｹﾝｽ一覧"/>
      <sheetName val="ED-014 ｼｰｹﾝｽ図(1)"/>
      <sheetName val="ED-014 ｼｰｹﾝｽ図(2)"/>
      <sheetName val="ED-014 ｼｰｹﾝｽ図(3)"/>
      <sheetName val="ED-014 ｼｰｹﾝｽ図(4)"/>
      <sheetName val="Sheet1"/>
      <sheetName val="Sheet2"/>
      <sheetName val="Sheet3"/>
      <sheetName val="#REF"/>
    </sheetNames>
    <sheetDataSet>
      <sheetData sheetId="0"/>
      <sheetData sheetId="1" refreshError="1"/>
      <sheetData sheetId="2"/>
      <sheetData sheetId="3"/>
      <sheetData sheetId="4"/>
      <sheetData sheetId="5"/>
      <sheetData sheetId="6"/>
      <sheetData sheetId="7"/>
      <sheetData sheetId="8"/>
      <sheetData sheetId="9"/>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処理パターン×プロセス関連表"/>
      <sheetName val="SSA構成図"/>
      <sheetName val="間接・販管費率"/>
    </sheetNames>
    <sheetDataSet>
      <sheetData sheetId="0"/>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処理パターン×プロセス関連表"/>
    </sheetNames>
    <sheetDataSet>
      <sheetData sheetId="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処理パターン×プロセス関連表"/>
    </sheetNames>
    <sheetDataSet>
      <sheetData sheetId="0"/>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処理パターン×プロセス関連表"/>
    </sheetNames>
    <sheetDataSet>
      <sheetData sheetId="0"/>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作成要領・プロセス間関係図"/>
      <sheetName val="フォーム・プロセス間関係図"/>
    </sheetNames>
    <sheetDataSet>
      <sheetData sheetId="0"/>
      <sheetData sheetId="1"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31750" cap="flat" cmpd="sng" algn="ctr">
          <a:solidFill>
            <a:srgbClr val="FF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31750" cap="flat" cmpd="sng" algn="ctr">
          <a:solidFill>
            <a:srgbClr val="FF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T41"/>
  <sheetViews>
    <sheetView view="pageBreakPreview" zoomScaleNormal="75" zoomScaleSheetLayoutView="100" workbookViewId="0">
      <pane ySplit="4" topLeftCell="A5" activePane="bottomLeft" state="frozen"/>
      <selection activeCell="Z365" sqref="Z365"/>
      <selection pane="bottomLeft" activeCell="D7" sqref="D7:I7"/>
    </sheetView>
  </sheetViews>
  <sheetFormatPr defaultColWidth="4.83203125" defaultRowHeight="13.5" customHeight="1"/>
  <cols>
    <col min="1" max="83" width="2.1640625" style="1" customWidth="1"/>
    <col min="84" max="16384" width="4.83203125" style="1"/>
  </cols>
  <sheetData>
    <row r="1" spans="1:98" ht="13.5" customHeight="1">
      <c r="A1" s="108" t="s">
        <v>0</v>
      </c>
      <c r="B1" s="108"/>
      <c r="C1" s="108"/>
      <c r="D1" s="108"/>
      <c r="E1" s="108"/>
      <c r="F1" s="108"/>
      <c r="G1" s="108"/>
      <c r="H1" s="108"/>
      <c r="I1" s="108"/>
      <c r="J1" s="108"/>
      <c r="K1" s="108"/>
      <c r="L1" s="108"/>
      <c r="M1" s="108"/>
      <c r="N1" s="108"/>
      <c r="O1" s="108" t="s">
        <v>1</v>
      </c>
      <c r="P1" s="108"/>
      <c r="Q1" s="108"/>
      <c r="R1" s="108"/>
      <c r="S1" s="108"/>
      <c r="T1" s="108"/>
      <c r="U1" s="108"/>
      <c r="V1" s="108"/>
      <c r="W1" s="108"/>
      <c r="X1" s="108"/>
      <c r="Y1" s="108"/>
      <c r="Z1" s="108"/>
      <c r="AA1" s="108"/>
      <c r="AB1" s="108"/>
      <c r="AC1" s="108" t="s">
        <v>2</v>
      </c>
      <c r="AD1" s="108"/>
      <c r="AE1" s="108"/>
      <c r="AF1" s="108"/>
      <c r="AG1" s="108"/>
      <c r="AH1" s="108"/>
      <c r="AI1" s="108"/>
      <c r="AJ1" s="108"/>
      <c r="AK1" s="108"/>
      <c r="AL1" s="108"/>
      <c r="AM1" s="108"/>
      <c r="AN1" s="108"/>
      <c r="AO1" s="108"/>
      <c r="AP1" s="108"/>
      <c r="AQ1" s="108"/>
      <c r="AR1" s="108"/>
      <c r="AS1" s="108"/>
      <c r="AT1" s="108"/>
      <c r="AU1" s="108"/>
      <c r="AV1" s="108" t="s">
        <v>3</v>
      </c>
      <c r="AW1" s="108"/>
      <c r="AX1" s="108"/>
      <c r="AY1" s="108"/>
      <c r="AZ1" s="108"/>
      <c r="BA1" s="108"/>
      <c r="BB1" s="108"/>
      <c r="BC1" s="108"/>
      <c r="BD1" s="108"/>
      <c r="BE1" s="108" t="s">
        <v>4</v>
      </c>
      <c r="BF1" s="108"/>
      <c r="BG1" s="108"/>
      <c r="BH1" s="108"/>
      <c r="BI1" s="108"/>
      <c r="BJ1" s="108"/>
      <c r="BK1" s="108"/>
      <c r="BL1" s="108"/>
      <c r="BM1" s="108"/>
      <c r="BN1" s="108" t="s">
        <v>5</v>
      </c>
      <c r="BO1" s="108"/>
      <c r="BP1" s="108"/>
      <c r="BQ1" s="108"/>
      <c r="BR1" s="108"/>
      <c r="BS1" s="108"/>
      <c r="BT1" s="108"/>
      <c r="BU1" s="108"/>
      <c r="BV1" s="108"/>
      <c r="BW1" s="108" t="s">
        <v>6</v>
      </c>
      <c r="BX1" s="108"/>
      <c r="BY1" s="108"/>
      <c r="BZ1" s="108"/>
      <c r="CA1" s="108"/>
      <c r="CB1" s="108"/>
      <c r="CC1" s="108"/>
      <c r="CD1" s="108"/>
      <c r="CE1" s="108"/>
    </row>
    <row r="2" spans="1:98" ht="13.5" customHeight="1">
      <c r="A2" s="109" t="s">
        <v>110</v>
      </c>
      <c r="B2" s="110"/>
      <c r="C2" s="110"/>
      <c r="D2" s="110"/>
      <c r="E2" s="110"/>
      <c r="F2" s="110"/>
      <c r="G2" s="110"/>
      <c r="H2" s="110"/>
      <c r="I2" s="110"/>
      <c r="J2" s="110"/>
      <c r="K2" s="110"/>
      <c r="L2" s="110"/>
      <c r="M2" s="110"/>
      <c r="N2" s="110"/>
      <c r="O2" s="110" t="s">
        <v>159</v>
      </c>
      <c r="P2" s="110"/>
      <c r="Q2" s="110"/>
      <c r="R2" s="110"/>
      <c r="S2" s="110"/>
      <c r="T2" s="110"/>
      <c r="U2" s="110"/>
      <c r="V2" s="110"/>
      <c r="W2" s="110"/>
      <c r="X2" s="110"/>
      <c r="Y2" s="110"/>
      <c r="Z2" s="110"/>
      <c r="AA2" s="110"/>
      <c r="AB2" s="110"/>
      <c r="AC2" s="116" t="s">
        <v>16</v>
      </c>
      <c r="AD2" s="116"/>
      <c r="AE2" s="116"/>
      <c r="AF2" s="116"/>
      <c r="AG2" s="116"/>
      <c r="AH2" s="116"/>
      <c r="AI2" s="116"/>
      <c r="AJ2" s="116"/>
      <c r="AK2" s="116"/>
      <c r="AL2" s="116"/>
      <c r="AM2" s="116"/>
      <c r="AN2" s="116"/>
      <c r="AO2" s="116"/>
      <c r="AP2" s="116"/>
      <c r="AQ2" s="116"/>
      <c r="AR2" s="116"/>
      <c r="AS2" s="116"/>
      <c r="AT2" s="116"/>
      <c r="AU2" s="116"/>
      <c r="AV2" s="115" t="str">
        <f>R5</f>
        <v>NSSOL 史</v>
      </c>
      <c r="AW2" s="115"/>
      <c r="AX2" s="115"/>
      <c r="AY2" s="115"/>
      <c r="AZ2" s="115"/>
      <c r="BA2" s="115"/>
      <c r="BB2" s="115"/>
      <c r="BC2" s="115"/>
      <c r="BD2" s="115"/>
      <c r="BE2" s="107">
        <f>D5</f>
        <v>43641</v>
      </c>
      <c r="BF2" s="107"/>
      <c r="BG2" s="107"/>
      <c r="BH2" s="107"/>
      <c r="BI2" s="107"/>
      <c r="BJ2" s="107"/>
      <c r="BK2" s="107"/>
      <c r="BL2" s="107"/>
      <c r="BM2" s="107"/>
      <c r="BN2" s="115" t="str">
        <f>IF(MATCH(" ",R:R, -1) &gt; 5,INDEX(R:R,MATCH(" ",R:R, -1)),"")</f>
        <v/>
      </c>
      <c r="BO2" s="115"/>
      <c r="BP2" s="115"/>
      <c r="BQ2" s="115"/>
      <c r="BR2" s="115"/>
      <c r="BS2" s="115"/>
      <c r="BT2" s="115"/>
      <c r="BU2" s="115"/>
      <c r="BV2" s="115"/>
      <c r="BW2" s="107" t="str">
        <f>IF(MATCH(0,D:D, -1) &gt; 5,INDEX(D:D,MATCH(MAX(D:D)+1,D:D,1)),"")</f>
        <v/>
      </c>
      <c r="BX2" s="107"/>
      <c r="BY2" s="107"/>
      <c r="BZ2" s="107"/>
      <c r="CA2" s="107"/>
      <c r="CB2" s="107"/>
      <c r="CC2" s="107"/>
      <c r="CD2" s="107"/>
      <c r="CE2" s="107"/>
    </row>
    <row r="3" spans="1:98" ht="5.0999999999999996" customHeight="1">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row>
    <row r="4" spans="1:98" ht="13.5" customHeight="1">
      <c r="A4" s="108" t="s">
        <v>7</v>
      </c>
      <c r="B4" s="108"/>
      <c r="C4" s="108"/>
      <c r="D4" s="112" t="s">
        <v>8</v>
      </c>
      <c r="E4" s="113"/>
      <c r="F4" s="113"/>
      <c r="G4" s="113"/>
      <c r="H4" s="113"/>
      <c r="I4" s="114"/>
      <c r="J4" s="112" t="s">
        <v>9</v>
      </c>
      <c r="K4" s="113"/>
      <c r="L4" s="113"/>
      <c r="M4" s="113"/>
      <c r="N4" s="113"/>
      <c r="O4" s="113"/>
      <c r="P4" s="113"/>
      <c r="Q4" s="114"/>
      <c r="R4" s="112" t="s">
        <v>10</v>
      </c>
      <c r="S4" s="113"/>
      <c r="T4" s="113"/>
      <c r="U4" s="113"/>
      <c r="V4" s="113"/>
      <c r="W4" s="113"/>
      <c r="X4" s="113"/>
      <c r="Y4" s="114"/>
      <c r="Z4" s="112" t="s">
        <v>11</v>
      </c>
      <c r="AA4" s="113"/>
      <c r="AB4" s="113"/>
      <c r="AC4" s="113"/>
      <c r="AD4" s="113"/>
      <c r="AE4" s="114"/>
      <c r="AF4" s="112" t="s">
        <v>12</v>
      </c>
      <c r="AG4" s="113"/>
      <c r="AH4" s="113"/>
      <c r="AI4" s="113"/>
      <c r="AJ4" s="113"/>
      <c r="AK4" s="113"/>
      <c r="AL4" s="113"/>
      <c r="AM4" s="113"/>
      <c r="AN4" s="113"/>
      <c r="AO4" s="113"/>
      <c r="AP4" s="113"/>
      <c r="AQ4" s="113"/>
      <c r="AR4" s="113"/>
      <c r="AS4" s="113"/>
      <c r="AT4" s="113"/>
      <c r="AU4" s="113"/>
      <c r="AV4" s="113"/>
      <c r="AW4" s="113"/>
      <c r="AX4" s="113"/>
      <c r="AY4" s="113"/>
      <c r="AZ4" s="113"/>
      <c r="BA4" s="113"/>
      <c r="BB4" s="113"/>
      <c r="BC4" s="113"/>
      <c r="BD4" s="113"/>
      <c r="BE4" s="113"/>
      <c r="BF4" s="113"/>
      <c r="BG4" s="113"/>
      <c r="BH4" s="113"/>
      <c r="BI4" s="113"/>
      <c r="BJ4" s="113"/>
      <c r="BK4" s="113"/>
      <c r="BL4" s="113"/>
      <c r="BM4" s="113"/>
      <c r="BN4" s="113"/>
      <c r="BO4" s="113"/>
      <c r="BP4" s="113"/>
      <c r="BQ4" s="113"/>
      <c r="BR4" s="113"/>
      <c r="BS4" s="113"/>
      <c r="BT4" s="113"/>
      <c r="BU4" s="113"/>
      <c r="BV4" s="113"/>
      <c r="BW4" s="113"/>
      <c r="BX4" s="113"/>
      <c r="BY4" s="113"/>
      <c r="BZ4" s="113"/>
      <c r="CA4" s="113"/>
      <c r="CB4" s="113"/>
      <c r="CC4" s="113"/>
      <c r="CD4" s="113"/>
      <c r="CE4" s="114"/>
      <c r="CH4" s="111"/>
      <c r="CI4" s="111"/>
      <c r="CJ4" s="111"/>
      <c r="CK4" s="111"/>
      <c r="CL4" s="111"/>
      <c r="CM4" s="111"/>
      <c r="CN4" s="111"/>
      <c r="CO4" s="111"/>
      <c r="CP4" s="111"/>
      <c r="CQ4" s="111"/>
      <c r="CR4" s="111"/>
      <c r="CS4" s="111"/>
      <c r="CT4" s="111"/>
    </row>
    <row r="5" spans="1:98" ht="13.5" customHeight="1">
      <c r="A5" s="101" t="s">
        <v>103</v>
      </c>
      <c r="B5" s="102"/>
      <c r="C5" s="103"/>
      <c r="D5" s="104">
        <v>43641</v>
      </c>
      <c r="E5" s="105"/>
      <c r="F5" s="105"/>
      <c r="G5" s="105"/>
      <c r="H5" s="105"/>
      <c r="I5" s="106"/>
      <c r="J5" s="98"/>
      <c r="K5" s="99"/>
      <c r="L5" s="99"/>
      <c r="M5" s="99"/>
      <c r="N5" s="99"/>
      <c r="O5" s="99"/>
      <c r="P5" s="99"/>
      <c r="Q5" s="100"/>
      <c r="R5" s="98" t="s">
        <v>160</v>
      </c>
      <c r="S5" s="99"/>
      <c r="T5" s="99"/>
      <c r="U5" s="99"/>
      <c r="V5" s="99"/>
      <c r="W5" s="99"/>
      <c r="X5" s="99"/>
      <c r="Y5" s="100"/>
      <c r="Z5" s="86" t="s">
        <v>142</v>
      </c>
      <c r="AA5" s="87"/>
      <c r="AB5" s="87"/>
      <c r="AC5" s="87"/>
      <c r="AD5" s="87"/>
      <c r="AE5" s="88"/>
      <c r="AF5" s="94" t="s">
        <v>143</v>
      </c>
      <c r="AG5" s="95"/>
      <c r="AH5" s="95"/>
      <c r="AI5" s="95"/>
      <c r="AJ5" s="95"/>
      <c r="AK5" s="95"/>
      <c r="AL5" s="95"/>
      <c r="AM5" s="95"/>
      <c r="AN5" s="95"/>
      <c r="AO5" s="95"/>
      <c r="AP5" s="95"/>
      <c r="AQ5" s="95"/>
      <c r="AR5" s="95"/>
      <c r="AS5" s="95"/>
      <c r="AT5" s="95"/>
      <c r="AU5" s="95"/>
      <c r="AV5" s="95"/>
      <c r="AW5" s="95"/>
      <c r="AX5" s="95"/>
      <c r="AY5" s="95"/>
      <c r="AZ5" s="95"/>
      <c r="BA5" s="95"/>
      <c r="BB5" s="95"/>
      <c r="BC5" s="95"/>
      <c r="BD5" s="95"/>
      <c r="BE5" s="95"/>
      <c r="BF5" s="95"/>
      <c r="BG5" s="95"/>
      <c r="BH5" s="95"/>
      <c r="BI5" s="95"/>
      <c r="BJ5" s="95"/>
      <c r="BK5" s="95"/>
      <c r="BL5" s="95"/>
      <c r="BM5" s="95"/>
      <c r="BN5" s="95"/>
      <c r="BO5" s="95"/>
      <c r="BP5" s="95"/>
      <c r="BQ5" s="95"/>
      <c r="BR5" s="95"/>
      <c r="BS5" s="95"/>
      <c r="BT5" s="95"/>
      <c r="BU5" s="95"/>
      <c r="BV5" s="95"/>
      <c r="BW5" s="95"/>
      <c r="BX5" s="95"/>
      <c r="BY5" s="95"/>
      <c r="BZ5" s="95"/>
      <c r="CA5" s="95"/>
      <c r="CB5" s="95"/>
      <c r="CC5" s="95"/>
      <c r="CD5" s="95"/>
      <c r="CE5" s="96"/>
    </row>
    <row r="6" spans="1:98" ht="13.5" customHeight="1">
      <c r="A6" s="93"/>
      <c r="B6" s="93"/>
      <c r="C6" s="93"/>
      <c r="D6" s="92"/>
      <c r="E6" s="92"/>
      <c r="F6" s="92"/>
      <c r="G6" s="92"/>
      <c r="H6" s="92"/>
      <c r="I6" s="92"/>
      <c r="J6" s="98"/>
      <c r="K6" s="99"/>
      <c r="L6" s="99"/>
      <c r="M6" s="99"/>
      <c r="N6" s="99"/>
      <c r="O6" s="99"/>
      <c r="P6" s="99"/>
      <c r="Q6" s="100"/>
      <c r="R6" s="98"/>
      <c r="S6" s="99"/>
      <c r="T6" s="99"/>
      <c r="U6" s="99"/>
      <c r="V6" s="99"/>
      <c r="W6" s="99"/>
      <c r="X6" s="99"/>
      <c r="Y6" s="100"/>
      <c r="Z6" s="86"/>
      <c r="AA6" s="87"/>
      <c r="AB6" s="87"/>
      <c r="AC6" s="87"/>
      <c r="AD6" s="87"/>
      <c r="AE6" s="88"/>
      <c r="AF6" s="94"/>
      <c r="AG6" s="95"/>
      <c r="AH6" s="95"/>
      <c r="AI6" s="95"/>
      <c r="AJ6" s="95"/>
      <c r="AK6" s="95"/>
      <c r="AL6" s="95"/>
      <c r="AM6" s="95"/>
      <c r="AN6" s="95"/>
      <c r="AO6" s="95"/>
      <c r="AP6" s="95"/>
      <c r="AQ6" s="95"/>
      <c r="AR6" s="95"/>
      <c r="AS6" s="95"/>
      <c r="AT6" s="95"/>
      <c r="AU6" s="95"/>
      <c r="AV6" s="95"/>
      <c r="AW6" s="95"/>
      <c r="AX6" s="95"/>
      <c r="AY6" s="95"/>
      <c r="AZ6" s="95"/>
      <c r="BA6" s="95"/>
      <c r="BB6" s="95"/>
      <c r="BC6" s="95"/>
      <c r="BD6" s="95"/>
      <c r="BE6" s="95"/>
      <c r="BF6" s="95"/>
      <c r="BG6" s="95"/>
      <c r="BH6" s="95"/>
      <c r="BI6" s="95"/>
      <c r="BJ6" s="95"/>
      <c r="BK6" s="95"/>
      <c r="BL6" s="95"/>
      <c r="BM6" s="95"/>
      <c r="BN6" s="95"/>
      <c r="BO6" s="95"/>
      <c r="BP6" s="95"/>
      <c r="BQ6" s="95"/>
      <c r="BR6" s="95"/>
      <c r="BS6" s="95"/>
      <c r="BT6" s="95"/>
      <c r="BU6" s="95"/>
      <c r="BV6" s="95"/>
      <c r="BW6" s="95"/>
      <c r="BX6" s="95"/>
      <c r="BY6" s="95"/>
      <c r="BZ6" s="95"/>
      <c r="CA6" s="95"/>
      <c r="CB6" s="95"/>
      <c r="CC6" s="95"/>
      <c r="CD6" s="95"/>
      <c r="CE6" s="96"/>
    </row>
    <row r="7" spans="1:98" ht="13.5" customHeight="1">
      <c r="A7" s="93"/>
      <c r="B7" s="93"/>
      <c r="C7" s="93"/>
      <c r="D7" s="92"/>
      <c r="E7" s="92"/>
      <c r="F7" s="92"/>
      <c r="G7" s="92"/>
      <c r="H7" s="92"/>
      <c r="I7" s="92"/>
      <c r="J7" s="86"/>
      <c r="K7" s="87"/>
      <c r="L7" s="87"/>
      <c r="M7" s="87"/>
      <c r="N7" s="87"/>
      <c r="O7" s="87"/>
      <c r="P7" s="87"/>
      <c r="Q7" s="88"/>
      <c r="R7" s="86"/>
      <c r="S7" s="87"/>
      <c r="T7" s="87"/>
      <c r="U7" s="87"/>
      <c r="V7" s="87"/>
      <c r="W7" s="87"/>
      <c r="X7" s="87"/>
      <c r="Y7" s="88"/>
      <c r="Z7" s="86"/>
      <c r="AA7" s="87"/>
      <c r="AB7" s="87"/>
      <c r="AC7" s="87"/>
      <c r="AD7" s="87"/>
      <c r="AE7" s="88"/>
      <c r="AF7" s="97"/>
      <c r="AG7" s="90"/>
      <c r="AH7" s="90"/>
      <c r="AI7" s="90"/>
      <c r="AJ7" s="90"/>
      <c r="AK7" s="90"/>
      <c r="AL7" s="90"/>
      <c r="AM7" s="90"/>
      <c r="AN7" s="90"/>
      <c r="AO7" s="90"/>
      <c r="AP7" s="90"/>
      <c r="AQ7" s="90"/>
      <c r="AR7" s="90"/>
      <c r="AS7" s="90"/>
      <c r="AT7" s="90"/>
      <c r="AU7" s="90"/>
      <c r="AV7" s="90"/>
      <c r="AW7" s="90"/>
      <c r="AX7" s="90"/>
      <c r="AY7" s="90"/>
      <c r="AZ7" s="90"/>
      <c r="BA7" s="90"/>
      <c r="BB7" s="90"/>
      <c r="BC7" s="90"/>
      <c r="BD7" s="90"/>
      <c r="BE7" s="90"/>
      <c r="BF7" s="90"/>
      <c r="BG7" s="90"/>
      <c r="BH7" s="90"/>
      <c r="BI7" s="90"/>
      <c r="BJ7" s="90"/>
      <c r="BK7" s="90"/>
      <c r="BL7" s="90"/>
      <c r="BM7" s="90"/>
      <c r="BN7" s="90"/>
      <c r="BO7" s="90"/>
      <c r="BP7" s="90"/>
      <c r="BQ7" s="90"/>
      <c r="BR7" s="90"/>
      <c r="BS7" s="90"/>
      <c r="BT7" s="90"/>
      <c r="BU7" s="90"/>
      <c r="BV7" s="90"/>
      <c r="BW7" s="90"/>
      <c r="BX7" s="90"/>
      <c r="BY7" s="90"/>
      <c r="BZ7" s="90"/>
      <c r="CA7" s="90"/>
      <c r="CB7" s="90"/>
      <c r="CC7" s="90"/>
      <c r="CD7" s="90"/>
      <c r="CE7" s="91"/>
    </row>
    <row r="8" spans="1:98" ht="13.5" customHeight="1">
      <c r="A8" s="93"/>
      <c r="B8" s="93"/>
      <c r="C8" s="93"/>
      <c r="D8" s="92"/>
      <c r="E8" s="92"/>
      <c r="F8" s="92"/>
      <c r="G8" s="92"/>
      <c r="H8" s="92"/>
      <c r="I8" s="92"/>
      <c r="J8" s="86"/>
      <c r="K8" s="87"/>
      <c r="L8" s="87"/>
      <c r="M8" s="87"/>
      <c r="N8" s="87"/>
      <c r="O8" s="87"/>
      <c r="P8" s="87"/>
      <c r="Q8" s="88"/>
      <c r="R8" s="86"/>
      <c r="S8" s="87"/>
      <c r="T8" s="87"/>
      <c r="U8" s="87"/>
      <c r="V8" s="87"/>
      <c r="W8" s="87"/>
      <c r="X8" s="87"/>
      <c r="Y8" s="88"/>
      <c r="Z8" s="86"/>
      <c r="AA8" s="87"/>
      <c r="AB8" s="87"/>
      <c r="AC8" s="87"/>
      <c r="AD8" s="87"/>
      <c r="AE8" s="88"/>
      <c r="AF8" s="97"/>
      <c r="AG8" s="90"/>
      <c r="AH8" s="90"/>
      <c r="AI8" s="90"/>
      <c r="AJ8" s="90"/>
      <c r="AK8" s="90"/>
      <c r="AL8" s="90"/>
      <c r="AM8" s="90"/>
      <c r="AN8" s="90"/>
      <c r="AO8" s="90"/>
      <c r="AP8" s="90"/>
      <c r="AQ8" s="90"/>
      <c r="AR8" s="90"/>
      <c r="AS8" s="90"/>
      <c r="AT8" s="90"/>
      <c r="AU8" s="90"/>
      <c r="AV8" s="90"/>
      <c r="AW8" s="90"/>
      <c r="AX8" s="90"/>
      <c r="AY8" s="90"/>
      <c r="AZ8" s="90"/>
      <c r="BA8" s="90"/>
      <c r="BB8" s="90"/>
      <c r="BC8" s="90"/>
      <c r="BD8" s="90"/>
      <c r="BE8" s="90"/>
      <c r="BF8" s="90"/>
      <c r="BG8" s="90"/>
      <c r="BH8" s="90"/>
      <c r="BI8" s="90"/>
      <c r="BJ8" s="90"/>
      <c r="BK8" s="90"/>
      <c r="BL8" s="90"/>
      <c r="BM8" s="90"/>
      <c r="BN8" s="90"/>
      <c r="BO8" s="90"/>
      <c r="BP8" s="90"/>
      <c r="BQ8" s="90"/>
      <c r="BR8" s="90"/>
      <c r="BS8" s="90"/>
      <c r="BT8" s="90"/>
      <c r="BU8" s="90"/>
      <c r="BV8" s="90"/>
      <c r="BW8" s="90"/>
      <c r="BX8" s="90"/>
      <c r="BY8" s="90"/>
      <c r="BZ8" s="90"/>
      <c r="CA8" s="90"/>
      <c r="CB8" s="90"/>
      <c r="CC8" s="90"/>
      <c r="CD8" s="90"/>
      <c r="CE8" s="91"/>
    </row>
    <row r="9" spans="1:98" ht="13.5" customHeight="1">
      <c r="A9" s="93"/>
      <c r="B9" s="93"/>
      <c r="C9" s="93"/>
      <c r="D9" s="92"/>
      <c r="E9" s="92"/>
      <c r="F9" s="92"/>
      <c r="G9" s="92"/>
      <c r="H9" s="92"/>
      <c r="I9" s="92"/>
      <c r="J9" s="86"/>
      <c r="K9" s="87"/>
      <c r="L9" s="87"/>
      <c r="M9" s="87"/>
      <c r="N9" s="87"/>
      <c r="O9" s="87"/>
      <c r="P9" s="87"/>
      <c r="Q9" s="88"/>
      <c r="R9" s="86"/>
      <c r="S9" s="87"/>
      <c r="T9" s="87"/>
      <c r="U9" s="87"/>
      <c r="V9" s="87"/>
      <c r="W9" s="87"/>
      <c r="X9" s="87"/>
      <c r="Y9" s="88"/>
      <c r="Z9" s="86"/>
      <c r="AA9" s="87"/>
      <c r="AB9" s="87"/>
      <c r="AC9" s="87"/>
      <c r="AD9" s="87"/>
      <c r="AE9" s="88"/>
      <c r="AF9" s="89"/>
      <c r="AG9" s="90"/>
      <c r="AH9" s="90"/>
      <c r="AI9" s="90"/>
      <c r="AJ9" s="90"/>
      <c r="AK9" s="90"/>
      <c r="AL9" s="90"/>
      <c r="AM9" s="90"/>
      <c r="AN9" s="90"/>
      <c r="AO9" s="90"/>
      <c r="AP9" s="90"/>
      <c r="AQ9" s="90"/>
      <c r="AR9" s="90"/>
      <c r="AS9" s="90"/>
      <c r="AT9" s="90"/>
      <c r="AU9" s="90"/>
      <c r="AV9" s="90"/>
      <c r="AW9" s="90"/>
      <c r="AX9" s="90"/>
      <c r="AY9" s="90"/>
      <c r="AZ9" s="90"/>
      <c r="BA9" s="90"/>
      <c r="BB9" s="90"/>
      <c r="BC9" s="90"/>
      <c r="BD9" s="90"/>
      <c r="BE9" s="90"/>
      <c r="BF9" s="90"/>
      <c r="BG9" s="90"/>
      <c r="BH9" s="90"/>
      <c r="BI9" s="90"/>
      <c r="BJ9" s="90"/>
      <c r="BK9" s="90"/>
      <c r="BL9" s="90"/>
      <c r="BM9" s="90"/>
      <c r="BN9" s="90"/>
      <c r="BO9" s="90"/>
      <c r="BP9" s="90"/>
      <c r="BQ9" s="90"/>
      <c r="BR9" s="90"/>
      <c r="BS9" s="90"/>
      <c r="BT9" s="90"/>
      <c r="BU9" s="90"/>
      <c r="BV9" s="90"/>
      <c r="BW9" s="90"/>
      <c r="BX9" s="90"/>
      <c r="BY9" s="90"/>
      <c r="BZ9" s="90"/>
      <c r="CA9" s="90"/>
      <c r="CB9" s="90"/>
      <c r="CC9" s="90"/>
      <c r="CD9" s="90"/>
      <c r="CE9" s="91"/>
    </row>
    <row r="10" spans="1:98" ht="13.5" customHeight="1">
      <c r="A10" s="93"/>
      <c r="B10" s="93"/>
      <c r="C10" s="93"/>
      <c r="D10" s="92"/>
      <c r="E10" s="92"/>
      <c r="F10" s="92"/>
      <c r="G10" s="92"/>
      <c r="H10" s="92"/>
      <c r="I10" s="92"/>
      <c r="J10" s="86"/>
      <c r="K10" s="87"/>
      <c r="L10" s="87"/>
      <c r="M10" s="87"/>
      <c r="N10" s="87"/>
      <c r="O10" s="87"/>
      <c r="P10" s="87"/>
      <c r="Q10" s="88"/>
      <c r="R10" s="86"/>
      <c r="S10" s="87"/>
      <c r="T10" s="87"/>
      <c r="U10" s="87"/>
      <c r="V10" s="87"/>
      <c r="W10" s="87"/>
      <c r="X10" s="87"/>
      <c r="Y10" s="88"/>
      <c r="Z10" s="86"/>
      <c r="AA10" s="87"/>
      <c r="AB10" s="87"/>
      <c r="AC10" s="87"/>
      <c r="AD10" s="87"/>
      <c r="AE10" s="88"/>
      <c r="AF10" s="89"/>
      <c r="AG10" s="90"/>
      <c r="AH10" s="90"/>
      <c r="AI10" s="90"/>
      <c r="AJ10" s="90"/>
      <c r="AK10" s="90"/>
      <c r="AL10" s="90"/>
      <c r="AM10" s="90"/>
      <c r="AN10" s="90"/>
      <c r="AO10" s="90"/>
      <c r="AP10" s="90"/>
      <c r="AQ10" s="90"/>
      <c r="AR10" s="90"/>
      <c r="AS10" s="90"/>
      <c r="AT10" s="90"/>
      <c r="AU10" s="90"/>
      <c r="AV10" s="90"/>
      <c r="AW10" s="90"/>
      <c r="AX10" s="90"/>
      <c r="AY10" s="90"/>
      <c r="AZ10" s="90"/>
      <c r="BA10" s="90"/>
      <c r="BB10" s="90"/>
      <c r="BC10" s="90"/>
      <c r="BD10" s="90"/>
      <c r="BE10" s="90"/>
      <c r="BF10" s="90"/>
      <c r="BG10" s="90"/>
      <c r="BH10" s="90"/>
      <c r="BI10" s="90"/>
      <c r="BJ10" s="90"/>
      <c r="BK10" s="90"/>
      <c r="BL10" s="90"/>
      <c r="BM10" s="90"/>
      <c r="BN10" s="90"/>
      <c r="BO10" s="90"/>
      <c r="BP10" s="90"/>
      <c r="BQ10" s="90"/>
      <c r="BR10" s="90"/>
      <c r="BS10" s="90"/>
      <c r="BT10" s="90"/>
      <c r="BU10" s="90"/>
      <c r="BV10" s="90"/>
      <c r="BW10" s="90"/>
      <c r="BX10" s="90"/>
      <c r="BY10" s="90"/>
      <c r="BZ10" s="90"/>
      <c r="CA10" s="90"/>
      <c r="CB10" s="90"/>
      <c r="CC10" s="90"/>
      <c r="CD10" s="90"/>
      <c r="CE10" s="91"/>
    </row>
    <row r="11" spans="1:98" ht="13.5" customHeight="1">
      <c r="A11" s="93"/>
      <c r="B11" s="93"/>
      <c r="C11" s="93"/>
      <c r="D11" s="92"/>
      <c r="E11" s="92"/>
      <c r="F11" s="92"/>
      <c r="G11" s="92"/>
      <c r="H11" s="92"/>
      <c r="I11" s="92"/>
      <c r="J11" s="86"/>
      <c r="K11" s="87"/>
      <c r="L11" s="87"/>
      <c r="M11" s="87"/>
      <c r="N11" s="87"/>
      <c r="O11" s="87"/>
      <c r="P11" s="87"/>
      <c r="Q11" s="88"/>
      <c r="R11" s="86"/>
      <c r="S11" s="87"/>
      <c r="T11" s="87"/>
      <c r="U11" s="87"/>
      <c r="V11" s="87"/>
      <c r="W11" s="87"/>
      <c r="X11" s="87"/>
      <c r="Y11" s="88"/>
      <c r="Z11" s="86"/>
      <c r="AA11" s="87"/>
      <c r="AB11" s="87"/>
      <c r="AC11" s="87"/>
      <c r="AD11" s="87"/>
      <c r="AE11" s="88"/>
      <c r="AF11" s="89"/>
      <c r="AG11" s="90"/>
      <c r="AH11" s="90"/>
      <c r="AI11" s="90"/>
      <c r="AJ11" s="90"/>
      <c r="AK11" s="90"/>
      <c r="AL11" s="90"/>
      <c r="AM11" s="90"/>
      <c r="AN11" s="90"/>
      <c r="AO11" s="90"/>
      <c r="AP11" s="90"/>
      <c r="AQ11" s="90"/>
      <c r="AR11" s="90"/>
      <c r="AS11" s="90"/>
      <c r="AT11" s="90"/>
      <c r="AU11" s="90"/>
      <c r="AV11" s="90"/>
      <c r="AW11" s="90"/>
      <c r="AX11" s="90"/>
      <c r="AY11" s="90"/>
      <c r="AZ11" s="90"/>
      <c r="BA11" s="90"/>
      <c r="BB11" s="90"/>
      <c r="BC11" s="90"/>
      <c r="BD11" s="90"/>
      <c r="BE11" s="90"/>
      <c r="BF11" s="90"/>
      <c r="BG11" s="90"/>
      <c r="BH11" s="90"/>
      <c r="BI11" s="90"/>
      <c r="BJ11" s="90"/>
      <c r="BK11" s="90"/>
      <c r="BL11" s="90"/>
      <c r="BM11" s="90"/>
      <c r="BN11" s="90"/>
      <c r="BO11" s="90"/>
      <c r="BP11" s="90"/>
      <c r="BQ11" s="90"/>
      <c r="BR11" s="90"/>
      <c r="BS11" s="90"/>
      <c r="BT11" s="90"/>
      <c r="BU11" s="90"/>
      <c r="BV11" s="90"/>
      <c r="BW11" s="90"/>
      <c r="BX11" s="90"/>
      <c r="BY11" s="90"/>
      <c r="BZ11" s="90"/>
      <c r="CA11" s="90"/>
      <c r="CB11" s="90"/>
      <c r="CC11" s="90"/>
      <c r="CD11" s="90"/>
      <c r="CE11" s="91"/>
    </row>
    <row r="12" spans="1:98" ht="13.5" customHeight="1">
      <c r="A12" s="93"/>
      <c r="B12" s="93"/>
      <c r="C12" s="93"/>
      <c r="D12" s="92"/>
      <c r="E12" s="92"/>
      <c r="F12" s="92"/>
      <c r="G12" s="92"/>
      <c r="H12" s="92"/>
      <c r="I12" s="92"/>
      <c r="J12" s="86"/>
      <c r="K12" s="87"/>
      <c r="L12" s="87"/>
      <c r="M12" s="87"/>
      <c r="N12" s="87"/>
      <c r="O12" s="87"/>
      <c r="P12" s="87"/>
      <c r="Q12" s="88"/>
      <c r="R12" s="86"/>
      <c r="S12" s="87"/>
      <c r="T12" s="87"/>
      <c r="U12" s="87"/>
      <c r="V12" s="87"/>
      <c r="W12" s="87"/>
      <c r="X12" s="87"/>
      <c r="Y12" s="88"/>
      <c r="Z12" s="86"/>
      <c r="AA12" s="87"/>
      <c r="AB12" s="87"/>
      <c r="AC12" s="87"/>
      <c r="AD12" s="87"/>
      <c r="AE12" s="88"/>
      <c r="AF12" s="89"/>
      <c r="AG12" s="90"/>
      <c r="AH12" s="90"/>
      <c r="AI12" s="90"/>
      <c r="AJ12" s="90"/>
      <c r="AK12" s="90"/>
      <c r="AL12" s="90"/>
      <c r="AM12" s="90"/>
      <c r="AN12" s="90"/>
      <c r="AO12" s="90"/>
      <c r="AP12" s="90"/>
      <c r="AQ12" s="90"/>
      <c r="AR12" s="90"/>
      <c r="AS12" s="90"/>
      <c r="AT12" s="90"/>
      <c r="AU12" s="90"/>
      <c r="AV12" s="90"/>
      <c r="AW12" s="90"/>
      <c r="AX12" s="90"/>
      <c r="AY12" s="90"/>
      <c r="AZ12" s="90"/>
      <c r="BA12" s="90"/>
      <c r="BB12" s="90"/>
      <c r="BC12" s="90"/>
      <c r="BD12" s="90"/>
      <c r="BE12" s="90"/>
      <c r="BF12" s="90"/>
      <c r="BG12" s="90"/>
      <c r="BH12" s="90"/>
      <c r="BI12" s="90"/>
      <c r="BJ12" s="90"/>
      <c r="BK12" s="90"/>
      <c r="BL12" s="90"/>
      <c r="BM12" s="90"/>
      <c r="BN12" s="90"/>
      <c r="BO12" s="90"/>
      <c r="BP12" s="90"/>
      <c r="BQ12" s="90"/>
      <c r="BR12" s="90"/>
      <c r="BS12" s="90"/>
      <c r="BT12" s="90"/>
      <c r="BU12" s="90"/>
      <c r="BV12" s="90"/>
      <c r="BW12" s="90"/>
      <c r="BX12" s="90"/>
      <c r="BY12" s="90"/>
      <c r="BZ12" s="90"/>
      <c r="CA12" s="90"/>
      <c r="CB12" s="90"/>
      <c r="CC12" s="90"/>
      <c r="CD12" s="90"/>
      <c r="CE12" s="91"/>
    </row>
    <row r="13" spans="1:98" ht="13.5" customHeight="1">
      <c r="A13" s="93"/>
      <c r="B13" s="93"/>
      <c r="C13" s="93"/>
      <c r="D13" s="92"/>
      <c r="E13" s="92"/>
      <c r="F13" s="92"/>
      <c r="G13" s="92"/>
      <c r="H13" s="92"/>
      <c r="I13" s="92"/>
      <c r="J13" s="86"/>
      <c r="K13" s="87"/>
      <c r="L13" s="87"/>
      <c r="M13" s="87"/>
      <c r="N13" s="87"/>
      <c r="O13" s="87"/>
      <c r="P13" s="87"/>
      <c r="Q13" s="88"/>
      <c r="R13" s="86"/>
      <c r="S13" s="87"/>
      <c r="T13" s="87"/>
      <c r="U13" s="87"/>
      <c r="V13" s="87"/>
      <c r="W13" s="87"/>
      <c r="X13" s="87"/>
      <c r="Y13" s="88"/>
      <c r="Z13" s="86"/>
      <c r="AA13" s="87"/>
      <c r="AB13" s="87"/>
      <c r="AC13" s="87"/>
      <c r="AD13" s="87"/>
      <c r="AE13" s="88"/>
      <c r="AF13" s="89"/>
      <c r="AG13" s="90"/>
      <c r="AH13" s="90"/>
      <c r="AI13" s="90"/>
      <c r="AJ13" s="90"/>
      <c r="AK13" s="90"/>
      <c r="AL13" s="90"/>
      <c r="AM13" s="90"/>
      <c r="AN13" s="90"/>
      <c r="AO13" s="90"/>
      <c r="AP13" s="90"/>
      <c r="AQ13" s="90"/>
      <c r="AR13" s="90"/>
      <c r="AS13" s="90"/>
      <c r="AT13" s="90"/>
      <c r="AU13" s="90"/>
      <c r="AV13" s="90"/>
      <c r="AW13" s="90"/>
      <c r="AX13" s="90"/>
      <c r="AY13" s="90"/>
      <c r="AZ13" s="90"/>
      <c r="BA13" s="90"/>
      <c r="BB13" s="90"/>
      <c r="BC13" s="90"/>
      <c r="BD13" s="90"/>
      <c r="BE13" s="90"/>
      <c r="BF13" s="90"/>
      <c r="BG13" s="90"/>
      <c r="BH13" s="90"/>
      <c r="BI13" s="90"/>
      <c r="BJ13" s="90"/>
      <c r="BK13" s="90"/>
      <c r="BL13" s="90"/>
      <c r="BM13" s="90"/>
      <c r="BN13" s="90"/>
      <c r="BO13" s="90"/>
      <c r="BP13" s="90"/>
      <c r="BQ13" s="90"/>
      <c r="BR13" s="90"/>
      <c r="BS13" s="90"/>
      <c r="BT13" s="90"/>
      <c r="BU13" s="90"/>
      <c r="BV13" s="90"/>
      <c r="BW13" s="90"/>
      <c r="BX13" s="90"/>
      <c r="BY13" s="90"/>
      <c r="BZ13" s="90"/>
      <c r="CA13" s="90"/>
      <c r="CB13" s="90"/>
      <c r="CC13" s="90"/>
      <c r="CD13" s="90"/>
      <c r="CE13" s="91"/>
    </row>
    <row r="14" spans="1:98" ht="13.5" customHeight="1">
      <c r="A14" s="93"/>
      <c r="B14" s="93"/>
      <c r="C14" s="93"/>
      <c r="D14" s="92"/>
      <c r="E14" s="92"/>
      <c r="F14" s="92"/>
      <c r="G14" s="92"/>
      <c r="H14" s="92"/>
      <c r="I14" s="92"/>
      <c r="J14" s="86"/>
      <c r="K14" s="87"/>
      <c r="L14" s="87"/>
      <c r="M14" s="87"/>
      <c r="N14" s="87"/>
      <c r="O14" s="87"/>
      <c r="P14" s="87"/>
      <c r="Q14" s="88"/>
      <c r="R14" s="86"/>
      <c r="S14" s="87"/>
      <c r="T14" s="87"/>
      <c r="U14" s="87"/>
      <c r="V14" s="87"/>
      <c r="W14" s="87"/>
      <c r="X14" s="87"/>
      <c r="Y14" s="88"/>
      <c r="Z14" s="86"/>
      <c r="AA14" s="87"/>
      <c r="AB14" s="87"/>
      <c r="AC14" s="87"/>
      <c r="AD14" s="87"/>
      <c r="AE14" s="88"/>
      <c r="AF14" s="89"/>
      <c r="AG14" s="90"/>
      <c r="AH14" s="90"/>
      <c r="AI14" s="90"/>
      <c r="AJ14" s="90"/>
      <c r="AK14" s="90"/>
      <c r="AL14" s="90"/>
      <c r="AM14" s="90"/>
      <c r="AN14" s="90"/>
      <c r="AO14" s="90"/>
      <c r="AP14" s="90"/>
      <c r="AQ14" s="90"/>
      <c r="AR14" s="90"/>
      <c r="AS14" s="90"/>
      <c r="AT14" s="90"/>
      <c r="AU14" s="90"/>
      <c r="AV14" s="90"/>
      <c r="AW14" s="90"/>
      <c r="AX14" s="90"/>
      <c r="AY14" s="90"/>
      <c r="AZ14" s="90"/>
      <c r="BA14" s="90"/>
      <c r="BB14" s="90"/>
      <c r="BC14" s="90"/>
      <c r="BD14" s="90"/>
      <c r="BE14" s="90"/>
      <c r="BF14" s="90"/>
      <c r="BG14" s="90"/>
      <c r="BH14" s="90"/>
      <c r="BI14" s="90"/>
      <c r="BJ14" s="90"/>
      <c r="BK14" s="90"/>
      <c r="BL14" s="90"/>
      <c r="BM14" s="90"/>
      <c r="BN14" s="90"/>
      <c r="BO14" s="90"/>
      <c r="BP14" s="90"/>
      <c r="BQ14" s="90"/>
      <c r="BR14" s="90"/>
      <c r="BS14" s="90"/>
      <c r="BT14" s="90"/>
      <c r="BU14" s="90"/>
      <c r="BV14" s="90"/>
      <c r="BW14" s="90"/>
      <c r="BX14" s="90"/>
      <c r="BY14" s="90"/>
      <c r="BZ14" s="90"/>
      <c r="CA14" s="90"/>
      <c r="CB14" s="90"/>
      <c r="CC14" s="90"/>
      <c r="CD14" s="90"/>
      <c r="CE14" s="91"/>
    </row>
    <row r="15" spans="1:98" ht="13.5" customHeight="1">
      <c r="A15" s="93"/>
      <c r="B15" s="93"/>
      <c r="C15" s="93"/>
      <c r="D15" s="92"/>
      <c r="E15" s="92"/>
      <c r="F15" s="92"/>
      <c r="G15" s="92"/>
      <c r="H15" s="92"/>
      <c r="I15" s="92"/>
      <c r="J15" s="86"/>
      <c r="K15" s="87"/>
      <c r="L15" s="87"/>
      <c r="M15" s="87"/>
      <c r="N15" s="87"/>
      <c r="O15" s="87"/>
      <c r="P15" s="87"/>
      <c r="Q15" s="88"/>
      <c r="R15" s="86"/>
      <c r="S15" s="87"/>
      <c r="T15" s="87"/>
      <c r="U15" s="87"/>
      <c r="V15" s="87"/>
      <c r="W15" s="87"/>
      <c r="X15" s="87"/>
      <c r="Y15" s="88"/>
      <c r="Z15" s="86"/>
      <c r="AA15" s="87"/>
      <c r="AB15" s="87"/>
      <c r="AC15" s="87"/>
      <c r="AD15" s="87"/>
      <c r="AE15" s="88"/>
      <c r="AF15" s="89"/>
      <c r="AG15" s="90"/>
      <c r="AH15" s="90"/>
      <c r="AI15" s="90"/>
      <c r="AJ15" s="90"/>
      <c r="AK15" s="90"/>
      <c r="AL15" s="90"/>
      <c r="AM15" s="90"/>
      <c r="AN15" s="90"/>
      <c r="AO15" s="90"/>
      <c r="AP15" s="90"/>
      <c r="AQ15" s="90"/>
      <c r="AR15" s="90"/>
      <c r="AS15" s="90"/>
      <c r="AT15" s="90"/>
      <c r="AU15" s="90"/>
      <c r="AV15" s="90"/>
      <c r="AW15" s="90"/>
      <c r="AX15" s="90"/>
      <c r="AY15" s="90"/>
      <c r="AZ15" s="90"/>
      <c r="BA15" s="90"/>
      <c r="BB15" s="90"/>
      <c r="BC15" s="90"/>
      <c r="BD15" s="90"/>
      <c r="BE15" s="90"/>
      <c r="BF15" s="90"/>
      <c r="BG15" s="90"/>
      <c r="BH15" s="90"/>
      <c r="BI15" s="90"/>
      <c r="BJ15" s="90"/>
      <c r="BK15" s="90"/>
      <c r="BL15" s="90"/>
      <c r="BM15" s="90"/>
      <c r="BN15" s="90"/>
      <c r="BO15" s="90"/>
      <c r="BP15" s="90"/>
      <c r="BQ15" s="90"/>
      <c r="BR15" s="90"/>
      <c r="BS15" s="90"/>
      <c r="BT15" s="90"/>
      <c r="BU15" s="90"/>
      <c r="BV15" s="90"/>
      <c r="BW15" s="90"/>
      <c r="BX15" s="90"/>
      <c r="BY15" s="90"/>
      <c r="BZ15" s="90"/>
      <c r="CA15" s="90"/>
      <c r="CB15" s="90"/>
      <c r="CC15" s="90"/>
      <c r="CD15" s="90"/>
      <c r="CE15" s="91"/>
    </row>
    <row r="16" spans="1:98" ht="13.5" customHeight="1">
      <c r="A16" s="93"/>
      <c r="B16" s="93"/>
      <c r="C16" s="93"/>
      <c r="D16" s="92"/>
      <c r="E16" s="92"/>
      <c r="F16" s="92"/>
      <c r="G16" s="92"/>
      <c r="H16" s="92"/>
      <c r="I16" s="92"/>
      <c r="J16" s="86"/>
      <c r="K16" s="87"/>
      <c r="L16" s="87"/>
      <c r="M16" s="87"/>
      <c r="N16" s="87"/>
      <c r="O16" s="87"/>
      <c r="P16" s="87"/>
      <c r="Q16" s="88"/>
      <c r="R16" s="86"/>
      <c r="S16" s="87"/>
      <c r="T16" s="87"/>
      <c r="U16" s="87"/>
      <c r="V16" s="87"/>
      <c r="W16" s="87"/>
      <c r="X16" s="87"/>
      <c r="Y16" s="88"/>
      <c r="Z16" s="86"/>
      <c r="AA16" s="87"/>
      <c r="AB16" s="87"/>
      <c r="AC16" s="87"/>
      <c r="AD16" s="87"/>
      <c r="AE16" s="88"/>
      <c r="AF16" s="89"/>
      <c r="AG16" s="90"/>
      <c r="AH16" s="90"/>
      <c r="AI16" s="90"/>
      <c r="AJ16" s="90"/>
      <c r="AK16" s="90"/>
      <c r="AL16" s="90"/>
      <c r="AM16" s="90"/>
      <c r="AN16" s="90"/>
      <c r="AO16" s="90"/>
      <c r="AP16" s="90"/>
      <c r="AQ16" s="90"/>
      <c r="AR16" s="90"/>
      <c r="AS16" s="90"/>
      <c r="AT16" s="90"/>
      <c r="AU16" s="90"/>
      <c r="AV16" s="90"/>
      <c r="AW16" s="90"/>
      <c r="AX16" s="90"/>
      <c r="AY16" s="90"/>
      <c r="AZ16" s="90"/>
      <c r="BA16" s="90"/>
      <c r="BB16" s="90"/>
      <c r="BC16" s="90"/>
      <c r="BD16" s="90"/>
      <c r="BE16" s="90"/>
      <c r="BF16" s="90"/>
      <c r="BG16" s="90"/>
      <c r="BH16" s="90"/>
      <c r="BI16" s="90"/>
      <c r="BJ16" s="90"/>
      <c r="BK16" s="90"/>
      <c r="BL16" s="90"/>
      <c r="BM16" s="90"/>
      <c r="BN16" s="90"/>
      <c r="BO16" s="90"/>
      <c r="BP16" s="90"/>
      <c r="BQ16" s="90"/>
      <c r="BR16" s="90"/>
      <c r="BS16" s="90"/>
      <c r="BT16" s="90"/>
      <c r="BU16" s="90"/>
      <c r="BV16" s="90"/>
      <c r="BW16" s="90"/>
      <c r="BX16" s="90"/>
      <c r="BY16" s="90"/>
      <c r="BZ16" s="90"/>
      <c r="CA16" s="90"/>
      <c r="CB16" s="90"/>
      <c r="CC16" s="90"/>
      <c r="CD16" s="90"/>
      <c r="CE16" s="91"/>
    </row>
    <row r="17" spans="1:83" ht="13.5" customHeight="1">
      <c r="A17" s="93"/>
      <c r="B17" s="93"/>
      <c r="C17" s="93"/>
      <c r="D17" s="92"/>
      <c r="E17" s="92"/>
      <c r="F17" s="92"/>
      <c r="G17" s="92"/>
      <c r="H17" s="92"/>
      <c r="I17" s="92"/>
      <c r="J17" s="86"/>
      <c r="K17" s="87"/>
      <c r="L17" s="87"/>
      <c r="M17" s="87"/>
      <c r="N17" s="87"/>
      <c r="O17" s="87"/>
      <c r="P17" s="87"/>
      <c r="Q17" s="88"/>
      <c r="R17" s="86"/>
      <c r="S17" s="87"/>
      <c r="T17" s="87"/>
      <c r="U17" s="87"/>
      <c r="V17" s="87"/>
      <c r="W17" s="87"/>
      <c r="X17" s="87"/>
      <c r="Y17" s="88"/>
      <c r="Z17" s="86"/>
      <c r="AA17" s="87"/>
      <c r="AB17" s="87"/>
      <c r="AC17" s="87"/>
      <c r="AD17" s="87"/>
      <c r="AE17" s="88"/>
      <c r="AF17" s="89"/>
      <c r="AG17" s="90"/>
      <c r="AH17" s="90"/>
      <c r="AI17" s="90"/>
      <c r="AJ17" s="90"/>
      <c r="AK17" s="90"/>
      <c r="AL17" s="90"/>
      <c r="AM17" s="90"/>
      <c r="AN17" s="90"/>
      <c r="AO17" s="90"/>
      <c r="AP17" s="90"/>
      <c r="AQ17" s="90"/>
      <c r="AR17" s="90"/>
      <c r="AS17" s="90"/>
      <c r="AT17" s="90"/>
      <c r="AU17" s="90"/>
      <c r="AV17" s="90"/>
      <c r="AW17" s="90"/>
      <c r="AX17" s="90"/>
      <c r="AY17" s="90"/>
      <c r="AZ17" s="90"/>
      <c r="BA17" s="90"/>
      <c r="BB17" s="90"/>
      <c r="BC17" s="90"/>
      <c r="BD17" s="90"/>
      <c r="BE17" s="90"/>
      <c r="BF17" s="90"/>
      <c r="BG17" s="90"/>
      <c r="BH17" s="90"/>
      <c r="BI17" s="90"/>
      <c r="BJ17" s="90"/>
      <c r="BK17" s="90"/>
      <c r="BL17" s="90"/>
      <c r="BM17" s="90"/>
      <c r="BN17" s="90"/>
      <c r="BO17" s="90"/>
      <c r="BP17" s="90"/>
      <c r="BQ17" s="90"/>
      <c r="BR17" s="90"/>
      <c r="BS17" s="90"/>
      <c r="BT17" s="90"/>
      <c r="BU17" s="90"/>
      <c r="BV17" s="90"/>
      <c r="BW17" s="90"/>
      <c r="BX17" s="90"/>
      <c r="BY17" s="90"/>
      <c r="BZ17" s="90"/>
      <c r="CA17" s="90"/>
      <c r="CB17" s="90"/>
      <c r="CC17" s="90"/>
      <c r="CD17" s="90"/>
      <c r="CE17" s="91"/>
    </row>
    <row r="18" spans="1:83" ht="13.5" customHeight="1">
      <c r="A18" s="93"/>
      <c r="B18" s="93"/>
      <c r="C18" s="93"/>
      <c r="D18" s="92"/>
      <c r="E18" s="92"/>
      <c r="F18" s="92"/>
      <c r="G18" s="92"/>
      <c r="H18" s="92"/>
      <c r="I18" s="92"/>
      <c r="J18" s="86"/>
      <c r="K18" s="87"/>
      <c r="L18" s="87"/>
      <c r="M18" s="87"/>
      <c r="N18" s="87"/>
      <c r="O18" s="87"/>
      <c r="P18" s="87"/>
      <c r="Q18" s="88"/>
      <c r="R18" s="86"/>
      <c r="S18" s="87"/>
      <c r="T18" s="87"/>
      <c r="U18" s="87"/>
      <c r="V18" s="87"/>
      <c r="W18" s="87"/>
      <c r="X18" s="87"/>
      <c r="Y18" s="88"/>
      <c r="Z18" s="86"/>
      <c r="AA18" s="87"/>
      <c r="AB18" s="87"/>
      <c r="AC18" s="87"/>
      <c r="AD18" s="87"/>
      <c r="AE18" s="88"/>
      <c r="AF18" s="89"/>
      <c r="AG18" s="90"/>
      <c r="AH18" s="90"/>
      <c r="AI18" s="90"/>
      <c r="AJ18" s="90"/>
      <c r="AK18" s="90"/>
      <c r="AL18" s="90"/>
      <c r="AM18" s="90"/>
      <c r="AN18" s="90"/>
      <c r="AO18" s="90"/>
      <c r="AP18" s="90"/>
      <c r="AQ18" s="90"/>
      <c r="AR18" s="90"/>
      <c r="AS18" s="90"/>
      <c r="AT18" s="90"/>
      <c r="AU18" s="90"/>
      <c r="AV18" s="90"/>
      <c r="AW18" s="90"/>
      <c r="AX18" s="90"/>
      <c r="AY18" s="90"/>
      <c r="AZ18" s="90"/>
      <c r="BA18" s="90"/>
      <c r="BB18" s="90"/>
      <c r="BC18" s="90"/>
      <c r="BD18" s="90"/>
      <c r="BE18" s="90"/>
      <c r="BF18" s="90"/>
      <c r="BG18" s="90"/>
      <c r="BH18" s="90"/>
      <c r="BI18" s="90"/>
      <c r="BJ18" s="90"/>
      <c r="BK18" s="90"/>
      <c r="BL18" s="90"/>
      <c r="BM18" s="90"/>
      <c r="BN18" s="90"/>
      <c r="BO18" s="90"/>
      <c r="BP18" s="90"/>
      <c r="BQ18" s="90"/>
      <c r="BR18" s="90"/>
      <c r="BS18" s="90"/>
      <c r="BT18" s="90"/>
      <c r="BU18" s="90"/>
      <c r="BV18" s="90"/>
      <c r="BW18" s="90"/>
      <c r="BX18" s="90"/>
      <c r="BY18" s="90"/>
      <c r="BZ18" s="90"/>
      <c r="CA18" s="90"/>
      <c r="CB18" s="90"/>
      <c r="CC18" s="90"/>
      <c r="CD18" s="90"/>
      <c r="CE18" s="91"/>
    </row>
    <row r="19" spans="1:83" ht="13.5" customHeight="1">
      <c r="A19" s="93"/>
      <c r="B19" s="93"/>
      <c r="C19" s="93"/>
      <c r="D19" s="92"/>
      <c r="E19" s="92"/>
      <c r="F19" s="92"/>
      <c r="G19" s="92"/>
      <c r="H19" s="92"/>
      <c r="I19" s="92"/>
      <c r="J19" s="86"/>
      <c r="K19" s="87"/>
      <c r="L19" s="87"/>
      <c r="M19" s="87"/>
      <c r="N19" s="87"/>
      <c r="O19" s="87"/>
      <c r="P19" s="87"/>
      <c r="Q19" s="88"/>
      <c r="R19" s="86"/>
      <c r="S19" s="87"/>
      <c r="T19" s="87"/>
      <c r="U19" s="87"/>
      <c r="V19" s="87"/>
      <c r="W19" s="87"/>
      <c r="X19" s="87"/>
      <c r="Y19" s="88"/>
      <c r="Z19" s="86"/>
      <c r="AA19" s="87"/>
      <c r="AB19" s="87"/>
      <c r="AC19" s="87"/>
      <c r="AD19" s="87"/>
      <c r="AE19" s="88"/>
      <c r="AF19" s="89"/>
      <c r="AG19" s="90"/>
      <c r="AH19" s="90"/>
      <c r="AI19" s="90"/>
      <c r="AJ19" s="90"/>
      <c r="AK19" s="90"/>
      <c r="AL19" s="90"/>
      <c r="AM19" s="90"/>
      <c r="AN19" s="90"/>
      <c r="AO19" s="90"/>
      <c r="AP19" s="90"/>
      <c r="AQ19" s="90"/>
      <c r="AR19" s="90"/>
      <c r="AS19" s="90"/>
      <c r="AT19" s="90"/>
      <c r="AU19" s="90"/>
      <c r="AV19" s="90"/>
      <c r="AW19" s="90"/>
      <c r="AX19" s="90"/>
      <c r="AY19" s="90"/>
      <c r="AZ19" s="90"/>
      <c r="BA19" s="90"/>
      <c r="BB19" s="90"/>
      <c r="BC19" s="90"/>
      <c r="BD19" s="90"/>
      <c r="BE19" s="90"/>
      <c r="BF19" s="90"/>
      <c r="BG19" s="90"/>
      <c r="BH19" s="90"/>
      <c r="BI19" s="90"/>
      <c r="BJ19" s="90"/>
      <c r="BK19" s="90"/>
      <c r="BL19" s="90"/>
      <c r="BM19" s="90"/>
      <c r="BN19" s="90"/>
      <c r="BO19" s="90"/>
      <c r="BP19" s="90"/>
      <c r="BQ19" s="90"/>
      <c r="BR19" s="90"/>
      <c r="BS19" s="90"/>
      <c r="BT19" s="90"/>
      <c r="BU19" s="90"/>
      <c r="BV19" s="90"/>
      <c r="BW19" s="90"/>
      <c r="BX19" s="90"/>
      <c r="BY19" s="90"/>
      <c r="BZ19" s="90"/>
      <c r="CA19" s="90"/>
      <c r="CB19" s="90"/>
      <c r="CC19" s="90"/>
      <c r="CD19" s="90"/>
      <c r="CE19" s="91"/>
    </row>
    <row r="20" spans="1:83" ht="13.5" customHeight="1">
      <c r="A20" s="93"/>
      <c r="B20" s="93"/>
      <c r="C20" s="93"/>
      <c r="D20" s="92"/>
      <c r="E20" s="92"/>
      <c r="F20" s="92"/>
      <c r="G20" s="92"/>
      <c r="H20" s="92"/>
      <c r="I20" s="92"/>
      <c r="J20" s="86"/>
      <c r="K20" s="87"/>
      <c r="L20" s="87"/>
      <c r="M20" s="87"/>
      <c r="N20" s="87"/>
      <c r="O20" s="87"/>
      <c r="P20" s="87"/>
      <c r="Q20" s="88"/>
      <c r="R20" s="86"/>
      <c r="S20" s="87"/>
      <c r="T20" s="87"/>
      <c r="U20" s="87"/>
      <c r="V20" s="87"/>
      <c r="W20" s="87"/>
      <c r="X20" s="87"/>
      <c r="Y20" s="88"/>
      <c r="Z20" s="86"/>
      <c r="AA20" s="87"/>
      <c r="AB20" s="87"/>
      <c r="AC20" s="87"/>
      <c r="AD20" s="87"/>
      <c r="AE20" s="88"/>
      <c r="AF20" s="89"/>
      <c r="AG20" s="90"/>
      <c r="AH20" s="90"/>
      <c r="AI20" s="90"/>
      <c r="AJ20" s="90"/>
      <c r="AK20" s="90"/>
      <c r="AL20" s="90"/>
      <c r="AM20" s="90"/>
      <c r="AN20" s="90"/>
      <c r="AO20" s="90"/>
      <c r="AP20" s="90"/>
      <c r="AQ20" s="90"/>
      <c r="AR20" s="90"/>
      <c r="AS20" s="90"/>
      <c r="AT20" s="90"/>
      <c r="AU20" s="90"/>
      <c r="AV20" s="90"/>
      <c r="AW20" s="90"/>
      <c r="AX20" s="90"/>
      <c r="AY20" s="90"/>
      <c r="AZ20" s="90"/>
      <c r="BA20" s="90"/>
      <c r="BB20" s="90"/>
      <c r="BC20" s="90"/>
      <c r="BD20" s="90"/>
      <c r="BE20" s="90"/>
      <c r="BF20" s="90"/>
      <c r="BG20" s="90"/>
      <c r="BH20" s="90"/>
      <c r="BI20" s="90"/>
      <c r="BJ20" s="90"/>
      <c r="BK20" s="90"/>
      <c r="BL20" s="90"/>
      <c r="BM20" s="90"/>
      <c r="BN20" s="90"/>
      <c r="BO20" s="90"/>
      <c r="BP20" s="90"/>
      <c r="BQ20" s="90"/>
      <c r="BR20" s="90"/>
      <c r="BS20" s="90"/>
      <c r="BT20" s="90"/>
      <c r="BU20" s="90"/>
      <c r="BV20" s="90"/>
      <c r="BW20" s="90"/>
      <c r="BX20" s="90"/>
      <c r="BY20" s="90"/>
      <c r="BZ20" s="90"/>
      <c r="CA20" s="90"/>
      <c r="CB20" s="90"/>
      <c r="CC20" s="90"/>
      <c r="CD20" s="90"/>
      <c r="CE20" s="91"/>
    </row>
    <row r="21" spans="1:83" ht="13.5" customHeight="1">
      <c r="A21" s="93"/>
      <c r="B21" s="93"/>
      <c r="C21" s="93"/>
      <c r="D21" s="92"/>
      <c r="E21" s="92"/>
      <c r="F21" s="92"/>
      <c r="G21" s="92"/>
      <c r="H21" s="92"/>
      <c r="I21" s="92"/>
      <c r="J21" s="86"/>
      <c r="K21" s="87"/>
      <c r="L21" s="87"/>
      <c r="M21" s="87"/>
      <c r="N21" s="87"/>
      <c r="O21" s="87"/>
      <c r="P21" s="87"/>
      <c r="Q21" s="88"/>
      <c r="R21" s="86"/>
      <c r="S21" s="87"/>
      <c r="T21" s="87"/>
      <c r="U21" s="87"/>
      <c r="V21" s="87"/>
      <c r="W21" s="87"/>
      <c r="X21" s="87"/>
      <c r="Y21" s="88"/>
      <c r="Z21" s="86"/>
      <c r="AA21" s="87"/>
      <c r="AB21" s="87"/>
      <c r="AC21" s="87"/>
      <c r="AD21" s="87"/>
      <c r="AE21" s="88"/>
      <c r="AF21" s="89"/>
      <c r="AG21" s="90"/>
      <c r="AH21" s="90"/>
      <c r="AI21" s="90"/>
      <c r="AJ21" s="90"/>
      <c r="AK21" s="90"/>
      <c r="AL21" s="90"/>
      <c r="AM21" s="90"/>
      <c r="AN21" s="90"/>
      <c r="AO21" s="90"/>
      <c r="AP21" s="90"/>
      <c r="AQ21" s="90"/>
      <c r="AR21" s="90"/>
      <c r="AS21" s="90"/>
      <c r="AT21" s="90"/>
      <c r="AU21" s="90"/>
      <c r="AV21" s="90"/>
      <c r="AW21" s="90"/>
      <c r="AX21" s="90"/>
      <c r="AY21" s="90"/>
      <c r="AZ21" s="90"/>
      <c r="BA21" s="90"/>
      <c r="BB21" s="90"/>
      <c r="BC21" s="90"/>
      <c r="BD21" s="90"/>
      <c r="BE21" s="90"/>
      <c r="BF21" s="90"/>
      <c r="BG21" s="90"/>
      <c r="BH21" s="90"/>
      <c r="BI21" s="90"/>
      <c r="BJ21" s="90"/>
      <c r="BK21" s="90"/>
      <c r="BL21" s="90"/>
      <c r="BM21" s="90"/>
      <c r="BN21" s="90"/>
      <c r="BO21" s="90"/>
      <c r="BP21" s="90"/>
      <c r="BQ21" s="90"/>
      <c r="BR21" s="90"/>
      <c r="BS21" s="90"/>
      <c r="BT21" s="90"/>
      <c r="BU21" s="90"/>
      <c r="BV21" s="90"/>
      <c r="BW21" s="90"/>
      <c r="BX21" s="90"/>
      <c r="BY21" s="90"/>
      <c r="BZ21" s="90"/>
      <c r="CA21" s="90"/>
      <c r="CB21" s="90"/>
      <c r="CC21" s="90"/>
      <c r="CD21" s="90"/>
      <c r="CE21" s="91"/>
    </row>
    <row r="22" spans="1:83" ht="13.5" customHeight="1">
      <c r="A22" s="93"/>
      <c r="B22" s="93"/>
      <c r="C22" s="93"/>
      <c r="D22" s="92"/>
      <c r="E22" s="92"/>
      <c r="F22" s="92"/>
      <c r="G22" s="92"/>
      <c r="H22" s="92"/>
      <c r="I22" s="92"/>
      <c r="J22" s="86"/>
      <c r="K22" s="87"/>
      <c r="L22" s="87"/>
      <c r="M22" s="87"/>
      <c r="N22" s="87"/>
      <c r="O22" s="87"/>
      <c r="P22" s="87"/>
      <c r="Q22" s="88"/>
      <c r="R22" s="86"/>
      <c r="S22" s="87"/>
      <c r="T22" s="87"/>
      <c r="U22" s="87"/>
      <c r="V22" s="87"/>
      <c r="W22" s="87"/>
      <c r="X22" s="87"/>
      <c r="Y22" s="88"/>
      <c r="Z22" s="86"/>
      <c r="AA22" s="87"/>
      <c r="AB22" s="87"/>
      <c r="AC22" s="87"/>
      <c r="AD22" s="87"/>
      <c r="AE22" s="88"/>
      <c r="AF22" s="89"/>
      <c r="AG22" s="90"/>
      <c r="AH22" s="90"/>
      <c r="AI22" s="90"/>
      <c r="AJ22" s="90"/>
      <c r="AK22" s="90"/>
      <c r="AL22" s="90"/>
      <c r="AM22" s="90"/>
      <c r="AN22" s="90"/>
      <c r="AO22" s="90"/>
      <c r="AP22" s="90"/>
      <c r="AQ22" s="90"/>
      <c r="AR22" s="90"/>
      <c r="AS22" s="90"/>
      <c r="AT22" s="90"/>
      <c r="AU22" s="90"/>
      <c r="AV22" s="90"/>
      <c r="AW22" s="90"/>
      <c r="AX22" s="90"/>
      <c r="AY22" s="90"/>
      <c r="AZ22" s="90"/>
      <c r="BA22" s="90"/>
      <c r="BB22" s="90"/>
      <c r="BC22" s="90"/>
      <c r="BD22" s="90"/>
      <c r="BE22" s="90"/>
      <c r="BF22" s="90"/>
      <c r="BG22" s="90"/>
      <c r="BH22" s="90"/>
      <c r="BI22" s="90"/>
      <c r="BJ22" s="90"/>
      <c r="BK22" s="90"/>
      <c r="BL22" s="90"/>
      <c r="BM22" s="90"/>
      <c r="BN22" s="90"/>
      <c r="BO22" s="90"/>
      <c r="BP22" s="90"/>
      <c r="BQ22" s="90"/>
      <c r="BR22" s="90"/>
      <c r="BS22" s="90"/>
      <c r="BT22" s="90"/>
      <c r="BU22" s="90"/>
      <c r="BV22" s="90"/>
      <c r="BW22" s="90"/>
      <c r="BX22" s="90"/>
      <c r="BY22" s="90"/>
      <c r="BZ22" s="90"/>
      <c r="CA22" s="90"/>
      <c r="CB22" s="90"/>
      <c r="CC22" s="90"/>
      <c r="CD22" s="90"/>
      <c r="CE22" s="91"/>
    </row>
    <row r="23" spans="1:83" ht="13.5" customHeight="1">
      <c r="A23" s="93"/>
      <c r="B23" s="93"/>
      <c r="C23" s="93"/>
      <c r="D23" s="92"/>
      <c r="E23" s="92"/>
      <c r="F23" s="92"/>
      <c r="G23" s="92"/>
      <c r="H23" s="92"/>
      <c r="I23" s="92"/>
      <c r="J23" s="86"/>
      <c r="K23" s="87"/>
      <c r="L23" s="87"/>
      <c r="M23" s="87"/>
      <c r="N23" s="87"/>
      <c r="O23" s="87"/>
      <c r="P23" s="87"/>
      <c r="Q23" s="88"/>
      <c r="R23" s="86"/>
      <c r="S23" s="87"/>
      <c r="T23" s="87"/>
      <c r="U23" s="87"/>
      <c r="V23" s="87"/>
      <c r="W23" s="87"/>
      <c r="X23" s="87"/>
      <c r="Y23" s="88"/>
      <c r="Z23" s="86"/>
      <c r="AA23" s="87"/>
      <c r="AB23" s="87"/>
      <c r="AC23" s="87"/>
      <c r="AD23" s="87"/>
      <c r="AE23" s="88"/>
      <c r="AF23" s="89"/>
      <c r="AG23" s="90"/>
      <c r="AH23" s="90"/>
      <c r="AI23" s="90"/>
      <c r="AJ23" s="90"/>
      <c r="AK23" s="90"/>
      <c r="AL23" s="90"/>
      <c r="AM23" s="90"/>
      <c r="AN23" s="90"/>
      <c r="AO23" s="90"/>
      <c r="AP23" s="90"/>
      <c r="AQ23" s="90"/>
      <c r="AR23" s="90"/>
      <c r="AS23" s="90"/>
      <c r="AT23" s="90"/>
      <c r="AU23" s="90"/>
      <c r="AV23" s="90"/>
      <c r="AW23" s="90"/>
      <c r="AX23" s="90"/>
      <c r="AY23" s="90"/>
      <c r="AZ23" s="90"/>
      <c r="BA23" s="90"/>
      <c r="BB23" s="90"/>
      <c r="BC23" s="90"/>
      <c r="BD23" s="90"/>
      <c r="BE23" s="90"/>
      <c r="BF23" s="90"/>
      <c r="BG23" s="90"/>
      <c r="BH23" s="90"/>
      <c r="BI23" s="90"/>
      <c r="BJ23" s="90"/>
      <c r="BK23" s="90"/>
      <c r="BL23" s="90"/>
      <c r="BM23" s="90"/>
      <c r="BN23" s="90"/>
      <c r="BO23" s="90"/>
      <c r="BP23" s="90"/>
      <c r="BQ23" s="90"/>
      <c r="BR23" s="90"/>
      <c r="BS23" s="90"/>
      <c r="BT23" s="90"/>
      <c r="BU23" s="90"/>
      <c r="BV23" s="90"/>
      <c r="BW23" s="90"/>
      <c r="BX23" s="90"/>
      <c r="BY23" s="90"/>
      <c r="BZ23" s="90"/>
      <c r="CA23" s="90"/>
      <c r="CB23" s="90"/>
      <c r="CC23" s="90"/>
      <c r="CD23" s="90"/>
      <c r="CE23" s="91"/>
    </row>
    <row r="24" spans="1:83" ht="13.5" customHeight="1">
      <c r="A24" s="93"/>
      <c r="B24" s="93"/>
      <c r="C24" s="93"/>
      <c r="D24" s="92"/>
      <c r="E24" s="92"/>
      <c r="F24" s="92"/>
      <c r="G24" s="92"/>
      <c r="H24" s="92"/>
      <c r="I24" s="92"/>
      <c r="J24" s="86"/>
      <c r="K24" s="87"/>
      <c r="L24" s="87"/>
      <c r="M24" s="87"/>
      <c r="N24" s="87"/>
      <c r="O24" s="87"/>
      <c r="P24" s="87"/>
      <c r="Q24" s="88"/>
      <c r="R24" s="86"/>
      <c r="S24" s="87"/>
      <c r="T24" s="87"/>
      <c r="U24" s="87"/>
      <c r="V24" s="87"/>
      <c r="W24" s="87"/>
      <c r="X24" s="87"/>
      <c r="Y24" s="88"/>
      <c r="Z24" s="86"/>
      <c r="AA24" s="87"/>
      <c r="AB24" s="87"/>
      <c r="AC24" s="87"/>
      <c r="AD24" s="87"/>
      <c r="AE24" s="88"/>
      <c r="AF24" s="89"/>
      <c r="AG24" s="90"/>
      <c r="AH24" s="90"/>
      <c r="AI24" s="90"/>
      <c r="AJ24" s="90"/>
      <c r="AK24" s="90"/>
      <c r="AL24" s="90"/>
      <c r="AM24" s="90"/>
      <c r="AN24" s="90"/>
      <c r="AO24" s="90"/>
      <c r="AP24" s="90"/>
      <c r="AQ24" s="90"/>
      <c r="AR24" s="90"/>
      <c r="AS24" s="90"/>
      <c r="AT24" s="90"/>
      <c r="AU24" s="90"/>
      <c r="AV24" s="90"/>
      <c r="AW24" s="90"/>
      <c r="AX24" s="90"/>
      <c r="AY24" s="90"/>
      <c r="AZ24" s="90"/>
      <c r="BA24" s="90"/>
      <c r="BB24" s="90"/>
      <c r="BC24" s="90"/>
      <c r="BD24" s="90"/>
      <c r="BE24" s="90"/>
      <c r="BF24" s="90"/>
      <c r="BG24" s="90"/>
      <c r="BH24" s="90"/>
      <c r="BI24" s="90"/>
      <c r="BJ24" s="90"/>
      <c r="BK24" s="90"/>
      <c r="BL24" s="90"/>
      <c r="BM24" s="90"/>
      <c r="BN24" s="90"/>
      <c r="BO24" s="90"/>
      <c r="BP24" s="90"/>
      <c r="BQ24" s="90"/>
      <c r="BR24" s="90"/>
      <c r="BS24" s="90"/>
      <c r="BT24" s="90"/>
      <c r="BU24" s="90"/>
      <c r="BV24" s="90"/>
      <c r="BW24" s="90"/>
      <c r="BX24" s="90"/>
      <c r="BY24" s="90"/>
      <c r="BZ24" s="90"/>
      <c r="CA24" s="90"/>
      <c r="CB24" s="90"/>
      <c r="CC24" s="90"/>
      <c r="CD24" s="90"/>
      <c r="CE24" s="91"/>
    </row>
    <row r="25" spans="1:83" ht="13.5" customHeight="1">
      <c r="A25" s="93"/>
      <c r="B25" s="93"/>
      <c r="C25" s="93"/>
      <c r="D25" s="92"/>
      <c r="E25" s="92"/>
      <c r="F25" s="92"/>
      <c r="G25" s="92"/>
      <c r="H25" s="92"/>
      <c r="I25" s="92"/>
      <c r="J25" s="86"/>
      <c r="K25" s="87"/>
      <c r="L25" s="87"/>
      <c r="M25" s="87"/>
      <c r="N25" s="87"/>
      <c r="O25" s="87"/>
      <c r="P25" s="87"/>
      <c r="Q25" s="88"/>
      <c r="R25" s="86"/>
      <c r="S25" s="87"/>
      <c r="T25" s="87"/>
      <c r="U25" s="87"/>
      <c r="V25" s="87"/>
      <c r="W25" s="87"/>
      <c r="X25" s="87"/>
      <c r="Y25" s="88"/>
      <c r="Z25" s="86"/>
      <c r="AA25" s="87"/>
      <c r="AB25" s="87"/>
      <c r="AC25" s="87"/>
      <c r="AD25" s="87"/>
      <c r="AE25" s="88"/>
      <c r="AF25" s="89"/>
      <c r="AG25" s="90"/>
      <c r="AH25" s="90"/>
      <c r="AI25" s="90"/>
      <c r="AJ25" s="90"/>
      <c r="AK25" s="90"/>
      <c r="AL25" s="90"/>
      <c r="AM25" s="90"/>
      <c r="AN25" s="90"/>
      <c r="AO25" s="90"/>
      <c r="AP25" s="90"/>
      <c r="AQ25" s="90"/>
      <c r="AR25" s="90"/>
      <c r="AS25" s="90"/>
      <c r="AT25" s="90"/>
      <c r="AU25" s="90"/>
      <c r="AV25" s="90"/>
      <c r="AW25" s="90"/>
      <c r="AX25" s="90"/>
      <c r="AY25" s="90"/>
      <c r="AZ25" s="90"/>
      <c r="BA25" s="90"/>
      <c r="BB25" s="90"/>
      <c r="BC25" s="90"/>
      <c r="BD25" s="90"/>
      <c r="BE25" s="90"/>
      <c r="BF25" s="90"/>
      <c r="BG25" s="90"/>
      <c r="BH25" s="90"/>
      <c r="BI25" s="90"/>
      <c r="BJ25" s="90"/>
      <c r="BK25" s="90"/>
      <c r="BL25" s="90"/>
      <c r="BM25" s="90"/>
      <c r="BN25" s="90"/>
      <c r="BO25" s="90"/>
      <c r="BP25" s="90"/>
      <c r="BQ25" s="90"/>
      <c r="BR25" s="90"/>
      <c r="BS25" s="90"/>
      <c r="BT25" s="90"/>
      <c r="BU25" s="90"/>
      <c r="BV25" s="90"/>
      <c r="BW25" s="90"/>
      <c r="BX25" s="90"/>
      <c r="BY25" s="90"/>
      <c r="BZ25" s="90"/>
      <c r="CA25" s="90"/>
      <c r="CB25" s="90"/>
      <c r="CC25" s="90"/>
      <c r="CD25" s="90"/>
      <c r="CE25" s="91"/>
    </row>
    <row r="26" spans="1:83" ht="13.5" customHeight="1">
      <c r="A26" s="93"/>
      <c r="B26" s="93"/>
      <c r="C26" s="93"/>
      <c r="D26" s="92"/>
      <c r="E26" s="92"/>
      <c r="F26" s="92"/>
      <c r="G26" s="92"/>
      <c r="H26" s="92"/>
      <c r="I26" s="92"/>
      <c r="J26" s="86"/>
      <c r="K26" s="87"/>
      <c r="L26" s="87"/>
      <c r="M26" s="87"/>
      <c r="N26" s="87"/>
      <c r="O26" s="87"/>
      <c r="P26" s="87"/>
      <c r="Q26" s="88"/>
      <c r="R26" s="86"/>
      <c r="S26" s="87"/>
      <c r="T26" s="87"/>
      <c r="U26" s="87"/>
      <c r="V26" s="87"/>
      <c r="W26" s="87"/>
      <c r="X26" s="87"/>
      <c r="Y26" s="88"/>
      <c r="Z26" s="86"/>
      <c r="AA26" s="87"/>
      <c r="AB26" s="87"/>
      <c r="AC26" s="87"/>
      <c r="AD26" s="87"/>
      <c r="AE26" s="88"/>
      <c r="AF26" s="89"/>
      <c r="AG26" s="90"/>
      <c r="AH26" s="90"/>
      <c r="AI26" s="90"/>
      <c r="AJ26" s="90"/>
      <c r="AK26" s="90"/>
      <c r="AL26" s="90"/>
      <c r="AM26" s="90"/>
      <c r="AN26" s="90"/>
      <c r="AO26" s="90"/>
      <c r="AP26" s="90"/>
      <c r="AQ26" s="90"/>
      <c r="AR26" s="90"/>
      <c r="AS26" s="90"/>
      <c r="AT26" s="90"/>
      <c r="AU26" s="90"/>
      <c r="AV26" s="90"/>
      <c r="AW26" s="90"/>
      <c r="AX26" s="90"/>
      <c r="AY26" s="90"/>
      <c r="AZ26" s="90"/>
      <c r="BA26" s="90"/>
      <c r="BB26" s="90"/>
      <c r="BC26" s="90"/>
      <c r="BD26" s="90"/>
      <c r="BE26" s="90"/>
      <c r="BF26" s="90"/>
      <c r="BG26" s="90"/>
      <c r="BH26" s="90"/>
      <c r="BI26" s="90"/>
      <c r="BJ26" s="90"/>
      <c r="BK26" s="90"/>
      <c r="BL26" s="90"/>
      <c r="BM26" s="90"/>
      <c r="BN26" s="90"/>
      <c r="BO26" s="90"/>
      <c r="BP26" s="90"/>
      <c r="BQ26" s="90"/>
      <c r="BR26" s="90"/>
      <c r="BS26" s="90"/>
      <c r="BT26" s="90"/>
      <c r="BU26" s="90"/>
      <c r="BV26" s="90"/>
      <c r="BW26" s="90"/>
      <c r="BX26" s="90"/>
      <c r="BY26" s="90"/>
      <c r="BZ26" s="90"/>
      <c r="CA26" s="90"/>
      <c r="CB26" s="90"/>
      <c r="CC26" s="90"/>
      <c r="CD26" s="90"/>
      <c r="CE26" s="91"/>
    </row>
    <row r="27" spans="1:83" ht="13.5" customHeight="1">
      <c r="A27" s="93"/>
      <c r="B27" s="93"/>
      <c r="C27" s="93"/>
      <c r="D27" s="92"/>
      <c r="E27" s="92"/>
      <c r="F27" s="92"/>
      <c r="G27" s="92"/>
      <c r="H27" s="92"/>
      <c r="I27" s="92"/>
      <c r="J27" s="86"/>
      <c r="K27" s="87"/>
      <c r="L27" s="87"/>
      <c r="M27" s="87"/>
      <c r="N27" s="87"/>
      <c r="O27" s="87"/>
      <c r="P27" s="87"/>
      <c r="Q27" s="88"/>
      <c r="R27" s="86"/>
      <c r="S27" s="87"/>
      <c r="T27" s="87"/>
      <c r="U27" s="87"/>
      <c r="V27" s="87"/>
      <c r="W27" s="87"/>
      <c r="X27" s="87"/>
      <c r="Y27" s="88"/>
      <c r="Z27" s="86"/>
      <c r="AA27" s="87"/>
      <c r="AB27" s="87"/>
      <c r="AC27" s="87"/>
      <c r="AD27" s="87"/>
      <c r="AE27" s="88"/>
      <c r="AF27" s="89"/>
      <c r="AG27" s="90"/>
      <c r="AH27" s="90"/>
      <c r="AI27" s="90"/>
      <c r="AJ27" s="90"/>
      <c r="AK27" s="90"/>
      <c r="AL27" s="90"/>
      <c r="AM27" s="90"/>
      <c r="AN27" s="90"/>
      <c r="AO27" s="90"/>
      <c r="AP27" s="90"/>
      <c r="AQ27" s="90"/>
      <c r="AR27" s="90"/>
      <c r="AS27" s="90"/>
      <c r="AT27" s="90"/>
      <c r="AU27" s="90"/>
      <c r="AV27" s="90"/>
      <c r="AW27" s="90"/>
      <c r="AX27" s="90"/>
      <c r="AY27" s="90"/>
      <c r="AZ27" s="90"/>
      <c r="BA27" s="90"/>
      <c r="BB27" s="90"/>
      <c r="BC27" s="90"/>
      <c r="BD27" s="90"/>
      <c r="BE27" s="90"/>
      <c r="BF27" s="90"/>
      <c r="BG27" s="90"/>
      <c r="BH27" s="90"/>
      <c r="BI27" s="90"/>
      <c r="BJ27" s="90"/>
      <c r="BK27" s="90"/>
      <c r="BL27" s="90"/>
      <c r="BM27" s="90"/>
      <c r="BN27" s="90"/>
      <c r="BO27" s="90"/>
      <c r="BP27" s="90"/>
      <c r="BQ27" s="90"/>
      <c r="BR27" s="90"/>
      <c r="BS27" s="90"/>
      <c r="BT27" s="90"/>
      <c r="BU27" s="90"/>
      <c r="BV27" s="90"/>
      <c r="BW27" s="90"/>
      <c r="BX27" s="90"/>
      <c r="BY27" s="90"/>
      <c r="BZ27" s="90"/>
      <c r="CA27" s="90"/>
      <c r="CB27" s="90"/>
      <c r="CC27" s="90"/>
      <c r="CD27" s="90"/>
      <c r="CE27" s="91"/>
    </row>
    <row r="28" spans="1:83" ht="13.5" customHeight="1">
      <c r="A28" s="93"/>
      <c r="B28" s="93"/>
      <c r="C28" s="93"/>
      <c r="D28" s="92"/>
      <c r="E28" s="92"/>
      <c r="F28" s="92"/>
      <c r="G28" s="92"/>
      <c r="H28" s="92"/>
      <c r="I28" s="92"/>
      <c r="J28" s="86"/>
      <c r="K28" s="87"/>
      <c r="L28" s="87"/>
      <c r="M28" s="87"/>
      <c r="N28" s="87"/>
      <c r="O28" s="87"/>
      <c r="P28" s="87"/>
      <c r="Q28" s="88"/>
      <c r="R28" s="86"/>
      <c r="S28" s="87"/>
      <c r="T28" s="87"/>
      <c r="U28" s="87"/>
      <c r="V28" s="87"/>
      <c r="W28" s="87"/>
      <c r="X28" s="87"/>
      <c r="Y28" s="88"/>
      <c r="Z28" s="86"/>
      <c r="AA28" s="87"/>
      <c r="AB28" s="87"/>
      <c r="AC28" s="87"/>
      <c r="AD28" s="87"/>
      <c r="AE28" s="88"/>
      <c r="AF28" s="89"/>
      <c r="AG28" s="90"/>
      <c r="AH28" s="90"/>
      <c r="AI28" s="90"/>
      <c r="AJ28" s="90"/>
      <c r="AK28" s="90"/>
      <c r="AL28" s="90"/>
      <c r="AM28" s="90"/>
      <c r="AN28" s="90"/>
      <c r="AO28" s="90"/>
      <c r="AP28" s="90"/>
      <c r="AQ28" s="90"/>
      <c r="AR28" s="90"/>
      <c r="AS28" s="90"/>
      <c r="AT28" s="90"/>
      <c r="AU28" s="90"/>
      <c r="AV28" s="90"/>
      <c r="AW28" s="90"/>
      <c r="AX28" s="90"/>
      <c r="AY28" s="90"/>
      <c r="AZ28" s="90"/>
      <c r="BA28" s="90"/>
      <c r="BB28" s="90"/>
      <c r="BC28" s="90"/>
      <c r="BD28" s="90"/>
      <c r="BE28" s="90"/>
      <c r="BF28" s="90"/>
      <c r="BG28" s="90"/>
      <c r="BH28" s="90"/>
      <c r="BI28" s="90"/>
      <c r="BJ28" s="90"/>
      <c r="BK28" s="90"/>
      <c r="BL28" s="90"/>
      <c r="BM28" s="90"/>
      <c r="BN28" s="90"/>
      <c r="BO28" s="90"/>
      <c r="BP28" s="90"/>
      <c r="BQ28" s="90"/>
      <c r="BR28" s="90"/>
      <c r="BS28" s="90"/>
      <c r="BT28" s="90"/>
      <c r="BU28" s="90"/>
      <c r="BV28" s="90"/>
      <c r="BW28" s="90"/>
      <c r="BX28" s="90"/>
      <c r="BY28" s="90"/>
      <c r="BZ28" s="90"/>
      <c r="CA28" s="90"/>
      <c r="CB28" s="90"/>
      <c r="CC28" s="90"/>
      <c r="CD28" s="90"/>
      <c r="CE28" s="91"/>
    </row>
    <row r="29" spans="1:83" ht="13.5" customHeight="1">
      <c r="A29" s="93"/>
      <c r="B29" s="93"/>
      <c r="C29" s="93"/>
      <c r="D29" s="92"/>
      <c r="E29" s="92"/>
      <c r="F29" s="92"/>
      <c r="G29" s="92"/>
      <c r="H29" s="92"/>
      <c r="I29" s="92"/>
      <c r="J29" s="86"/>
      <c r="K29" s="87"/>
      <c r="L29" s="87"/>
      <c r="M29" s="87"/>
      <c r="N29" s="87"/>
      <c r="O29" s="87"/>
      <c r="P29" s="87"/>
      <c r="Q29" s="88"/>
      <c r="R29" s="86"/>
      <c r="S29" s="87"/>
      <c r="T29" s="87"/>
      <c r="U29" s="87"/>
      <c r="V29" s="87"/>
      <c r="W29" s="87"/>
      <c r="X29" s="87"/>
      <c r="Y29" s="88"/>
      <c r="Z29" s="86"/>
      <c r="AA29" s="87"/>
      <c r="AB29" s="87"/>
      <c r="AC29" s="87"/>
      <c r="AD29" s="87"/>
      <c r="AE29" s="88"/>
      <c r="AF29" s="89"/>
      <c r="AG29" s="90"/>
      <c r="AH29" s="90"/>
      <c r="AI29" s="90"/>
      <c r="AJ29" s="90"/>
      <c r="AK29" s="90"/>
      <c r="AL29" s="90"/>
      <c r="AM29" s="90"/>
      <c r="AN29" s="90"/>
      <c r="AO29" s="90"/>
      <c r="AP29" s="90"/>
      <c r="AQ29" s="90"/>
      <c r="AR29" s="90"/>
      <c r="AS29" s="90"/>
      <c r="AT29" s="90"/>
      <c r="AU29" s="90"/>
      <c r="AV29" s="90"/>
      <c r="AW29" s="90"/>
      <c r="AX29" s="90"/>
      <c r="AY29" s="90"/>
      <c r="AZ29" s="90"/>
      <c r="BA29" s="90"/>
      <c r="BB29" s="90"/>
      <c r="BC29" s="90"/>
      <c r="BD29" s="90"/>
      <c r="BE29" s="90"/>
      <c r="BF29" s="90"/>
      <c r="BG29" s="90"/>
      <c r="BH29" s="90"/>
      <c r="BI29" s="90"/>
      <c r="BJ29" s="90"/>
      <c r="BK29" s="90"/>
      <c r="BL29" s="90"/>
      <c r="BM29" s="90"/>
      <c r="BN29" s="90"/>
      <c r="BO29" s="90"/>
      <c r="BP29" s="90"/>
      <c r="BQ29" s="90"/>
      <c r="BR29" s="90"/>
      <c r="BS29" s="90"/>
      <c r="BT29" s="90"/>
      <c r="BU29" s="90"/>
      <c r="BV29" s="90"/>
      <c r="BW29" s="90"/>
      <c r="BX29" s="90"/>
      <c r="BY29" s="90"/>
      <c r="BZ29" s="90"/>
      <c r="CA29" s="90"/>
      <c r="CB29" s="90"/>
      <c r="CC29" s="90"/>
      <c r="CD29" s="90"/>
      <c r="CE29" s="91"/>
    </row>
    <row r="30" spans="1:83" ht="13.5" customHeight="1">
      <c r="A30" s="93"/>
      <c r="B30" s="93"/>
      <c r="C30" s="93"/>
      <c r="D30" s="92"/>
      <c r="E30" s="92"/>
      <c r="F30" s="92"/>
      <c r="G30" s="92"/>
      <c r="H30" s="92"/>
      <c r="I30" s="92"/>
      <c r="J30" s="86"/>
      <c r="K30" s="87"/>
      <c r="L30" s="87"/>
      <c r="M30" s="87"/>
      <c r="N30" s="87"/>
      <c r="O30" s="87"/>
      <c r="P30" s="87"/>
      <c r="Q30" s="88"/>
      <c r="R30" s="86"/>
      <c r="S30" s="87"/>
      <c r="T30" s="87"/>
      <c r="U30" s="87"/>
      <c r="V30" s="87"/>
      <c r="W30" s="87"/>
      <c r="X30" s="87"/>
      <c r="Y30" s="88"/>
      <c r="Z30" s="86"/>
      <c r="AA30" s="87"/>
      <c r="AB30" s="87"/>
      <c r="AC30" s="87"/>
      <c r="AD30" s="87"/>
      <c r="AE30" s="88"/>
      <c r="AF30" s="89"/>
      <c r="AG30" s="90"/>
      <c r="AH30" s="90"/>
      <c r="AI30" s="90"/>
      <c r="AJ30" s="90"/>
      <c r="AK30" s="90"/>
      <c r="AL30" s="90"/>
      <c r="AM30" s="90"/>
      <c r="AN30" s="90"/>
      <c r="AO30" s="90"/>
      <c r="AP30" s="90"/>
      <c r="AQ30" s="90"/>
      <c r="AR30" s="90"/>
      <c r="AS30" s="90"/>
      <c r="AT30" s="90"/>
      <c r="AU30" s="90"/>
      <c r="AV30" s="90"/>
      <c r="AW30" s="90"/>
      <c r="AX30" s="90"/>
      <c r="AY30" s="90"/>
      <c r="AZ30" s="90"/>
      <c r="BA30" s="90"/>
      <c r="BB30" s="90"/>
      <c r="BC30" s="90"/>
      <c r="BD30" s="90"/>
      <c r="BE30" s="90"/>
      <c r="BF30" s="90"/>
      <c r="BG30" s="90"/>
      <c r="BH30" s="90"/>
      <c r="BI30" s="90"/>
      <c r="BJ30" s="90"/>
      <c r="BK30" s="90"/>
      <c r="BL30" s="90"/>
      <c r="BM30" s="90"/>
      <c r="BN30" s="90"/>
      <c r="BO30" s="90"/>
      <c r="BP30" s="90"/>
      <c r="BQ30" s="90"/>
      <c r="BR30" s="90"/>
      <c r="BS30" s="90"/>
      <c r="BT30" s="90"/>
      <c r="BU30" s="90"/>
      <c r="BV30" s="90"/>
      <c r="BW30" s="90"/>
      <c r="BX30" s="90"/>
      <c r="BY30" s="90"/>
      <c r="BZ30" s="90"/>
      <c r="CA30" s="90"/>
      <c r="CB30" s="90"/>
      <c r="CC30" s="90"/>
      <c r="CD30" s="90"/>
      <c r="CE30" s="91"/>
    </row>
    <row r="31" spans="1:83" ht="13.5" customHeight="1">
      <c r="A31" s="93"/>
      <c r="B31" s="93"/>
      <c r="C31" s="93"/>
      <c r="D31" s="92"/>
      <c r="E31" s="92"/>
      <c r="F31" s="92"/>
      <c r="G31" s="92"/>
      <c r="H31" s="92"/>
      <c r="I31" s="92"/>
      <c r="J31" s="86"/>
      <c r="K31" s="87"/>
      <c r="L31" s="87"/>
      <c r="M31" s="87"/>
      <c r="N31" s="87"/>
      <c r="O31" s="87"/>
      <c r="P31" s="87"/>
      <c r="Q31" s="88"/>
      <c r="R31" s="86"/>
      <c r="S31" s="87"/>
      <c r="T31" s="87"/>
      <c r="U31" s="87"/>
      <c r="V31" s="87"/>
      <c r="W31" s="87"/>
      <c r="X31" s="87"/>
      <c r="Y31" s="88"/>
      <c r="Z31" s="86"/>
      <c r="AA31" s="87"/>
      <c r="AB31" s="87"/>
      <c r="AC31" s="87"/>
      <c r="AD31" s="87"/>
      <c r="AE31" s="88"/>
      <c r="AF31" s="89"/>
      <c r="AG31" s="90"/>
      <c r="AH31" s="90"/>
      <c r="AI31" s="90"/>
      <c r="AJ31" s="90"/>
      <c r="AK31" s="90"/>
      <c r="AL31" s="90"/>
      <c r="AM31" s="90"/>
      <c r="AN31" s="90"/>
      <c r="AO31" s="90"/>
      <c r="AP31" s="90"/>
      <c r="AQ31" s="90"/>
      <c r="AR31" s="90"/>
      <c r="AS31" s="90"/>
      <c r="AT31" s="90"/>
      <c r="AU31" s="90"/>
      <c r="AV31" s="90"/>
      <c r="AW31" s="90"/>
      <c r="AX31" s="90"/>
      <c r="AY31" s="90"/>
      <c r="AZ31" s="90"/>
      <c r="BA31" s="90"/>
      <c r="BB31" s="90"/>
      <c r="BC31" s="90"/>
      <c r="BD31" s="90"/>
      <c r="BE31" s="90"/>
      <c r="BF31" s="90"/>
      <c r="BG31" s="90"/>
      <c r="BH31" s="90"/>
      <c r="BI31" s="90"/>
      <c r="BJ31" s="90"/>
      <c r="BK31" s="90"/>
      <c r="BL31" s="90"/>
      <c r="BM31" s="90"/>
      <c r="BN31" s="90"/>
      <c r="BO31" s="90"/>
      <c r="BP31" s="90"/>
      <c r="BQ31" s="90"/>
      <c r="BR31" s="90"/>
      <c r="BS31" s="90"/>
      <c r="BT31" s="90"/>
      <c r="BU31" s="90"/>
      <c r="BV31" s="90"/>
      <c r="BW31" s="90"/>
      <c r="BX31" s="90"/>
      <c r="BY31" s="90"/>
      <c r="BZ31" s="90"/>
      <c r="CA31" s="90"/>
      <c r="CB31" s="90"/>
      <c r="CC31" s="90"/>
      <c r="CD31" s="90"/>
      <c r="CE31" s="91"/>
    </row>
    <row r="32" spans="1:83" ht="13.5" customHeight="1">
      <c r="A32" s="93"/>
      <c r="B32" s="93"/>
      <c r="C32" s="93"/>
      <c r="D32" s="92"/>
      <c r="E32" s="92"/>
      <c r="F32" s="92"/>
      <c r="G32" s="92"/>
      <c r="H32" s="92"/>
      <c r="I32" s="92"/>
      <c r="J32" s="86"/>
      <c r="K32" s="87"/>
      <c r="L32" s="87"/>
      <c r="M32" s="87"/>
      <c r="N32" s="87"/>
      <c r="O32" s="87"/>
      <c r="P32" s="87"/>
      <c r="Q32" s="88"/>
      <c r="R32" s="86"/>
      <c r="S32" s="87"/>
      <c r="T32" s="87"/>
      <c r="U32" s="87"/>
      <c r="V32" s="87"/>
      <c r="W32" s="87"/>
      <c r="X32" s="87"/>
      <c r="Y32" s="88"/>
      <c r="Z32" s="86"/>
      <c r="AA32" s="87"/>
      <c r="AB32" s="87"/>
      <c r="AC32" s="87"/>
      <c r="AD32" s="87"/>
      <c r="AE32" s="88"/>
      <c r="AF32" s="89"/>
      <c r="AG32" s="90"/>
      <c r="AH32" s="90"/>
      <c r="AI32" s="90"/>
      <c r="AJ32" s="90"/>
      <c r="AK32" s="90"/>
      <c r="AL32" s="90"/>
      <c r="AM32" s="90"/>
      <c r="AN32" s="90"/>
      <c r="AO32" s="90"/>
      <c r="AP32" s="90"/>
      <c r="AQ32" s="90"/>
      <c r="AR32" s="90"/>
      <c r="AS32" s="90"/>
      <c r="AT32" s="90"/>
      <c r="AU32" s="90"/>
      <c r="AV32" s="90"/>
      <c r="AW32" s="90"/>
      <c r="AX32" s="90"/>
      <c r="AY32" s="90"/>
      <c r="AZ32" s="90"/>
      <c r="BA32" s="90"/>
      <c r="BB32" s="90"/>
      <c r="BC32" s="90"/>
      <c r="BD32" s="90"/>
      <c r="BE32" s="90"/>
      <c r="BF32" s="90"/>
      <c r="BG32" s="90"/>
      <c r="BH32" s="90"/>
      <c r="BI32" s="90"/>
      <c r="BJ32" s="90"/>
      <c r="BK32" s="90"/>
      <c r="BL32" s="90"/>
      <c r="BM32" s="90"/>
      <c r="BN32" s="90"/>
      <c r="BO32" s="90"/>
      <c r="BP32" s="90"/>
      <c r="BQ32" s="90"/>
      <c r="BR32" s="90"/>
      <c r="BS32" s="90"/>
      <c r="BT32" s="90"/>
      <c r="BU32" s="90"/>
      <c r="BV32" s="90"/>
      <c r="BW32" s="90"/>
      <c r="BX32" s="90"/>
      <c r="BY32" s="90"/>
      <c r="BZ32" s="90"/>
      <c r="CA32" s="90"/>
      <c r="CB32" s="90"/>
      <c r="CC32" s="90"/>
      <c r="CD32" s="90"/>
      <c r="CE32" s="91"/>
    </row>
    <row r="33" spans="1:83" ht="13.5" customHeight="1">
      <c r="A33" s="93"/>
      <c r="B33" s="93"/>
      <c r="C33" s="93"/>
      <c r="D33" s="92"/>
      <c r="E33" s="92"/>
      <c r="F33" s="92"/>
      <c r="G33" s="92"/>
      <c r="H33" s="92"/>
      <c r="I33" s="92"/>
      <c r="J33" s="86"/>
      <c r="K33" s="87"/>
      <c r="L33" s="87"/>
      <c r="M33" s="87"/>
      <c r="N33" s="87"/>
      <c r="O33" s="87"/>
      <c r="P33" s="87"/>
      <c r="Q33" s="88"/>
      <c r="R33" s="86"/>
      <c r="S33" s="87"/>
      <c r="T33" s="87"/>
      <c r="U33" s="87"/>
      <c r="V33" s="87"/>
      <c r="W33" s="87"/>
      <c r="X33" s="87"/>
      <c r="Y33" s="88"/>
      <c r="Z33" s="86"/>
      <c r="AA33" s="87"/>
      <c r="AB33" s="87"/>
      <c r="AC33" s="87"/>
      <c r="AD33" s="87"/>
      <c r="AE33" s="88"/>
      <c r="AF33" s="89"/>
      <c r="AG33" s="90"/>
      <c r="AH33" s="90"/>
      <c r="AI33" s="90"/>
      <c r="AJ33" s="90"/>
      <c r="AK33" s="90"/>
      <c r="AL33" s="90"/>
      <c r="AM33" s="90"/>
      <c r="AN33" s="90"/>
      <c r="AO33" s="90"/>
      <c r="AP33" s="90"/>
      <c r="AQ33" s="90"/>
      <c r="AR33" s="90"/>
      <c r="AS33" s="90"/>
      <c r="AT33" s="90"/>
      <c r="AU33" s="90"/>
      <c r="AV33" s="90"/>
      <c r="AW33" s="90"/>
      <c r="AX33" s="90"/>
      <c r="AY33" s="90"/>
      <c r="AZ33" s="90"/>
      <c r="BA33" s="90"/>
      <c r="BB33" s="90"/>
      <c r="BC33" s="90"/>
      <c r="BD33" s="90"/>
      <c r="BE33" s="90"/>
      <c r="BF33" s="90"/>
      <c r="BG33" s="90"/>
      <c r="BH33" s="90"/>
      <c r="BI33" s="90"/>
      <c r="BJ33" s="90"/>
      <c r="BK33" s="90"/>
      <c r="BL33" s="90"/>
      <c r="BM33" s="90"/>
      <c r="BN33" s="90"/>
      <c r="BO33" s="90"/>
      <c r="BP33" s="90"/>
      <c r="BQ33" s="90"/>
      <c r="BR33" s="90"/>
      <c r="BS33" s="90"/>
      <c r="BT33" s="90"/>
      <c r="BU33" s="90"/>
      <c r="BV33" s="90"/>
      <c r="BW33" s="90"/>
      <c r="BX33" s="90"/>
      <c r="BY33" s="90"/>
      <c r="BZ33" s="90"/>
      <c r="CA33" s="90"/>
      <c r="CB33" s="90"/>
      <c r="CC33" s="90"/>
      <c r="CD33" s="90"/>
      <c r="CE33" s="91"/>
    </row>
    <row r="34" spans="1:83" ht="13.5" customHeight="1">
      <c r="A34" s="93"/>
      <c r="B34" s="93"/>
      <c r="C34" s="93"/>
      <c r="D34" s="92"/>
      <c r="E34" s="92"/>
      <c r="F34" s="92"/>
      <c r="G34" s="92"/>
      <c r="H34" s="92"/>
      <c r="I34" s="92"/>
      <c r="J34" s="86"/>
      <c r="K34" s="87"/>
      <c r="L34" s="87"/>
      <c r="M34" s="87"/>
      <c r="N34" s="87"/>
      <c r="O34" s="87"/>
      <c r="P34" s="87"/>
      <c r="Q34" s="88"/>
      <c r="R34" s="86"/>
      <c r="S34" s="87"/>
      <c r="T34" s="87"/>
      <c r="U34" s="87"/>
      <c r="V34" s="87"/>
      <c r="W34" s="87"/>
      <c r="X34" s="87"/>
      <c r="Y34" s="88"/>
      <c r="Z34" s="86"/>
      <c r="AA34" s="87"/>
      <c r="AB34" s="87"/>
      <c r="AC34" s="87"/>
      <c r="AD34" s="87"/>
      <c r="AE34" s="88"/>
      <c r="AF34" s="89"/>
      <c r="AG34" s="90"/>
      <c r="AH34" s="90"/>
      <c r="AI34" s="90"/>
      <c r="AJ34" s="90"/>
      <c r="AK34" s="90"/>
      <c r="AL34" s="90"/>
      <c r="AM34" s="90"/>
      <c r="AN34" s="90"/>
      <c r="AO34" s="90"/>
      <c r="AP34" s="90"/>
      <c r="AQ34" s="90"/>
      <c r="AR34" s="90"/>
      <c r="AS34" s="90"/>
      <c r="AT34" s="90"/>
      <c r="AU34" s="90"/>
      <c r="AV34" s="90"/>
      <c r="AW34" s="90"/>
      <c r="AX34" s="90"/>
      <c r="AY34" s="90"/>
      <c r="AZ34" s="90"/>
      <c r="BA34" s="90"/>
      <c r="BB34" s="90"/>
      <c r="BC34" s="90"/>
      <c r="BD34" s="90"/>
      <c r="BE34" s="90"/>
      <c r="BF34" s="90"/>
      <c r="BG34" s="90"/>
      <c r="BH34" s="90"/>
      <c r="BI34" s="90"/>
      <c r="BJ34" s="90"/>
      <c r="BK34" s="90"/>
      <c r="BL34" s="90"/>
      <c r="BM34" s="90"/>
      <c r="BN34" s="90"/>
      <c r="BO34" s="90"/>
      <c r="BP34" s="90"/>
      <c r="BQ34" s="90"/>
      <c r="BR34" s="90"/>
      <c r="BS34" s="90"/>
      <c r="BT34" s="90"/>
      <c r="BU34" s="90"/>
      <c r="BV34" s="90"/>
      <c r="BW34" s="90"/>
      <c r="BX34" s="90"/>
      <c r="BY34" s="90"/>
      <c r="BZ34" s="90"/>
      <c r="CA34" s="90"/>
      <c r="CB34" s="90"/>
      <c r="CC34" s="90"/>
      <c r="CD34" s="90"/>
      <c r="CE34" s="91"/>
    </row>
    <row r="35" spans="1:83" ht="13.5" customHeight="1">
      <c r="A35" s="93"/>
      <c r="B35" s="93"/>
      <c r="C35" s="93"/>
      <c r="D35" s="92"/>
      <c r="E35" s="92"/>
      <c r="F35" s="92"/>
      <c r="G35" s="92"/>
      <c r="H35" s="92"/>
      <c r="I35" s="92"/>
      <c r="J35" s="86"/>
      <c r="K35" s="87"/>
      <c r="L35" s="87"/>
      <c r="M35" s="87"/>
      <c r="N35" s="87"/>
      <c r="O35" s="87"/>
      <c r="P35" s="87"/>
      <c r="Q35" s="88"/>
      <c r="R35" s="86"/>
      <c r="S35" s="87"/>
      <c r="T35" s="87"/>
      <c r="U35" s="87"/>
      <c r="V35" s="87"/>
      <c r="W35" s="87"/>
      <c r="X35" s="87"/>
      <c r="Y35" s="88"/>
      <c r="Z35" s="86"/>
      <c r="AA35" s="87"/>
      <c r="AB35" s="87"/>
      <c r="AC35" s="87"/>
      <c r="AD35" s="87"/>
      <c r="AE35" s="88"/>
      <c r="AF35" s="89"/>
      <c r="AG35" s="90"/>
      <c r="AH35" s="90"/>
      <c r="AI35" s="90"/>
      <c r="AJ35" s="90"/>
      <c r="AK35" s="90"/>
      <c r="AL35" s="90"/>
      <c r="AM35" s="90"/>
      <c r="AN35" s="90"/>
      <c r="AO35" s="90"/>
      <c r="AP35" s="90"/>
      <c r="AQ35" s="90"/>
      <c r="AR35" s="90"/>
      <c r="AS35" s="90"/>
      <c r="AT35" s="90"/>
      <c r="AU35" s="90"/>
      <c r="AV35" s="90"/>
      <c r="AW35" s="90"/>
      <c r="AX35" s="90"/>
      <c r="AY35" s="90"/>
      <c r="AZ35" s="90"/>
      <c r="BA35" s="90"/>
      <c r="BB35" s="90"/>
      <c r="BC35" s="90"/>
      <c r="BD35" s="90"/>
      <c r="BE35" s="90"/>
      <c r="BF35" s="90"/>
      <c r="BG35" s="90"/>
      <c r="BH35" s="90"/>
      <c r="BI35" s="90"/>
      <c r="BJ35" s="90"/>
      <c r="BK35" s="90"/>
      <c r="BL35" s="90"/>
      <c r="BM35" s="90"/>
      <c r="BN35" s="90"/>
      <c r="BO35" s="90"/>
      <c r="BP35" s="90"/>
      <c r="BQ35" s="90"/>
      <c r="BR35" s="90"/>
      <c r="BS35" s="90"/>
      <c r="BT35" s="90"/>
      <c r="BU35" s="90"/>
      <c r="BV35" s="90"/>
      <c r="BW35" s="90"/>
      <c r="BX35" s="90"/>
      <c r="BY35" s="90"/>
      <c r="BZ35" s="90"/>
      <c r="CA35" s="90"/>
      <c r="CB35" s="90"/>
      <c r="CC35" s="90"/>
      <c r="CD35" s="90"/>
      <c r="CE35" s="91"/>
    </row>
    <row r="36" spans="1:83" ht="13.5" customHeight="1">
      <c r="A36" s="93"/>
      <c r="B36" s="93"/>
      <c r="C36" s="93"/>
      <c r="D36" s="92"/>
      <c r="E36" s="92"/>
      <c r="F36" s="92"/>
      <c r="G36" s="92"/>
      <c r="H36" s="92"/>
      <c r="I36" s="92"/>
      <c r="J36" s="86"/>
      <c r="K36" s="87"/>
      <c r="L36" s="87"/>
      <c r="M36" s="87"/>
      <c r="N36" s="87"/>
      <c r="O36" s="87"/>
      <c r="P36" s="87"/>
      <c r="Q36" s="88"/>
      <c r="R36" s="86"/>
      <c r="S36" s="87"/>
      <c r="T36" s="87"/>
      <c r="U36" s="87"/>
      <c r="V36" s="87"/>
      <c r="W36" s="87"/>
      <c r="X36" s="87"/>
      <c r="Y36" s="88"/>
      <c r="Z36" s="86"/>
      <c r="AA36" s="87"/>
      <c r="AB36" s="87"/>
      <c r="AC36" s="87"/>
      <c r="AD36" s="87"/>
      <c r="AE36" s="88"/>
      <c r="AF36" s="89"/>
      <c r="AG36" s="90"/>
      <c r="AH36" s="90"/>
      <c r="AI36" s="90"/>
      <c r="AJ36" s="90"/>
      <c r="AK36" s="90"/>
      <c r="AL36" s="90"/>
      <c r="AM36" s="90"/>
      <c r="AN36" s="90"/>
      <c r="AO36" s="90"/>
      <c r="AP36" s="90"/>
      <c r="AQ36" s="90"/>
      <c r="AR36" s="90"/>
      <c r="AS36" s="90"/>
      <c r="AT36" s="90"/>
      <c r="AU36" s="90"/>
      <c r="AV36" s="90"/>
      <c r="AW36" s="90"/>
      <c r="AX36" s="90"/>
      <c r="AY36" s="90"/>
      <c r="AZ36" s="90"/>
      <c r="BA36" s="90"/>
      <c r="BB36" s="90"/>
      <c r="BC36" s="90"/>
      <c r="BD36" s="90"/>
      <c r="BE36" s="90"/>
      <c r="BF36" s="90"/>
      <c r="BG36" s="90"/>
      <c r="BH36" s="90"/>
      <c r="BI36" s="90"/>
      <c r="BJ36" s="90"/>
      <c r="BK36" s="90"/>
      <c r="BL36" s="90"/>
      <c r="BM36" s="90"/>
      <c r="BN36" s="90"/>
      <c r="BO36" s="90"/>
      <c r="BP36" s="90"/>
      <c r="BQ36" s="90"/>
      <c r="BR36" s="90"/>
      <c r="BS36" s="90"/>
      <c r="BT36" s="90"/>
      <c r="BU36" s="90"/>
      <c r="BV36" s="90"/>
      <c r="BW36" s="90"/>
      <c r="BX36" s="90"/>
      <c r="BY36" s="90"/>
      <c r="BZ36" s="90"/>
      <c r="CA36" s="90"/>
      <c r="CB36" s="90"/>
      <c r="CC36" s="90"/>
      <c r="CD36" s="90"/>
      <c r="CE36" s="91"/>
    </row>
    <row r="37" spans="1:83" ht="13.5" customHeight="1">
      <c r="A37" s="93"/>
      <c r="B37" s="93"/>
      <c r="C37" s="93"/>
      <c r="D37" s="92"/>
      <c r="E37" s="92"/>
      <c r="F37" s="92"/>
      <c r="G37" s="92"/>
      <c r="H37" s="92"/>
      <c r="I37" s="92"/>
      <c r="J37" s="86"/>
      <c r="K37" s="87"/>
      <c r="L37" s="87"/>
      <c r="M37" s="87"/>
      <c r="N37" s="87"/>
      <c r="O37" s="87"/>
      <c r="P37" s="87"/>
      <c r="Q37" s="88"/>
      <c r="R37" s="86"/>
      <c r="S37" s="87"/>
      <c r="T37" s="87"/>
      <c r="U37" s="87"/>
      <c r="V37" s="87"/>
      <c r="W37" s="87"/>
      <c r="X37" s="87"/>
      <c r="Y37" s="88"/>
      <c r="Z37" s="86"/>
      <c r="AA37" s="87"/>
      <c r="AB37" s="87"/>
      <c r="AC37" s="87"/>
      <c r="AD37" s="87"/>
      <c r="AE37" s="88"/>
      <c r="AF37" s="89"/>
      <c r="AG37" s="90"/>
      <c r="AH37" s="90"/>
      <c r="AI37" s="90"/>
      <c r="AJ37" s="90"/>
      <c r="AK37" s="90"/>
      <c r="AL37" s="90"/>
      <c r="AM37" s="90"/>
      <c r="AN37" s="90"/>
      <c r="AO37" s="90"/>
      <c r="AP37" s="90"/>
      <c r="AQ37" s="90"/>
      <c r="AR37" s="90"/>
      <c r="AS37" s="90"/>
      <c r="AT37" s="90"/>
      <c r="AU37" s="90"/>
      <c r="AV37" s="90"/>
      <c r="AW37" s="90"/>
      <c r="AX37" s="90"/>
      <c r="AY37" s="90"/>
      <c r="AZ37" s="90"/>
      <c r="BA37" s="90"/>
      <c r="BB37" s="90"/>
      <c r="BC37" s="90"/>
      <c r="BD37" s="90"/>
      <c r="BE37" s="90"/>
      <c r="BF37" s="90"/>
      <c r="BG37" s="90"/>
      <c r="BH37" s="90"/>
      <c r="BI37" s="90"/>
      <c r="BJ37" s="90"/>
      <c r="BK37" s="90"/>
      <c r="BL37" s="90"/>
      <c r="BM37" s="90"/>
      <c r="BN37" s="90"/>
      <c r="BO37" s="90"/>
      <c r="BP37" s="90"/>
      <c r="BQ37" s="90"/>
      <c r="BR37" s="90"/>
      <c r="BS37" s="90"/>
      <c r="BT37" s="90"/>
      <c r="BU37" s="90"/>
      <c r="BV37" s="90"/>
      <c r="BW37" s="90"/>
      <c r="BX37" s="90"/>
      <c r="BY37" s="90"/>
      <c r="BZ37" s="90"/>
      <c r="CA37" s="90"/>
      <c r="CB37" s="90"/>
      <c r="CC37" s="90"/>
      <c r="CD37" s="90"/>
      <c r="CE37" s="91"/>
    </row>
    <row r="38" spans="1:83" ht="13.5" customHeight="1">
      <c r="A38" s="93"/>
      <c r="B38" s="93"/>
      <c r="C38" s="93"/>
      <c r="D38" s="92"/>
      <c r="E38" s="92"/>
      <c r="F38" s="92"/>
      <c r="G38" s="92"/>
      <c r="H38" s="92"/>
      <c r="I38" s="92"/>
      <c r="J38" s="86"/>
      <c r="K38" s="87"/>
      <c r="L38" s="87"/>
      <c r="M38" s="87"/>
      <c r="N38" s="87"/>
      <c r="O38" s="87"/>
      <c r="P38" s="87"/>
      <c r="Q38" s="88"/>
      <c r="R38" s="86"/>
      <c r="S38" s="87"/>
      <c r="T38" s="87"/>
      <c r="U38" s="87"/>
      <c r="V38" s="87"/>
      <c r="W38" s="87"/>
      <c r="X38" s="87"/>
      <c r="Y38" s="88"/>
      <c r="Z38" s="86"/>
      <c r="AA38" s="87"/>
      <c r="AB38" s="87"/>
      <c r="AC38" s="87"/>
      <c r="AD38" s="87"/>
      <c r="AE38" s="88"/>
      <c r="AF38" s="89"/>
      <c r="AG38" s="90"/>
      <c r="AH38" s="90"/>
      <c r="AI38" s="90"/>
      <c r="AJ38" s="90"/>
      <c r="AK38" s="90"/>
      <c r="AL38" s="90"/>
      <c r="AM38" s="90"/>
      <c r="AN38" s="90"/>
      <c r="AO38" s="90"/>
      <c r="AP38" s="90"/>
      <c r="AQ38" s="90"/>
      <c r="AR38" s="90"/>
      <c r="AS38" s="90"/>
      <c r="AT38" s="90"/>
      <c r="AU38" s="90"/>
      <c r="AV38" s="90"/>
      <c r="AW38" s="90"/>
      <c r="AX38" s="90"/>
      <c r="AY38" s="90"/>
      <c r="AZ38" s="90"/>
      <c r="BA38" s="90"/>
      <c r="BB38" s="90"/>
      <c r="BC38" s="90"/>
      <c r="BD38" s="90"/>
      <c r="BE38" s="90"/>
      <c r="BF38" s="90"/>
      <c r="BG38" s="90"/>
      <c r="BH38" s="90"/>
      <c r="BI38" s="90"/>
      <c r="BJ38" s="90"/>
      <c r="BK38" s="90"/>
      <c r="BL38" s="90"/>
      <c r="BM38" s="90"/>
      <c r="BN38" s="90"/>
      <c r="BO38" s="90"/>
      <c r="BP38" s="90"/>
      <c r="BQ38" s="90"/>
      <c r="BR38" s="90"/>
      <c r="BS38" s="90"/>
      <c r="BT38" s="90"/>
      <c r="BU38" s="90"/>
      <c r="BV38" s="90"/>
      <c r="BW38" s="90"/>
      <c r="BX38" s="90"/>
      <c r="BY38" s="90"/>
      <c r="BZ38" s="90"/>
      <c r="CA38" s="90"/>
      <c r="CB38" s="90"/>
      <c r="CC38" s="90"/>
      <c r="CD38" s="90"/>
      <c r="CE38" s="91"/>
    </row>
    <row r="39" spans="1:83" ht="13.5" customHeight="1">
      <c r="A39" s="93"/>
      <c r="B39" s="93"/>
      <c r="C39" s="93"/>
      <c r="D39" s="92"/>
      <c r="E39" s="92"/>
      <c r="F39" s="92"/>
      <c r="G39" s="92"/>
      <c r="H39" s="92"/>
      <c r="I39" s="92"/>
      <c r="J39" s="86"/>
      <c r="K39" s="87"/>
      <c r="L39" s="87"/>
      <c r="M39" s="87"/>
      <c r="N39" s="87"/>
      <c r="O39" s="87"/>
      <c r="P39" s="87"/>
      <c r="Q39" s="88"/>
      <c r="R39" s="86"/>
      <c r="S39" s="87"/>
      <c r="T39" s="87"/>
      <c r="U39" s="87"/>
      <c r="V39" s="87"/>
      <c r="W39" s="87"/>
      <c r="X39" s="87"/>
      <c r="Y39" s="88"/>
      <c r="Z39" s="86"/>
      <c r="AA39" s="87"/>
      <c r="AB39" s="87"/>
      <c r="AC39" s="87"/>
      <c r="AD39" s="87"/>
      <c r="AE39" s="88"/>
      <c r="AF39" s="89"/>
      <c r="AG39" s="90"/>
      <c r="AH39" s="90"/>
      <c r="AI39" s="90"/>
      <c r="AJ39" s="90"/>
      <c r="AK39" s="90"/>
      <c r="AL39" s="90"/>
      <c r="AM39" s="90"/>
      <c r="AN39" s="90"/>
      <c r="AO39" s="90"/>
      <c r="AP39" s="90"/>
      <c r="AQ39" s="90"/>
      <c r="AR39" s="90"/>
      <c r="AS39" s="90"/>
      <c r="AT39" s="90"/>
      <c r="AU39" s="90"/>
      <c r="AV39" s="90"/>
      <c r="AW39" s="90"/>
      <c r="AX39" s="90"/>
      <c r="AY39" s="90"/>
      <c r="AZ39" s="90"/>
      <c r="BA39" s="90"/>
      <c r="BB39" s="90"/>
      <c r="BC39" s="90"/>
      <c r="BD39" s="90"/>
      <c r="BE39" s="90"/>
      <c r="BF39" s="90"/>
      <c r="BG39" s="90"/>
      <c r="BH39" s="90"/>
      <c r="BI39" s="90"/>
      <c r="BJ39" s="90"/>
      <c r="BK39" s="90"/>
      <c r="BL39" s="90"/>
      <c r="BM39" s="90"/>
      <c r="BN39" s="90"/>
      <c r="BO39" s="90"/>
      <c r="BP39" s="90"/>
      <c r="BQ39" s="90"/>
      <c r="BR39" s="90"/>
      <c r="BS39" s="90"/>
      <c r="BT39" s="90"/>
      <c r="BU39" s="90"/>
      <c r="BV39" s="90"/>
      <c r="BW39" s="90"/>
      <c r="BX39" s="90"/>
      <c r="BY39" s="90"/>
      <c r="BZ39" s="90"/>
      <c r="CA39" s="90"/>
      <c r="CB39" s="90"/>
      <c r="CC39" s="90"/>
      <c r="CD39" s="90"/>
      <c r="CE39" s="91"/>
    </row>
    <row r="40" spans="1:83" ht="13.5" customHeight="1">
      <c r="A40" s="93"/>
      <c r="B40" s="93"/>
      <c r="C40" s="93"/>
      <c r="D40" s="92"/>
      <c r="E40" s="92"/>
      <c r="F40" s="92"/>
      <c r="G40" s="92"/>
      <c r="H40" s="92"/>
      <c r="I40" s="92"/>
      <c r="J40" s="86"/>
      <c r="K40" s="87"/>
      <c r="L40" s="87"/>
      <c r="M40" s="87"/>
      <c r="N40" s="87"/>
      <c r="O40" s="87"/>
      <c r="P40" s="87"/>
      <c r="Q40" s="88"/>
      <c r="R40" s="86"/>
      <c r="S40" s="87"/>
      <c r="T40" s="87"/>
      <c r="U40" s="87"/>
      <c r="V40" s="87"/>
      <c r="W40" s="87"/>
      <c r="X40" s="87"/>
      <c r="Y40" s="88"/>
      <c r="Z40" s="86"/>
      <c r="AA40" s="87"/>
      <c r="AB40" s="87"/>
      <c r="AC40" s="87"/>
      <c r="AD40" s="87"/>
      <c r="AE40" s="88"/>
      <c r="AF40" s="89"/>
      <c r="AG40" s="90"/>
      <c r="AH40" s="90"/>
      <c r="AI40" s="90"/>
      <c r="AJ40" s="90"/>
      <c r="AK40" s="90"/>
      <c r="AL40" s="90"/>
      <c r="AM40" s="90"/>
      <c r="AN40" s="90"/>
      <c r="AO40" s="90"/>
      <c r="AP40" s="90"/>
      <c r="AQ40" s="90"/>
      <c r="AR40" s="90"/>
      <c r="AS40" s="90"/>
      <c r="AT40" s="90"/>
      <c r="AU40" s="90"/>
      <c r="AV40" s="90"/>
      <c r="AW40" s="90"/>
      <c r="AX40" s="90"/>
      <c r="AY40" s="90"/>
      <c r="AZ40" s="90"/>
      <c r="BA40" s="90"/>
      <c r="BB40" s="90"/>
      <c r="BC40" s="90"/>
      <c r="BD40" s="90"/>
      <c r="BE40" s="90"/>
      <c r="BF40" s="90"/>
      <c r="BG40" s="90"/>
      <c r="BH40" s="90"/>
      <c r="BI40" s="90"/>
      <c r="BJ40" s="90"/>
      <c r="BK40" s="90"/>
      <c r="BL40" s="90"/>
      <c r="BM40" s="90"/>
      <c r="BN40" s="90"/>
      <c r="BO40" s="90"/>
      <c r="BP40" s="90"/>
      <c r="BQ40" s="90"/>
      <c r="BR40" s="90"/>
      <c r="BS40" s="90"/>
      <c r="BT40" s="90"/>
      <c r="BU40" s="90"/>
      <c r="BV40" s="90"/>
      <c r="BW40" s="90"/>
      <c r="BX40" s="90"/>
      <c r="BY40" s="90"/>
      <c r="BZ40" s="90"/>
      <c r="CA40" s="90"/>
      <c r="CB40" s="90"/>
      <c r="CC40" s="90"/>
      <c r="CD40" s="90"/>
      <c r="CE40" s="91"/>
    </row>
    <row r="41" spans="1:83" ht="13.5" customHeight="1">
      <c r="A41" s="93"/>
      <c r="B41" s="93"/>
      <c r="C41" s="93"/>
      <c r="D41" s="92"/>
      <c r="E41" s="92"/>
      <c r="F41" s="92"/>
      <c r="G41" s="92"/>
      <c r="H41" s="92"/>
      <c r="I41" s="92"/>
      <c r="J41" s="86"/>
      <c r="K41" s="87"/>
      <c r="L41" s="87"/>
      <c r="M41" s="87"/>
      <c r="N41" s="87"/>
      <c r="O41" s="87"/>
      <c r="P41" s="87"/>
      <c r="Q41" s="88"/>
      <c r="R41" s="86"/>
      <c r="S41" s="87"/>
      <c r="T41" s="87"/>
      <c r="U41" s="87"/>
      <c r="V41" s="87"/>
      <c r="W41" s="87"/>
      <c r="X41" s="87"/>
      <c r="Y41" s="88"/>
      <c r="Z41" s="86"/>
      <c r="AA41" s="87"/>
      <c r="AB41" s="87"/>
      <c r="AC41" s="87"/>
      <c r="AD41" s="87"/>
      <c r="AE41" s="88"/>
      <c r="AF41" s="89"/>
      <c r="AG41" s="90"/>
      <c r="AH41" s="90"/>
      <c r="AI41" s="90"/>
      <c r="AJ41" s="90"/>
      <c r="AK41" s="90"/>
      <c r="AL41" s="90"/>
      <c r="AM41" s="90"/>
      <c r="AN41" s="90"/>
      <c r="AO41" s="90"/>
      <c r="AP41" s="90"/>
      <c r="AQ41" s="90"/>
      <c r="AR41" s="90"/>
      <c r="AS41" s="90"/>
      <c r="AT41" s="90"/>
      <c r="AU41" s="90"/>
      <c r="AV41" s="90"/>
      <c r="AW41" s="90"/>
      <c r="AX41" s="90"/>
      <c r="AY41" s="90"/>
      <c r="AZ41" s="90"/>
      <c r="BA41" s="90"/>
      <c r="BB41" s="90"/>
      <c r="BC41" s="90"/>
      <c r="BD41" s="90"/>
      <c r="BE41" s="90"/>
      <c r="BF41" s="90"/>
      <c r="BG41" s="90"/>
      <c r="BH41" s="90"/>
      <c r="BI41" s="90"/>
      <c r="BJ41" s="90"/>
      <c r="BK41" s="90"/>
      <c r="BL41" s="90"/>
      <c r="BM41" s="90"/>
      <c r="BN41" s="90"/>
      <c r="BO41" s="90"/>
      <c r="BP41" s="90"/>
      <c r="BQ41" s="90"/>
      <c r="BR41" s="90"/>
      <c r="BS41" s="90"/>
      <c r="BT41" s="90"/>
      <c r="BU41" s="90"/>
      <c r="BV41" s="90"/>
      <c r="BW41" s="90"/>
      <c r="BX41" s="90"/>
      <c r="BY41" s="90"/>
      <c r="BZ41" s="90"/>
      <c r="CA41" s="90"/>
      <c r="CB41" s="90"/>
      <c r="CC41" s="90"/>
      <c r="CD41" s="90"/>
      <c r="CE41" s="91"/>
    </row>
  </sheetData>
  <sheetCalcPr fullCalcOnLoad="1"/>
  <mergeCells count="243">
    <mergeCell ref="Z9:AE9"/>
    <mergeCell ref="A4:C4"/>
    <mergeCell ref="J9:Q9"/>
    <mergeCell ref="R9:Y9"/>
    <mergeCell ref="D8:I8"/>
    <mergeCell ref="A7:C7"/>
    <mergeCell ref="D7:I7"/>
    <mergeCell ref="J4:Q4"/>
    <mergeCell ref="J5:Q5"/>
    <mergeCell ref="D4:I4"/>
    <mergeCell ref="CH4:CT4"/>
    <mergeCell ref="R4:Y4"/>
    <mergeCell ref="Z4:AE4"/>
    <mergeCell ref="AF4:CE4"/>
    <mergeCell ref="BN2:BV2"/>
    <mergeCell ref="AC1:AU1"/>
    <mergeCell ref="AC2:AU2"/>
    <mergeCell ref="AV2:BD2"/>
    <mergeCell ref="BW1:CE1"/>
    <mergeCell ref="BN1:BV1"/>
    <mergeCell ref="A1:N1"/>
    <mergeCell ref="A2:N2"/>
    <mergeCell ref="O1:AB1"/>
    <mergeCell ref="O2:AB2"/>
    <mergeCell ref="Z10:AE10"/>
    <mergeCell ref="AF10:CE10"/>
    <mergeCell ref="AF5:CE5"/>
    <mergeCell ref="BE1:BM1"/>
    <mergeCell ref="BE2:BM2"/>
    <mergeCell ref="AV1:BD1"/>
    <mergeCell ref="BW2:CE2"/>
    <mergeCell ref="J12:Q12"/>
    <mergeCell ref="R12:Y12"/>
    <mergeCell ref="Z12:AE12"/>
    <mergeCell ref="AF12:CE12"/>
    <mergeCell ref="J13:Q13"/>
    <mergeCell ref="R13:Y13"/>
    <mergeCell ref="Z13:AE13"/>
    <mergeCell ref="AF13:CE13"/>
    <mergeCell ref="AF9:CE9"/>
    <mergeCell ref="Z41:AE41"/>
    <mergeCell ref="AF41:CE41"/>
    <mergeCell ref="J19:Q19"/>
    <mergeCell ref="R19:Y19"/>
    <mergeCell ref="J39:Q39"/>
    <mergeCell ref="R39:Y39"/>
    <mergeCell ref="Z39:AE39"/>
    <mergeCell ref="AF39:CE39"/>
    <mergeCell ref="Z21:AE21"/>
    <mergeCell ref="AF21:CE21"/>
    <mergeCell ref="J41:Q41"/>
    <mergeCell ref="R41:Y41"/>
    <mergeCell ref="R21:Y21"/>
    <mergeCell ref="A20:C20"/>
    <mergeCell ref="D20:I20"/>
    <mergeCell ref="D31:I31"/>
    <mergeCell ref="A21:C21"/>
    <mergeCell ref="D21:I21"/>
    <mergeCell ref="D38:I38"/>
    <mergeCell ref="A33:C33"/>
    <mergeCell ref="Z22:AE22"/>
    <mergeCell ref="J22:Q22"/>
    <mergeCell ref="R22:Y22"/>
    <mergeCell ref="Z23:AE23"/>
    <mergeCell ref="J31:Q31"/>
    <mergeCell ref="R31:Y31"/>
    <mergeCell ref="Z30:AE30"/>
    <mergeCell ref="J30:Q30"/>
    <mergeCell ref="R30:Y30"/>
    <mergeCell ref="J27:Q27"/>
    <mergeCell ref="A18:C18"/>
    <mergeCell ref="D18:I18"/>
    <mergeCell ref="A19:C19"/>
    <mergeCell ref="D19:I19"/>
    <mergeCell ref="R25:Y25"/>
    <mergeCell ref="D25:I25"/>
    <mergeCell ref="J25:Q25"/>
    <mergeCell ref="A24:C24"/>
    <mergeCell ref="R24:Y24"/>
    <mergeCell ref="A30:C30"/>
    <mergeCell ref="A5:C5"/>
    <mergeCell ref="D5:I5"/>
    <mergeCell ref="A8:C8"/>
    <mergeCell ref="J21:Q21"/>
    <mergeCell ref="A17:C17"/>
    <mergeCell ref="D17:I17"/>
    <mergeCell ref="A16:C16"/>
    <mergeCell ref="D16:I16"/>
    <mergeCell ref="A15:C15"/>
    <mergeCell ref="D15:I15"/>
    <mergeCell ref="R5:Y5"/>
    <mergeCell ref="Z5:AE5"/>
    <mergeCell ref="A10:C10"/>
    <mergeCell ref="D10:I10"/>
    <mergeCell ref="A9:C9"/>
    <mergeCell ref="D9:I9"/>
    <mergeCell ref="J7:Q7"/>
    <mergeCell ref="R7:Y7"/>
    <mergeCell ref="A6:C6"/>
    <mergeCell ref="D6:I6"/>
    <mergeCell ref="A12:C12"/>
    <mergeCell ref="D12:I12"/>
    <mergeCell ref="A11:C11"/>
    <mergeCell ref="D11:I11"/>
    <mergeCell ref="A14:C14"/>
    <mergeCell ref="D14:I14"/>
    <mergeCell ref="A13:C13"/>
    <mergeCell ref="D13:I13"/>
    <mergeCell ref="D33:I33"/>
    <mergeCell ref="A32:C32"/>
    <mergeCell ref="D32:I32"/>
    <mergeCell ref="A31:C31"/>
    <mergeCell ref="Z11:AE11"/>
    <mergeCell ref="AF11:CE11"/>
    <mergeCell ref="Z14:AE14"/>
    <mergeCell ref="AF14:CE14"/>
    <mergeCell ref="Z15:AE15"/>
    <mergeCell ref="AF15:CE15"/>
    <mergeCell ref="A41:C41"/>
    <mergeCell ref="D41:I41"/>
    <mergeCell ref="A40:C40"/>
    <mergeCell ref="D40:I40"/>
    <mergeCell ref="A39:C39"/>
    <mergeCell ref="D39:I39"/>
    <mergeCell ref="A38:C38"/>
    <mergeCell ref="J11:Q11"/>
    <mergeCell ref="R11:Y11"/>
    <mergeCell ref="J10:Q10"/>
    <mergeCell ref="R10:Y10"/>
    <mergeCell ref="J6:Q6"/>
    <mergeCell ref="R6:Y6"/>
    <mergeCell ref="J14:Q14"/>
    <mergeCell ref="R14:Y14"/>
    <mergeCell ref="J38:Q38"/>
    <mergeCell ref="Z6:AE6"/>
    <mergeCell ref="AF6:CE6"/>
    <mergeCell ref="Z7:AE7"/>
    <mergeCell ref="AF7:CE7"/>
    <mergeCell ref="J8:Q8"/>
    <mergeCell ref="R8:Y8"/>
    <mergeCell ref="Z8:AE8"/>
    <mergeCell ref="AF8:CE8"/>
    <mergeCell ref="R38:Y38"/>
    <mergeCell ref="Z38:AE38"/>
    <mergeCell ref="AF38:CE38"/>
    <mergeCell ref="J40:Q40"/>
    <mergeCell ref="R40:Y40"/>
    <mergeCell ref="Z40:AE40"/>
    <mergeCell ref="AF40:CE40"/>
    <mergeCell ref="J16:Q16"/>
    <mergeCell ref="R16:Y16"/>
    <mergeCell ref="Z16:AE16"/>
    <mergeCell ref="AF16:CE16"/>
    <mergeCell ref="J15:Q15"/>
    <mergeCell ref="R15:Y15"/>
    <mergeCell ref="Z17:AE17"/>
    <mergeCell ref="AF17:CE17"/>
    <mergeCell ref="J18:Q18"/>
    <mergeCell ref="R18:Y18"/>
    <mergeCell ref="Z18:AE18"/>
    <mergeCell ref="AF18:CE18"/>
    <mergeCell ref="J17:Q17"/>
    <mergeCell ref="R17:Y17"/>
    <mergeCell ref="AF19:CE19"/>
    <mergeCell ref="J20:Q20"/>
    <mergeCell ref="R20:Y20"/>
    <mergeCell ref="Z20:AE20"/>
    <mergeCell ref="AF20:CE20"/>
    <mergeCell ref="Z19:AE19"/>
    <mergeCell ref="AF31:CE31"/>
    <mergeCell ref="J33:Q33"/>
    <mergeCell ref="R33:Y33"/>
    <mergeCell ref="Z33:AE33"/>
    <mergeCell ref="AF33:CE33"/>
    <mergeCell ref="AF32:CE32"/>
    <mergeCell ref="Z32:AE32"/>
    <mergeCell ref="Z31:AE31"/>
    <mergeCell ref="J32:Q32"/>
    <mergeCell ref="R32:Y32"/>
    <mergeCell ref="A34:C34"/>
    <mergeCell ref="D34:I34"/>
    <mergeCell ref="J34:Q34"/>
    <mergeCell ref="R34:Y34"/>
    <mergeCell ref="Z36:AE36"/>
    <mergeCell ref="AF36:CE36"/>
    <mergeCell ref="A35:C35"/>
    <mergeCell ref="D35:I35"/>
    <mergeCell ref="J35:Q35"/>
    <mergeCell ref="R35:Y35"/>
    <mergeCell ref="Z34:AE34"/>
    <mergeCell ref="AF34:CE34"/>
    <mergeCell ref="Z35:AE35"/>
    <mergeCell ref="AF35:CE35"/>
    <mergeCell ref="Z37:AE37"/>
    <mergeCell ref="AF37:CE37"/>
    <mergeCell ref="A36:C36"/>
    <mergeCell ref="D36:I36"/>
    <mergeCell ref="A37:C37"/>
    <mergeCell ref="D37:I37"/>
    <mergeCell ref="J37:Q37"/>
    <mergeCell ref="R37:Y37"/>
    <mergeCell ref="J36:Q36"/>
    <mergeCell ref="R36:Y36"/>
    <mergeCell ref="AF30:CE30"/>
    <mergeCell ref="D29:I29"/>
    <mergeCell ref="A28:C28"/>
    <mergeCell ref="D28:I28"/>
    <mergeCell ref="J28:Q28"/>
    <mergeCell ref="R28:Y28"/>
    <mergeCell ref="J29:Q29"/>
    <mergeCell ref="R29:Y29"/>
    <mergeCell ref="Z29:AE29"/>
    <mergeCell ref="D30:I30"/>
    <mergeCell ref="A29:C29"/>
    <mergeCell ref="AF25:CE25"/>
    <mergeCell ref="A26:C26"/>
    <mergeCell ref="D26:I26"/>
    <mergeCell ref="J26:Q26"/>
    <mergeCell ref="R26:Y26"/>
    <mergeCell ref="Z26:AE26"/>
    <mergeCell ref="AF26:CE26"/>
    <mergeCell ref="A25:C25"/>
    <mergeCell ref="AF29:CE29"/>
    <mergeCell ref="AF22:CE22"/>
    <mergeCell ref="A23:C23"/>
    <mergeCell ref="AF28:CE28"/>
    <mergeCell ref="Z28:AE28"/>
    <mergeCell ref="Z25:AE25"/>
    <mergeCell ref="Z27:AE27"/>
    <mergeCell ref="A27:C27"/>
    <mergeCell ref="D27:I27"/>
    <mergeCell ref="A22:C22"/>
    <mergeCell ref="D22:I22"/>
    <mergeCell ref="R27:Y27"/>
    <mergeCell ref="AF27:CE27"/>
    <mergeCell ref="AF23:CE23"/>
    <mergeCell ref="Z24:AE24"/>
    <mergeCell ref="AF24:CE24"/>
    <mergeCell ref="D23:I23"/>
    <mergeCell ref="J23:Q23"/>
    <mergeCell ref="R23:Y23"/>
    <mergeCell ref="D24:I24"/>
    <mergeCell ref="J24:Q24"/>
  </mergeCells>
  <phoneticPr fontId="7"/>
  <printOptions horizontalCentered="1"/>
  <pageMargins left="0.39370078740157483" right="0.19685039370078741" top="0.59055118110236227" bottom="0.39370078740157483" header="0.78740157480314965" footer="0.19685039370078741"/>
  <pageSetup paperSize="9" scale="98" fitToHeight="0" orientation="landscape" r:id="rId1"/>
  <headerFooter alignWithMargins="0">
    <oddFooter>&amp;C&amp;P / &amp;N&amp;RInternal Use Only</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8"/>
  <sheetViews>
    <sheetView workbookViewId="0"/>
  </sheetViews>
  <sheetFormatPr defaultRowHeight="11.25"/>
  <cols>
    <col min="1" max="1" width="16.6640625" customWidth="1"/>
    <col min="2" max="2" width="40" customWidth="1"/>
    <col min="3" max="3" width="3.33203125" customWidth="1"/>
  </cols>
  <sheetData>
    <row r="1" spans="1:4">
      <c r="A1" s="15" t="s">
        <v>33</v>
      </c>
      <c r="B1" s="15" t="s">
        <v>36</v>
      </c>
      <c r="D1" s="15" t="s">
        <v>42</v>
      </c>
    </row>
    <row r="2" spans="1:4" ht="22.5">
      <c r="A2" s="16" t="s">
        <v>31</v>
      </c>
      <c r="B2" s="17" t="s">
        <v>35</v>
      </c>
      <c r="D2" s="16" t="s">
        <v>43</v>
      </c>
    </row>
    <row r="3" spans="1:4" ht="22.5">
      <c r="A3" s="16" t="s">
        <v>14</v>
      </c>
      <c r="B3" s="17" t="s">
        <v>37</v>
      </c>
      <c r="D3" s="16" t="s">
        <v>44</v>
      </c>
    </row>
    <row r="4" spans="1:4">
      <c r="A4" s="16" t="s">
        <v>29</v>
      </c>
      <c r="B4" s="17" t="s">
        <v>41</v>
      </c>
      <c r="D4" s="16" t="s">
        <v>45</v>
      </c>
    </row>
    <row r="5" spans="1:4">
      <c r="A5" s="16" t="s">
        <v>32</v>
      </c>
      <c r="B5" s="17" t="s">
        <v>34</v>
      </c>
    </row>
    <row r="6" spans="1:4" ht="22.5">
      <c r="A6" s="16" t="s">
        <v>13</v>
      </c>
      <c r="B6" s="17" t="s">
        <v>38</v>
      </c>
    </row>
    <row r="7" spans="1:4" ht="22.5">
      <c r="A7" s="16" t="s">
        <v>15</v>
      </c>
      <c r="B7" s="17" t="s">
        <v>39</v>
      </c>
    </row>
    <row r="8" spans="1:4">
      <c r="A8" s="16" t="s">
        <v>30</v>
      </c>
      <c r="B8" s="17" t="s">
        <v>40</v>
      </c>
    </row>
  </sheetData>
  <phoneticPr fontId="12"/>
  <pageMargins left="0.78700000000000003" right="0.78700000000000003" top="0.98399999999999999" bottom="0.98399999999999999" header="0.51200000000000001" footer="0.5120000000000000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pageSetUpPr fitToPage="1"/>
  </sheetPr>
  <dimension ref="A1:E43"/>
  <sheetViews>
    <sheetView showGridLines="0" zoomScaleNormal="100" workbookViewId="0">
      <pane ySplit="7" topLeftCell="A8" activePane="bottomLeft" state="frozen"/>
      <selection activeCell="Z365" sqref="Z365"/>
      <selection pane="bottomLeft" activeCell="B7" sqref="B7"/>
    </sheetView>
  </sheetViews>
  <sheetFormatPr defaultColWidth="12" defaultRowHeight="15.95" customHeight="1"/>
  <cols>
    <col min="1" max="1" width="15.6640625" style="23" bestFit="1" customWidth="1"/>
    <col min="2" max="2" width="27.1640625" style="23" bestFit="1" customWidth="1"/>
    <col min="3" max="3" width="94.1640625" style="23" bestFit="1" customWidth="1"/>
    <col min="4" max="4" width="10.1640625" style="22" bestFit="1" customWidth="1"/>
    <col min="5" max="5" width="25" style="23" customWidth="1"/>
    <col min="6" max="16384" width="12" style="23"/>
  </cols>
  <sheetData>
    <row r="1" spans="1:5" ht="15.95" customHeight="1">
      <c r="A1" s="21" t="s">
        <v>61</v>
      </c>
      <c r="B1" s="117" t="s">
        <v>196</v>
      </c>
      <c r="C1" s="118"/>
    </row>
    <row r="2" spans="1:5" ht="51.75" customHeight="1">
      <c r="A2" s="21" t="s">
        <v>62</v>
      </c>
      <c r="B2" s="117" t="s">
        <v>188</v>
      </c>
      <c r="C2" s="118"/>
      <c r="D2" s="24"/>
    </row>
    <row r="3" spans="1:5" ht="11.25">
      <c r="A3" s="21" t="s">
        <v>63</v>
      </c>
      <c r="B3" s="117" t="s">
        <v>121</v>
      </c>
      <c r="C3" s="118"/>
      <c r="D3" s="24"/>
    </row>
    <row r="4" spans="1:5" ht="15.95" customHeight="1">
      <c r="A4" s="21" t="s">
        <v>64</v>
      </c>
      <c r="B4" s="25" t="s">
        <v>160</v>
      </c>
      <c r="D4" s="24"/>
    </row>
    <row r="5" spans="1:5" ht="15.95" customHeight="1">
      <c r="A5" s="21" t="s">
        <v>65</v>
      </c>
      <c r="B5" s="26">
        <v>43641</v>
      </c>
      <c r="D5" s="24"/>
    </row>
    <row r="6" spans="1:5" s="27" customFormat="1" ht="4.5" customHeight="1">
      <c r="B6" s="53"/>
    </row>
    <row r="7" spans="1:5" ht="15.95" customHeight="1">
      <c r="A7" s="28" t="s">
        <v>66</v>
      </c>
      <c r="B7" s="28" t="s">
        <v>67</v>
      </c>
      <c r="C7" s="28" t="s">
        <v>68</v>
      </c>
      <c r="D7" s="29" t="s">
        <v>69</v>
      </c>
      <c r="E7" s="28" t="s">
        <v>23</v>
      </c>
    </row>
    <row r="8" spans="1:5" ht="15.75" customHeight="1">
      <c r="A8" s="32" t="s">
        <v>70</v>
      </c>
      <c r="B8" s="36" t="s">
        <v>71</v>
      </c>
      <c r="C8" s="36" t="s">
        <v>72</v>
      </c>
      <c r="D8" s="60" t="s">
        <v>157</v>
      </c>
      <c r="E8" s="36"/>
    </row>
    <row r="9" spans="1:5" ht="15.95" customHeight="1">
      <c r="A9" s="32"/>
      <c r="B9" s="49" t="s">
        <v>106</v>
      </c>
      <c r="C9" s="49" t="s">
        <v>107</v>
      </c>
      <c r="D9" s="60" t="s">
        <v>158</v>
      </c>
      <c r="E9" s="36"/>
    </row>
    <row r="10" spans="1:5" ht="15.95" customHeight="1">
      <c r="A10" s="32"/>
      <c r="B10" s="32" t="s">
        <v>57</v>
      </c>
      <c r="C10" s="37" t="s">
        <v>73</v>
      </c>
      <c r="D10" s="57" t="s">
        <v>157</v>
      </c>
      <c r="E10" s="37"/>
    </row>
    <row r="11" spans="1:5" ht="15.95" customHeight="1">
      <c r="A11" s="32"/>
      <c r="B11" s="32"/>
      <c r="C11" s="33" t="s">
        <v>74</v>
      </c>
      <c r="D11" s="58" t="s">
        <v>157</v>
      </c>
      <c r="E11" s="33"/>
    </row>
    <row r="12" spans="1:5" ht="15.95" customHeight="1">
      <c r="A12" s="32"/>
      <c r="B12" s="32"/>
      <c r="C12" s="33" t="s">
        <v>75</v>
      </c>
      <c r="D12" s="58" t="s">
        <v>157</v>
      </c>
      <c r="E12" s="33"/>
    </row>
    <row r="13" spans="1:5" ht="15.95" customHeight="1">
      <c r="A13" s="32"/>
      <c r="B13" s="32"/>
      <c r="C13" s="33" t="s">
        <v>169</v>
      </c>
      <c r="D13" s="58" t="s">
        <v>157</v>
      </c>
      <c r="E13" s="33"/>
    </row>
    <row r="14" spans="1:5" ht="15.95" customHeight="1">
      <c r="A14" s="32"/>
      <c r="B14" s="32"/>
      <c r="C14" s="33" t="s">
        <v>76</v>
      </c>
      <c r="D14" s="58" t="s">
        <v>157</v>
      </c>
      <c r="E14" s="33"/>
    </row>
    <row r="15" spans="1:5" ht="15.95" customHeight="1">
      <c r="A15" s="32"/>
      <c r="B15" s="34"/>
      <c r="C15" s="35" t="s">
        <v>77</v>
      </c>
      <c r="D15" s="59" t="s">
        <v>157</v>
      </c>
      <c r="E15" s="35"/>
    </row>
    <row r="16" spans="1:5" ht="15.95" customHeight="1">
      <c r="A16" s="32"/>
      <c r="B16" s="36" t="s">
        <v>58</v>
      </c>
      <c r="C16" s="36" t="s">
        <v>78</v>
      </c>
      <c r="D16" s="60" t="s">
        <v>157</v>
      </c>
      <c r="E16" s="36"/>
    </row>
    <row r="17" spans="1:5" ht="15.75" customHeight="1">
      <c r="A17" s="32"/>
      <c r="B17" s="36" t="s">
        <v>59</v>
      </c>
      <c r="C17" s="36" t="s">
        <v>79</v>
      </c>
      <c r="D17" s="60" t="s">
        <v>157</v>
      </c>
      <c r="E17" s="36"/>
    </row>
    <row r="18" spans="1:5" ht="15.75" customHeight="1">
      <c r="A18" s="32"/>
      <c r="B18" s="30" t="s">
        <v>60</v>
      </c>
      <c r="C18" s="31" t="s">
        <v>80</v>
      </c>
      <c r="D18" s="57" t="s">
        <v>157</v>
      </c>
      <c r="E18" s="31"/>
    </row>
    <row r="19" spans="1:5" ht="15.95" customHeight="1">
      <c r="A19" s="34"/>
      <c r="B19" s="34"/>
      <c r="C19" s="35" t="s">
        <v>81</v>
      </c>
      <c r="D19" s="59" t="s">
        <v>157</v>
      </c>
      <c r="E19" s="35"/>
    </row>
    <row r="20" spans="1:5" ht="15.95" customHeight="1">
      <c r="A20" s="32" t="s">
        <v>108</v>
      </c>
      <c r="B20" s="32" t="s">
        <v>109</v>
      </c>
      <c r="C20" s="37" t="s">
        <v>82</v>
      </c>
      <c r="D20" s="57" t="s">
        <v>158</v>
      </c>
      <c r="E20" s="37"/>
    </row>
    <row r="21" spans="1:5" ht="15.95" customHeight="1">
      <c r="A21" s="32"/>
      <c r="B21" s="32"/>
      <c r="C21" s="33" t="s">
        <v>83</v>
      </c>
      <c r="D21" s="58" t="s">
        <v>158</v>
      </c>
      <c r="E21" s="33"/>
    </row>
    <row r="22" spans="1:5" ht="15.95" customHeight="1">
      <c r="A22" s="32"/>
      <c r="B22" s="32"/>
      <c r="C22" s="33" t="s">
        <v>84</v>
      </c>
      <c r="D22" s="58" t="s">
        <v>158</v>
      </c>
      <c r="E22" s="33"/>
    </row>
    <row r="23" spans="1:5" ht="15.95" customHeight="1">
      <c r="A23" s="32"/>
      <c r="B23" s="32"/>
      <c r="C23" s="33" t="s">
        <v>85</v>
      </c>
      <c r="D23" s="58" t="s">
        <v>158</v>
      </c>
      <c r="E23" s="33"/>
    </row>
    <row r="24" spans="1:5" ht="22.5">
      <c r="A24" s="32"/>
      <c r="B24" s="32"/>
      <c r="C24" s="33" t="s">
        <v>86</v>
      </c>
      <c r="D24" s="58" t="s">
        <v>158</v>
      </c>
      <c r="E24" s="33"/>
    </row>
    <row r="25" spans="1:5" ht="15.95" customHeight="1">
      <c r="A25" s="32"/>
      <c r="B25" s="32"/>
      <c r="C25" s="33" t="s">
        <v>111</v>
      </c>
      <c r="D25" s="58" t="s">
        <v>158</v>
      </c>
      <c r="E25" s="33"/>
    </row>
    <row r="26" spans="1:5" ht="15.95" customHeight="1">
      <c r="A26" s="32"/>
      <c r="B26" s="32"/>
      <c r="C26" s="33" t="s">
        <v>87</v>
      </c>
      <c r="D26" s="58" t="s">
        <v>158</v>
      </c>
      <c r="E26" s="33"/>
    </row>
    <row r="27" spans="1:5" ht="15.95" customHeight="1">
      <c r="A27" s="32"/>
      <c r="B27" s="32"/>
      <c r="C27" s="33" t="s">
        <v>88</v>
      </c>
      <c r="D27" s="58" t="s">
        <v>158</v>
      </c>
      <c r="E27" s="33"/>
    </row>
    <row r="28" spans="1:5" ht="15.95" customHeight="1">
      <c r="A28" s="32"/>
      <c r="B28" s="32"/>
      <c r="C28" s="33" t="s">
        <v>89</v>
      </c>
      <c r="D28" s="58" t="s">
        <v>157</v>
      </c>
      <c r="E28" s="33"/>
    </row>
    <row r="29" spans="1:5" ht="15.95" customHeight="1">
      <c r="A29" s="32"/>
      <c r="B29" s="32"/>
      <c r="C29" s="38" t="s">
        <v>90</v>
      </c>
      <c r="D29" s="58" t="s">
        <v>158</v>
      </c>
      <c r="E29" s="38"/>
    </row>
    <row r="30" spans="1:5" ht="15.95" customHeight="1">
      <c r="A30" s="32"/>
      <c r="B30" s="32"/>
      <c r="C30" s="38" t="s">
        <v>91</v>
      </c>
      <c r="D30" s="58" t="s">
        <v>158</v>
      </c>
      <c r="E30" s="38"/>
    </row>
    <row r="31" spans="1:5" ht="15.95" customHeight="1">
      <c r="A31" s="32"/>
      <c r="B31" s="32"/>
      <c r="C31" s="38" t="s">
        <v>92</v>
      </c>
      <c r="D31" s="58" t="s">
        <v>158</v>
      </c>
      <c r="E31" s="38"/>
    </row>
    <row r="32" spans="1:5" ht="15.95" customHeight="1">
      <c r="A32" s="32"/>
      <c r="B32" s="32"/>
      <c r="C32" s="38" t="s">
        <v>93</v>
      </c>
      <c r="D32" s="58" t="s">
        <v>158</v>
      </c>
      <c r="E32" s="38"/>
    </row>
    <row r="33" spans="1:5" ht="15.95" customHeight="1">
      <c r="A33" s="32"/>
      <c r="B33" s="32"/>
      <c r="C33" s="38" t="s">
        <v>94</v>
      </c>
      <c r="D33" s="58" t="s">
        <v>158</v>
      </c>
      <c r="E33" s="38"/>
    </row>
    <row r="34" spans="1:5" ht="15.95" customHeight="1">
      <c r="A34" s="32"/>
      <c r="B34" s="32"/>
      <c r="C34" s="38" t="s">
        <v>95</v>
      </c>
      <c r="D34" s="58" t="s">
        <v>158</v>
      </c>
      <c r="E34" s="38"/>
    </row>
    <row r="35" spans="1:5" ht="15.95" customHeight="1">
      <c r="A35" s="32"/>
      <c r="B35" s="32"/>
      <c r="C35" s="38" t="s">
        <v>102</v>
      </c>
      <c r="D35" s="58" t="s">
        <v>158</v>
      </c>
      <c r="E35" s="38"/>
    </row>
    <row r="36" spans="1:5" ht="15.95" customHeight="1">
      <c r="A36" s="32"/>
      <c r="B36" s="34"/>
      <c r="C36" s="35" t="s">
        <v>104</v>
      </c>
      <c r="D36" s="59" t="s">
        <v>157</v>
      </c>
      <c r="E36" s="35"/>
    </row>
    <row r="37" spans="1:5" ht="15.95" customHeight="1">
      <c r="A37" s="32"/>
      <c r="B37" s="32" t="s">
        <v>96</v>
      </c>
      <c r="C37" s="32" t="s">
        <v>97</v>
      </c>
      <c r="D37" s="61" t="s">
        <v>157</v>
      </c>
      <c r="E37" s="32"/>
    </row>
    <row r="38" spans="1:5" ht="15.95" customHeight="1">
      <c r="A38" s="32"/>
      <c r="B38" s="34"/>
      <c r="C38" s="35" t="s">
        <v>98</v>
      </c>
      <c r="D38" s="59" t="s">
        <v>158</v>
      </c>
      <c r="E38" s="35"/>
    </row>
    <row r="39" spans="1:5" ht="15.95" customHeight="1">
      <c r="A39" s="34"/>
      <c r="B39" s="34" t="s">
        <v>99</v>
      </c>
      <c r="C39" s="34" t="s">
        <v>100</v>
      </c>
      <c r="D39" s="62" t="s">
        <v>157</v>
      </c>
      <c r="E39" s="34"/>
    </row>
    <row r="40" spans="1:5" ht="15.95" customHeight="1">
      <c r="A40" s="39"/>
      <c r="B40" s="40"/>
      <c r="C40" s="40"/>
      <c r="D40" s="39"/>
      <c r="E40" s="39"/>
    </row>
    <row r="42" spans="1:5" ht="15.95" customHeight="1">
      <c r="B42" s="23" t="s">
        <v>101</v>
      </c>
      <c r="C42" s="39"/>
    </row>
    <row r="43" spans="1:5" ht="15.95" customHeight="1">
      <c r="C43" s="39"/>
    </row>
  </sheetData>
  <mergeCells count="3">
    <mergeCell ref="B1:C1"/>
    <mergeCell ref="B2:C2"/>
    <mergeCell ref="B3:C3"/>
  </mergeCells>
  <phoneticPr fontId="7"/>
  <conditionalFormatting sqref="B2:C3 B4:B5">
    <cfRule type="expression" dxfId="5" priority="2" stopIfTrue="1">
      <formula>$B2=""</formula>
    </cfRule>
  </conditionalFormatting>
  <conditionalFormatting sqref="B40:C40">
    <cfRule type="expression" dxfId="4" priority="3" stopIfTrue="1">
      <formula>#REF!="対象外"</formula>
    </cfRule>
  </conditionalFormatting>
  <conditionalFormatting sqref="E8:E39 A8:C39">
    <cfRule type="expression" dxfId="3" priority="4" stopIfTrue="1">
      <formula>$D8="対象外"</formula>
    </cfRule>
  </conditionalFormatting>
  <conditionalFormatting sqref="D8:D39">
    <cfRule type="expression" dxfId="2" priority="5" stopIfTrue="1">
      <formula>$D8="対象外"</formula>
    </cfRule>
    <cfRule type="expression" dxfId="1" priority="6" stopIfTrue="1">
      <formula>$D8&lt;&gt;"OK"</formula>
    </cfRule>
  </conditionalFormatting>
  <conditionalFormatting sqref="B1:C1">
    <cfRule type="expression" dxfId="0" priority="1" stopIfTrue="1">
      <formula>$B1=""</formula>
    </cfRule>
  </conditionalFormatting>
  <dataValidations count="1">
    <dataValidation type="list" allowBlank="1" showInputMessage="1" showErrorMessage="1" sqref="D8:D39">
      <formula1>"OK,NG,対象外"</formula1>
    </dataValidation>
  </dataValidations>
  <pageMargins left="0.39370078740157483" right="0.39370078740157483" top="0.59055118110236227" bottom="0.98425196850393704" header="0.51181102362204722" footer="0.51181102362204722"/>
  <pageSetup paperSize="9" scale="75" fitToHeight="0" orientation="portrait" horizontalDpi="360" verticalDpi="360" r:id="rId1"/>
  <headerFooter alignWithMargins="0">
    <oddFooter>&amp;C&amp;P/&amp;N&amp;RInternal Use Only</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CE39"/>
  <sheetViews>
    <sheetView view="pageBreakPreview" zoomScaleNormal="75" zoomScaleSheetLayoutView="100" workbookViewId="0">
      <selection activeCell="AZ15" sqref="AZ15:BC15"/>
    </sheetView>
  </sheetViews>
  <sheetFormatPr defaultColWidth="4.83203125" defaultRowHeight="13.5" customHeight="1"/>
  <cols>
    <col min="1" max="83" width="2.1640625" style="3" customWidth="1"/>
    <col min="84" max="16384" width="4.83203125" style="3"/>
  </cols>
  <sheetData>
    <row r="1" spans="1:83" ht="13.5" customHeight="1">
      <c r="A1" s="152" t="s">
        <v>0</v>
      </c>
      <c r="B1" s="152"/>
      <c r="C1" s="152"/>
      <c r="D1" s="152"/>
      <c r="E1" s="152"/>
      <c r="F1" s="152"/>
      <c r="G1" s="152"/>
      <c r="H1" s="152"/>
      <c r="I1" s="152"/>
      <c r="J1" s="152"/>
      <c r="K1" s="152"/>
      <c r="L1" s="152"/>
      <c r="M1" s="152"/>
      <c r="N1" s="152"/>
      <c r="O1" s="152" t="s">
        <v>1</v>
      </c>
      <c r="P1" s="152"/>
      <c r="Q1" s="152"/>
      <c r="R1" s="152"/>
      <c r="S1" s="152"/>
      <c r="T1" s="152"/>
      <c r="U1" s="152"/>
      <c r="V1" s="152"/>
      <c r="W1" s="152"/>
      <c r="X1" s="152"/>
      <c r="Y1" s="152"/>
      <c r="Z1" s="152"/>
      <c r="AA1" s="152"/>
      <c r="AB1" s="152"/>
      <c r="AC1" s="152" t="s">
        <v>2</v>
      </c>
      <c r="AD1" s="152"/>
      <c r="AE1" s="152"/>
      <c r="AF1" s="152"/>
      <c r="AG1" s="152"/>
      <c r="AH1" s="152"/>
      <c r="AI1" s="152"/>
      <c r="AJ1" s="152"/>
      <c r="AK1" s="152"/>
      <c r="AL1" s="152"/>
      <c r="AM1" s="152"/>
      <c r="AN1" s="152"/>
      <c r="AO1" s="152"/>
      <c r="AP1" s="152"/>
      <c r="AQ1" s="152"/>
      <c r="AR1" s="152"/>
      <c r="AS1" s="152"/>
      <c r="AT1" s="152"/>
      <c r="AU1" s="152"/>
      <c r="AV1" s="152" t="s">
        <v>3</v>
      </c>
      <c r="AW1" s="152"/>
      <c r="AX1" s="152"/>
      <c r="AY1" s="152"/>
      <c r="AZ1" s="152"/>
      <c r="BA1" s="152"/>
      <c r="BB1" s="152"/>
      <c r="BC1" s="152"/>
      <c r="BD1" s="152"/>
      <c r="BE1" s="152" t="s">
        <v>4</v>
      </c>
      <c r="BF1" s="152"/>
      <c r="BG1" s="152"/>
      <c r="BH1" s="152"/>
      <c r="BI1" s="152"/>
      <c r="BJ1" s="152"/>
      <c r="BK1" s="152"/>
      <c r="BL1" s="152"/>
      <c r="BM1" s="152"/>
      <c r="BN1" s="152" t="s">
        <v>5</v>
      </c>
      <c r="BO1" s="152"/>
      <c r="BP1" s="152"/>
      <c r="BQ1" s="152"/>
      <c r="BR1" s="152"/>
      <c r="BS1" s="152"/>
      <c r="BT1" s="152"/>
      <c r="BU1" s="152"/>
      <c r="BV1" s="152"/>
      <c r="BW1" s="152" t="s">
        <v>6</v>
      </c>
      <c r="BX1" s="152"/>
      <c r="BY1" s="152"/>
      <c r="BZ1" s="152"/>
      <c r="CA1" s="152"/>
      <c r="CB1" s="152"/>
      <c r="CC1" s="152"/>
      <c r="CD1" s="152"/>
      <c r="CE1" s="152"/>
    </row>
    <row r="2" spans="1:83" ht="13.5" customHeight="1">
      <c r="A2" s="109" t="s">
        <v>110</v>
      </c>
      <c r="B2" s="110"/>
      <c r="C2" s="110"/>
      <c r="D2" s="110"/>
      <c r="E2" s="110"/>
      <c r="F2" s="110"/>
      <c r="G2" s="110"/>
      <c r="H2" s="110"/>
      <c r="I2" s="110"/>
      <c r="J2" s="110"/>
      <c r="K2" s="110"/>
      <c r="L2" s="110"/>
      <c r="M2" s="110"/>
      <c r="N2" s="110"/>
      <c r="O2" s="116" t="str">
        <f>変更履歴!O2</f>
        <v>バイヤ1</v>
      </c>
      <c r="P2" s="116"/>
      <c r="Q2" s="116"/>
      <c r="R2" s="116"/>
      <c r="S2" s="116"/>
      <c r="T2" s="116"/>
      <c r="U2" s="116"/>
      <c r="V2" s="116"/>
      <c r="W2" s="116"/>
      <c r="X2" s="116"/>
      <c r="Y2" s="116"/>
      <c r="Z2" s="116"/>
      <c r="AA2" s="116"/>
      <c r="AB2" s="116"/>
      <c r="AC2" s="116" t="s">
        <v>16</v>
      </c>
      <c r="AD2" s="116"/>
      <c r="AE2" s="116"/>
      <c r="AF2" s="116"/>
      <c r="AG2" s="116"/>
      <c r="AH2" s="116"/>
      <c r="AI2" s="116"/>
      <c r="AJ2" s="116"/>
      <c r="AK2" s="116"/>
      <c r="AL2" s="116"/>
      <c r="AM2" s="116"/>
      <c r="AN2" s="116"/>
      <c r="AO2" s="116"/>
      <c r="AP2" s="116"/>
      <c r="AQ2" s="116"/>
      <c r="AR2" s="116"/>
      <c r="AS2" s="116"/>
      <c r="AT2" s="116"/>
      <c r="AU2" s="116"/>
      <c r="AV2" s="159" t="str">
        <f>変更履歴!AV2</f>
        <v>NSSOL 史</v>
      </c>
      <c r="AW2" s="159"/>
      <c r="AX2" s="159"/>
      <c r="AY2" s="159"/>
      <c r="AZ2" s="159"/>
      <c r="BA2" s="159"/>
      <c r="BB2" s="159"/>
      <c r="BC2" s="159"/>
      <c r="BD2" s="159"/>
      <c r="BE2" s="160">
        <f>変更履歴!D5</f>
        <v>43641</v>
      </c>
      <c r="BF2" s="160"/>
      <c r="BG2" s="160"/>
      <c r="BH2" s="160"/>
      <c r="BI2" s="160"/>
      <c r="BJ2" s="160"/>
      <c r="BK2" s="160"/>
      <c r="BL2" s="160"/>
      <c r="BM2" s="160"/>
      <c r="BN2" s="159" t="str">
        <f>変更履歴!BN2</f>
        <v/>
      </c>
      <c r="BO2" s="159"/>
      <c r="BP2" s="159"/>
      <c r="BQ2" s="159"/>
      <c r="BR2" s="159"/>
      <c r="BS2" s="159"/>
      <c r="BT2" s="159"/>
      <c r="BU2" s="159"/>
      <c r="BV2" s="159"/>
      <c r="BW2" s="160" t="str">
        <f>変更履歴!BW2</f>
        <v/>
      </c>
      <c r="BX2" s="159"/>
      <c r="BY2" s="159"/>
      <c r="BZ2" s="159"/>
      <c r="CA2" s="159"/>
      <c r="CB2" s="159"/>
      <c r="CC2" s="159"/>
      <c r="CD2" s="159"/>
      <c r="CE2" s="159"/>
    </row>
    <row r="3" spans="1:83" ht="5.0999999999999996"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row>
    <row r="4" spans="1:83" ht="180.75" customHeight="1">
      <c r="A4" s="153" t="s">
        <v>17</v>
      </c>
      <c r="B4" s="154"/>
      <c r="C4" s="154"/>
      <c r="D4" s="154"/>
      <c r="E4" s="154"/>
      <c r="F4" s="154"/>
      <c r="G4" s="154"/>
      <c r="H4" s="154"/>
      <c r="I4" s="155"/>
      <c r="J4" s="156" t="s">
        <v>170</v>
      </c>
      <c r="K4" s="157"/>
      <c r="L4" s="157"/>
      <c r="M4" s="157"/>
      <c r="N4" s="157"/>
      <c r="O4" s="157"/>
      <c r="P4" s="157"/>
      <c r="Q4" s="157"/>
      <c r="R4" s="157"/>
      <c r="S4" s="157"/>
      <c r="T4" s="157"/>
      <c r="U4" s="157"/>
      <c r="V4" s="157"/>
      <c r="W4" s="157"/>
      <c r="X4" s="158"/>
      <c r="Y4" s="153" t="s">
        <v>18</v>
      </c>
      <c r="Z4" s="154"/>
      <c r="AA4" s="154"/>
      <c r="AB4" s="154"/>
      <c r="AC4" s="154"/>
      <c r="AD4" s="154"/>
      <c r="AE4" s="154"/>
      <c r="AF4" s="154"/>
      <c r="AG4" s="155"/>
      <c r="AH4" s="156" t="s">
        <v>186</v>
      </c>
      <c r="AI4" s="157"/>
      <c r="AJ4" s="157"/>
      <c r="AK4" s="157"/>
      <c r="AL4" s="157"/>
      <c r="AM4" s="157"/>
      <c r="AN4" s="157"/>
      <c r="AO4" s="157"/>
      <c r="AP4" s="157"/>
      <c r="AQ4" s="157"/>
      <c r="AR4" s="157"/>
      <c r="AS4" s="157"/>
      <c r="AT4" s="157"/>
      <c r="AU4" s="157"/>
      <c r="AV4" s="157"/>
      <c r="AW4" s="157"/>
      <c r="AX4" s="157"/>
      <c r="AY4" s="157"/>
      <c r="AZ4" s="157"/>
      <c r="BA4" s="157"/>
      <c r="BB4" s="157"/>
      <c r="BC4" s="157"/>
      <c r="BD4" s="157"/>
      <c r="BE4" s="157"/>
      <c r="BF4" s="157"/>
      <c r="BG4" s="158"/>
      <c r="BH4" s="5"/>
      <c r="BI4" s="5"/>
      <c r="BJ4" s="5"/>
      <c r="BK4" s="5"/>
      <c r="BL4" s="5"/>
      <c r="BM4" s="5"/>
      <c r="BN4" s="5"/>
      <c r="BO4" s="5"/>
      <c r="BP4" s="5"/>
      <c r="BQ4" s="5"/>
      <c r="BR4" s="5"/>
      <c r="BS4" s="5"/>
      <c r="BT4" s="5"/>
      <c r="BU4" s="5"/>
      <c r="BV4" s="5"/>
      <c r="BW4" s="5"/>
      <c r="BX4" s="5"/>
      <c r="BY4" s="5"/>
      <c r="BZ4" s="5"/>
      <c r="CA4" s="5"/>
      <c r="CB4" s="5"/>
      <c r="CC4" s="5"/>
      <c r="CD4" s="5"/>
      <c r="CE4" s="5"/>
    </row>
    <row r="5" spans="1:83" ht="13.5" customHeight="1">
      <c r="A5" s="11"/>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12"/>
    </row>
    <row r="6" spans="1:83" ht="13.5" customHeight="1">
      <c r="A6" s="6"/>
      <c r="C6" s="3" t="s">
        <v>26</v>
      </c>
      <c r="CE6" s="7"/>
    </row>
    <row r="7" spans="1:83" ht="13.5" customHeight="1">
      <c r="A7" s="6"/>
      <c r="D7" s="8" t="s">
        <v>28</v>
      </c>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18"/>
      <c r="AJ7" s="19" t="s">
        <v>24</v>
      </c>
      <c r="AK7" s="9"/>
      <c r="AL7" s="9"/>
      <c r="AM7" s="9"/>
      <c r="AN7" s="9"/>
      <c r="AO7" s="9"/>
      <c r="AP7" s="9"/>
      <c r="AQ7" s="9"/>
      <c r="AR7" s="9"/>
      <c r="AS7" s="9"/>
      <c r="AT7" s="9"/>
      <c r="AU7" s="9"/>
      <c r="AV7" s="146" t="s">
        <v>105</v>
      </c>
      <c r="AW7" s="147"/>
      <c r="AX7" s="147"/>
      <c r="AY7" s="148"/>
      <c r="CE7" s="7"/>
    </row>
    <row r="8" spans="1:83" ht="13.5" customHeight="1">
      <c r="A8" s="6"/>
      <c r="D8" s="128" t="s">
        <v>46</v>
      </c>
      <c r="E8" s="129"/>
      <c r="F8" s="129"/>
      <c r="G8" s="130"/>
      <c r="H8" s="128" t="s">
        <v>47</v>
      </c>
      <c r="I8" s="129"/>
      <c r="J8" s="129"/>
      <c r="K8" s="130"/>
      <c r="L8" s="128" t="s">
        <v>48</v>
      </c>
      <c r="M8" s="129"/>
      <c r="N8" s="129"/>
      <c r="O8" s="130"/>
      <c r="P8" s="128" t="s">
        <v>49</v>
      </c>
      <c r="Q8" s="129"/>
      <c r="R8" s="129"/>
      <c r="S8" s="130"/>
      <c r="T8" s="128" t="s">
        <v>50</v>
      </c>
      <c r="U8" s="129"/>
      <c r="V8" s="129"/>
      <c r="W8" s="130"/>
      <c r="X8" s="128" t="s">
        <v>51</v>
      </c>
      <c r="Y8" s="129"/>
      <c r="Z8" s="129"/>
      <c r="AA8" s="130"/>
      <c r="AB8" s="128" t="s">
        <v>25</v>
      </c>
      <c r="AC8" s="129"/>
      <c r="AD8" s="129"/>
      <c r="AE8" s="130"/>
      <c r="AF8" s="128" t="s">
        <v>30</v>
      </c>
      <c r="AG8" s="129"/>
      <c r="AH8" s="129"/>
      <c r="AI8" s="131"/>
      <c r="AJ8" s="132" t="s">
        <v>52</v>
      </c>
      <c r="AK8" s="129"/>
      <c r="AL8" s="129"/>
      <c r="AM8" s="130"/>
      <c r="AN8" s="128" t="s">
        <v>53</v>
      </c>
      <c r="AO8" s="129"/>
      <c r="AP8" s="129"/>
      <c r="AQ8" s="130"/>
      <c r="AR8" s="128" t="s">
        <v>54</v>
      </c>
      <c r="AS8" s="129"/>
      <c r="AT8" s="129"/>
      <c r="AU8" s="129"/>
      <c r="AV8" s="149"/>
      <c r="AW8" s="150"/>
      <c r="AX8" s="150"/>
      <c r="AY8" s="151"/>
      <c r="CE8" s="7"/>
    </row>
    <row r="9" spans="1:83" ht="13.5" customHeight="1">
      <c r="A9" s="6"/>
      <c r="D9" s="122">
        <v>7</v>
      </c>
      <c r="E9" s="123"/>
      <c r="F9" s="123"/>
      <c r="G9" s="124"/>
      <c r="H9" s="122">
        <v>0</v>
      </c>
      <c r="I9" s="123"/>
      <c r="J9" s="123"/>
      <c r="K9" s="124"/>
      <c r="L9" s="122">
        <v>0</v>
      </c>
      <c r="M9" s="123"/>
      <c r="N9" s="123"/>
      <c r="O9" s="124"/>
      <c r="P9" s="122">
        <v>0</v>
      </c>
      <c r="Q9" s="123"/>
      <c r="R9" s="123"/>
      <c r="S9" s="124"/>
      <c r="T9" s="122">
        <v>7</v>
      </c>
      <c r="U9" s="123"/>
      <c r="V9" s="123"/>
      <c r="W9" s="124"/>
      <c r="X9" s="122">
        <v>0</v>
      </c>
      <c r="Y9" s="123"/>
      <c r="Z9" s="123"/>
      <c r="AA9" s="124"/>
      <c r="AB9" s="122">
        <v>0</v>
      </c>
      <c r="AC9" s="123"/>
      <c r="AD9" s="123"/>
      <c r="AE9" s="124"/>
      <c r="AF9" s="122">
        <v>0</v>
      </c>
      <c r="AG9" s="123"/>
      <c r="AH9" s="123"/>
      <c r="AI9" s="145"/>
      <c r="AJ9" s="133">
        <v>0</v>
      </c>
      <c r="AK9" s="123"/>
      <c r="AL9" s="123"/>
      <c r="AM9" s="124"/>
      <c r="AN9" s="122">
        <v>0</v>
      </c>
      <c r="AO9" s="123"/>
      <c r="AP9" s="123"/>
      <c r="AQ9" s="124"/>
      <c r="AR9" s="122">
        <v>0</v>
      </c>
      <c r="AS9" s="123"/>
      <c r="AT9" s="123"/>
      <c r="AU9" s="123"/>
      <c r="AV9" s="134">
        <f>(AJ9+AR9)/D9</f>
        <v>0</v>
      </c>
      <c r="AW9" s="135"/>
      <c r="AX9" s="135"/>
      <c r="AY9" s="136"/>
      <c r="CE9" s="7"/>
    </row>
    <row r="10" spans="1:83" ht="13.5" customHeight="1">
      <c r="A10" s="6"/>
      <c r="CE10" s="7"/>
    </row>
    <row r="11" spans="1:83" ht="13.5" customHeight="1">
      <c r="A11" s="6"/>
      <c r="C11" s="3" t="s">
        <v>27</v>
      </c>
      <c r="CE11" s="7"/>
    </row>
    <row r="12" spans="1:83" ht="13.5" customHeight="1">
      <c r="A12" s="6"/>
      <c r="D12" s="137" t="s">
        <v>55</v>
      </c>
      <c r="E12" s="138"/>
      <c r="F12" s="138"/>
      <c r="G12" s="138"/>
      <c r="H12" s="138"/>
      <c r="I12" s="138"/>
      <c r="J12" s="138"/>
      <c r="K12" s="138"/>
      <c r="L12" s="138"/>
      <c r="M12" s="138"/>
      <c r="N12" s="138"/>
      <c r="O12" s="139"/>
      <c r="P12" s="137" t="s">
        <v>56</v>
      </c>
      <c r="Q12" s="138"/>
      <c r="R12" s="138"/>
      <c r="S12" s="143"/>
      <c r="T12" s="20" t="s">
        <v>28</v>
      </c>
      <c r="U12" s="20"/>
      <c r="V12" s="20"/>
      <c r="W12" s="1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18"/>
      <c r="AZ12" s="19" t="s">
        <v>24</v>
      </c>
      <c r="BA12" s="9"/>
      <c r="BB12" s="9"/>
      <c r="BC12" s="9"/>
      <c r="BD12" s="9"/>
      <c r="BE12" s="9"/>
      <c r="BF12" s="9"/>
      <c r="BG12" s="9"/>
      <c r="BH12" s="9"/>
      <c r="BI12" s="9"/>
      <c r="BJ12" s="9"/>
      <c r="BK12" s="10"/>
      <c r="CE12" s="7"/>
    </row>
    <row r="13" spans="1:83" ht="13.5" customHeight="1">
      <c r="A13" s="6"/>
      <c r="D13" s="140"/>
      <c r="E13" s="141"/>
      <c r="F13" s="141"/>
      <c r="G13" s="141"/>
      <c r="H13" s="141"/>
      <c r="I13" s="141"/>
      <c r="J13" s="141"/>
      <c r="K13" s="141"/>
      <c r="L13" s="141"/>
      <c r="M13" s="141"/>
      <c r="N13" s="141"/>
      <c r="O13" s="142"/>
      <c r="P13" s="140"/>
      <c r="Q13" s="141"/>
      <c r="R13" s="141"/>
      <c r="S13" s="144"/>
      <c r="T13" s="132" t="s">
        <v>46</v>
      </c>
      <c r="U13" s="129"/>
      <c r="V13" s="129"/>
      <c r="W13" s="130"/>
      <c r="X13" s="128" t="s">
        <v>47</v>
      </c>
      <c r="Y13" s="129"/>
      <c r="Z13" s="129"/>
      <c r="AA13" s="130"/>
      <c r="AB13" s="128" t="s">
        <v>48</v>
      </c>
      <c r="AC13" s="129"/>
      <c r="AD13" s="129"/>
      <c r="AE13" s="130"/>
      <c r="AF13" s="128" t="s">
        <v>49</v>
      </c>
      <c r="AG13" s="129"/>
      <c r="AH13" s="129"/>
      <c r="AI13" s="130"/>
      <c r="AJ13" s="128" t="s">
        <v>50</v>
      </c>
      <c r="AK13" s="129"/>
      <c r="AL13" s="129"/>
      <c r="AM13" s="130"/>
      <c r="AN13" s="128" t="s">
        <v>51</v>
      </c>
      <c r="AO13" s="129"/>
      <c r="AP13" s="129"/>
      <c r="AQ13" s="130"/>
      <c r="AR13" s="128" t="s">
        <v>25</v>
      </c>
      <c r="AS13" s="129"/>
      <c r="AT13" s="129"/>
      <c r="AU13" s="130"/>
      <c r="AV13" s="128" t="s">
        <v>30</v>
      </c>
      <c r="AW13" s="129"/>
      <c r="AX13" s="129"/>
      <c r="AY13" s="131"/>
      <c r="AZ13" s="132" t="s">
        <v>52</v>
      </c>
      <c r="BA13" s="129"/>
      <c r="BB13" s="129"/>
      <c r="BC13" s="130"/>
      <c r="BD13" s="128" t="s">
        <v>53</v>
      </c>
      <c r="BE13" s="129"/>
      <c r="BF13" s="129"/>
      <c r="BG13" s="130"/>
      <c r="BH13" s="128" t="s">
        <v>54</v>
      </c>
      <c r="BI13" s="129"/>
      <c r="BJ13" s="129"/>
      <c r="BK13" s="130"/>
      <c r="CE13" s="7"/>
    </row>
    <row r="14" spans="1:83" ht="13.5" customHeight="1">
      <c r="A14" s="6"/>
      <c r="D14" s="125" t="s">
        <v>193</v>
      </c>
      <c r="E14" s="126"/>
      <c r="F14" s="126"/>
      <c r="G14" s="126"/>
      <c r="H14" s="126"/>
      <c r="I14" s="126"/>
      <c r="J14" s="126"/>
      <c r="K14" s="126"/>
      <c r="L14" s="126"/>
      <c r="M14" s="126"/>
      <c r="N14" s="126"/>
      <c r="O14" s="127"/>
      <c r="P14" s="119"/>
      <c r="Q14" s="120"/>
      <c r="R14" s="120"/>
      <c r="S14" s="120"/>
      <c r="T14" s="120">
        <f ca="1">IF(D14&lt;&gt;"",INDIRECT(ADDRESS(5,1,1,TRUE,D14)),"")</f>
        <v>7</v>
      </c>
      <c r="U14" s="120"/>
      <c r="V14" s="120"/>
      <c r="W14" s="121"/>
      <c r="X14" s="122">
        <f ca="1">IF(D14&lt;&gt;"",INDIRECT(ADDRESS(5,2,1,TRUE,D14)),"")</f>
        <v>0</v>
      </c>
      <c r="Y14" s="123"/>
      <c r="Z14" s="123"/>
      <c r="AA14" s="124"/>
      <c r="AB14" s="122">
        <f ca="1">IF(D14&lt;&gt;"",INDIRECT(ADDRESS(5,3,1,TRUE,D14)),"")</f>
        <v>0</v>
      </c>
      <c r="AC14" s="123"/>
      <c r="AD14" s="123"/>
      <c r="AE14" s="124"/>
      <c r="AF14" s="122">
        <f ca="1">IF(D14&lt;&gt;"",INDIRECT(ADDRESS(5,4,1,TRUE,D14)),"")</f>
        <v>0</v>
      </c>
      <c r="AG14" s="123"/>
      <c r="AH14" s="123"/>
      <c r="AI14" s="124"/>
      <c r="AJ14" s="122">
        <f ca="1">IF(D14&lt;&gt;"",INDIRECT(ADDRESS(5,5,1,TRUE,D14)),"")</f>
        <v>7</v>
      </c>
      <c r="AK14" s="123"/>
      <c r="AL14" s="123"/>
      <c r="AM14" s="124"/>
      <c r="AN14" s="122">
        <f ca="1">IF(D14&lt;&gt;"",INDIRECT(ADDRESS(5,6,1,TRUE,D14)),"")</f>
        <v>0</v>
      </c>
      <c r="AO14" s="123"/>
      <c r="AP14" s="123"/>
      <c r="AQ14" s="124"/>
      <c r="AR14" s="122">
        <f ca="1">IF(D14&lt;&gt;"",INDIRECT(ADDRESS(5,7,1,TRUE,D14)),"")</f>
        <v>0</v>
      </c>
      <c r="AS14" s="123"/>
      <c r="AT14" s="123"/>
      <c r="AU14" s="124"/>
      <c r="AV14" s="119">
        <f ca="1">IF(D14&lt;&gt;"",INDIRECT(ADDRESS(5,8,1,TRUE,D14)),"")</f>
        <v>0</v>
      </c>
      <c r="AW14" s="120"/>
      <c r="AX14" s="120"/>
      <c r="AY14" s="120"/>
      <c r="AZ14" s="120">
        <v>0</v>
      </c>
      <c r="BA14" s="120"/>
      <c r="BB14" s="120"/>
      <c r="BC14" s="121"/>
      <c r="BD14" s="122">
        <f ca="1">IF(D14&lt;&gt;"",INDIRECT(ADDRESS(5,10,1,TRUE,D14)),"")</f>
        <v>0</v>
      </c>
      <c r="BE14" s="123"/>
      <c r="BF14" s="123"/>
      <c r="BG14" s="124"/>
      <c r="BH14" s="122">
        <f ca="1">IF(D14&lt;&gt;"",INDIRECT(ADDRESS(5,11,1,TRUE,D14)),"")</f>
        <v>0</v>
      </c>
      <c r="BI14" s="123"/>
      <c r="BJ14" s="123"/>
      <c r="BK14" s="124"/>
      <c r="CE14" s="7"/>
    </row>
    <row r="15" spans="1:83" ht="13.5" customHeight="1">
      <c r="A15" s="6"/>
      <c r="D15" s="125"/>
      <c r="E15" s="126"/>
      <c r="F15" s="126"/>
      <c r="G15" s="126"/>
      <c r="H15" s="126"/>
      <c r="I15" s="126"/>
      <c r="J15" s="126"/>
      <c r="K15" s="126"/>
      <c r="L15" s="126"/>
      <c r="M15" s="126"/>
      <c r="N15" s="126"/>
      <c r="O15" s="127"/>
      <c r="P15" s="119"/>
      <c r="Q15" s="120"/>
      <c r="R15" s="120"/>
      <c r="S15" s="120"/>
      <c r="T15" s="120" t="str">
        <f t="shared" ref="T15:T37" ca="1" si="0">IF(D15&lt;&gt;"",INDIRECT(ADDRESS(5,1,1,TRUE,D15)),"")</f>
        <v/>
      </c>
      <c r="U15" s="120"/>
      <c r="V15" s="120"/>
      <c r="W15" s="121"/>
      <c r="X15" s="122" t="str">
        <f t="shared" ref="X15:X37" ca="1" si="1">IF(D15&lt;&gt;"",INDIRECT(ADDRESS(5,2,1,TRUE,D15)),"")</f>
        <v/>
      </c>
      <c r="Y15" s="123"/>
      <c r="Z15" s="123"/>
      <c r="AA15" s="124"/>
      <c r="AB15" s="122" t="str">
        <f t="shared" ref="AB15:AB37" ca="1" si="2">IF(D15&lt;&gt;"",INDIRECT(ADDRESS(5,3,1,TRUE,D15)),"")</f>
        <v/>
      </c>
      <c r="AC15" s="123"/>
      <c r="AD15" s="123"/>
      <c r="AE15" s="124"/>
      <c r="AF15" s="122" t="str">
        <f t="shared" ref="AF15:AF37" ca="1" si="3">IF(D15&lt;&gt;"",INDIRECT(ADDRESS(5,4,1,TRUE,D15)),"")</f>
        <v/>
      </c>
      <c r="AG15" s="123"/>
      <c r="AH15" s="123"/>
      <c r="AI15" s="124"/>
      <c r="AJ15" s="122" t="str">
        <f t="shared" ref="AJ15:AJ37" ca="1" si="4">IF(D15&lt;&gt;"",INDIRECT(ADDRESS(5,5,1,TRUE,D15)),"")</f>
        <v/>
      </c>
      <c r="AK15" s="123"/>
      <c r="AL15" s="123"/>
      <c r="AM15" s="124"/>
      <c r="AN15" s="122" t="str">
        <f t="shared" ref="AN15:AN37" ca="1" si="5">IF(D15&lt;&gt;"",INDIRECT(ADDRESS(5,6,1,TRUE,D15)),"")</f>
        <v/>
      </c>
      <c r="AO15" s="123"/>
      <c r="AP15" s="123"/>
      <c r="AQ15" s="124"/>
      <c r="AR15" s="122" t="str">
        <f t="shared" ref="AR15:AR37" ca="1" si="6">IF(D15&lt;&gt;"",INDIRECT(ADDRESS(5,7,1,TRUE,D15)),"")</f>
        <v/>
      </c>
      <c r="AS15" s="123"/>
      <c r="AT15" s="123"/>
      <c r="AU15" s="124"/>
      <c r="AV15" s="119" t="str">
        <f t="shared" ref="AV15:AV37" ca="1" si="7">IF(D15&lt;&gt;"",INDIRECT(ADDRESS(5,8,1,TRUE,D15)),"")</f>
        <v/>
      </c>
      <c r="AW15" s="120"/>
      <c r="AX15" s="120"/>
      <c r="AY15" s="120"/>
      <c r="AZ15" s="120" t="str">
        <f t="shared" ref="AZ15:AZ37" ca="1" si="8">IF(D15&lt;&gt;"",INDIRECT(ADDRESS(5,9,1,TRUE,D15)),"")</f>
        <v/>
      </c>
      <c r="BA15" s="120"/>
      <c r="BB15" s="120"/>
      <c r="BC15" s="121"/>
      <c r="BD15" s="122" t="str">
        <f t="shared" ref="BD15:BD37" ca="1" si="9">IF(D15&lt;&gt;"",INDIRECT(ADDRESS(5,10,1,TRUE,D15)),"")</f>
        <v/>
      </c>
      <c r="BE15" s="123"/>
      <c r="BF15" s="123"/>
      <c r="BG15" s="124"/>
      <c r="BH15" s="122" t="str">
        <f t="shared" ref="BH15:BH37" ca="1" si="10">IF(D15&lt;&gt;"",INDIRECT(ADDRESS(5,11,1,TRUE,D15)),"")</f>
        <v/>
      </c>
      <c r="BI15" s="123"/>
      <c r="BJ15" s="123"/>
      <c r="BK15" s="124"/>
      <c r="CE15" s="7"/>
    </row>
    <row r="16" spans="1:83" ht="13.5" customHeight="1">
      <c r="A16" s="6"/>
      <c r="D16" s="125"/>
      <c r="E16" s="126"/>
      <c r="F16" s="126"/>
      <c r="G16" s="126"/>
      <c r="H16" s="126"/>
      <c r="I16" s="126"/>
      <c r="J16" s="126"/>
      <c r="K16" s="126"/>
      <c r="L16" s="126"/>
      <c r="M16" s="126"/>
      <c r="N16" s="126"/>
      <c r="O16" s="127"/>
      <c r="P16" s="119"/>
      <c r="Q16" s="120"/>
      <c r="R16" s="120"/>
      <c r="S16" s="120"/>
      <c r="T16" s="120" t="str">
        <f t="shared" ca="1" si="0"/>
        <v/>
      </c>
      <c r="U16" s="120"/>
      <c r="V16" s="120"/>
      <c r="W16" s="121"/>
      <c r="X16" s="122" t="str">
        <f t="shared" ca="1" si="1"/>
        <v/>
      </c>
      <c r="Y16" s="123"/>
      <c r="Z16" s="123"/>
      <c r="AA16" s="124"/>
      <c r="AB16" s="122" t="str">
        <f t="shared" ca="1" si="2"/>
        <v/>
      </c>
      <c r="AC16" s="123"/>
      <c r="AD16" s="123"/>
      <c r="AE16" s="124"/>
      <c r="AF16" s="122" t="str">
        <f t="shared" ca="1" si="3"/>
        <v/>
      </c>
      <c r="AG16" s="123"/>
      <c r="AH16" s="123"/>
      <c r="AI16" s="124"/>
      <c r="AJ16" s="122" t="str">
        <f t="shared" ca="1" si="4"/>
        <v/>
      </c>
      <c r="AK16" s="123"/>
      <c r="AL16" s="123"/>
      <c r="AM16" s="124"/>
      <c r="AN16" s="122" t="str">
        <f t="shared" ca="1" si="5"/>
        <v/>
      </c>
      <c r="AO16" s="123"/>
      <c r="AP16" s="123"/>
      <c r="AQ16" s="124"/>
      <c r="AR16" s="122" t="str">
        <f t="shared" ca="1" si="6"/>
        <v/>
      </c>
      <c r="AS16" s="123"/>
      <c r="AT16" s="123"/>
      <c r="AU16" s="124"/>
      <c r="AV16" s="119" t="str">
        <f t="shared" ca="1" si="7"/>
        <v/>
      </c>
      <c r="AW16" s="120"/>
      <c r="AX16" s="120"/>
      <c r="AY16" s="120"/>
      <c r="AZ16" s="120" t="str">
        <f t="shared" ca="1" si="8"/>
        <v/>
      </c>
      <c r="BA16" s="120"/>
      <c r="BB16" s="120"/>
      <c r="BC16" s="121"/>
      <c r="BD16" s="122" t="str">
        <f t="shared" ca="1" si="9"/>
        <v/>
      </c>
      <c r="BE16" s="123"/>
      <c r="BF16" s="123"/>
      <c r="BG16" s="124"/>
      <c r="BH16" s="122" t="str">
        <f t="shared" ca="1" si="10"/>
        <v/>
      </c>
      <c r="BI16" s="123"/>
      <c r="BJ16" s="123"/>
      <c r="BK16" s="124"/>
      <c r="CE16" s="7"/>
    </row>
    <row r="17" spans="1:83" ht="13.5" customHeight="1">
      <c r="A17" s="6"/>
      <c r="D17" s="125"/>
      <c r="E17" s="126"/>
      <c r="F17" s="126"/>
      <c r="G17" s="126"/>
      <c r="H17" s="126"/>
      <c r="I17" s="126"/>
      <c r="J17" s="126"/>
      <c r="K17" s="126"/>
      <c r="L17" s="126"/>
      <c r="M17" s="126"/>
      <c r="N17" s="126"/>
      <c r="O17" s="127"/>
      <c r="P17" s="119"/>
      <c r="Q17" s="120"/>
      <c r="R17" s="120"/>
      <c r="S17" s="120"/>
      <c r="T17" s="120" t="str">
        <f t="shared" ca="1" si="0"/>
        <v/>
      </c>
      <c r="U17" s="120"/>
      <c r="V17" s="120"/>
      <c r="W17" s="121"/>
      <c r="X17" s="122" t="str">
        <f t="shared" ca="1" si="1"/>
        <v/>
      </c>
      <c r="Y17" s="123"/>
      <c r="Z17" s="123"/>
      <c r="AA17" s="124"/>
      <c r="AB17" s="122" t="str">
        <f t="shared" ca="1" si="2"/>
        <v/>
      </c>
      <c r="AC17" s="123"/>
      <c r="AD17" s="123"/>
      <c r="AE17" s="124"/>
      <c r="AF17" s="122" t="str">
        <f t="shared" ca="1" si="3"/>
        <v/>
      </c>
      <c r="AG17" s="123"/>
      <c r="AH17" s="123"/>
      <c r="AI17" s="124"/>
      <c r="AJ17" s="122" t="str">
        <f t="shared" ca="1" si="4"/>
        <v/>
      </c>
      <c r="AK17" s="123"/>
      <c r="AL17" s="123"/>
      <c r="AM17" s="124"/>
      <c r="AN17" s="122" t="str">
        <f t="shared" ca="1" si="5"/>
        <v/>
      </c>
      <c r="AO17" s="123"/>
      <c r="AP17" s="123"/>
      <c r="AQ17" s="124"/>
      <c r="AR17" s="122" t="str">
        <f t="shared" ca="1" si="6"/>
        <v/>
      </c>
      <c r="AS17" s="123"/>
      <c r="AT17" s="123"/>
      <c r="AU17" s="124"/>
      <c r="AV17" s="119" t="str">
        <f t="shared" ca="1" si="7"/>
        <v/>
      </c>
      <c r="AW17" s="120"/>
      <c r="AX17" s="120"/>
      <c r="AY17" s="120"/>
      <c r="AZ17" s="120" t="str">
        <f t="shared" ca="1" si="8"/>
        <v/>
      </c>
      <c r="BA17" s="120"/>
      <c r="BB17" s="120"/>
      <c r="BC17" s="121"/>
      <c r="BD17" s="122" t="str">
        <f t="shared" ca="1" si="9"/>
        <v/>
      </c>
      <c r="BE17" s="123"/>
      <c r="BF17" s="123"/>
      <c r="BG17" s="124"/>
      <c r="BH17" s="122" t="str">
        <f t="shared" ca="1" si="10"/>
        <v/>
      </c>
      <c r="BI17" s="123"/>
      <c r="BJ17" s="123"/>
      <c r="BK17" s="124"/>
      <c r="CE17" s="7"/>
    </row>
    <row r="18" spans="1:83" ht="13.5" customHeight="1">
      <c r="A18" s="6"/>
      <c r="D18" s="125"/>
      <c r="E18" s="126"/>
      <c r="F18" s="126"/>
      <c r="G18" s="126"/>
      <c r="H18" s="126"/>
      <c r="I18" s="126"/>
      <c r="J18" s="126"/>
      <c r="K18" s="126"/>
      <c r="L18" s="126"/>
      <c r="M18" s="126"/>
      <c r="N18" s="126"/>
      <c r="O18" s="127"/>
      <c r="P18" s="119"/>
      <c r="Q18" s="120"/>
      <c r="R18" s="120"/>
      <c r="S18" s="120"/>
      <c r="T18" s="120" t="str">
        <f t="shared" ca="1" si="0"/>
        <v/>
      </c>
      <c r="U18" s="120"/>
      <c r="V18" s="120"/>
      <c r="W18" s="121"/>
      <c r="X18" s="122" t="str">
        <f t="shared" ca="1" si="1"/>
        <v/>
      </c>
      <c r="Y18" s="123"/>
      <c r="Z18" s="123"/>
      <c r="AA18" s="124"/>
      <c r="AB18" s="122" t="str">
        <f t="shared" ca="1" si="2"/>
        <v/>
      </c>
      <c r="AC18" s="123"/>
      <c r="AD18" s="123"/>
      <c r="AE18" s="124"/>
      <c r="AF18" s="122" t="str">
        <f t="shared" ca="1" si="3"/>
        <v/>
      </c>
      <c r="AG18" s="123"/>
      <c r="AH18" s="123"/>
      <c r="AI18" s="124"/>
      <c r="AJ18" s="122" t="str">
        <f t="shared" ca="1" si="4"/>
        <v/>
      </c>
      <c r="AK18" s="123"/>
      <c r="AL18" s="123"/>
      <c r="AM18" s="124"/>
      <c r="AN18" s="122" t="str">
        <f t="shared" ca="1" si="5"/>
        <v/>
      </c>
      <c r="AO18" s="123"/>
      <c r="AP18" s="123"/>
      <c r="AQ18" s="124"/>
      <c r="AR18" s="122" t="str">
        <f t="shared" ca="1" si="6"/>
        <v/>
      </c>
      <c r="AS18" s="123"/>
      <c r="AT18" s="123"/>
      <c r="AU18" s="124"/>
      <c r="AV18" s="119" t="str">
        <f t="shared" ca="1" si="7"/>
        <v/>
      </c>
      <c r="AW18" s="120"/>
      <c r="AX18" s="120"/>
      <c r="AY18" s="120"/>
      <c r="AZ18" s="120" t="str">
        <f t="shared" ca="1" si="8"/>
        <v/>
      </c>
      <c r="BA18" s="120"/>
      <c r="BB18" s="120"/>
      <c r="BC18" s="121"/>
      <c r="BD18" s="122" t="str">
        <f t="shared" ca="1" si="9"/>
        <v/>
      </c>
      <c r="BE18" s="123"/>
      <c r="BF18" s="123"/>
      <c r="BG18" s="124"/>
      <c r="BH18" s="122" t="str">
        <f t="shared" ca="1" si="10"/>
        <v/>
      </c>
      <c r="BI18" s="123"/>
      <c r="BJ18" s="123"/>
      <c r="BK18" s="124"/>
      <c r="CE18" s="7"/>
    </row>
    <row r="19" spans="1:83" ht="13.5" customHeight="1">
      <c r="A19" s="6"/>
      <c r="D19" s="125"/>
      <c r="E19" s="126"/>
      <c r="F19" s="126"/>
      <c r="G19" s="126"/>
      <c r="H19" s="126"/>
      <c r="I19" s="126"/>
      <c r="J19" s="126"/>
      <c r="K19" s="126"/>
      <c r="L19" s="126"/>
      <c r="M19" s="126"/>
      <c r="N19" s="126"/>
      <c r="O19" s="127"/>
      <c r="P19" s="119"/>
      <c r="Q19" s="120"/>
      <c r="R19" s="120"/>
      <c r="S19" s="120"/>
      <c r="T19" s="120" t="str">
        <f t="shared" ca="1" si="0"/>
        <v/>
      </c>
      <c r="U19" s="120"/>
      <c r="V19" s="120"/>
      <c r="W19" s="121"/>
      <c r="X19" s="122" t="str">
        <f t="shared" ca="1" si="1"/>
        <v/>
      </c>
      <c r="Y19" s="123"/>
      <c r="Z19" s="123"/>
      <c r="AA19" s="124"/>
      <c r="AB19" s="122" t="str">
        <f t="shared" ca="1" si="2"/>
        <v/>
      </c>
      <c r="AC19" s="123"/>
      <c r="AD19" s="123"/>
      <c r="AE19" s="124"/>
      <c r="AF19" s="122" t="str">
        <f t="shared" ca="1" si="3"/>
        <v/>
      </c>
      <c r="AG19" s="123"/>
      <c r="AH19" s="123"/>
      <c r="AI19" s="124"/>
      <c r="AJ19" s="122" t="str">
        <f t="shared" ca="1" si="4"/>
        <v/>
      </c>
      <c r="AK19" s="123"/>
      <c r="AL19" s="123"/>
      <c r="AM19" s="124"/>
      <c r="AN19" s="122" t="str">
        <f t="shared" ca="1" si="5"/>
        <v/>
      </c>
      <c r="AO19" s="123"/>
      <c r="AP19" s="123"/>
      <c r="AQ19" s="124"/>
      <c r="AR19" s="122" t="str">
        <f t="shared" ca="1" si="6"/>
        <v/>
      </c>
      <c r="AS19" s="123"/>
      <c r="AT19" s="123"/>
      <c r="AU19" s="124"/>
      <c r="AV19" s="119" t="str">
        <f t="shared" ca="1" si="7"/>
        <v/>
      </c>
      <c r="AW19" s="120"/>
      <c r="AX19" s="120"/>
      <c r="AY19" s="120"/>
      <c r="AZ19" s="120" t="str">
        <f t="shared" ca="1" si="8"/>
        <v/>
      </c>
      <c r="BA19" s="120"/>
      <c r="BB19" s="120"/>
      <c r="BC19" s="121"/>
      <c r="BD19" s="122" t="str">
        <f t="shared" ca="1" si="9"/>
        <v/>
      </c>
      <c r="BE19" s="123"/>
      <c r="BF19" s="123"/>
      <c r="BG19" s="124"/>
      <c r="BH19" s="122" t="str">
        <f t="shared" ca="1" si="10"/>
        <v/>
      </c>
      <c r="BI19" s="123"/>
      <c r="BJ19" s="123"/>
      <c r="BK19" s="124"/>
      <c r="CE19" s="7"/>
    </row>
    <row r="20" spans="1:83" ht="13.5" customHeight="1">
      <c r="A20" s="6"/>
      <c r="D20" s="125"/>
      <c r="E20" s="126"/>
      <c r="F20" s="126"/>
      <c r="G20" s="126"/>
      <c r="H20" s="126"/>
      <c r="I20" s="126"/>
      <c r="J20" s="126"/>
      <c r="K20" s="126"/>
      <c r="L20" s="126"/>
      <c r="M20" s="126"/>
      <c r="N20" s="126"/>
      <c r="O20" s="127"/>
      <c r="P20" s="119"/>
      <c r="Q20" s="120"/>
      <c r="R20" s="120"/>
      <c r="S20" s="120"/>
      <c r="T20" s="120" t="str">
        <f t="shared" ca="1" si="0"/>
        <v/>
      </c>
      <c r="U20" s="120"/>
      <c r="V20" s="120"/>
      <c r="W20" s="121"/>
      <c r="X20" s="122" t="str">
        <f t="shared" ca="1" si="1"/>
        <v/>
      </c>
      <c r="Y20" s="123"/>
      <c r="Z20" s="123"/>
      <c r="AA20" s="124"/>
      <c r="AB20" s="122" t="str">
        <f t="shared" ca="1" si="2"/>
        <v/>
      </c>
      <c r="AC20" s="123"/>
      <c r="AD20" s="123"/>
      <c r="AE20" s="124"/>
      <c r="AF20" s="122" t="str">
        <f t="shared" ca="1" si="3"/>
        <v/>
      </c>
      <c r="AG20" s="123"/>
      <c r="AH20" s="123"/>
      <c r="AI20" s="124"/>
      <c r="AJ20" s="122" t="str">
        <f t="shared" ca="1" si="4"/>
        <v/>
      </c>
      <c r="AK20" s="123"/>
      <c r="AL20" s="123"/>
      <c r="AM20" s="124"/>
      <c r="AN20" s="122" t="str">
        <f t="shared" ca="1" si="5"/>
        <v/>
      </c>
      <c r="AO20" s="123"/>
      <c r="AP20" s="123"/>
      <c r="AQ20" s="124"/>
      <c r="AR20" s="122" t="str">
        <f t="shared" ca="1" si="6"/>
        <v/>
      </c>
      <c r="AS20" s="123"/>
      <c r="AT20" s="123"/>
      <c r="AU20" s="124"/>
      <c r="AV20" s="119" t="str">
        <f t="shared" ca="1" si="7"/>
        <v/>
      </c>
      <c r="AW20" s="120"/>
      <c r="AX20" s="120"/>
      <c r="AY20" s="120"/>
      <c r="AZ20" s="120" t="str">
        <f t="shared" ca="1" si="8"/>
        <v/>
      </c>
      <c r="BA20" s="120"/>
      <c r="BB20" s="120"/>
      <c r="BC20" s="121"/>
      <c r="BD20" s="122" t="str">
        <f t="shared" ca="1" si="9"/>
        <v/>
      </c>
      <c r="BE20" s="123"/>
      <c r="BF20" s="123"/>
      <c r="BG20" s="124"/>
      <c r="BH20" s="122" t="str">
        <f t="shared" ca="1" si="10"/>
        <v/>
      </c>
      <c r="BI20" s="123"/>
      <c r="BJ20" s="123"/>
      <c r="BK20" s="124"/>
      <c r="CE20" s="7"/>
    </row>
    <row r="21" spans="1:83" ht="13.5" customHeight="1">
      <c r="A21" s="6"/>
      <c r="D21" s="125"/>
      <c r="E21" s="126"/>
      <c r="F21" s="126"/>
      <c r="G21" s="126"/>
      <c r="H21" s="126"/>
      <c r="I21" s="126"/>
      <c r="J21" s="126"/>
      <c r="K21" s="126"/>
      <c r="L21" s="126"/>
      <c r="M21" s="126"/>
      <c r="N21" s="126"/>
      <c r="O21" s="127"/>
      <c r="P21" s="119"/>
      <c r="Q21" s="120"/>
      <c r="R21" s="120"/>
      <c r="S21" s="120"/>
      <c r="T21" s="120" t="str">
        <f t="shared" ca="1" si="0"/>
        <v/>
      </c>
      <c r="U21" s="120"/>
      <c r="V21" s="120"/>
      <c r="W21" s="121"/>
      <c r="X21" s="122" t="str">
        <f t="shared" ca="1" si="1"/>
        <v/>
      </c>
      <c r="Y21" s="123"/>
      <c r="Z21" s="123"/>
      <c r="AA21" s="124"/>
      <c r="AB21" s="122" t="str">
        <f t="shared" ca="1" si="2"/>
        <v/>
      </c>
      <c r="AC21" s="123"/>
      <c r="AD21" s="123"/>
      <c r="AE21" s="124"/>
      <c r="AF21" s="122" t="str">
        <f t="shared" ca="1" si="3"/>
        <v/>
      </c>
      <c r="AG21" s="123"/>
      <c r="AH21" s="123"/>
      <c r="AI21" s="124"/>
      <c r="AJ21" s="122" t="str">
        <f t="shared" ca="1" si="4"/>
        <v/>
      </c>
      <c r="AK21" s="123"/>
      <c r="AL21" s="123"/>
      <c r="AM21" s="124"/>
      <c r="AN21" s="122" t="str">
        <f t="shared" ca="1" si="5"/>
        <v/>
      </c>
      <c r="AO21" s="123"/>
      <c r="AP21" s="123"/>
      <c r="AQ21" s="124"/>
      <c r="AR21" s="122" t="str">
        <f t="shared" ca="1" si="6"/>
        <v/>
      </c>
      <c r="AS21" s="123"/>
      <c r="AT21" s="123"/>
      <c r="AU21" s="124"/>
      <c r="AV21" s="119" t="str">
        <f t="shared" ca="1" si="7"/>
        <v/>
      </c>
      <c r="AW21" s="120"/>
      <c r="AX21" s="120"/>
      <c r="AY21" s="120"/>
      <c r="AZ21" s="120" t="str">
        <f t="shared" ca="1" si="8"/>
        <v/>
      </c>
      <c r="BA21" s="120"/>
      <c r="BB21" s="120"/>
      <c r="BC21" s="121"/>
      <c r="BD21" s="122" t="str">
        <f t="shared" ca="1" si="9"/>
        <v/>
      </c>
      <c r="BE21" s="123"/>
      <c r="BF21" s="123"/>
      <c r="BG21" s="124"/>
      <c r="BH21" s="122" t="str">
        <f t="shared" ca="1" si="10"/>
        <v/>
      </c>
      <c r="BI21" s="123"/>
      <c r="BJ21" s="123"/>
      <c r="BK21" s="124"/>
      <c r="CE21" s="7"/>
    </row>
    <row r="22" spans="1:83" ht="13.5" customHeight="1">
      <c r="A22" s="6"/>
      <c r="D22" s="125"/>
      <c r="E22" s="126"/>
      <c r="F22" s="126"/>
      <c r="G22" s="126"/>
      <c r="H22" s="126"/>
      <c r="I22" s="126"/>
      <c r="J22" s="126"/>
      <c r="K22" s="126"/>
      <c r="L22" s="126"/>
      <c r="M22" s="126"/>
      <c r="N22" s="126"/>
      <c r="O22" s="127"/>
      <c r="P22" s="119"/>
      <c r="Q22" s="120"/>
      <c r="R22" s="120"/>
      <c r="S22" s="120"/>
      <c r="T22" s="120" t="str">
        <f t="shared" ca="1" si="0"/>
        <v/>
      </c>
      <c r="U22" s="120"/>
      <c r="V22" s="120"/>
      <c r="W22" s="121"/>
      <c r="X22" s="122" t="str">
        <f t="shared" ca="1" si="1"/>
        <v/>
      </c>
      <c r="Y22" s="123"/>
      <c r="Z22" s="123"/>
      <c r="AA22" s="124"/>
      <c r="AB22" s="122" t="str">
        <f t="shared" ca="1" si="2"/>
        <v/>
      </c>
      <c r="AC22" s="123"/>
      <c r="AD22" s="123"/>
      <c r="AE22" s="124"/>
      <c r="AF22" s="122" t="str">
        <f t="shared" ca="1" si="3"/>
        <v/>
      </c>
      <c r="AG22" s="123"/>
      <c r="AH22" s="123"/>
      <c r="AI22" s="124"/>
      <c r="AJ22" s="122" t="str">
        <f t="shared" ca="1" si="4"/>
        <v/>
      </c>
      <c r="AK22" s="123"/>
      <c r="AL22" s="123"/>
      <c r="AM22" s="124"/>
      <c r="AN22" s="122" t="str">
        <f t="shared" ca="1" si="5"/>
        <v/>
      </c>
      <c r="AO22" s="123"/>
      <c r="AP22" s="123"/>
      <c r="AQ22" s="124"/>
      <c r="AR22" s="122" t="str">
        <f t="shared" ca="1" si="6"/>
        <v/>
      </c>
      <c r="AS22" s="123"/>
      <c r="AT22" s="123"/>
      <c r="AU22" s="124"/>
      <c r="AV22" s="119" t="str">
        <f t="shared" ca="1" si="7"/>
        <v/>
      </c>
      <c r="AW22" s="120"/>
      <c r="AX22" s="120"/>
      <c r="AY22" s="120"/>
      <c r="AZ22" s="120" t="str">
        <f t="shared" ca="1" si="8"/>
        <v/>
      </c>
      <c r="BA22" s="120"/>
      <c r="BB22" s="120"/>
      <c r="BC22" s="121"/>
      <c r="BD22" s="122" t="str">
        <f t="shared" ca="1" si="9"/>
        <v/>
      </c>
      <c r="BE22" s="123"/>
      <c r="BF22" s="123"/>
      <c r="BG22" s="124"/>
      <c r="BH22" s="122" t="str">
        <f t="shared" ca="1" si="10"/>
        <v/>
      </c>
      <c r="BI22" s="123"/>
      <c r="BJ22" s="123"/>
      <c r="BK22" s="124"/>
      <c r="CE22" s="7"/>
    </row>
    <row r="23" spans="1:83" ht="13.5" customHeight="1">
      <c r="A23" s="6"/>
      <c r="D23" s="125"/>
      <c r="E23" s="126"/>
      <c r="F23" s="126"/>
      <c r="G23" s="126"/>
      <c r="H23" s="126"/>
      <c r="I23" s="126"/>
      <c r="J23" s="126"/>
      <c r="K23" s="126"/>
      <c r="L23" s="126"/>
      <c r="M23" s="126"/>
      <c r="N23" s="126"/>
      <c r="O23" s="127"/>
      <c r="P23" s="119"/>
      <c r="Q23" s="120"/>
      <c r="R23" s="120"/>
      <c r="S23" s="120"/>
      <c r="T23" s="120" t="str">
        <f t="shared" ca="1" si="0"/>
        <v/>
      </c>
      <c r="U23" s="120"/>
      <c r="V23" s="120"/>
      <c r="W23" s="121"/>
      <c r="X23" s="122" t="str">
        <f t="shared" ca="1" si="1"/>
        <v/>
      </c>
      <c r="Y23" s="123"/>
      <c r="Z23" s="123"/>
      <c r="AA23" s="124"/>
      <c r="AB23" s="122" t="str">
        <f t="shared" ca="1" si="2"/>
        <v/>
      </c>
      <c r="AC23" s="123"/>
      <c r="AD23" s="123"/>
      <c r="AE23" s="124"/>
      <c r="AF23" s="122" t="str">
        <f t="shared" ca="1" si="3"/>
        <v/>
      </c>
      <c r="AG23" s="123"/>
      <c r="AH23" s="123"/>
      <c r="AI23" s="124"/>
      <c r="AJ23" s="122" t="str">
        <f t="shared" ca="1" si="4"/>
        <v/>
      </c>
      <c r="AK23" s="123"/>
      <c r="AL23" s="123"/>
      <c r="AM23" s="124"/>
      <c r="AN23" s="122" t="str">
        <f t="shared" ca="1" si="5"/>
        <v/>
      </c>
      <c r="AO23" s="123"/>
      <c r="AP23" s="123"/>
      <c r="AQ23" s="124"/>
      <c r="AR23" s="122" t="str">
        <f t="shared" ca="1" si="6"/>
        <v/>
      </c>
      <c r="AS23" s="123"/>
      <c r="AT23" s="123"/>
      <c r="AU23" s="124"/>
      <c r="AV23" s="119" t="str">
        <f t="shared" ca="1" si="7"/>
        <v/>
      </c>
      <c r="AW23" s="120"/>
      <c r="AX23" s="120"/>
      <c r="AY23" s="120"/>
      <c r="AZ23" s="120" t="str">
        <f t="shared" ca="1" si="8"/>
        <v/>
      </c>
      <c r="BA23" s="120"/>
      <c r="BB23" s="120"/>
      <c r="BC23" s="121"/>
      <c r="BD23" s="122" t="str">
        <f t="shared" ca="1" si="9"/>
        <v/>
      </c>
      <c r="BE23" s="123"/>
      <c r="BF23" s="123"/>
      <c r="BG23" s="124"/>
      <c r="BH23" s="122" t="str">
        <f t="shared" ca="1" si="10"/>
        <v/>
      </c>
      <c r="BI23" s="123"/>
      <c r="BJ23" s="123"/>
      <c r="BK23" s="124"/>
      <c r="CE23" s="7"/>
    </row>
    <row r="24" spans="1:83" ht="13.5" customHeight="1">
      <c r="A24" s="6"/>
      <c r="D24" s="125"/>
      <c r="E24" s="126"/>
      <c r="F24" s="126"/>
      <c r="G24" s="126"/>
      <c r="H24" s="126"/>
      <c r="I24" s="126"/>
      <c r="J24" s="126"/>
      <c r="K24" s="126"/>
      <c r="L24" s="126"/>
      <c r="M24" s="126"/>
      <c r="N24" s="126"/>
      <c r="O24" s="127"/>
      <c r="P24" s="119"/>
      <c r="Q24" s="120"/>
      <c r="R24" s="120"/>
      <c r="S24" s="120"/>
      <c r="T24" s="120" t="str">
        <f t="shared" ca="1" si="0"/>
        <v/>
      </c>
      <c r="U24" s="120"/>
      <c r="V24" s="120"/>
      <c r="W24" s="121"/>
      <c r="X24" s="122" t="str">
        <f t="shared" ca="1" si="1"/>
        <v/>
      </c>
      <c r="Y24" s="123"/>
      <c r="Z24" s="123"/>
      <c r="AA24" s="124"/>
      <c r="AB24" s="122" t="str">
        <f t="shared" ca="1" si="2"/>
        <v/>
      </c>
      <c r="AC24" s="123"/>
      <c r="AD24" s="123"/>
      <c r="AE24" s="124"/>
      <c r="AF24" s="122" t="str">
        <f t="shared" ca="1" si="3"/>
        <v/>
      </c>
      <c r="AG24" s="123"/>
      <c r="AH24" s="123"/>
      <c r="AI24" s="124"/>
      <c r="AJ24" s="122" t="str">
        <f t="shared" ca="1" si="4"/>
        <v/>
      </c>
      <c r="AK24" s="123"/>
      <c r="AL24" s="123"/>
      <c r="AM24" s="124"/>
      <c r="AN24" s="122" t="str">
        <f t="shared" ca="1" si="5"/>
        <v/>
      </c>
      <c r="AO24" s="123"/>
      <c r="AP24" s="123"/>
      <c r="AQ24" s="124"/>
      <c r="AR24" s="122" t="str">
        <f t="shared" ca="1" si="6"/>
        <v/>
      </c>
      <c r="AS24" s="123"/>
      <c r="AT24" s="123"/>
      <c r="AU24" s="124"/>
      <c r="AV24" s="119" t="str">
        <f t="shared" ca="1" si="7"/>
        <v/>
      </c>
      <c r="AW24" s="120"/>
      <c r="AX24" s="120"/>
      <c r="AY24" s="120"/>
      <c r="AZ24" s="120" t="str">
        <f t="shared" ca="1" si="8"/>
        <v/>
      </c>
      <c r="BA24" s="120"/>
      <c r="BB24" s="120"/>
      <c r="BC24" s="121"/>
      <c r="BD24" s="122" t="str">
        <f t="shared" ca="1" si="9"/>
        <v/>
      </c>
      <c r="BE24" s="123"/>
      <c r="BF24" s="123"/>
      <c r="BG24" s="124"/>
      <c r="BH24" s="122" t="str">
        <f t="shared" ca="1" si="10"/>
        <v/>
      </c>
      <c r="BI24" s="123"/>
      <c r="BJ24" s="123"/>
      <c r="BK24" s="124"/>
      <c r="CE24" s="7"/>
    </row>
    <row r="25" spans="1:83" ht="13.5" customHeight="1">
      <c r="A25" s="6"/>
      <c r="D25" s="125"/>
      <c r="E25" s="126"/>
      <c r="F25" s="126"/>
      <c r="G25" s="126"/>
      <c r="H25" s="126"/>
      <c r="I25" s="126"/>
      <c r="J25" s="126"/>
      <c r="K25" s="126"/>
      <c r="L25" s="126"/>
      <c r="M25" s="126"/>
      <c r="N25" s="126"/>
      <c r="O25" s="127"/>
      <c r="P25" s="119"/>
      <c r="Q25" s="120"/>
      <c r="R25" s="120"/>
      <c r="S25" s="120"/>
      <c r="T25" s="120" t="str">
        <f t="shared" ca="1" si="0"/>
        <v/>
      </c>
      <c r="U25" s="120"/>
      <c r="V25" s="120"/>
      <c r="W25" s="121"/>
      <c r="X25" s="122" t="str">
        <f t="shared" ca="1" si="1"/>
        <v/>
      </c>
      <c r="Y25" s="123"/>
      <c r="Z25" s="123"/>
      <c r="AA25" s="124"/>
      <c r="AB25" s="122" t="str">
        <f t="shared" ca="1" si="2"/>
        <v/>
      </c>
      <c r="AC25" s="123"/>
      <c r="AD25" s="123"/>
      <c r="AE25" s="124"/>
      <c r="AF25" s="122" t="str">
        <f t="shared" ca="1" si="3"/>
        <v/>
      </c>
      <c r="AG25" s="123"/>
      <c r="AH25" s="123"/>
      <c r="AI25" s="124"/>
      <c r="AJ25" s="122" t="str">
        <f t="shared" ca="1" si="4"/>
        <v/>
      </c>
      <c r="AK25" s="123"/>
      <c r="AL25" s="123"/>
      <c r="AM25" s="124"/>
      <c r="AN25" s="122" t="str">
        <f t="shared" ca="1" si="5"/>
        <v/>
      </c>
      <c r="AO25" s="123"/>
      <c r="AP25" s="123"/>
      <c r="AQ25" s="124"/>
      <c r="AR25" s="122" t="str">
        <f t="shared" ca="1" si="6"/>
        <v/>
      </c>
      <c r="AS25" s="123"/>
      <c r="AT25" s="123"/>
      <c r="AU25" s="124"/>
      <c r="AV25" s="119" t="str">
        <f t="shared" ca="1" si="7"/>
        <v/>
      </c>
      <c r="AW25" s="120"/>
      <c r="AX25" s="120"/>
      <c r="AY25" s="120"/>
      <c r="AZ25" s="120" t="str">
        <f t="shared" ca="1" si="8"/>
        <v/>
      </c>
      <c r="BA25" s="120"/>
      <c r="BB25" s="120"/>
      <c r="BC25" s="121"/>
      <c r="BD25" s="122" t="str">
        <f t="shared" ca="1" si="9"/>
        <v/>
      </c>
      <c r="BE25" s="123"/>
      <c r="BF25" s="123"/>
      <c r="BG25" s="124"/>
      <c r="BH25" s="122" t="str">
        <f t="shared" ca="1" si="10"/>
        <v/>
      </c>
      <c r="BI25" s="123"/>
      <c r="BJ25" s="123"/>
      <c r="BK25" s="124"/>
      <c r="CE25" s="7"/>
    </row>
    <row r="26" spans="1:83" ht="13.5" customHeight="1">
      <c r="A26" s="6"/>
      <c r="D26" s="125"/>
      <c r="E26" s="126"/>
      <c r="F26" s="126"/>
      <c r="G26" s="126"/>
      <c r="H26" s="126"/>
      <c r="I26" s="126"/>
      <c r="J26" s="126"/>
      <c r="K26" s="126"/>
      <c r="L26" s="126"/>
      <c r="M26" s="126"/>
      <c r="N26" s="126"/>
      <c r="O26" s="127"/>
      <c r="P26" s="119"/>
      <c r="Q26" s="120"/>
      <c r="R26" s="120"/>
      <c r="S26" s="120"/>
      <c r="T26" s="120" t="str">
        <f t="shared" ca="1" si="0"/>
        <v/>
      </c>
      <c r="U26" s="120"/>
      <c r="V26" s="120"/>
      <c r="W26" s="121"/>
      <c r="X26" s="122" t="str">
        <f t="shared" ca="1" si="1"/>
        <v/>
      </c>
      <c r="Y26" s="123"/>
      <c r="Z26" s="123"/>
      <c r="AA26" s="124"/>
      <c r="AB26" s="122" t="str">
        <f t="shared" ca="1" si="2"/>
        <v/>
      </c>
      <c r="AC26" s="123"/>
      <c r="AD26" s="123"/>
      <c r="AE26" s="124"/>
      <c r="AF26" s="122" t="str">
        <f t="shared" ca="1" si="3"/>
        <v/>
      </c>
      <c r="AG26" s="123"/>
      <c r="AH26" s="123"/>
      <c r="AI26" s="124"/>
      <c r="AJ26" s="122" t="str">
        <f t="shared" ca="1" si="4"/>
        <v/>
      </c>
      <c r="AK26" s="123"/>
      <c r="AL26" s="123"/>
      <c r="AM26" s="124"/>
      <c r="AN26" s="122" t="str">
        <f t="shared" ca="1" si="5"/>
        <v/>
      </c>
      <c r="AO26" s="123"/>
      <c r="AP26" s="123"/>
      <c r="AQ26" s="124"/>
      <c r="AR26" s="122" t="str">
        <f t="shared" ca="1" si="6"/>
        <v/>
      </c>
      <c r="AS26" s="123"/>
      <c r="AT26" s="123"/>
      <c r="AU26" s="124"/>
      <c r="AV26" s="119" t="str">
        <f t="shared" ca="1" si="7"/>
        <v/>
      </c>
      <c r="AW26" s="120"/>
      <c r="AX26" s="120"/>
      <c r="AY26" s="120"/>
      <c r="AZ26" s="120" t="str">
        <f t="shared" ca="1" si="8"/>
        <v/>
      </c>
      <c r="BA26" s="120"/>
      <c r="BB26" s="120"/>
      <c r="BC26" s="121"/>
      <c r="BD26" s="122" t="str">
        <f t="shared" ca="1" si="9"/>
        <v/>
      </c>
      <c r="BE26" s="123"/>
      <c r="BF26" s="123"/>
      <c r="BG26" s="124"/>
      <c r="BH26" s="122" t="str">
        <f t="shared" ca="1" si="10"/>
        <v/>
      </c>
      <c r="BI26" s="123"/>
      <c r="BJ26" s="123"/>
      <c r="BK26" s="124"/>
      <c r="CE26" s="7"/>
    </row>
    <row r="27" spans="1:83" ht="13.5" customHeight="1">
      <c r="A27" s="6"/>
      <c r="D27" s="125"/>
      <c r="E27" s="126"/>
      <c r="F27" s="126"/>
      <c r="G27" s="126"/>
      <c r="H27" s="126"/>
      <c r="I27" s="126"/>
      <c r="J27" s="126"/>
      <c r="K27" s="126"/>
      <c r="L27" s="126"/>
      <c r="M27" s="126"/>
      <c r="N27" s="126"/>
      <c r="O27" s="127"/>
      <c r="P27" s="119"/>
      <c r="Q27" s="120"/>
      <c r="R27" s="120"/>
      <c r="S27" s="120"/>
      <c r="T27" s="120" t="str">
        <f t="shared" ca="1" si="0"/>
        <v/>
      </c>
      <c r="U27" s="120"/>
      <c r="V27" s="120"/>
      <c r="W27" s="121"/>
      <c r="X27" s="122" t="str">
        <f t="shared" ca="1" si="1"/>
        <v/>
      </c>
      <c r="Y27" s="123"/>
      <c r="Z27" s="123"/>
      <c r="AA27" s="124"/>
      <c r="AB27" s="122" t="str">
        <f t="shared" ca="1" si="2"/>
        <v/>
      </c>
      <c r="AC27" s="123"/>
      <c r="AD27" s="123"/>
      <c r="AE27" s="124"/>
      <c r="AF27" s="122" t="str">
        <f t="shared" ca="1" si="3"/>
        <v/>
      </c>
      <c r="AG27" s="123"/>
      <c r="AH27" s="123"/>
      <c r="AI27" s="124"/>
      <c r="AJ27" s="122" t="str">
        <f t="shared" ca="1" si="4"/>
        <v/>
      </c>
      <c r="AK27" s="123"/>
      <c r="AL27" s="123"/>
      <c r="AM27" s="124"/>
      <c r="AN27" s="122" t="str">
        <f t="shared" ca="1" si="5"/>
        <v/>
      </c>
      <c r="AO27" s="123"/>
      <c r="AP27" s="123"/>
      <c r="AQ27" s="124"/>
      <c r="AR27" s="122" t="str">
        <f t="shared" ca="1" si="6"/>
        <v/>
      </c>
      <c r="AS27" s="123"/>
      <c r="AT27" s="123"/>
      <c r="AU27" s="124"/>
      <c r="AV27" s="119" t="str">
        <f t="shared" ca="1" si="7"/>
        <v/>
      </c>
      <c r="AW27" s="120"/>
      <c r="AX27" s="120"/>
      <c r="AY27" s="120"/>
      <c r="AZ27" s="120" t="str">
        <f t="shared" ca="1" si="8"/>
        <v/>
      </c>
      <c r="BA27" s="120"/>
      <c r="BB27" s="120"/>
      <c r="BC27" s="121"/>
      <c r="BD27" s="122" t="str">
        <f t="shared" ca="1" si="9"/>
        <v/>
      </c>
      <c r="BE27" s="123"/>
      <c r="BF27" s="123"/>
      <c r="BG27" s="124"/>
      <c r="BH27" s="122" t="str">
        <f t="shared" ca="1" si="10"/>
        <v/>
      </c>
      <c r="BI27" s="123"/>
      <c r="BJ27" s="123"/>
      <c r="BK27" s="124"/>
      <c r="CE27" s="7"/>
    </row>
    <row r="28" spans="1:83" ht="13.5" customHeight="1">
      <c r="A28" s="6"/>
      <c r="D28" s="125"/>
      <c r="E28" s="126"/>
      <c r="F28" s="126"/>
      <c r="G28" s="126"/>
      <c r="H28" s="126"/>
      <c r="I28" s="126"/>
      <c r="J28" s="126"/>
      <c r="K28" s="126"/>
      <c r="L28" s="126"/>
      <c r="M28" s="126"/>
      <c r="N28" s="126"/>
      <c r="O28" s="127"/>
      <c r="P28" s="119"/>
      <c r="Q28" s="120"/>
      <c r="R28" s="120"/>
      <c r="S28" s="120"/>
      <c r="T28" s="120" t="str">
        <f t="shared" ca="1" si="0"/>
        <v/>
      </c>
      <c r="U28" s="120"/>
      <c r="V28" s="120"/>
      <c r="W28" s="121"/>
      <c r="X28" s="122" t="str">
        <f t="shared" ca="1" si="1"/>
        <v/>
      </c>
      <c r="Y28" s="123"/>
      <c r="Z28" s="123"/>
      <c r="AA28" s="124"/>
      <c r="AB28" s="122" t="str">
        <f t="shared" ca="1" si="2"/>
        <v/>
      </c>
      <c r="AC28" s="123"/>
      <c r="AD28" s="123"/>
      <c r="AE28" s="124"/>
      <c r="AF28" s="122" t="str">
        <f t="shared" ca="1" si="3"/>
        <v/>
      </c>
      <c r="AG28" s="123"/>
      <c r="AH28" s="123"/>
      <c r="AI28" s="124"/>
      <c r="AJ28" s="122" t="str">
        <f t="shared" ca="1" si="4"/>
        <v/>
      </c>
      <c r="AK28" s="123"/>
      <c r="AL28" s="123"/>
      <c r="AM28" s="124"/>
      <c r="AN28" s="122" t="str">
        <f t="shared" ca="1" si="5"/>
        <v/>
      </c>
      <c r="AO28" s="123"/>
      <c r="AP28" s="123"/>
      <c r="AQ28" s="124"/>
      <c r="AR28" s="122" t="str">
        <f t="shared" ca="1" si="6"/>
        <v/>
      </c>
      <c r="AS28" s="123"/>
      <c r="AT28" s="123"/>
      <c r="AU28" s="124"/>
      <c r="AV28" s="119" t="str">
        <f t="shared" ca="1" si="7"/>
        <v/>
      </c>
      <c r="AW28" s="120"/>
      <c r="AX28" s="120"/>
      <c r="AY28" s="120"/>
      <c r="AZ28" s="120" t="str">
        <f t="shared" ca="1" si="8"/>
        <v/>
      </c>
      <c r="BA28" s="120"/>
      <c r="BB28" s="120"/>
      <c r="BC28" s="121"/>
      <c r="BD28" s="122" t="str">
        <f t="shared" ca="1" si="9"/>
        <v/>
      </c>
      <c r="BE28" s="123"/>
      <c r="BF28" s="123"/>
      <c r="BG28" s="124"/>
      <c r="BH28" s="122" t="str">
        <f t="shared" ca="1" si="10"/>
        <v/>
      </c>
      <c r="BI28" s="123"/>
      <c r="BJ28" s="123"/>
      <c r="BK28" s="124"/>
      <c r="CE28" s="7"/>
    </row>
    <row r="29" spans="1:83" ht="13.5" customHeight="1">
      <c r="A29" s="6"/>
      <c r="D29" s="125"/>
      <c r="E29" s="126"/>
      <c r="F29" s="126"/>
      <c r="G29" s="126"/>
      <c r="H29" s="126"/>
      <c r="I29" s="126"/>
      <c r="J29" s="126"/>
      <c r="K29" s="126"/>
      <c r="L29" s="126"/>
      <c r="M29" s="126"/>
      <c r="N29" s="126"/>
      <c r="O29" s="127"/>
      <c r="P29" s="119"/>
      <c r="Q29" s="120"/>
      <c r="R29" s="120"/>
      <c r="S29" s="120"/>
      <c r="T29" s="120" t="str">
        <f t="shared" ca="1" si="0"/>
        <v/>
      </c>
      <c r="U29" s="120"/>
      <c r="V29" s="120"/>
      <c r="W29" s="121"/>
      <c r="X29" s="122" t="str">
        <f t="shared" ca="1" si="1"/>
        <v/>
      </c>
      <c r="Y29" s="123"/>
      <c r="Z29" s="123"/>
      <c r="AA29" s="124"/>
      <c r="AB29" s="122" t="str">
        <f t="shared" ca="1" si="2"/>
        <v/>
      </c>
      <c r="AC29" s="123"/>
      <c r="AD29" s="123"/>
      <c r="AE29" s="124"/>
      <c r="AF29" s="122" t="str">
        <f t="shared" ca="1" si="3"/>
        <v/>
      </c>
      <c r="AG29" s="123"/>
      <c r="AH29" s="123"/>
      <c r="AI29" s="124"/>
      <c r="AJ29" s="122" t="str">
        <f t="shared" ca="1" si="4"/>
        <v/>
      </c>
      <c r="AK29" s="123"/>
      <c r="AL29" s="123"/>
      <c r="AM29" s="124"/>
      <c r="AN29" s="122" t="str">
        <f t="shared" ca="1" si="5"/>
        <v/>
      </c>
      <c r="AO29" s="123"/>
      <c r="AP29" s="123"/>
      <c r="AQ29" s="124"/>
      <c r="AR29" s="122" t="str">
        <f t="shared" ca="1" si="6"/>
        <v/>
      </c>
      <c r="AS29" s="123"/>
      <c r="AT29" s="123"/>
      <c r="AU29" s="124"/>
      <c r="AV29" s="119" t="str">
        <f t="shared" ca="1" si="7"/>
        <v/>
      </c>
      <c r="AW29" s="120"/>
      <c r="AX29" s="120"/>
      <c r="AY29" s="120"/>
      <c r="AZ29" s="120" t="str">
        <f t="shared" ca="1" si="8"/>
        <v/>
      </c>
      <c r="BA29" s="120"/>
      <c r="BB29" s="120"/>
      <c r="BC29" s="121"/>
      <c r="BD29" s="122" t="str">
        <f t="shared" ca="1" si="9"/>
        <v/>
      </c>
      <c r="BE29" s="123"/>
      <c r="BF29" s="123"/>
      <c r="BG29" s="124"/>
      <c r="BH29" s="122" t="str">
        <f t="shared" ca="1" si="10"/>
        <v/>
      </c>
      <c r="BI29" s="123"/>
      <c r="BJ29" s="123"/>
      <c r="BK29" s="124"/>
      <c r="CE29" s="7"/>
    </row>
    <row r="30" spans="1:83" ht="13.5" customHeight="1">
      <c r="A30" s="6"/>
      <c r="D30" s="125"/>
      <c r="E30" s="126"/>
      <c r="F30" s="126"/>
      <c r="G30" s="126"/>
      <c r="H30" s="126"/>
      <c r="I30" s="126"/>
      <c r="J30" s="126"/>
      <c r="K30" s="126"/>
      <c r="L30" s="126"/>
      <c r="M30" s="126"/>
      <c r="N30" s="126"/>
      <c r="O30" s="127"/>
      <c r="P30" s="119"/>
      <c r="Q30" s="120"/>
      <c r="R30" s="120"/>
      <c r="S30" s="120"/>
      <c r="T30" s="120" t="str">
        <f t="shared" ca="1" si="0"/>
        <v/>
      </c>
      <c r="U30" s="120"/>
      <c r="V30" s="120"/>
      <c r="W30" s="121"/>
      <c r="X30" s="122" t="str">
        <f t="shared" ca="1" si="1"/>
        <v/>
      </c>
      <c r="Y30" s="123"/>
      <c r="Z30" s="123"/>
      <c r="AA30" s="124"/>
      <c r="AB30" s="122" t="str">
        <f t="shared" ca="1" si="2"/>
        <v/>
      </c>
      <c r="AC30" s="123"/>
      <c r="AD30" s="123"/>
      <c r="AE30" s="124"/>
      <c r="AF30" s="122" t="str">
        <f t="shared" ca="1" si="3"/>
        <v/>
      </c>
      <c r="AG30" s="123"/>
      <c r="AH30" s="123"/>
      <c r="AI30" s="124"/>
      <c r="AJ30" s="122" t="str">
        <f t="shared" ca="1" si="4"/>
        <v/>
      </c>
      <c r="AK30" s="123"/>
      <c r="AL30" s="123"/>
      <c r="AM30" s="124"/>
      <c r="AN30" s="122" t="str">
        <f t="shared" ca="1" si="5"/>
        <v/>
      </c>
      <c r="AO30" s="123"/>
      <c r="AP30" s="123"/>
      <c r="AQ30" s="124"/>
      <c r="AR30" s="122" t="str">
        <f t="shared" ca="1" si="6"/>
        <v/>
      </c>
      <c r="AS30" s="123"/>
      <c r="AT30" s="123"/>
      <c r="AU30" s="124"/>
      <c r="AV30" s="119" t="str">
        <f t="shared" ca="1" si="7"/>
        <v/>
      </c>
      <c r="AW30" s="120"/>
      <c r="AX30" s="120"/>
      <c r="AY30" s="120"/>
      <c r="AZ30" s="120" t="str">
        <f t="shared" ca="1" si="8"/>
        <v/>
      </c>
      <c r="BA30" s="120"/>
      <c r="BB30" s="120"/>
      <c r="BC30" s="121"/>
      <c r="BD30" s="122" t="str">
        <f t="shared" ca="1" si="9"/>
        <v/>
      </c>
      <c r="BE30" s="123"/>
      <c r="BF30" s="123"/>
      <c r="BG30" s="124"/>
      <c r="BH30" s="122" t="str">
        <f t="shared" ca="1" si="10"/>
        <v/>
      </c>
      <c r="BI30" s="123"/>
      <c r="BJ30" s="123"/>
      <c r="BK30" s="124"/>
      <c r="CE30" s="7"/>
    </row>
    <row r="31" spans="1:83" ht="13.5" customHeight="1">
      <c r="A31" s="6"/>
      <c r="D31" s="125"/>
      <c r="E31" s="126"/>
      <c r="F31" s="126"/>
      <c r="G31" s="126"/>
      <c r="H31" s="126"/>
      <c r="I31" s="126"/>
      <c r="J31" s="126"/>
      <c r="K31" s="126"/>
      <c r="L31" s="126"/>
      <c r="M31" s="126"/>
      <c r="N31" s="126"/>
      <c r="O31" s="127"/>
      <c r="P31" s="119"/>
      <c r="Q31" s="120"/>
      <c r="R31" s="120"/>
      <c r="S31" s="120"/>
      <c r="T31" s="120" t="str">
        <f t="shared" ca="1" si="0"/>
        <v/>
      </c>
      <c r="U31" s="120"/>
      <c r="V31" s="120"/>
      <c r="W31" s="121"/>
      <c r="X31" s="122" t="str">
        <f t="shared" ca="1" si="1"/>
        <v/>
      </c>
      <c r="Y31" s="123"/>
      <c r="Z31" s="123"/>
      <c r="AA31" s="124"/>
      <c r="AB31" s="122" t="str">
        <f t="shared" ca="1" si="2"/>
        <v/>
      </c>
      <c r="AC31" s="123"/>
      <c r="AD31" s="123"/>
      <c r="AE31" s="124"/>
      <c r="AF31" s="122" t="str">
        <f t="shared" ca="1" si="3"/>
        <v/>
      </c>
      <c r="AG31" s="123"/>
      <c r="AH31" s="123"/>
      <c r="AI31" s="124"/>
      <c r="AJ31" s="122" t="str">
        <f t="shared" ca="1" si="4"/>
        <v/>
      </c>
      <c r="AK31" s="123"/>
      <c r="AL31" s="123"/>
      <c r="AM31" s="124"/>
      <c r="AN31" s="122" t="str">
        <f t="shared" ca="1" si="5"/>
        <v/>
      </c>
      <c r="AO31" s="123"/>
      <c r="AP31" s="123"/>
      <c r="AQ31" s="124"/>
      <c r="AR31" s="122" t="str">
        <f t="shared" ca="1" si="6"/>
        <v/>
      </c>
      <c r="AS31" s="123"/>
      <c r="AT31" s="123"/>
      <c r="AU31" s="124"/>
      <c r="AV31" s="119" t="str">
        <f t="shared" ca="1" si="7"/>
        <v/>
      </c>
      <c r="AW31" s="120"/>
      <c r="AX31" s="120"/>
      <c r="AY31" s="120"/>
      <c r="AZ31" s="120" t="str">
        <f t="shared" ca="1" si="8"/>
        <v/>
      </c>
      <c r="BA31" s="120"/>
      <c r="BB31" s="120"/>
      <c r="BC31" s="121"/>
      <c r="BD31" s="122" t="str">
        <f t="shared" ca="1" si="9"/>
        <v/>
      </c>
      <c r="BE31" s="123"/>
      <c r="BF31" s="123"/>
      <c r="BG31" s="124"/>
      <c r="BH31" s="122" t="str">
        <f t="shared" ca="1" si="10"/>
        <v/>
      </c>
      <c r="BI31" s="123"/>
      <c r="BJ31" s="123"/>
      <c r="BK31" s="124"/>
      <c r="CE31" s="7"/>
    </row>
    <row r="32" spans="1:83" ht="13.5" customHeight="1">
      <c r="A32" s="6"/>
      <c r="D32" s="125"/>
      <c r="E32" s="126"/>
      <c r="F32" s="126"/>
      <c r="G32" s="126"/>
      <c r="H32" s="126"/>
      <c r="I32" s="126"/>
      <c r="J32" s="126"/>
      <c r="K32" s="126"/>
      <c r="L32" s="126"/>
      <c r="M32" s="126"/>
      <c r="N32" s="126"/>
      <c r="O32" s="127"/>
      <c r="P32" s="119"/>
      <c r="Q32" s="120"/>
      <c r="R32" s="120"/>
      <c r="S32" s="120"/>
      <c r="T32" s="120" t="str">
        <f t="shared" ca="1" si="0"/>
        <v/>
      </c>
      <c r="U32" s="120"/>
      <c r="V32" s="120"/>
      <c r="W32" s="121"/>
      <c r="X32" s="122" t="str">
        <f t="shared" ca="1" si="1"/>
        <v/>
      </c>
      <c r="Y32" s="123"/>
      <c r="Z32" s="123"/>
      <c r="AA32" s="124"/>
      <c r="AB32" s="122" t="str">
        <f t="shared" ca="1" si="2"/>
        <v/>
      </c>
      <c r="AC32" s="123"/>
      <c r="AD32" s="123"/>
      <c r="AE32" s="124"/>
      <c r="AF32" s="122" t="str">
        <f t="shared" ca="1" si="3"/>
        <v/>
      </c>
      <c r="AG32" s="123"/>
      <c r="AH32" s="123"/>
      <c r="AI32" s="124"/>
      <c r="AJ32" s="122" t="str">
        <f t="shared" ca="1" si="4"/>
        <v/>
      </c>
      <c r="AK32" s="123"/>
      <c r="AL32" s="123"/>
      <c r="AM32" s="124"/>
      <c r="AN32" s="122" t="str">
        <f t="shared" ca="1" si="5"/>
        <v/>
      </c>
      <c r="AO32" s="123"/>
      <c r="AP32" s="123"/>
      <c r="AQ32" s="124"/>
      <c r="AR32" s="122" t="str">
        <f t="shared" ca="1" si="6"/>
        <v/>
      </c>
      <c r="AS32" s="123"/>
      <c r="AT32" s="123"/>
      <c r="AU32" s="124"/>
      <c r="AV32" s="119" t="str">
        <f t="shared" ca="1" si="7"/>
        <v/>
      </c>
      <c r="AW32" s="120"/>
      <c r="AX32" s="120"/>
      <c r="AY32" s="120"/>
      <c r="AZ32" s="120" t="str">
        <f t="shared" ca="1" si="8"/>
        <v/>
      </c>
      <c r="BA32" s="120"/>
      <c r="BB32" s="120"/>
      <c r="BC32" s="121"/>
      <c r="BD32" s="122" t="str">
        <f t="shared" ca="1" si="9"/>
        <v/>
      </c>
      <c r="BE32" s="123"/>
      <c r="BF32" s="123"/>
      <c r="BG32" s="124"/>
      <c r="BH32" s="122" t="str">
        <f t="shared" ca="1" si="10"/>
        <v/>
      </c>
      <c r="BI32" s="123"/>
      <c r="BJ32" s="123"/>
      <c r="BK32" s="124"/>
      <c r="CE32" s="7"/>
    </row>
    <row r="33" spans="1:83" ht="13.5" customHeight="1">
      <c r="A33" s="6"/>
      <c r="D33" s="125"/>
      <c r="E33" s="126"/>
      <c r="F33" s="126"/>
      <c r="G33" s="126"/>
      <c r="H33" s="126"/>
      <c r="I33" s="126"/>
      <c r="J33" s="126"/>
      <c r="K33" s="126"/>
      <c r="L33" s="126"/>
      <c r="M33" s="126"/>
      <c r="N33" s="126"/>
      <c r="O33" s="127"/>
      <c r="P33" s="119"/>
      <c r="Q33" s="120"/>
      <c r="R33" s="120"/>
      <c r="S33" s="120"/>
      <c r="T33" s="120" t="str">
        <f t="shared" ca="1" si="0"/>
        <v/>
      </c>
      <c r="U33" s="120"/>
      <c r="V33" s="120"/>
      <c r="W33" s="121"/>
      <c r="X33" s="122" t="str">
        <f t="shared" ca="1" si="1"/>
        <v/>
      </c>
      <c r="Y33" s="123"/>
      <c r="Z33" s="123"/>
      <c r="AA33" s="124"/>
      <c r="AB33" s="122" t="str">
        <f t="shared" ca="1" si="2"/>
        <v/>
      </c>
      <c r="AC33" s="123"/>
      <c r="AD33" s="123"/>
      <c r="AE33" s="124"/>
      <c r="AF33" s="122" t="str">
        <f t="shared" ca="1" si="3"/>
        <v/>
      </c>
      <c r="AG33" s="123"/>
      <c r="AH33" s="123"/>
      <c r="AI33" s="124"/>
      <c r="AJ33" s="122" t="str">
        <f t="shared" ca="1" si="4"/>
        <v/>
      </c>
      <c r="AK33" s="123"/>
      <c r="AL33" s="123"/>
      <c r="AM33" s="124"/>
      <c r="AN33" s="122" t="str">
        <f t="shared" ca="1" si="5"/>
        <v/>
      </c>
      <c r="AO33" s="123"/>
      <c r="AP33" s="123"/>
      <c r="AQ33" s="124"/>
      <c r="AR33" s="122" t="str">
        <f t="shared" ca="1" si="6"/>
        <v/>
      </c>
      <c r="AS33" s="123"/>
      <c r="AT33" s="123"/>
      <c r="AU33" s="124"/>
      <c r="AV33" s="119" t="str">
        <f t="shared" ca="1" si="7"/>
        <v/>
      </c>
      <c r="AW33" s="120"/>
      <c r="AX33" s="120"/>
      <c r="AY33" s="120"/>
      <c r="AZ33" s="120" t="str">
        <f t="shared" ca="1" si="8"/>
        <v/>
      </c>
      <c r="BA33" s="120"/>
      <c r="BB33" s="120"/>
      <c r="BC33" s="121"/>
      <c r="BD33" s="122" t="str">
        <f t="shared" ca="1" si="9"/>
        <v/>
      </c>
      <c r="BE33" s="123"/>
      <c r="BF33" s="123"/>
      <c r="BG33" s="124"/>
      <c r="BH33" s="122" t="str">
        <f t="shared" ca="1" si="10"/>
        <v/>
      </c>
      <c r="BI33" s="123"/>
      <c r="BJ33" s="123"/>
      <c r="BK33" s="124"/>
      <c r="CE33" s="7"/>
    </row>
    <row r="34" spans="1:83" ht="13.5" customHeight="1">
      <c r="A34" s="6"/>
      <c r="D34" s="125"/>
      <c r="E34" s="126"/>
      <c r="F34" s="126"/>
      <c r="G34" s="126"/>
      <c r="H34" s="126"/>
      <c r="I34" s="126"/>
      <c r="J34" s="126"/>
      <c r="K34" s="126"/>
      <c r="L34" s="126"/>
      <c r="M34" s="126"/>
      <c r="N34" s="126"/>
      <c r="O34" s="127"/>
      <c r="P34" s="119"/>
      <c r="Q34" s="120"/>
      <c r="R34" s="120"/>
      <c r="S34" s="120"/>
      <c r="T34" s="120" t="str">
        <f t="shared" ca="1" si="0"/>
        <v/>
      </c>
      <c r="U34" s="120"/>
      <c r="V34" s="120"/>
      <c r="W34" s="121"/>
      <c r="X34" s="122" t="str">
        <f t="shared" ca="1" si="1"/>
        <v/>
      </c>
      <c r="Y34" s="123"/>
      <c r="Z34" s="123"/>
      <c r="AA34" s="124"/>
      <c r="AB34" s="122" t="str">
        <f t="shared" ca="1" si="2"/>
        <v/>
      </c>
      <c r="AC34" s="123"/>
      <c r="AD34" s="123"/>
      <c r="AE34" s="124"/>
      <c r="AF34" s="122" t="str">
        <f t="shared" ca="1" si="3"/>
        <v/>
      </c>
      <c r="AG34" s="123"/>
      <c r="AH34" s="123"/>
      <c r="AI34" s="124"/>
      <c r="AJ34" s="122" t="str">
        <f t="shared" ca="1" si="4"/>
        <v/>
      </c>
      <c r="AK34" s="123"/>
      <c r="AL34" s="123"/>
      <c r="AM34" s="124"/>
      <c r="AN34" s="122" t="str">
        <f t="shared" ca="1" si="5"/>
        <v/>
      </c>
      <c r="AO34" s="123"/>
      <c r="AP34" s="123"/>
      <c r="AQ34" s="124"/>
      <c r="AR34" s="122" t="str">
        <f t="shared" ca="1" si="6"/>
        <v/>
      </c>
      <c r="AS34" s="123"/>
      <c r="AT34" s="123"/>
      <c r="AU34" s="124"/>
      <c r="AV34" s="119" t="str">
        <f t="shared" ca="1" si="7"/>
        <v/>
      </c>
      <c r="AW34" s="120"/>
      <c r="AX34" s="120"/>
      <c r="AY34" s="120"/>
      <c r="AZ34" s="120" t="str">
        <f t="shared" ca="1" si="8"/>
        <v/>
      </c>
      <c r="BA34" s="120"/>
      <c r="BB34" s="120"/>
      <c r="BC34" s="121"/>
      <c r="BD34" s="122" t="str">
        <f t="shared" ca="1" si="9"/>
        <v/>
      </c>
      <c r="BE34" s="123"/>
      <c r="BF34" s="123"/>
      <c r="BG34" s="124"/>
      <c r="BH34" s="122" t="str">
        <f t="shared" ca="1" si="10"/>
        <v/>
      </c>
      <c r="BI34" s="123"/>
      <c r="BJ34" s="123"/>
      <c r="BK34" s="124"/>
      <c r="CE34" s="7"/>
    </row>
    <row r="35" spans="1:83" ht="13.5" customHeight="1">
      <c r="A35" s="6"/>
      <c r="D35" s="125"/>
      <c r="E35" s="126"/>
      <c r="F35" s="126"/>
      <c r="G35" s="126"/>
      <c r="H35" s="126"/>
      <c r="I35" s="126"/>
      <c r="J35" s="126"/>
      <c r="K35" s="126"/>
      <c r="L35" s="126"/>
      <c r="M35" s="126"/>
      <c r="N35" s="126"/>
      <c r="O35" s="127"/>
      <c r="P35" s="119"/>
      <c r="Q35" s="120"/>
      <c r="R35" s="120"/>
      <c r="S35" s="120"/>
      <c r="T35" s="120" t="str">
        <f t="shared" ca="1" si="0"/>
        <v/>
      </c>
      <c r="U35" s="120"/>
      <c r="V35" s="120"/>
      <c r="W35" s="121"/>
      <c r="X35" s="122" t="str">
        <f t="shared" ca="1" si="1"/>
        <v/>
      </c>
      <c r="Y35" s="123"/>
      <c r="Z35" s="123"/>
      <c r="AA35" s="124"/>
      <c r="AB35" s="122" t="str">
        <f t="shared" ca="1" si="2"/>
        <v/>
      </c>
      <c r="AC35" s="123"/>
      <c r="AD35" s="123"/>
      <c r="AE35" s="124"/>
      <c r="AF35" s="122" t="str">
        <f t="shared" ca="1" si="3"/>
        <v/>
      </c>
      <c r="AG35" s="123"/>
      <c r="AH35" s="123"/>
      <c r="AI35" s="124"/>
      <c r="AJ35" s="122" t="str">
        <f t="shared" ca="1" si="4"/>
        <v/>
      </c>
      <c r="AK35" s="123"/>
      <c r="AL35" s="123"/>
      <c r="AM35" s="124"/>
      <c r="AN35" s="122" t="str">
        <f t="shared" ca="1" si="5"/>
        <v/>
      </c>
      <c r="AO35" s="123"/>
      <c r="AP35" s="123"/>
      <c r="AQ35" s="124"/>
      <c r="AR35" s="122" t="str">
        <f t="shared" ca="1" si="6"/>
        <v/>
      </c>
      <c r="AS35" s="123"/>
      <c r="AT35" s="123"/>
      <c r="AU35" s="124"/>
      <c r="AV35" s="119" t="str">
        <f t="shared" ca="1" si="7"/>
        <v/>
      </c>
      <c r="AW35" s="120"/>
      <c r="AX35" s="120"/>
      <c r="AY35" s="120"/>
      <c r="AZ35" s="120" t="str">
        <f t="shared" ca="1" si="8"/>
        <v/>
      </c>
      <c r="BA35" s="120"/>
      <c r="BB35" s="120"/>
      <c r="BC35" s="121"/>
      <c r="BD35" s="122" t="str">
        <f t="shared" ca="1" si="9"/>
        <v/>
      </c>
      <c r="BE35" s="123"/>
      <c r="BF35" s="123"/>
      <c r="BG35" s="124"/>
      <c r="BH35" s="122" t="str">
        <f t="shared" ca="1" si="10"/>
        <v/>
      </c>
      <c r="BI35" s="123"/>
      <c r="BJ35" s="123"/>
      <c r="BK35" s="124"/>
      <c r="CE35" s="7"/>
    </row>
    <row r="36" spans="1:83" ht="13.5" customHeight="1">
      <c r="A36" s="6"/>
      <c r="D36" s="125"/>
      <c r="E36" s="126"/>
      <c r="F36" s="126"/>
      <c r="G36" s="126"/>
      <c r="H36" s="126"/>
      <c r="I36" s="126"/>
      <c r="J36" s="126"/>
      <c r="K36" s="126"/>
      <c r="L36" s="126"/>
      <c r="M36" s="126"/>
      <c r="N36" s="126"/>
      <c r="O36" s="127"/>
      <c r="P36" s="119"/>
      <c r="Q36" s="120"/>
      <c r="R36" s="120"/>
      <c r="S36" s="120"/>
      <c r="T36" s="120" t="str">
        <f t="shared" ca="1" si="0"/>
        <v/>
      </c>
      <c r="U36" s="120"/>
      <c r="V36" s="120"/>
      <c r="W36" s="121"/>
      <c r="X36" s="122" t="str">
        <f t="shared" ca="1" si="1"/>
        <v/>
      </c>
      <c r="Y36" s="123"/>
      <c r="Z36" s="123"/>
      <c r="AA36" s="124"/>
      <c r="AB36" s="122" t="str">
        <f t="shared" ca="1" si="2"/>
        <v/>
      </c>
      <c r="AC36" s="123"/>
      <c r="AD36" s="123"/>
      <c r="AE36" s="124"/>
      <c r="AF36" s="122" t="str">
        <f t="shared" ca="1" si="3"/>
        <v/>
      </c>
      <c r="AG36" s="123"/>
      <c r="AH36" s="123"/>
      <c r="AI36" s="124"/>
      <c r="AJ36" s="122" t="str">
        <f t="shared" ca="1" si="4"/>
        <v/>
      </c>
      <c r="AK36" s="123"/>
      <c r="AL36" s="123"/>
      <c r="AM36" s="124"/>
      <c r="AN36" s="122" t="str">
        <f t="shared" ca="1" si="5"/>
        <v/>
      </c>
      <c r="AO36" s="123"/>
      <c r="AP36" s="123"/>
      <c r="AQ36" s="124"/>
      <c r="AR36" s="122" t="str">
        <f t="shared" ca="1" si="6"/>
        <v/>
      </c>
      <c r="AS36" s="123"/>
      <c r="AT36" s="123"/>
      <c r="AU36" s="124"/>
      <c r="AV36" s="119" t="str">
        <f t="shared" ca="1" si="7"/>
        <v/>
      </c>
      <c r="AW36" s="120"/>
      <c r="AX36" s="120"/>
      <c r="AY36" s="120"/>
      <c r="AZ36" s="120" t="str">
        <f t="shared" ca="1" si="8"/>
        <v/>
      </c>
      <c r="BA36" s="120"/>
      <c r="BB36" s="120"/>
      <c r="BC36" s="121"/>
      <c r="BD36" s="122" t="str">
        <f t="shared" ca="1" si="9"/>
        <v/>
      </c>
      <c r="BE36" s="123"/>
      <c r="BF36" s="123"/>
      <c r="BG36" s="124"/>
      <c r="BH36" s="122" t="str">
        <f t="shared" ca="1" si="10"/>
        <v/>
      </c>
      <c r="BI36" s="123"/>
      <c r="BJ36" s="123"/>
      <c r="BK36" s="124"/>
      <c r="CE36" s="7"/>
    </row>
    <row r="37" spans="1:83" ht="13.5" customHeight="1">
      <c r="A37" s="6"/>
      <c r="D37" s="125"/>
      <c r="E37" s="126"/>
      <c r="F37" s="126"/>
      <c r="G37" s="126"/>
      <c r="H37" s="126"/>
      <c r="I37" s="126"/>
      <c r="J37" s="126"/>
      <c r="K37" s="126"/>
      <c r="L37" s="126"/>
      <c r="M37" s="126"/>
      <c r="N37" s="126"/>
      <c r="O37" s="127"/>
      <c r="P37" s="119"/>
      <c r="Q37" s="120"/>
      <c r="R37" s="120"/>
      <c r="S37" s="120"/>
      <c r="T37" s="120" t="str">
        <f t="shared" ca="1" si="0"/>
        <v/>
      </c>
      <c r="U37" s="120"/>
      <c r="V37" s="120"/>
      <c r="W37" s="121"/>
      <c r="X37" s="122" t="str">
        <f t="shared" ca="1" si="1"/>
        <v/>
      </c>
      <c r="Y37" s="123"/>
      <c r="Z37" s="123"/>
      <c r="AA37" s="124"/>
      <c r="AB37" s="122" t="str">
        <f t="shared" ca="1" si="2"/>
        <v/>
      </c>
      <c r="AC37" s="123"/>
      <c r="AD37" s="123"/>
      <c r="AE37" s="124"/>
      <c r="AF37" s="122" t="str">
        <f t="shared" ca="1" si="3"/>
        <v/>
      </c>
      <c r="AG37" s="123"/>
      <c r="AH37" s="123"/>
      <c r="AI37" s="124"/>
      <c r="AJ37" s="122" t="str">
        <f t="shared" ca="1" si="4"/>
        <v/>
      </c>
      <c r="AK37" s="123"/>
      <c r="AL37" s="123"/>
      <c r="AM37" s="124"/>
      <c r="AN37" s="122" t="str">
        <f t="shared" ca="1" si="5"/>
        <v/>
      </c>
      <c r="AO37" s="123"/>
      <c r="AP37" s="123"/>
      <c r="AQ37" s="124"/>
      <c r="AR37" s="122" t="str">
        <f t="shared" ca="1" si="6"/>
        <v/>
      </c>
      <c r="AS37" s="123"/>
      <c r="AT37" s="123"/>
      <c r="AU37" s="124"/>
      <c r="AV37" s="119" t="str">
        <f t="shared" ca="1" si="7"/>
        <v/>
      </c>
      <c r="AW37" s="120"/>
      <c r="AX37" s="120"/>
      <c r="AY37" s="120"/>
      <c r="AZ37" s="120" t="str">
        <f t="shared" ca="1" si="8"/>
        <v/>
      </c>
      <c r="BA37" s="120"/>
      <c r="BB37" s="120"/>
      <c r="BC37" s="121"/>
      <c r="BD37" s="122" t="str">
        <f t="shared" ca="1" si="9"/>
        <v/>
      </c>
      <c r="BE37" s="123"/>
      <c r="BF37" s="123"/>
      <c r="BG37" s="124"/>
      <c r="BH37" s="122" t="str">
        <f t="shared" ca="1" si="10"/>
        <v/>
      </c>
      <c r="BI37" s="123"/>
      <c r="BJ37" s="123"/>
      <c r="BK37" s="124"/>
      <c r="CE37" s="7"/>
    </row>
    <row r="38" spans="1:83" ht="13.5" customHeight="1">
      <c r="A38" s="6"/>
      <c r="CE38" s="7"/>
    </row>
    <row r="39" spans="1:83" ht="13.5" customHeight="1">
      <c r="A39" s="6"/>
      <c r="CE39" s="7"/>
    </row>
  </sheetData>
  <sheetCalcPr fullCalcOnLoad="1"/>
  <mergeCells count="367">
    <mergeCell ref="BN1:BV1"/>
    <mergeCell ref="BW1:CE1"/>
    <mergeCell ref="A2:N2"/>
    <mergeCell ref="O2:AB2"/>
    <mergeCell ref="AC2:AU2"/>
    <mergeCell ref="AV2:BD2"/>
    <mergeCell ref="BE2:BM2"/>
    <mergeCell ref="BN2:BV2"/>
    <mergeCell ref="BW2:CE2"/>
    <mergeCell ref="A1:N1"/>
    <mergeCell ref="O1:AB1"/>
    <mergeCell ref="A4:I4"/>
    <mergeCell ref="J4:X4"/>
    <mergeCell ref="Y4:AG4"/>
    <mergeCell ref="AH4:BG4"/>
    <mergeCell ref="AC1:AU1"/>
    <mergeCell ref="AV1:BD1"/>
    <mergeCell ref="BE1:BM1"/>
    <mergeCell ref="AV7:AY8"/>
    <mergeCell ref="D8:G8"/>
    <mergeCell ref="H8:K8"/>
    <mergeCell ref="L8:O8"/>
    <mergeCell ref="P8:S8"/>
    <mergeCell ref="T8:W8"/>
    <mergeCell ref="X8:AA8"/>
    <mergeCell ref="AB8:AE8"/>
    <mergeCell ref="AF8:AI8"/>
    <mergeCell ref="AJ8:AM8"/>
    <mergeCell ref="AN8:AQ8"/>
    <mergeCell ref="AR8:AU8"/>
    <mergeCell ref="D9:G9"/>
    <mergeCell ref="H9:K9"/>
    <mergeCell ref="L9:O9"/>
    <mergeCell ref="P9:S9"/>
    <mergeCell ref="T9:W9"/>
    <mergeCell ref="X9:AA9"/>
    <mergeCell ref="AB9:AE9"/>
    <mergeCell ref="AF9:AI9"/>
    <mergeCell ref="AJ9:AM9"/>
    <mergeCell ref="AN9:AQ9"/>
    <mergeCell ref="AR9:AU9"/>
    <mergeCell ref="AV9:AY9"/>
    <mergeCell ref="D12:O13"/>
    <mergeCell ref="P12:S13"/>
    <mergeCell ref="T13:W13"/>
    <mergeCell ref="X13:AA13"/>
    <mergeCell ref="AB13:AE13"/>
    <mergeCell ref="AF13:AI13"/>
    <mergeCell ref="AJ13:AM13"/>
    <mergeCell ref="AN13:AQ13"/>
    <mergeCell ref="AR13:AU13"/>
    <mergeCell ref="AV13:AY13"/>
    <mergeCell ref="AZ13:BC13"/>
    <mergeCell ref="BD13:BG13"/>
    <mergeCell ref="BH13:BK13"/>
    <mergeCell ref="D14:O14"/>
    <mergeCell ref="P14:S14"/>
    <mergeCell ref="T14:W14"/>
    <mergeCell ref="X14:AA14"/>
    <mergeCell ref="AB14:AE14"/>
    <mergeCell ref="AF14:AI14"/>
    <mergeCell ref="AJ14:AM14"/>
    <mergeCell ref="AN14:AQ14"/>
    <mergeCell ref="AR14:AU14"/>
    <mergeCell ref="AV14:AY14"/>
    <mergeCell ref="AZ14:BC14"/>
    <mergeCell ref="BD14:BG14"/>
    <mergeCell ref="BH14:BK14"/>
    <mergeCell ref="D15:O15"/>
    <mergeCell ref="P15:S15"/>
    <mergeCell ref="T15:W15"/>
    <mergeCell ref="X15:AA15"/>
    <mergeCell ref="AB15:AE15"/>
    <mergeCell ref="AF15:AI15"/>
    <mergeCell ref="AJ15:AM15"/>
    <mergeCell ref="AN15:AQ15"/>
    <mergeCell ref="AR15:AU15"/>
    <mergeCell ref="AV15:AY15"/>
    <mergeCell ref="AZ15:BC15"/>
    <mergeCell ref="BD15:BG15"/>
    <mergeCell ref="BH15:BK15"/>
    <mergeCell ref="D16:O16"/>
    <mergeCell ref="P16:S16"/>
    <mergeCell ref="T16:W16"/>
    <mergeCell ref="X16:AA16"/>
    <mergeCell ref="AB16:AE16"/>
    <mergeCell ref="AF16:AI16"/>
    <mergeCell ref="AJ16:AM16"/>
    <mergeCell ref="AN16:AQ16"/>
    <mergeCell ref="AR16:AU16"/>
    <mergeCell ref="AV16:AY16"/>
    <mergeCell ref="AZ16:BC16"/>
    <mergeCell ref="BD16:BG16"/>
    <mergeCell ref="BH16:BK16"/>
    <mergeCell ref="D17:O17"/>
    <mergeCell ref="P17:S17"/>
    <mergeCell ref="T17:W17"/>
    <mergeCell ref="X17:AA17"/>
    <mergeCell ref="AB17:AE17"/>
    <mergeCell ref="AF17:AI17"/>
    <mergeCell ref="AJ17:AM17"/>
    <mergeCell ref="AN17:AQ17"/>
    <mergeCell ref="AR17:AU17"/>
    <mergeCell ref="AV17:AY17"/>
    <mergeCell ref="AZ17:BC17"/>
    <mergeCell ref="BD17:BG17"/>
    <mergeCell ref="BH17:BK17"/>
    <mergeCell ref="D18:O18"/>
    <mergeCell ref="P18:S18"/>
    <mergeCell ref="T18:W18"/>
    <mergeCell ref="X18:AA18"/>
    <mergeCell ref="AB18:AE18"/>
    <mergeCell ref="AF18:AI18"/>
    <mergeCell ref="AJ18:AM18"/>
    <mergeCell ref="AN18:AQ18"/>
    <mergeCell ref="AR18:AU18"/>
    <mergeCell ref="AV18:AY18"/>
    <mergeCell ref="AZ18:BC18"/>
    <mergeCell ref="BD18:BG18"/>
    <mergeCell ref="BH18:BK18"/>
    <mergeCell ref="D19:O19"/>
    <mergeCell ref="P19:S19"/>
    <mergeCell ref="T19:W19"/>
    <mergeCell ref="X19:AA19"/>
    <mergeCell ref="AB19:AE19"/>
    <mergeCell ref="AF19:AI19"/>
    <mergeCell ref="AJ19:AM19"/>
    <mergeCell ref="AN19:AQ19"/>
    <mergeCell ref="AR19:AU19"/>
    <mergeCell ref="AV19:AY19"/>
    <mergeCell ref="AZ19:BC19"/>
    <mergeCell ref="BD19:BG19"/>
    <mergeCell ref="BH19:BK19"/>
    <mergeCell ref="D20:O20"/>
    <mergeCell ref="P20:S20"/>
    <mergeCell ref="T20:W20"/>
    <mergeCell ref="X20:AA20"/>
    <mergeCell ref="AB20:AE20"/>
    <mergeCell ref="AF20:AI20"/>
    <mergeCell ref="AJ20:AM20"/>
    <mergeCell ref="AN20:AQ20"/>
    <mergeCell ref="AR20:AU20"/>
    <mergeCell ref="AV20:AY20"/>
    <mergeCell ref="AZ20:BC20"/>
    <mergeCell ref="BD20:BG20"/>
    <mergeCell ref="BH20:BK20"/>
    <mergeCell ref="D21:O21"/>
    <mergeCell ref="P21:S21"/>
    <mergeCell ref="T21:W21"/>
    <mergeCell ref="X21:AA21"/>
    <mergeCell ref="AB21:AE21"/>
    <mergeCell ref="AF21:AI21"/>
    <mergeCell ref="AJ21:AM21"/>
    <mergeCell ref="AN21:AQ21"/>
    <mergeCell ref="AR21:AU21"/>
    <mergeCell ref="AV21:AY21"/>
    <mergeCell ref="AZ21:BC21"/>
    <mergeCell ref="BD21:BG21"/>
    <mergeCell ref="BH21:BK21"/>
    <mergeCell ref="D22:O22"/>
    <mergeCell ref="P22:S22"/>
    <mergeCell ref="T22:W22"/>
    <mergeCell ref="X22:AA22"/>
    <mergeCell ref="AB22:AE22"/>
    <mergeCell ref="AF22:AI22"/>
    <mergeCell ref="AJ22:AM22"/>
    <mergeCell ref="AN22:AQ22"/>
    <mergeCell ref="AR22:AU22"/>
    <mergeCell ref="AV22:AY22"/>
    <mergeCell ref="AZ22:BC22"/>
    <mergeCell ref="BD22:BG22"/>
    <mergeCell ref="BH22:BK22"/>
    <mergeCell ref="D23:O23"/>
    <mergeCell ref="P23:S23"/>
    <mergeCell ref="T23:W23"/>
    <mergeCell ref="X23:AA23"/>
    <mergeCell ref="AB23:AE23"/>
    <mergeCell ref="AF23:AI23"/>
    <mergeCell ref="AJ23:AM23"/>
    <mergeCell ref="AN23:AQ23"/>
    <mergeCell ref="AR23:AU23"/>
    <mergeCell ref="AV23:AY23"/>
    <mergeCell ref="AZ23:BC23"/>
    <mergeCell ref="BD23:BG23"/>
    <mergeCell ref="BH23:BK23"/>
    <mergeCell ref="D24:O24"/>
    <mergeCell ref="P24:S24"/>
    <mergeCell ref="T24:W24"/>
    <mergeCell ref="X24:AA24"/>
    <mergeCell ref="AB24:AE24"/>
    <mergeCell ref="AF24:AI24"/>
    <mergeCell ref="AJ24:AM24"/>
    <mergeCell ref="AN24:AQ24"/>
    <mergeCell ref="AR24:AU24"/>
    <mergeCell ref="AV24:AY24"/>
    <mergeCell ref="AZ24:BC24"/>
    <mergeCell ref="BD24:BG24"/>
    <mergeCell ref="BH24:BK24"/>
    <mergeCell ref="D25:O25"/>
    <mergeCell ref="P25:S25"/>
    <mergeCell ref="T25:W25"/>
    <mergeCell ref="X25:AA25"/>
    <mergeCell ref="AB25:AE25"/>
    <mergeCell ref="AF25:AI25"/>
    <mergeCell ref="AJ25:AM25"/>
    <mergeCell ref="AN25:AQ25"/>
    <mergeCell ref="AR25:AU25"/>
    <mergeCell ref="AV25:AY25"/>
    <mergeCell ref="AZ25:BC25"/>
    <mergeCell ref="BD25:BG25"/>
    <mergeCell ref="BH25:BK25"/>
    <mergeCell ref="D26:O26"/>
    <mergeCell ref="P26:S26"/>
    <mergeCell ref="T26:W26"/>
    <mergeCell ref="X26:AA26"/>
    <mergeCell ref="AB26:AE26"/>
    <mergeCell ref="AF26:AI26"/>
    <mergeCell ref="AJ26:AM26"/>
    <mergeCell ref="AN26:AQ26"/>
    <mergeCell ref="AR26:AU26"/>
    <mergeCell ref="AV26:AY26"/>
    <mergeCell ref="AZ26:BC26"/>
    <mergeCell ref="BD26:BG26"/>
    <mergeCell ref="BH26:BK26"/>
    <mergeCell ref="D27:O27"/>
    <mergeCell ref="P27:S27"/>
    <mergeCell ref="T27:W27"/>
    <mergeCell ref="X27:AA27"/>
    <mergeCell ref="AB27:AE27"/>
    <mergeCell ref="AF27:AI27"/>
    <mergeCell ref="AJ27:AM27"/>
    <mergeCell ref="AN27:AQ27"/>
    <mergeCell ref="AR27:AU27"/>
    <mergeCell ref="AV27:AY27"/>
    <mergeCell ref="AZ27:BC27"/>
    <mergeCell ref="BD27:BG27"/>
    <mergeCell ref="BH27:BK27"/>
    <mergeCell ref="D28:O28"/>
    <mergeCell ref="P28:S28"/>
    <mergeCell ref="T28:W28"/>
    <mergeCell ref="X28:AA28"/>
    <mergeCell ref="AB28:AE28"/>
    <mergeCell ref="AF28:AI28"/>
    <mergeCell ref="AJ28:AM28"/>
    <mergeCell ref="AN28:AQ28"/>
    <mergeCell ref="AR28:AU28"/>
    <mergeCell ref="AV28:AY28"/>
    <mergeCell ref="AZ28:BC28"/>
    <mergeCell ref="BD28:BG28"/>
    <mergeCell ref="BH28:BK28"/>
    <mergeCell ref="D29:O29"/>
    <mergeCell ref="P29:S29"/>
    <mergeCell ref="T29:W29"/>
    <mergeCell ref="X29:AA29"/>
    <mergeCell ref="AB29:AE29"/>
    <mergeCell ref="AF29:AI29"/>
    <mergeCell ref="AJ29:AM29"/>
    <mergeCell ref="AN29:AQ29"/>
    <mergeCell ref="AR29:AU29"/>
    <mergeCell ref="AV29:AY29"/>
    <mergeCell ref="AZ29:BC29"/>
    <mergeCell ref="BD29:BG29"/>
    <mergeCell ref="BH29:BK29"/>
    <mergeCell ref="D30:O30"/>
    <mergeCell ref="P30:S30"/>
    <mergeCell ref="T30:W30"/>
    <mergeCell ref="X30:AA30"/>
    <mergeCell ref="AB30:AE30"/>
    <mergeCell ref="AF30:AI30"/>
    <mergeCell ref="AJ30:AM30"/>
    <mergeCell ref="AN30:AQ30"/>
    <mergeCell ref="AR30:AU30"/>
    <mergeCell ref="AV30:AY30"/>
    <mergeCell ref="AZ30:BC30"/>
    <mergeCell ref="BD30:BG30"/>
    <mergeCell ref="BH30:BK30"/>
    <mergeCell ref="D31:O31"/>
    <mergeCell ref="P31:S31"/>
    <mergeCell ref="T31:W31"/>
    <mergeCell ref="X31:AA31"/>
    <mergeCell ref="AB31:AE31"/>
    <mergeCell ref="AF31:AI31"/>
    <mergeCell ref="AJ31:AM31"/>
    <mergeCell ref="AN31:AQ31"/>
    <mergeCell ref="AR31:AU31"/>
    <mergeCell ref="AV31:AY31"/>
    <mergeCell ref="AZ31:BC31"/>
    <mergeCell ref="BD31:BG31"/>
    <mergeCell ref="BH31:BK31"/>
    <mergeCell ref="D32:O32"/>
    <mergeCell ref="P32:S32"/>
    <mergeCell ref="T32:W32"/>
    <mergeCell ref="X32:AA32"/>
    <mergeCell ref="AB32:AE32"/>
    <mergeCell ref="AF32:AI32"/>
    <mergeCell ref="AJ32:AM32"/>
    <mergeCell ref="AN32:AQ32"/>
    <mergeCell ref="AR32:AU32"/>
    <mergeCell ref="AV32:AY32"/>
    <mergeCell ref="AZ32:BC32"/>
    <mergeCell ref="BD32:BG32"/>
    <mergeCell ref="BH32:BK32"/>
    <mergeCell ref="D33:O33"/>
    <mergeCell ref="P33:S33"/>
    <mergeCell ref="T33:W33"/>
    <mergeCell ref="X33:AA33"/>
    <mergeCell ref="AB33:AE33"/>
    <mergeCell ref="AF33:AI33"/>
    <mergeCell ref="AJ33:AM33"/>
    <mergeCell ref="AN33:AQ33"/>
    <mergeCell ref="AR33:AU33"/>
    <mergeCell ref="AV33:AY33"/>
    <mergeCell ref="AZ33:BC33"/>
    <mergeCell ref="BD33:BG33"/>
    <mergeCell ref="BH33:BK33"/>
    <mergeCell ref="D34:O34"/>
    <mergeCell ref="P34:S34"/>
    <mergeCell ref="T34:W34"/>
    <mergeCell ref="X34:AA34"/>
    <mergeCell ref="AB34:AE34"/>
    <mergeCell ref="AF34:AI34"/>
    <mergeCell ref="AJ34:AM34"/>
    <mergeCell ref="AN34:AQ34"/>
    <mergeCell ref="AR34:AU34"/>
    <mergeCell ref="AV34:AY34"/>
    <mergeCell ref="AZ34:BC34"/>
    <mergeCell ref="BD34:BG34"/>
    <mergeCell ref="BH34:BK34"/>
    <mergeCell ref="D35:O35"/>
    <mergeCell ref="P35:S35"/>
    <mergeCell ref="T35:W35"/>
    <mergeCell ref="X35:AA35"/>
    <mergeCell ref="AB35:AE35"/>
    <mergeCell ref="AF35:AI35"/>
    <mergeCell ref="AJ35:AM35"/>
    <mergeCell ref="AN35:AQ35"/>
    <mergeCell ref="AR35:AU35"/>
    <mergeCell ref="BH35:BK35"/>
    <mergeCell ref="D36:O36"/>
    <mergeCell ref="P36:S36"/>
    <mergeCell ref="T36:W36"/>
    <mergeCell ref="X36:AA36"/>
    <mergeCell ref="AB36:AE36"/>
    <mergeCell ref="AF36:AI36"/>
    <mergeCell ref="AV36:AY36"/>
    <mergeCell ref="AZ36:BC36"/>
    <mergeCell ref="BD36:BG36"/>
    <mergeCell ref="AV35:AY35"/>
    <mergeCell ref="AZ35:BC35"/>
    <mergeCell ref="BD35:BG35"/>
    <mergeCell ref="AF37:AI37"/>
    <mergeCell ref="AJ37:AM37"/>
    <mergeCell ref="AN37:AQ37"/>
    <mergeCell ref="AR37:AU37"/>
    <mergeCell ref="AJ36:AM36"/>
    <mergeCell ref="AN36:AQ36"/>
    <mergeCell ref="AR36:AU36"/>
    <mergeCell ref="AV37:AY37"/>
    <mergeCell ref="AZ37:BC37"/>
    <mergeCell ref="BD37:BG37"/>
    <mergeCell ref="BH37:BK37"/>
    <mergeCell ref="BH36:BK36"/>
    <mergeCell ref="D37:O37"/>
    <mergeCell ref="P37:S37"/>
    <mergeCell ref="T37:W37"/>
    <mergeCell ref="X37:AA37"/>
    <mergeCell ref="AB37:AE37"/>
  </mergeCells>
  <phoneticPr fontId="12"/>
  <dataValidations count="1">
    <dataValidation type="list" allowBlank="1" showInputMessage="1" showErrorMessage="1" sqref="P14:S37">
      <formula1>"○"</formula1>
    </dataValidation>
  </dataValidations>
  <printOptions horizontalCentered="1"/>
  <pageMargins left="0.39370078740157483" right="0.19685039370078741" top="0.59055118110236227" bottom="0.39370078740157483" header="0.78740157480314965" footer="0.19685039370078741"/>
  <pageSetup paperSize="9" scale="98" fitToHeight="0" orientation="landscape" r:id="rId1"/>
  <headerFooter alignWithMargins="0">
    <oddFooter>&amp;C&amp;P / &amp;N&amp;RInternal Use Only</oddFooter>
  </headerFooter>
  <rowBreaks count="1" manualBreakCount="1">
    <brk id="39" max="16383" man="1"/>
  </rowBreak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J41"/>
  <sheetViews>
    <sheetView zoomScaleNormal="100" zoomScaleSheetLayoutView="85" workbookViewId="0">
      <pane xSplit="20" ySplit="9" topLeftCell="U13" activePane="bottomRight" state="frozen"/>
      <selection activeCell="X39" sqref="X39"/>
      <selection pane="topRight" activeCell="X39" sqref="X39"/>
      <selection pane="bottomLeft" activeCell="X39" sqref="X39"/>
      <selection pane="bottomRight" activeCell="J6" sqref="J6:X6"/>
    </sheetView>
  </sheetViews>
  <sheetFormatPr defaultColWidth="2.1640625" defaultRowHeight="13.5" customHeight="1"/>
  <cols>
    <col min="1" max="1" width="5" style="3" customWidth="1"/>
    <col min="2" max="14" width="2.1640625" style="3" customWidth="1"/>
    <col min="15" max="15" width="2.33203125" style="3" customWidth="1"/>
    <col min="16" max="19" width="2.1640625" style="3" customWidth="1"/>
    <col min="20" max="20" width="2.5" style="3" customWidth="1"/>
    <col min="21" max="16384" width="2.1640625" style="3"/>
  </cols>
  <sheetData>
    <row r="1" spans="1:88" ht="13.5" customHeight="1">
      <c r="A1" s="152" t="s">
        <v>0</v>
      </c>
      <c r="B1" s="152"/>
      <c r="C1" s="152"/>
      <c r="D1" s="152"/>
      <c r="E1" s="152"/>
      <c r="F1" s="152"/>
      <c r="G1" s="152"/>
      <c r="H1" s="152"/>
      <c r="I1" s="152"/>
      <c r="J1" s="152"/>
      <c r="K1" s="152"/>
      <c r="L1" s="152"/>
      <c r="M1" s="152"/>
      <c r="N1" s="152"/>
      <c r="O1" s="152" t="s">
        <v>1</v>
      </c>
      <c r="P1" s="152"/>
      <c r="Q1" s="152"/>
      <c r="R1" s="152"/>
      <c r="S1" s="152"/>
      <c r="T1" s="152"/>
      <c r="U1" s="152"/>
      <c r="V1" s="152"/>
      <c r="W1" s="152"/>
      <c r="X1" s="152"/>
      <c r="Y1" s="152"/>
      <c r="Z1" s="152"/>
      <c r="AA1" s="152"/>
      <c r="AB1" s="152"/>
      <c r="AC1" s="152" t="s">
        <v>2</v>
      </c>
      <c r="AD1" s="152"/>
      <c r="AE1" s="152"/>
      <c r="AF1" s="152"/>
      <c r="AG1" s="152"/>
      <c r="AH1" s="152"/>
      <c r="AI1" s="152"/>
      <c r="AJ1" s="152"/>
      <c r="AK1" s="152"/>
      <c r="AL1" s="152"/>
      <c r="AM1" s="152"/>
      <c r="AN1" s="152"/>
      <c r="AO1" s="152"/>
      <c r="AP1" s="152"/>
      <c r="AQ1" s="152"/>
      <c r="AR1" s="152" t="s">
        <v>3</v>
      </c>
      <c r="AS1" s="152"/>
      <c r="AT1" s="152"/>
      <c r="AU1" s="152"/>
      <c r="AV1" s="152"/>
      <c r="AW1" s="152"/>
      <c r="AX1" s="152"/>
      <c r="AY1" s="152"/>
      <c r="AZ1" s="152"/>
      <c r="BA1" s="152" t="s">
        <v>4</v>
      </c>
      <c r="BB1" s="152"/>
      <c r="BC1" s="152"/>
      <c r="BD1" s="152"/>
      <c r="BE1" s="152"/>
      <c r="BF1" s="152"/>
      <c r="BG1" s="152"/>
      <c r="BH1" s="152"/>
      <c r="BI1" s="152"/>
      <c r="BJ1" s="152" t="s">
        <v>5</v>
      </c>
      <c r="BK1" s="152"/>
      <c r="BL1" s="152"/>
      <c r="BM1" s="152"/>
      <c r="BN1" s="152"/>
      <c r="BO1" s="152"/>
      <c r="BP1" s="152"/>
      <c r="BQ1" s="152"/>
      <c r="BR1" s="152"/>
      <c r="BS1" s="152" t="s">
        <v>6</v>
      </c>
      <c r="BT1" s="152"/>
      <c r="BU1" s="152"/>
      <c r="BV1" s="152"/>
      <c r="BW1" s="152"/>
      <c r="BX1" s="152"/>
      <c r="BY1" s="152"/>
      <c r="BZ1" s="152"/>
      <c r="CA1" s="152"/>
    </row>
    <row r="2" spans="1:88" ht="13.5" customHeight="1">
      <c r="A2" s="109" t="s">
        <v>161</v>
      </c>
      <c r="B2" s="110"/>
      <c r="C2" s="110"/>
      <c r="D2" s="110"/>
      <c r="E2" s="110"/>
      <c r="F2" s="110"/>
      <c r="G2" s="110"/>
      <c r="H2" s="110"/>
      <c r="I2" s="110"/>
      <c r="J2" s="110"/>
      <c r="K2" s="110"/>
      <c r="L2" s="110"/>
      <c r="M2" s="110"/>
      <c r="N2" s="110"/>
      <c r="O2" s="116" t="str">
        <f>変更履歴!O2</f>
        <v>バイヤ1</v>
      </c>
      <c r="P2" s="116"/>
      <c r="Q2" s="116"/>
      <c r="R2" s="116"/>
      <c r="S2" s="116"/>
      <c r="T2" s="116"/>
      <c r="U2" s="116"/>
      <c r="V2" s="116"/>
      <c r="W2" s="116"/>
      <c r="X2" s="116"/>
      <c r="Y2" s="116"/>
      <c r="Z2" s="116"/>
      <c r="AA2" s="116"/>
      <c r="AB2" s="116"/>
      <c r="AC2" s="116" t="s">
        <v>16</v>
      </c>
      <c r="AD2" s="116"/>
      <c r="AE2" s="116"/>
      <c r="AF2" s="116"/>
      <c r="AG2" s="116"/>
      <c r="AH2" s="116"/>
      <c r="AI2" s="116"/>
      <c r="AJ2" s="116"/>
      <c r="AK2" s="116"/>
      <c r="AL2" s="116"/>
      <c r="AM2" s="116"/>
      <c r="AN2" s="116"/>
      <c r="AO2" s="116"/>
      <c r="AP2" s="116"/>
      <c r="AQ2" s="116"/>
      <c r="AR2" s="159" t="s">
        <v>168</v>
      </c>
      <c r="AS2" s="159"/>
      <c r="AT2" s="159"/>
      <c r="AU2" s="159"/>
      <c r="AV2" s="159"/>
      <c r="AW2" s="159"/>
      <c r="AX2" s="159"/>
      <c r="AY2" s="159"/>
      <c r="AZ2" s="159"/>
      <c r="BA2" s="160">
        <v>43641</v>
      </c>
      <c r="BB2" s="160"/>
      <c r="BC2" s="160"/>
      <c r="BD2" s="160"/>
      <c r="BE2" s="160"/>
      <c r="BF2" s="160"/>
      <c r="BG2" s="160"/>
      <c r="BH2" s="160"/>
      <c r="BI2" s="160"/>
      <c r="BJ2" s="217"/>
      <c r="BK2" s="218"/>
      <c r="BL2" s="218"/>
      <c r="BM2" s="218"/>
      <c r="BN2" s="218"/>
      <c r="BO2" s="218"/>
      <c r="BP2" s="218"/>
      <c r="BQ2" s="218"/>
      <c r="BR2" s="219"/>
      <c r="BS2" s="160"/>
      <c r="BT2" s="159"/>
      <c r="BU2" s="159"/>
      <c r="BV2" s="159"/>
      <c r="BW2" s="159"/>
      <c r="BX2" s="159"/>
      <c r="BY2" s="159"/>
      <c r="BZ2" s="159"/>
      <c r="CA2" s="159"/>
    </row>
    <row r="3" spans="1:88" ht="5.0999999999999996"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row>
    <row r="4" spans="1:88" ht="12">
      <c r="A4" s="45" t="s">
        <v>46</v>
      </c>
      <c r="B4" s="45" t="s">
        <v>47</v>
      </c>
      <c r="C4" s="45" t="s">
        <v>48</v>
      </c>
      <c r="D4" s="45" t="s">
        <v>49</v>
      </c>
      <c r="E4" s="45" t="s">
        <v>50</v>
      </c>
      <c r="F4" s="45" t="s">
        <v>51</v>
      </c>
      <c r="G4" s="45" t="s">
        <v>25</v>
      </c>
      <c r="H4" s="45" t="s">
        <v>30</v>
      </c>
      <c r="I4" s="46" t="s">
        <v>162</v>
      </c>
      <c r="J4" s="45" t="s">
        <v>163</v>
      </c>
      <c r="K4" s="45" t="s">
        <v>54</v>
      </c>
      <c r="L4" s="6"/>
    </row>
    <row r="5" spans="1:88" ht="12">
      <c r="A5" s="47">
        <f>SUM(B5:H5)</f>
        <v>7</v>
      </c>
      <c r="B5" s="47">
        <v>0</v>
      </c>
      <c r="C5" s="47">
        <v>0</v>
      </c>
      <c r="D5" s="47">
        <v>0</v>
      </c>
      <c r="E5" s="47">
        <v>7</v>
      </c>
      <c r="F5" s="47">
        <v>0</v>
      </c>
      <c r="G5" s="47">
        <v>0</v>
      </c>
      <c r="H5" s="47">
        <v>0</v>
      </c>
      <c r="I5" s="48">
        <v>7</v>
      </c>
      <c r="J5" s="47">
        <v>0</v>
      </c>
      <c r="K5" s="47">
        <v>0</v>
      </c>
      <c r="L5" s="13"/>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row>
    <row r="6" spans="1:88" s="52" customFormat="1" ht="105.75" customHeight="1">
      <c r="A6" s="214" t="s">
        <v>17</v>
      </c>
      <c r="B6" s="215"/>
      <c r="C6" s="215"/>
      <c r="D6" s="215"/>
      <c r="E6" s="215"/>
      <c r="F6" s="215"/>
      <c r="G6" s="215"/>
      <c r="H6" s="215"/>
      <c r="I6" s="216"/>
      <c r="J6" s="156" t="s">
        <v>187</v>
      </c>
      <c r="K6" s="157"/>
      <c r="L6" s="157"/>
      <c r="M6" s="157"/>
      <c r="N6" s="157"/>
      <c r="O6" s="157"/>
      <c r="P6" s="157"/>
      <c r="Q6" s="157"/>
      <c r="R6" s="157"/>
      <c r="S6" s="157"/>
      <c r="T6" s="157"/>
      <c r="U6" s="157"/>
      <c r="V6" s="157"/>
      <c r="W6" s="157"/>
      <c r="X6" s="158"/>
      <c r="Y6" s="214" t="s">
        <v>18</v>
      </c>
      <c r="Z6" s="215"/>
      <c r="AA6" s="215"/>
      <c r="AB6" s="215"/>
      <c r="AC6" s="215"/>
      <c r="AD6" s="215"/>
      <c r="AE6" s="215"/>
      <c r="AF6" s="215"/>
      <c r="AG6" s="216"/>
      <c r="AH6" s="156" t="s">
        <v>170</v>
      </c>
      <c r="AI6" s="157"/>
      <c r="AJ6" s="157"/>
      <c r="AK6" s="157"/>
      <c r="AL6" s="157"/>
      <c r="AM6" s="157"/>
      <c r="AN6" s="157"/>
      <c r="AO6" s="157"/>
      <c r="AP6" s="157"/>
      <c r="AQ6" s="157"/>
      <c r="AR6" s="157"/>
      <c r="AS6" s="157"/>
      <c r="AT6" s="157"/>
      <c r="AU6" s="157"/>
      <c r="AV6" s="157"/>
      <c r="AW6" s="157"/>
      <c r="AX6" s="157"/>
      <c r="AY6" s="157"/>
      <c r="AZ6" s="157"/>
      <c r="BA6" s="157"/>
      <c r="BB6" s="157"/>
      <c r="BC6" s="158"/>
      <c r="BD6" s="50"/>
      <c r="BE6" s="51"/>
      <c r="BF6" s="51"/>
      <c r="BG6" s="51"/>
      <c r="BH6" s="51"/>
      <c r="BI6" s="51"/>
      <c r="BJ6" s="51"/>
      <c r="BK6" s="51"/>
      <c r="BL6" s="51"/>
      <c r="BM6" s="51"/>
      <c r="BN6" s="51"/>
      <c r="BO6" s="51"/>
      <c r="BP6" s="51"/>
      <c r="BQ6" s="51"/>
      <c r="BR6" s="51"/>
      <c r="BS6" s="51"/>
      <c r="BT6" s="51"/>
      <c r="BU6" s="51"/>
      <c r="BV6" s="51"/>
      <c r="BW6" s="51"/>
      <c r="BX6" s="51"/>
      <c r="BY6" s="51"/>
      <c r="BZ6" s="51"/>
      <c r="CA6" s="51"/>
    </row>
    <row r="7" spans="1:88" ht="4.5" customHeight="1"/>
    <row r="8" spans="1:88" s="44" customFormat="1" ht="13.5" customHeight="1">
      <c r="A8" s="208"/>
      <c r="B8" s="209"/>
      <c r="C8" s="209"/>
      <c r="D8" s="209"/>
      <c r="E8" s="209"/>
      <c r="F8" s="209"/>
      <c r="G8" s="209"/>
      <c r="H8" s="209"/>
      <c r="I8" s="209"/>
      <c r="J8" s="209"/>
      <c r="K8" s="209"/>
      <c r="L8" s="209"/>
      <c r="M8" s="209"/>
      <c r="N8" s="209"/>
      <c r="O8" s="209"/>
      <c r="P8" s="209"/>
      <c r="Q8" s="209"/>
      <c r="R8" s="209"/>
      <c r="S8" s="209"/>
      <c r="T8" s="210"/>
      <c r="U8" s="41" t="s">
        <v>164</v>
      </c>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c r="CE8" s="42"/>
      <c r="CF8" s="42"/>
      <c r="CG8" s="42"/>
      <c r="CH8" s="42"/>
      <c r="CI8" s="42"/>
      <c r="CJ8" s="43"/>
    </row>
    <row r="9" spans="1:88" s="44" customFormat="1" ht="13.5" customHeight="1" thickBot="1">
      <c r="A9" s="211"/>
      <c r="B9" s="212"/>
      <c r="C9" s="212"/>
      <c r="D9" s="212"/>
      <c r="E9" s="212"/>
      <c r="F9" s="212"/>
      <c r="G9" s="212"/>
      <c r="H9" s="212"/>
      <c r="I9" s="212"/>
      <c r="J9" s="212"/>
      <c r="K9" s="212"/>
      <c r="L9" s="212"/>
      <c r="M9" s="212"/>
      <c r="N9" s="212"/>
      <c r="O9" s="212"/>
      <c r="P9" s="212"/>
      <c r="Q9" s="212"/>
      <c r="R9" s="212"/>
      <c r="S9" s="212"/>
      <c r="T9" s="213"/>
      <c r="U9" s="206" t="s">
        <v>165</v>
      </c>
      <c r="V9" s="207"/>
      <c r="W9" s="206" t="s">
        <v>166</v>
      </c>
      <c r="X9" s="207"/>
      <c r="Y9" s="206" t="s">
        <v>167</v>
      </c>
      <c r="Z9" s="207"/>
      <c r="AA9" s="206" t="s">
        <v>119</v>
      </c>
      <c r="AB9" s="207"/>
      <c r="AC9" s="206" t="s">
        <v>120</v>
      </c>
      <c r="AD9" s="207"/>
      <c r="AE9" s="206" t="s">
        <v>122</v>
      </c>
      <c r="AF9" s="207"/>
      <c r="AG9" s="206" t="s">
        <v>123</v>
      </c>
      <c r="AH9" s="207"/>
      <c r="AI9" s="206" t="s">
        <v>124</v>
      </c>
      <c r="AJ9" s="207"/>
      <c r="AK9" s="206" t="s">
        <v>126</v>
      </c>
      <c r="AL9" s="207"/>
      <c r="AM9" s="206" t="s">
        <v>127</v>
      </c>
      <c r="AN9" s="207"/>
      <c r="AO9" s="206" t="s">
        <v>128</v>
      </c>
      <c r="AP9" s="207"/>
      <c r="AQ9" s="206" t="s">
        <v>129</v>
      </c>
      <c r="AR9" s="207"/>
      <c r="AS9" s="206" t="s">
        <v>130</v>
      </c>
      <c r="AT9" s="207"/>
      <c r="AU9" s="206" t="s">
        <v>131</v>
      </c>
      <c r="AV9" s="207"/>
      <c r="AW9" s="206" t="s">
        <v>132</v>
      </c>
      <c r="AX9" s="207"/>
      <c r="AY9" s="206" t="s">
        <v>133</v>
      </c>
      <c r="AZ9" s="207"/>
      <c r="BA9" s="206" t="s">
        <v>134</v>
      </c>
      <c r="BB9" s="207"/>
      <c r="BC9" s="206" t="s">
        <v>135</v>
      </c>
      <c r="BD9" s="207"/>
      <c r="BE9" s="206" t="s">
        <v>136</v>
      </c>
      <c r="BF9" s="207"/>
      <c r="BG9" s="206" t="s">
        <v>137</v>
      </c>
      <c r="BH9" s="207"/>
      <c r="BI9" s="206" t="s">
        <v>138</v>
      </c>
      <c r="BJ9" s="207"/>
      <c r="BK9" s="206" t="s">
        <v>139</v>
      </c>
      <c r="BL9" s="207"/>
      <c r="BM9" s="206" t="s">
        <v>140</v>
      </c>
      <c r="BN9" s="207"/>
      <c r="BO9" s="206" t="s">
        <v>141</v>
      </c>
      <c r="BP9" s="207"/>
      <c r="BQ9" s="206" t="s">
        <v>144</v>
      </c>
      <c r="BR9" s="207"/>
      <c r="BS9" s="206" t="s">
        <v>145</v>
      </c>
      <c r="BT9" s="207"/>
      <c r="BU9" s="206" t="s">
        <v>146</v>
      </c>
      <c r="BV9" s="207"/>
      <c r="BW9" s="206" t="s">
        <v>147</v>
      </c>
      <c r="BX9" s="207"/>
      <c r="BY9" s="206" t="s">
        <v>148</v>
      </c>
      <c r="BZ9" s="207"/>
      <c r="CA9" s="206" t="s">
        <v>149</v>
      </c>
      <c r="CB9" s="207"/>
      <c r="CC9" s="206" t="s">
        <v>150</v>
      </c>
      <c r="CD9" s="207"/>
      <c r="CE9" s="206" t="s">
        <v>151</v>
      </c>
      <c r="CF9" s="207"/>
      <c r="CG9" s="206" t="s">
        <v>152</v>
      </c>
      <c r="CH9" s="207"/>
      <c r="CI9" s="206" t="s">
        <v>153</v>
      </c>
      <c r="CJ9" s="207"/>
    </row>
    <row r="10" spans="1:88" s="44" customFormat="1" ht="13.5" customHeight="1" thickTop="1">
      <c r="A10" s="181" t="s">
        <v>125</v>
      </c>
      <c r="B10" s="73" t="s">
        <v>155</v>
      </c>
      <c r="C10" s="74"/>
      <c r="D10" s="74"/>
      <c r="E10" s="74"/>
      <c r="F10" s="74"/>
      <c r="G10" s="74"/>
      <c r="H10" s="74"/>
      <c r="I10" s="74"/>
      <c r="J10" s="74"/>
      <c r="K10" s="74"/>
      <c r="L10" s="74"/>
      <c r="M10" s="74"/>
      <c r="N10" s="74"/>
      <c r="O10" s="74"/>
      <c r="P10" s="74"/>
      <c r="Q10" s="74"/>
      <c r="R10" s="74"/>
      <c r="S10" s="75"/>
      <c r="T10" s="76"/>
      <c r="U10" s="168"/>
      <c r="V10" s="168"/>
      <c r="W10" s="168"/>
      <c r="X10" s="168"/>
      <c r="Y10" s="168"/>
      <c r="Z10" s="168"/>
      <c r="AA10" s="168"/>
      <c r="AB10" s="168"/>
      <c r="AC10" s="168"/>
      <c r="AD10" s="168"/>
      <c r="AE10" s="168"/>
      <c r="AF10" s="168"/>
      <c r="AG10" s="168"/>
      <c r="AH10" s="168"/>
      <c r="AI10" s="168"/>
      <c r="AJ10" s="168"/>
      <c r="AK10" s="168"/>
      <c r="AL10" s="168"/>
      <c r="AM10" s="168"/>
      <c r="AN10" s="168"/>
      <c r="AO10" s="168"/>
      <c r="AP10" s="168"/>
      <c r="AQ10" s="168"/>
      <c r="AR10" s="168"/>
      <c r="AS10" s="168"/>
      <c r="AT10" s="168"/>
      <c r="AU10" s="168"/>
      <c r="AV10" s="168"/>
      <c r="AW10" s="168"/>
      <c r="AX10" s="168"/>
      <c r="AY10" s="168"/>
      <c r="AZ10" s="168"/>
      <c r="BA10" s="168"/>
      <c r="BB10" s="168"/>
      <c r="BC10" s="168"/>
      <c r="BD10" s="168"/>
      <c r="BE10" s="168"/>
      <c r="BF10" s="168"/>
      <c r="BG10" s="168"/>
      <c r="BH10" s="168"/>
      <c r="BI10" s="168"/>
      <c r="BJ10" s="168"/>
      <c r="BK10" s="168"/>
      <c r="BL10" s="168"/>
      <c r="BM10" s="168"/>
      <c r="BN10" s="168"/>
      <c r="BO10" s="168"/>
      <c r="BP10" s="168"/>
      <c r="BQ10" s="168"/>
      <c r="BR10" s="168"/>
      <c r="BS10" s="168"/>
      <c r="BT10" s="168"/>
      <c r="BU10" s="168"/>
      <c r="BV10" s="168"/>
      <c r="BW10" s="168"/>
      <c r="BX10" s="168"/>
      <c r="BY10" s="168"/>
      <c r="BZ10" s="168"/>
      <c r="CA10" s="168"/>
      <c r="CB10" s="168"/>
      <c r="CC10" s="168"/>
      <c r="CD10" s="168"/>
      <c r="CE10" s="168"/>
      <c r="CF10" s="168"/>
      <c r="CG10" s="168"/>
      <c r="CH10" s="168"/>
      <c r="CI10" s="168"/>
      <c r="CJ10" s="205"/>
    </row>
    <row r="11" spans="1:88" s="44" customFormat="1" ht="32.25" customHeight="1">
      <c r="A11" s="182"/>
      <c r="B11" s="55"/>
      <c r="C11" s="70" t="s">
        <v>177</v>
      </c>
      <c r="D11" s="71"/>
      <c r="E11" s="71"/>
      <c r="F11" s="71"/>
      <c r="G11" s="71"/>
      <c r="H11" s="71"/>
      <c r="I11" s="71"/>
      <c r="J11" s="71"/>
      <c r="K11" s="71"/>
      <c r="L11" s="71"/>
      <c r="M11" s="71"/>
      <c r="N11" s="71"/>
      <c r="O11" s="71"/>
      <c r="P11" s="71"/>
      <c r="Q11" s="71"/>
      <c r="R11" s="71"/>
      <c r="S11" s="71"/>
      <c r="T11" s="72"/>
      <c r="U11" s="170" t="s">
        <v>194</v>
      </c>
      <c r="V11" s="169"/>
      <c r="W11" s="169" t="s">
        <v>194</v>
      </c>
      <c r="X11" s="169"/>
      <c r="Y11" s="169" t="s">
        <v>195</v>
      </c>
      <c r="Z11" s="169"/>
      <c r="AA11" s="169" t="s">
        <v>195</v>
      </c>
      <c r="AB11" s="169"/>
      <c r="AC11" s="169" t="s">
        <v>156</v>
      </c>
      <c r="AD11" s="169"/>
      <c r="AE11" s="169" t="s">
        <v>194</v>
      </c>
      <c r="AF11" s="169"/>
      <c r="AG11" s="169" t="s">
        <v>194</v>
      </c>
      <c r="AH11" s="169"/>
      <c r="AI11" s="169"/>
      <c r="AJ11" s="169"/>
      <c r="AK11" s="169"/>
      <c r="AL11" s="169"/>
      <c r="AM11" s="169"/>
      <c r="AN11" s="169"/>
      <c r="AO11" s="169"/>
      <c r="AP11" s="169"/>
      <c r="AQ11" s="169"/>
      <c r="AR11" s="169"/>
      <c r="AS11" s="169"/>
      <c r="AT11" s="169"/>
      <c r="AU11" s="169"/>
      <c r="AV11" s="169"/>
      <c r="AW11" s="169"/>
      <c r="AX11" s="169"/>
      <c r="AY11" s="169"/>
      <c r="AZ11" s="169"/>
      <c r="BA11" s="169"/>
      <c r="BB11" s="169"/>
      <c r="BC11" s="169"/>
      <c r="BD11" s="169"/>
      <c r="BE11" s="169"/>
      <c r="BF11" s="169"/>
      <c r="BG11" s="169"/>
      <c r="BH11" s="169"/>
      <c r="BI11" s="169"/>
      <c r="BJ11" s="169"/>
      <c r="BK11" s="169"/>
      <c r="BL11" s="169"/>
      <c r="BM11" s="169"/>
      <c r="BN11" s="169"/>
      <c r="BO11" s="169"/>
      <c r="BP11" s="169"/>
      <c r="BQ11" s="169"/>
      <c r="BR11" s="169"/>
      <c r="BS11" s="169"/>
      <c r="BT11" s="169"/>
      <c r="BU11" s="169"/>
      <c r="BV11" s="169"/>
      <c r="BW11" s="169"/>
      <c r="BX11" s="169"/>
      <c r="BY11" s="169"/>
      <c r="BZ11" s="169"/>
      <c r="CA11" s="169"/>
      <c r="CB11" s="169"/>
      <c r="CC11" s="169"/>
      <c r="CD11" s="169"/>
      <c r="CE11" s="169"/>
      <c r="CF11" s="169"/>
      <c r="CG11" s="169"/>
      <c r="CH11" s="169"/>
      <c r="CI11" s="169"/>
      <c r="CJ11" s="204"/>
    </row>
    <row r="12" spans="1:88" s="44" customFormat="1" ht="13.5" customHeight="1" thickBot="1">
      <c r="A12" s="182"/>
      <c r="B12" s="82"/>
      <c r="C12" s="83"/>
      <c r="D12" s="84"/>
      <c r="E12" s="84"/>
      <c r="F12" s="84"/>
      <c r="G12" s="84"/>
      <c r="H12" s="84"/>
      <c r="I12" s="84"/>
      <c r="J12" s="84"/>
      <c r="K12" s="84"/>
      <c r="L12" s="84"/>
      <c r="M12" s="84"/>
      <c r="N12" s="84"/>
      <c r="O12" s="84"/>
      <c r="P12" s="84"/>
      <c r="Q12" s="84"/>
      <c r="R12" s="84"/>
      <c r="S12" s="84"/>
      <c r="T12" s="85"/>
      <c r="U12" s="174"/>
      <c r="V12" s="172"/>
      <c r="W12" s="171"/>
      <c r="X12" s="172"/>
      <c r="Y12" s="171"/>
      <c r="Z12" s="172"/>
      <c r="AA12" s="171"/>
      <c r="AB12" s="172"/>
      <c r="AC12" s="171"/>
      <c r="AD12" s="172"/>
      <c r="AE12" s="171"/>
      <c r="AF12" s="172"/>
      <c r="AG12" s="171"/>
      <c r="AH12" s="172"/>
      <c r="AI12" s="171"/>
      <c r="AJ12" s="172"/>
      <c r="AK12" s="171"/>
      <c r="AL12" s="172"/>
      <c r="AM12" s="171"/>
      <c r="AN12" s="172"/>
      <c r="AO12" s="171"/>
      <c r="AP12" s="172"/>
      <c r="AQ12" s="171"/>
      <c r="AR12" s="172"/>
      <c r="AS12" s="171"/>
      <c r="AT12" s="172"/>
      <c r="AU12" s="171"/>
      <c r="AV12" s="172"/>
      <c r="AW12" s="171"/>
      <c r="AX12" s="172"/>
      <c r="AY12" s="171"/>
      <c r="AZ12" s="172"/>
      <c r="BA12" s="171"/>
      <c r="BB12" s="172"/>
      <c r="BC12" s="171"/>
      <c r="BD12" s="172"/>
      <c r="BE12" s="171"/>
      <c r="BF12" s="172"/>
      <c r="BG12" s="171"/>
      <c r="BH12" s="172"/>
      <c r="BI12" s="171"/>
      <c r="BJ12" s="172"/>
      <c r="BK12" s="171"/>
      <c r="BL12" s="172"/>
      <c r="BM12" s="171"/>
      <c r="BN12" s="172"/>
      <c r="BO12" s="171"/>
      <c r="BP12" s="172"/>
      <c r="BQ12" s="171"/>
      <c r="BR12" s="172"/>
      <c r="BS12" s="171"/>
      <c r="BT12" s="172"/>
      <c r="BU12" s="171"/>
      <c r="BV12" s="172"/>
      <c r="BW12" s="171"/>
      <c r="BX12" s="172"/>
      <c r="BY12" s="171"/>
      <c r="BZ12" s="172"/>
      <c r="CA12" s="171"/>
      <c r="CB12" s="172"/>
      <c r="CC12" s="171"/>
      <c r="CD12" s="172"/>
      <c r="CE12" s="171"/>
      <c r="CF12" s="172"/>
      <c r="CG12" s="171"/>
      <c r="CH12" s="172"/>
      <c r="CI12" s="171"/>
      <c r="CJ12" s="173"/>
    </row>
    <row r="13" spans="1:88" s="44" customFormat="1" ht="39.75" customHeight="1" thickTop="1">
      <c r="A13" s="181" t="s">
        <v>154</v>
      </c>
      <c r="B13" s="183" t="s">
        <v>205</v>
      </c>
      <c r="C13" s="184"/>
      <c r="D13" s="184"/>
      <c r="E13" s="184"/>
      <c r="F13" s="184"/>
      <c r="G13" s="184"/>
      <c r="H13" s="184"/>
      <c r="I13" s="184"/>
      <c r="J13" s="184"/>
      <c r="K13" s="184"/>
      <c r="L13" s="184"/>
      <c r="M13" s="184"/>
      <c r="N13" s="184"/>
      <c r="O13" s="184"/>
      <c r="P13" s="184"/>
      <c r="Q13" s="184"/>
      <c r="R13" s="184"/>
      <c r="S13" s="184"/>
      <c r="T13" s="185"/>
      <c r="U13" s="202" t="s">
        <v>203</v>
      </c>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c r="BH13" s="202"/>
      <c r="BI13" s="202"/>
      <c r="BJ13" s="202"/>
      <c r="BK13" s="202"/>
      <c r="BL13" s="202"/>
      <c r="BM13" s="202"/>
      <c r="BN13" s="202"/>
      <c r="BO13" s="202"/>
      <c r="BP13" s="202"/>
      <c r="BQ13" s="202"/>
      <c r="BR13" s="202"/>
      <c r="BS13" s="202"/>
      <c r="BT13" s="202"/>
      <c r="BU13" s="202"/>
      <c r="BV13" s="202"/>
      <c r="BW13" s="202"/>
      <c r="BX13" s="202"/>
      <c r="BY13" s="202"/>
      <c r="BZ13" s="202"/>
      <c r="CA13" s="202"/>
      <c r="CB13" s="202"/>
      <c r="CC13" s="202"/>
      <c r="CD13" s="202"/>
      <c r="CE13" s="202"/>
      <c r="CF13" s="202"/>
      <c r="CG13" s="202"/>
      <c r="CH13" s="202"/>
      <c r="CI13" s="202"/>
      <c r="CJ13" s="203"/>
    </row>
    <row r="14" spans="1:88" s="44" customFormat="1" ht="40.5" customHeight="1">
      <c r="A14" s="182"/>
      <c r="B14" s="163" t="s">
        <v>197</v>
      </c>
      <c r="C14" s="164"/>
      <c r="D14" s="164"/>
      <c r="E14" s="164"/>
      <c r="F14" s="164"/>
      <c r="G14" s="164"/>
      <c r="H14" s="164"/>
      <c r="I14" s="164"/>
      <c r="J14" s="164"/>
      <c r="K14" s="164"/>
      <c r="L14" s="164"/>
      <c r="M14" s="164"/>
      <c r="N14" s="164"/>
      <c r="O14" s="164"/>
      <c r="P14" s="164"/>
      <c r="Q14" s="164"/>
      <c r="R14" s="164"/>
      <c r="S14" s="164"/>
      <c r="T14" s="165"/>
      <c r="U14" s="166"/>
      <c r="V14" s="167"/>
      <c r="W14" s="161" t="s">
        <v>194</v>
      </c>
      <c r="X14" s="161"/>
      <c r="Y14" s="161"/>
      <c r="Z14" s="161"/>
      <c r="AA14" s="161"/>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161"/>
      <c r="AY14" s="161"/>
      <c r="AZ14" s="161"/>
      <c r="BA14" s="161"/>
      <c r="BB14" s="161"/>
      <c r="BC14" s="161"/>
      <c r="BD14" s="161"/>
      <c r="BE14" s="161"/>
      <c r="BF14" s="161"/>
      <c r="BG14" s="161"/>
      <c r="BH14" s="161"/>
      <c r="BI14" s="161"/>
      <c r="BJ14" s="161"/>
      <c r="BK14" s="161"/>
      <c r="BL14" s="161"/>
      <c r="BM14" s="161"/>
      <c r="BN14" s="161"/>
      <c r="BO14" s="161"/>
      <c r="BP14" s="161"/>
      <c r="BQ14" s="161"/>
      <c r="BR14" s="161"/>
      <c r="BS14" s="161"/>
      <c r="BT14" s="161"/>
      <c r="BU14" s="161"/>
      <c r="BV14" s="161"/>
      <c r="BW14" s="161"/>
      <c r="BX14" s="161"/>
      <c r="BY14" s="161"/>
      <c r="BZ14" s="161"/>
      <c r="CA14" s="161"/>
      <c r="CB14" s="161"/>
      <c r="CC14" s="161"/>
      <c r="CD14" s="161"/>
      <c r="CE14" s="161"/>
      <c r="CF14" s="161"/>
      <c r="CG14" s="161"/>
      <c r="CH14" s="161"/>
      <c r="CI14" s="161"/>
      <c r="CJ14" s="162"/>
    </row>
    <row r="15" spans="1:88" s="44" customFormat="1" ht="35.1" customHeight="1">
      <c r="A15" s="182"/>
      <c r="B15" s="163" t="s">
        <v>198</v>
      </c>
      <c r="C15" s="164"/>
      <c r="D15" s="164"/>
      <c r="E15" s="164"/>
      <c r="F15" s="164"/>
      <c r="G15" s="164"/>
      <c r="H15" s="164"/>
      <c r="I15" s="164"/>
      <c r="J15" s="164"/>
      <c r="K15" s="164"/>
      <c r="L15" s="164"/>
      <c r="M15" s="164"/>
      <c r="N15" s="164"/>
      <c r="O15" s="164"/>
      <c r="P15" s="164"/>
      <c r="Q15" s="164"/>
      <c r="R15" s="164"/>
      <c r="S15" s="164"/>
      <c r="T15" s="165"/>
      <c r="U15" s="166"/>
      <c r="V15" s="167"/>
      <c r="W15" s="161"/>
      <c r="X15" s="161"/>
      <c r="Y15" s="161" t="s">
        <v>156</v>
      </c>
      <c r="Z15" s="161"/>
      <c r="AA15" s="161"/>
      <c r="AB15" s="161"/>
      <c r="AC15" s="161"/>
      <c r="AD15" s="161"/>
      <c r="AE15" s="161"/>
      <c r="AF15" s="161"/>
      <c r="AG15" s="161"/>
      <c r="AH15" s="161"/>
      <c r="AI15" s="161"/>
      <c r="AJ15" s="161"/>
      <c r="AK15" s="161"/>
      <c r="AL15" s="161"/>
      <c r="AM15" s="161"/>
      <c r="AN15" s="161"/>
      <c r="AO15" s="161"/>
      <c r="AP15" s="161"/>
      <c r="AQ15" s="161"/>
      <c r="AR15" s="161"/>
      <c r="AS15" s="161"/>
      <c r="AT15" s="161"/>
      <c r="AU15" s="161"/>
      <c r="AV15" s="161"/>
      <c r="AW15" s="161"/>
      <c r="AX15" s="161"/>
      <c r="AY15" s="161"/>
      <c r="AZ15" s="161"/>
      <c r="BA15" s="161"/>
      <c r="BB15" s="161"/>
      <c r="BC15" s="161"/>
      <c r="BD15" s="161"/>
      <c r="BE15" s="161"/>
      <c r="BF15" s="161"/>
      <c r="BG15" s="161"/>
      <c r="BH15" s="161"/>
      <c r="BI15" s="161"/>
      <c r="BJ15" s="161"/>
      <c r="BK15" s="161"/>
      <c r="BL15" s="161"/>
      <c r="BM15" s="161"/>
      <c r="BN15" s="161"/>
      <c r="BO15" s="161"/>
      <c r="BP15" s="161"/>
      <c r="BQ15" s="161"/>
      <c r="BR15" s="161"/>
      <c r="BS15" s="161"/>
      <c r="BT15" s="161"/>
      <c r="BU15" s="161"/>
      <c r="BV15" s="161"/>
      <c r="BW15" s="161"/>
      <c r="BX15" s="161"/>
      <c r="BY15" s="161"/>
      <c r="BZ15" s="161"/>
      <c r="CA15" s="161"/>
      <c r="CB15" s="161"/>
      <c r="CC15" s="161"/>
      <c r="CD15" s="161"/>
      <c r="CE15" s="161"/>
      <c r="CF15" s="161"/>
      <c r="CG15" s="161"/>
      <c r="CH15" s="161"/>
      <c r="CI15" s="161"/>
      <c r="CJ15" s="162"/>
    </row>
    <row r="16" spans="1:88" s="44" customFormat="1" ht="35.1" customHeight="1">
      <c r="A16" s="182"/>
      <c r="B16" s="163" t="s">
        <v>199</v>
      </c>
      <c r="C16" s="164"/>
      <c r="D16" s="164"/>
      <c r="E16" s="164"/>
      <c r="F16" s="164"/>
      <c r="G16" s="164"/>
      <c r="H16" s="164"/>
      <c r="I16" s="164"/>
      <c r="J16" s="164"/>
      <c r="K16" s="164"/>
      <c r="L16" s="164"/>
      <c r="M16" s="164"/>
      <c r="N16" s="164"/>
      <c r="O16" s="164"/>
      <c r="P16" s="164"/>
      <c r="Q16" s="164"/>
      <c r="R16" s="164"/>
      <c r="S16" s="164"/>
      <c r="T16" s="165"/>
      <c r="U16" s="166"/>
      <c r="V16" s="167"/>
      <c r="W16" s="161"/>
      <c r="X16" s="161"/>
      <c r="Y16" s="161"/>
      <c r="Z16" s="161"/>
      <c r="AA16" s="161" t="s">
        <v>156</v>
      </c>
      <c r="AB16" s="161"/>
      <c r="AC16" s="161"/>
      <c r="AD16" s="161"/>
      <c r="AE16" s="161"/>
      <c r="AF16" s="161"/>
      <c r="AG16" s="161"/>
      <c r="AH16" s="161"/>
      <c r="AI16" s="161"/>
      <c r="AJ16" s="161"/>
      <c r="AK16" s="161"/>
      <c r="AL16" s="161"/>
      <c r="AM16" s="161"/>
      <c r="AN16" s="161"/>
      <c r="AO16" s="161"/>
      <c r="AP16" s="161"/>
      <c r="AQ16" s="161"/>
      <c r="AR16" s="161"/>
      <c r="AS16" s="161"/>
      <c r="AT16" s="161"/>
      <c r="AU16" s="161"/>
      <c r="AV16" s="161"/>
      <c r="AW16" s="161"/>
      <c r="AX16" s="161"/>
      <c r="AY16" s="161"/>
      <c r="AZ16" s="161"/>
      <c r="BA16" s="161"/>
      <c r="BB16" s="161"/>
      <c r="BC16" s="161"/>
      <c r="BD16" s="161"/>
      <c r="BE16" s="161"/>
      <c r="BF16" s="161"/>
      <c r="BG16" s="161"/>
      <c r="BH16" s="161"/>
      <c r="BI16" s="161"/>
      <c r="BJ16" s="161"/>
      <c r="BK16" s="161"/>
      <c r="BL16" s="161"/>
      <c r="BM16" s="161"/>
      <c r="BN16" s="161"/>
      <c r="BO16" s="161"/>
      <c r="BP16" s="161"/>
      <c r="BQ16" s="161"/>
      <c r="BR16" s="161"/>
      <c r="BS16" s="161"/>
      <c r="BT16" s="161"/>
      <c r="BU16" s="161"/>
      <c r="BV16" s="161"/>
      <c r="BW16" s="161"/>
      <c r="BX16" s="161"/>
      <c r="BY16" s="161"/>
      <c r="BZ16" s="161"/>
      <c r="CA16" s="161"/>
      <c r="CB16" s="161"/>
      <c r="CC16" s="161"/>
      <c r="CD16" s="161"/>
      <c r="CE16" s="161"/>
      <c r="CF16" s="161"/>
      <c r="CG16" s="161"/>
      <c r="CH16" s="161"/>
      <c r="CI16" s="161"/>
      <c r="CJ16" s="162"/>
    </row>
    <row r="17" spans="1:88" s="44" customFormat="1" ht="35.1" customHeight="1">
      <c r="A17" s="182"/>
      <c r="B17" s="163" t="s">
        <v>200</v>
      </c>
      <c r="C17" s="164"/>
      <c r="D17" s="164"/>
      <c r="E17" s="164"/>
      <c r="F17" s="164"/>
      <c r="G17" s="164"/>
      <c r="H17" s="164"/>
      <c r="I17" s="164"/>
      <c r="J17" s="164"/>
      <c r="K17" s="164"/>
      <c r="L17" s="164"/>
      <c r="M17" s="164"/>
      <c r="N17" s="164"/>
      <c r="O17" s="164"/>
      <c r="P17" s="164"/>
      <c r="Q17" s="164"/>
      <c r="R17" s="164"/>
      <c r="S17" s="164"/>
      <c r="T17" s="165"/>
      <c r="U17" s="166"/>
      <c r="V17" s="167"/>
      <c r="W17" s="161"/>
      <c r="X17" s="161"/>
      <c r="Y17" s="161"/>
      <c r="Z17" s="161"/>
      <c r="AA17" s="161"/>
      <c r="AB17" s="161"/>
      <c r="AC17" s="161" t="s">
        <v>204</v>
      </c>
      <c r="AD17" s="161"/>
      <c r="AE17" s="161"/>
      <c r="AF17" s="161"/>
      <c r="AG17" s="161"/>
      <c r="AH17" s="161"/>
      <c r="AI17" s="161"/>
      <c r="AJ17" s="161"/>
      <c r="AK17" s="161"/>
      <c r="AL17" s="161"/>
      <c r="AM17" s="161"/>
      <c r="AN17" s="161"/>
      <c r="AO17" s="161"/>
      <c r="AP17" s="161"/>
      <c r="AQ17" s="161"/>
      <c r="AR17" s="161"/>
      <c r="AS17" s="161"/>
      <c r="AT17" s="161"/>
      <c r="AU17" s="161"/>
      <c r="AV17" s="161"/>
      <c r="AW17" s="161"/>
      <c r="AX17" s="161"/>
      <c r="AY17" s="161"/>
      <c r="AZ17" s="161"/>
      <c r="BA17" s="161"/>
      <c r="BB17" s="161"/>
      <c r="BC17" s="161"/>
      <c r="BD17" s="161"/>
      <c r="BE17" s="161"/>
      <c r="BF17" s="161"/>
      <c r="BG17" s="161"/>
      <c r="BH17" s="161"/>
      <c r="BI17" s="161"/>
      <c r="BJ17" s="161"/>
      <c r="BK17" s="161"/>
      <c r="BL17" s="161"/>
      <c r="BM17" s="161"/>
      <c r="BN17" s="161"/>
      <c r="BO17" s="161"/>
      <c r="BP17" s="161"/>
      <c r="BQ17" s="161"/>
      <c r="BR17" s="161"/>
      <c r="BS17" s="161"/>
      <c r="BT17" s="161"/>
      <c r="BU17" s="161"/>
      <c r="BV17" s="161"/>
      <c r="BW17" s="161"/>
      <c r="BX17" s="161"/>
      <c r="BY17" s="161"/>
      <c r="BZ17" s="161"/>
      <c r="CA17" s="161"/>
      <c r="CB17" s="161"/>
      <c r="CC17" s="161"/>
      <c r="CD17" s="161"/>
      <c r="CE17" s="161"/>
      <c r="CF17" s="161"/>
      <c r="CG17" s="161"/>
      <c r="CH17" s="161"/>
      <c r="CI17" s="161"/>
      <c r="CJ17" s="162"/>
    </row>
    <row r="18" spans="1:88" s="44" customFormat="1" ht="35.1" customHeight="1">
      <c r="A18" s="182"/>
      <c r="B18" s="163" t="s">
        <v>201</v>
      </c>
      <c r="C18" s="164"/>
      <c r="D18" s="164"/>
      <c r="E18" s="164"/>
      <c r="F18" s="164"/>
      <c r="G18" s="164"/>
      <c r="H18" s="164"/>
      <c r="I18" s="164"/>
      <c r="J18" s="164"/>
      <c r="K18" s="164"/>
      <c r="L18" s="164"/>
      <c r="M18" s="164"/>
      <c r="N18" s="164"/>
      <c r="O18" s="164"/>
      <c r="P18" s="164"/>
      <c r="Q18" s="164"/>
      <c r="R18" s="164"/>
      <c r="S18" s="164"/>
      <c r="T18" s="165"/>
      <c r="U18" s="166"/>
      <c r="V18" s="167"/>
      <c r="W18" s="161"/>
      <c r="X18" s="161"/>
      <c r="Y18" s="161"/>
      <c r="Z18" s="161"/>
      <c r="AA18" s="161"/>
      <c r="AB18" s="161"/>
      <c r="AC18" s="161"/>
      <c r="AD18" s="161"/>
      <c r="AE18" s="161" t="s">
        <v>156</v>
      </c>
      <c r="AF18" s="161"/>
      <c r="AG18" s="161"/>
      <c r="AH18" s="161"/>
      <c r="AI18" s="161"/>
      <c r="AJ18" s="161"/>
      <c r="AK18" s="161"/>
      <c r="AL18" s="161"/>
      <c r="AM18" s="161"/>
      <c r="AN18" s="161"/>
      <c r="AO18" s="161"/>
      <c r="AP18" s="161"/>
      <c r="AQ18" s="161"/>
      <c r="AR18" s="161"/>
      <c r="AS18" s="161"/>
      <c r="AT18" s="161"/>
      <c r="AU18" s="161"/>
      <c r="AV18" s="161"/>
      <c r="AW18" s="161"/>
      <c r="AX18" s="161"/>
      <c r="AY18" s="161"/>
      <c r="AZ18" s="161"/>
      <c r="BA18" s="161"/>
      <c r="BB18" s="161"/>
      <c r="BC18" s="161"/>
      <c r="BD18" s="161"/>
      <c r="BE18" s="161"/>
      <c r="BF18" s="161"/>
      <c r="BG18" s="161"/>
      <c r="BH18" s="161"/>
      <c r="BI18" s="161"/>
      <c r="BJ18" s="161"/>
      <c r="BK18" s="161"/>
      <c r="BL18" s="161"/>
      <c r="BM18" s="161"/>
      <c r="BN18" s="161"/>
      <c r="BO18" s="161"/>
      <c r="BP18" s="161"/>
      <c r="BQ18" s="161"/>
      <c r="BR18" s="161"/>
      <c r="BS18" s="161"/>
      <c r="BT18" s="161"/>
      <c r="BU18" s="161"/>
      <c r="BV18" s="161"/>
      <c r="BW18" s="161"/>
      <c r="BX18" s="161"/>
      <c r="BY18" s="161"/>
      <c r="BZ18" s="161"/>
      <c r="CA18" s="161"/>
      <c r="CB18" s="161"/>
      <c r="CC18" s="161"/>
      <c r="CD18" s="161"/>
      <c r="CE18" s="161"/>
      <c r="CF18" s="161"/>
      <c r="CG18" s="161"/>
      <c r="CH18" s="161"/>
      <c r="CI18" s="161"/>
      <c r="CJ18" s="162"/>
    </row>
    <row r="19" spans="1:88" s="44" customFormat="1" ht="35.1" customHeight="1">
      <c r="A19" s="182"/>
      <c r="B19" s="163" t="s">
        <v>206</v>
      </c>
      <c r="C19" s="164"/>
      <c r="D19" s="164"/>
      <c r="E19" s="164"/>
      <c r="F19" s="164"/>
      <c r="G19" s="164"/>
      <c r="H19" s="164"/>
      <c r="I19" s="164"/>
      <c r="J19" s="164"/>
      <c r="K19" s="164"/>
      <c r="L19" s="164"/>
      <c r="M19" s="164"/>
      <c r="N19" s="164"/>
      <c r="O19" s="164"/>
      <c r="P19" s="164"/>
      <c r="Q19" s="164"/>
      <c r="R19" s="164"/>
      <c r="S19" s="164"/>
      <c r="T19" s="165"/>
      <c r="U19" s="166"/>
      <c r="V19" s="167"/>
      <c r="W19" s="161"/>
      <c r="X19" s="161"/>
      <c r="Y19" s="161"/>
      <c r="Z19" s="161"/>
      <c r="AA19" s="161"/>
      <c r="AB19" s="161"/>
      <c r="AC19" s="161"/>
      <c r="AD19" s="161"/>
      <c r="AE19" s="161"/>
      <c r="AF19" s="161"/>
      <c r="AG19" s="161" t="s">
        <v>194</v>
      </c>
      <c r="AH19" s="161"/>
      <c r="AI19" s="161"/>
      <c r="AJ19" s="161"/>
      <c r="AK19" s="161"/>
      <c r="AL19" s="161"/>
      <c r="AM19" s="161"/>
      <c r="AN19" s="161"/>
      <c r="AO19" s="161"/>
      <c r="AP19" s="161"/>
      <c r="AQ19" s="161"/>
      <c r="AR19" s="161"/>
      <c r="AS19" s="161"/>
      <c r="AT19" s="161"/>
      <c r="AU19" s="161"/>
      <c r="AV19" s="161"/>
      <c r="AW19" s="161"/>
      <c r="AX19" s="161"/>
      <c r="AY19" s="161"/>
      <c r="AZ19" s="161"/>
      <c r="BA19" s="161"/>
      <c r="BB19" s="161"/>
      <c r="BC19" s="161"/>
      <c r="BD19" s="161"/>
      <c r="BE19" s="161"/>
      <c r="BF19" s="161"/>
      <c r="BG19" s="161"/>
      <c r="BH19" s="161"/>
      <c r="BI19" s="161"/>
      <c r="BJ19" s="161"/>
      <c r="BK19" s="161"/>
      <c r="BL19" s="161"/>
      <c r="BM19" s="161"/>
      <c r="BN19" s="161"/>
      <c r="BO19" s="161"/>
      <c r="BP19" s="161"/>
      <c r="BQ19" s="161"/>
      <c r="BR19" s="161"/>
      <c r="BS19" s="161"/>
      <c r="BT19" s="161"/>
      <c r="BU19" s="161"/>
      <c r="BV19" s="161"/>
      <c r="BW19" s="161"/>
      <c r="BX19" s="161"/>
      <c r="BY19" s="161"/>
      <c r="BZ19" s="161"/>
      <c r="CA19" s="161"/>
      <c r="CB19" s="161"/>
      <c r="CC19" s="161"/>
      <c r="CD19" s="161"/>
      <c r="CE19" s="161"/>
      <c r="CF19" s="161"/>
      <c r="CG19" s="161"/>
      <c r="CH19" s="161"/>
      <c r="CI19" s="161"/>
      <c r="CJ19" s="162"/>
    </row>
    <row r="20" spans="1:88" s="44" customFormat="1" ht="35.1" customHeight="1" thickBot="1">
      <c r="A20" s="182"/>
      <c r="B20" s="163" t="s">
        <v>202</v>
      </c>
      <c r="C20" s="164"/>
      <c r="D20" s="164"/>
      <c r="E20" s="164"/>
      <c r="F20" s="164"/>
      <c r="G20" s="164"/>
      <c r="H20" s="164"/>
      <c r="I20" s="164"/>
      <c r="J20" s="164"/>
      <c r="K20" s="164"/>
      <c r="L20" s="164"/>
      <c r="M20" s="164"/>
      <c r="N20" s="164"/>
      <c r="O20" s="164"/>
      <c r="P20" s="164"/>
      <c r="Q20" s="164"/>
      <c r="R20" s="164"/>
      <c r="S20" s="164"/>
      <c r="T20" s="165"/>
      <c r="U20" s="166"/>
      <c r="V20" s="167"/>
      <c r="W20" s="161"/>
      <c r="X20" s="161"/>
      <c r="Y20" s="161"/>
      <c r="Z20" s="161"/>
      <c r="AA20" s="161"/>
      <c r="AB20" s="161"/>
      <c r="AC20" s="161"/>
      <c r="AD20" s="161"/>
      <c r="AE20" s="161"/>
      <c r="AF20" s="161"/>
      <c r="AG20" s="161"/>
      <c r="AH20" s="161"/>
      <c r="AI20" s="161" t="s">
        <v>194</v>
      </c>
      <c r="AJ20" s="161"/>
      <c r="AK20" s="161"/>
      <c r="AL20" s="161"/>
      <c r="AM20" s="161"/>
      <c r="AN20" s="161"/>
      <c r="AO20" s="161"/>
      <c r="AP20" s="161"/>
      <c r="AQ20" s="161"/>
      <c r="AR20" s="161"/>
      <c r="AS20" s="161"/>
      <c r="AT20" s="161"/>
      <c r="AU20" s="161"/>
      <c r="AV20" s="161"/>
      <c r="AW20" s="161"/>
      <c r="AX20" s="161"/>
      <c r="AY20" s="161"/>
      <c r="AZ20" s="161"/>
      <c r="BA20" s="161"/>
      <c r="BB20" s="161"/>
      <c r="BC20" s="161"/>
      <c r="BD20" s="161"/>
      <c r="BE20" s="161"/>
      <c r="BF20" s="161"/>
      <c r="BG20" s="161"/>
      <c r="BH20" s="161"/>
      <c r="BI20" s="161"/>
      <c r="BJ20" s="161"/>
      <c r="BK20" s="161"/>
      <c r="BL20" s="161"/>
      <c r="BM20" s="161"/>
      <c r="BN20" s="161"/>
      <c r="BO20" s="161"/>
      <c r="BP20" s="161"/>
      <c r="BQ20" s="161"/>
      <c r="BR20" s="161"/>
      <c r="BS20" s="161"/>
      <c r="BT20" s="161"/>
      <c r="BU20" s="161"/>
      <c r="BV20" s="161"/>
      <c r="BW20" s="161"/>
      <c r="BX20" s="161"/>
      <c r="BY20" s="161"/>
      <c r="BZ20" s="161"/>
      <c r="CA20" s="161"/>
      <c r="CB20" s="161"/>
      <c r="CC20" s="161"/>
      <c r="CD20" s="161"/>
      <c r="CE20" s="161"/>
      <c r="CF20" s="161"/>
      <c r="CG20" s="161"/>
      <c r="CH20" s="161"/>
      <c r="CI20" s="161"/>
      <c r="CJ20" s="162"/>
    </row>
    <row r="21" spans="1:88" s="44" customFormat="1" ht="75" customHeight="1" thickTop="1">
      <c r="A21" s="186" t="s">
        <v>19</v>
      </c>
      <c r="B21" s="187"/>
      <c r="C21" s="187"/>
      <c r="D21" s="187"/>
      <c r="E21" s="187"/>
      <c r="F21" s="187"/>
      <c r="G21" s="187"/>
      <c r="H21" s="187"/>
      <c r="I21" s="187"/>
      <c r="J21" s="187"/>
      <c r="K21" s="187"/>
      <c r="L21" s="187"/>
      <c r="M21" s="187"/>
      <c r="N21" s="187"/>
      <c r="O21" s="187"/>
      <c r="P21" s="187"/>
      <c r="Q21" s="187"/>
      <c r="R21" s="187"/>
      <c r="S21" s="187"/>
      <c r="T21" s="188"/>
      <c r="U21" s="201" t="s">
        <v>32</v>
      </c>
      <c r="V21" s="199"/>
      <c r="W21" s="201" t="s">
        <v>32</v>
      </c>
      <c r="X21" s="199"/>
      <c r="Y21" s="201" t="s">
        <v>32</v>
      </c>
      <c r="Z21" s="199"/>
      <c r="AA21" s="201" t="s">
        <v>32</v>
      </c>
      <c r="AB21" s="199"/>
      <c r="AC21" s="201" t="s">
        <v>32</v>
      </c>
      <c r="AD21" s="199"/>
      <c r="AE21" s="201" t="s">
        <v>32</v>
      </c>
      <c r="AF21" s="199"/>
      <c r="AG21" s="201" t="s">
        <v>32</v>
      </c>
      <c r="AH21" s="199"/>
      <c r="AI21" s="201" t="s">
        <v>32</v>
      </c>
      <c r="AJ21" s="199"/>
      <c r="AK21" s="199"/>
      <c r="AL21" s="199"/>
      <c r="AM21" s="199"/>
      <c r="AN21" s="199"/>
      <c r="AO21" s="199"/>
      <c r="AP21" s="199"/>
      <c r="AQ21" s="199"/>
      <c r="AR21" s="199"/>
      <c r="AS21" s="199"/>
      <c r="AT21" s="199"/>
      <c r="AU21" s="199"/>
      <c r="AV21" s="199"/>
      <c r="AW21" s="199"/>
      <c r="AX21" s="199"/>
      <c r="AY21" s="199"/>
      <c r="AZ21" s="199"/>
      <c r="BA21" s="199"/>
      <c r="BB21" s="199"/>
      <c r="BC21" s="199"/>
      <c r="BD21" s="199"/>
      <c r="BE21" s="199"/>
      <c r="BF21" s="199"/>
      <c r="BG21" s="199"/>
      <c r="BH21" s="199"/>
      <c r="BI21" s="199"/>
      <c r="BJ21" s="199"/>
      <c r="BK21" s="199"/>
      <c r="BL21" s="199"/>
      <c r="BM21" s="199"/>
      <c r="BN21" s="199"/>
      <c r="BO21" s="199"/>
      <c r="BP21" s="199"/>
      <c r="BQ21" s="199"/>
      <c r="BR21" s="199"/>
      <c r="BS21" s="199"/>
      <c r="BT21" s="199"/>
      <c r="BU21" s="199"/>
      <c r="BV21" s="199"/>
      <c r="BW21" s="199"/>
      <c r="BX21" s="199"/>
      <c r="BY21" s="199"/>
      <c r="BZ21" s="199"/>
      <c r="CA21" s="199"/>
      <c r="CB21" s="199"/>
      <c r="CC21" s="199"/>
      <c r="CD21" s="199"/>
      <c r="CE21" s="199"/>
      <c r="CF21" s="199"/>
      <c r="CG21" s="199"/>
      <c r="CH21" s="199"/>
      <c r="CI21" s="199"/>
      <c r="CJ21" s="200"/>
    </row>
    <row r="22" spans="1:88" s="44" customFormat="1" ht="13.5" customHeight="1">
      <c r="A22" s="175" t="s">
        <v>20</v>
      </c>
      <c r="B22" s="176"/>
      <c r="C22" s="176"/>
      <c r="D22" s="176"/>
      <c r="E22" s="176"/>
      <c r="F22" s="176"/>
      <c r="G22" s="176"/>
      <c r="H22" s="176"/>
      <c r="I22" s="176"/>
      <c r="J22" s="176"/>
      <c r="K22" s="176"/>
      <c r="L22" s="176"/>
      <c r="M22" s="176"/>
      <c r="N22" s="176"/>
      <c r="O22" s="176"/>
      <c r="P22" s="176"/>
      <c r="Q22" s="176"/>
      <c r="R22" s="176"/>
      <c r="S22" s="176"/>
      <c r="T22" s="177"/>
      <c r="U22" s="194"/>
      <c r="V22" s="194"/>
      <c r="W22" s="194"/>
      <c r="X22" s="194"/>
      <c r="Y22" s="194"/>
      <c r="Z22" s="194"/>
      <c r="AA22" s="194"/>
      <c r="AB22" s="194"/>
      <c r="AC22" s="194"/>
      <c r="AD22" s="194"/>
      <c r="AE22" s="194"/>
      <c r="AF22" s="194"/>
      <c r="AG22" s="194"/>
      <c r="AH22" s="194"/>
      <c r="AI22" s="194"/>
      <c r="AJ22" s="194"/>
      <c r="AK22" s="194"/>
      <c r="AL22" s="194"/>
      <c r="AM22" s="194"/>
      <c r="AN22" s="194"/>
      <c r="AO22" s="194"/>
      <c r="AP22" s="194"/>
      <c r="AQ22" s="194"/>
      <c r="AR22" s="194"/>
      <c r="AS22" s="194"/>
      <c r="AT22" s="194"/>
      <c r="AU22" s="194"/>
      <c r="AV22" s="194"/>
      <c r="AW22" s="194"/>
      <c r="AX22" s="194"/>
      <c r="AY22" s="194"/>
      <c r="AZ22" s="194"/>
      <c r="BA22" s="194"/>
      <c r="BB22" s="194"/>
      <c r="BC22" s="194"/>
      <c r="BD22" s="194"/>
      <c r="BE22" s="194"/>
      <c r="BF22" s="194"/>
      <c r="BG22" s="194"/>
      <c r="BH22" s="194"/>
      <c r="BI22" s="194"/>
      <c r="BJ22" s="194"/>
      <c r="BK22" s="194"/>
      <c r="BL22" s="194"/>
      <c r="BM22" s="194"/>
      <c r="BN22" s="194"/>
      <c r="BO22" s="194"/>
      <c r="BP22" s="194"/>
      <c r="BQ22" s="194"/>
      <c r="BR22" s="194"/>
      <c r="BS22" s="194"/>
      <c r="BT22" s="194"/>
      <c r="BU22" s="194"/>
      <c r="BV22" s="194"/>
      <c r="BW22" s="194"/>
      <c r="BX22" s="194"/>
      <c r="BY22" s="194"/>
      <c r="BZ22" s="194"/>
      <c r="CA22" s="194"/>
      <c r="CB22" s="194"/>
      <c r="CC22" s="194"/>
      <c r="CD22" s="194"/>
      <c r="CE22" s="194"/>
      <c r="CF22" s="194"/>
      <c r="CG22" s="194"/>
      <c r="CH22" s="194"/>
      <c r="CI22" s="194"/>
      <c r="CJ22" s="195"/>
    </row>
    <row r="23" spans="1:88" s="44" customFormat="1" ht="13.5" customHeight="1">
      <c r="A23" s="175" t="s">
        <v>21</v>
      </c>
      <c r="B23" s="176"/>
      <c r="C23" s="176"/>
      <c r="D23" s="176"/>
      <c r="E23" s="176"/>
      <c r="F23" s="176"/>
      <c r="G23" s="176"/>
      <c r="H23" s="176"/>
      <c r="I23" s="176"/>
      <c r="J23" s="176"/>
      <c r="K23" s="176"/>
      <c r="L23" s="176"/>
      <c r="M23" s="176"/>
      <c r="N23" s="176"/>
      <c r="O23" s="176"/>
      <c r="P23" s="176"/>
      <c r="Q23" s="176"/>
      <c r="R23" s="176"/>
      <c r="S23" s="176"/>
      <c r="T23" s="177"/>
      <c r="U23" s="197"/>
      <c r="V23" s="197"/>
      <c r="W23" s="197"/>
      <c r="X23" s="197"/>
      <c r="Y23" s="197"/>
      <c r="Z23" s="197"/>
      <c r="AA23" s="197"/>
      <c r="AB23" s="197"/>
      <c r="AC23" s="197"/>
      <c r="AD23" s="197"/>
      <c r="AE23" s="197"/>
      <c r="AF23" s="197"/>
      <c r="AG23" s="197"/>
      <c r="AH23" s="197"/>
      <c r="AI23" s="197"/>
      <c r="AJ23" s="197"/>
      <c r="AK23" s="197"/>
      <c r="AL23" s="197"/>
      <c r="AM23" s="197"/>
      <c r="AN23" s="197"/>
      <c r="AO23" s="197"/>
      <c r="AP23" s="197"/>
      <c r="AQ23" s="197"/>
      <c r="AR23" s="197"/>
      <c r="AS23" s="197"/>
      <c r="AT23" s="197"/>
      <c r="AU23" s="197"/>
      <c r="AV23" s="197"/>
      <c r="AW23" s="197"/>
      <c r="AX23" s="197"/>
      <c r="AY23" s="197"/>
      <c r="AZ23" s="197"/>
      <c r="BA23" s="197"/>
      <c r="BB23" s="197"/>
      <c r="BC23" s="197"/>
      <c r="BD23" s="197"/>
      <c r="BE23" s="197"/>
      <c r="BF23" s="197"/>
      <c r="BG23" s="197"/>
      <c r="BH23" s="197"/>
      <c r="BI23" s="197"/>
      <c r="BJ23" s="197"/>
      <c r="BK23" s="197"/>
      <c r="BL23" s="197"/>
      <c r="BM23" s="197"/>
      <c r="BN23" s="197"/>
      <c r="BO23" s="197"/>
      <c r="BP23" s="197"/>
      <c r="BQ23" s="197"/>
      <c r="BR23" s="197"/>
      <c r="BS23" s="197"/>
      <c r="BT23" s="197"/>
      <c r="BU23" s="197"/>
      <c r="BV23" s="197"/>
      <c r="BW23" s="197"/>
      <c r="BX23" s="197"/>
      <c r="BY23" s="197"/>
      <c r="BZ23" s="197"/>
      <c r="CA23" s="197"/>
      <c r="CB23" s="197"/>
      <c r="CC23" s="197"/>
      <c r="CD23" s="197"/>
      <c r="CE23" s="197"/>
      <c r="CF23" s="197"/>
      <c r="CG23" s="197"/>
      <c r="CH23" s="197"/>
      <c r="CI23" s="197"/>
      <c r="CJ23" s="198"/>
    </row>
    <row r="24" spans="1:88" s="44" customFormat="1" ht="13.5" customHeight="1">
      <c r="A24" s="175" t="s">
        <v>22</v>
      </c>
      <c r="B24" s="176"/>
      <c r="C24" s="176"/>
      <c r="D24" s="176"/>
      <c r="E24" s="176"/>
      <c r="F24" s="176"/>
      <c r="G24" s="176"/>
      <c r="H24" s="176"/>
      <c r="I24" s="176"/>
      <c r="J24" s="176"/>
      <c r="K24" s="176"/>
      <c r="L24" s="176"/>
      <c r="M24" s="176"/>
      <c r="N24" s="176"/>
      <c r="O24" s="176"/>
      <c r="P24" s="176"/>
      <c r="Q24" s="176"/>
      <c r="R24" s="176"/>
      <c r="S24" s="176"/>
      <c r="T24" s="177"/>
      <c r="U24" s="194"/>
      <c r="V24" s="194"/>
      <c r="W24" s="194"/>
      <c r="X24" s="194"/>
      <c r="Y24" s="194"/>
      <c r="Z24" s="194"/>
      <c r="AA24" s="194"/>
      <c r="AB24" s="194"/>
      <c r="AC24" s="194"/>
      <c r="AD24" s="194"/>
      <c r="AE24" s="194"/>
      <c r="AF24" s="194"/>
      <c r="AG24" s="194"/>
      <c r="AH24" s="194"/>
      <c r="AI24" s="194"/>
      <c r="AJ24" s="194"/>
      <c r="AK24" s="194"/>
      <c r="AL24" s="194"/>
      <c r="AM24" s="194"/>
      <c r="AN24" s="194"/>
      <c r="AO24" s="194"/>
      <c r="AP24" s="194"/>
      <c r="AQ24" s="194"/>
      <c r="AR24" s="194"/>
      <c r="AS24" s="194"/>
      <c r="AT24" s="194"/>
      <c r="AU24" s="194"/>
      <c r="AV24" s="194"/>
      <c r="AW24" s="194"/>
      <c r="AX24" s="194"/>
      <c r="AY24" s="194"/>
      <c r="AZ24" s="194"/>
      <c r="BA24" s="194"/>
      <c r="BB24" s="194"/>
      <c r="BC24" s="194"/>
      <c r="BD24" s="194"/>
      <c r="BE24" s="194"/>
      <c r="BF24" s="194"/>
      <c r="BG24" s="194"/>
      <c r="BH24" s="194"/>
      <c r="BI24" s="194"/>
      <c r="BJ24" s="194"/>
      <c r="BK24" s="194"/>
      <c r="BL24" s="194"/>
      <c r="BM24" s="194"/>
      <c r="BN24" s="194"/>
      <c r="BO24" s="194"/>
      <c r="BP24" s="194"/>
      <c r="BQ24" s="194"/>
      <c r="BR24" s="194"/>
      <c r="BS24" s="194"/>
      <c r="BT24" s="194"/>
      <c r="BU24" s="194"/>
      <c r="BV24" s="194"/>
      <c r="BW24" s="194"/>
      <c r="BX24" s="194"/>
      <c r="BY24" s="194"/>
      <c r="BZ24" s="194"/>
      <c r="CA24" s="194"/>
      <c r="CB24" s="194"/>
      <c r="CC24" s="194"/>
      <c r="CD24" s="194"/>
      <c r="CE24" s="194"/>
      <c r="CF24" s="194"/>
      <c r="CG24" s="194"/>
      <c r="CH24" s="194"/>
      <c r="CI24" s="194"/>
      <c r="CJ24" s="195"/>
    </row>
    <row r="25" spans="1:88" s="44" customFormat="1" ht="147.75" customHeight="1">
      <c r="A25" s="178" t="s">
        <v>23</v>
      </c>
      <c r="B25" s="179"/>
      <c r="C25" s="179"/>
      <c r="D25" s="179"/>
      <c r="E25" s="179"/>
      <c r="F25" s="179"/>
      <c r="G25" s="179"/>
      <c r="H25" s="179"/>
      <c r="I25" s="179"/>
      <c r="J25" s="179"/>
      <c r="K25" s="179"/>
      <c r="L25" s="179"/>
      <c r="M25" s="179"/>
      <c r="N25" s="179"/>
      <c r="O25" s="179"/>
      <c r="P25" s="179"/>
      <c r="Q25" s="179"/>
      <c r="R25" s="179"/>
      <c r="S25" s="179"/>
      <c r="T25" s="180"/>
      <c r="U25" s="196"/>
      <c r="V25" s="194"/>
      <c r="W25" s="191"/>
      <c r="X25" s="194"/>
      <c r="Y25" s="191"/>
      <c r="Z25" s="194"/>
      <c r="AA25" s="194"/>
      <c r="AB25" s="194"/>
      <c r="AC25" s="194"/>
      <c r="AD25" s="194"/>
      <c r="AE25" s="194"/>
      <c r="AF25" s="194"/>
      <c r="AG25" s="194"/>
      <c r="AH25" s="194"/>
      <c r="AI25" s="191"/>
      <c r="AJ25" s="191"/>
      <c r="AK25" s="194"/>
      <c r="AL25" s="194"/>
      <c r="AM25" s="194"/>
      <c r="AN25" s="194"/>
      <c r="AO25" s="194"/>
      <c r="AP25" s="194"/>
      <c r="AQ25" s="194"/>
      <c r="AR25" s="194"/>
      <c r="AS25" s="189"/>
      <c r="AT25" s="189"/>
      <c r="AU25" s="189"/>
      <c r="AV25" s="189"/>
      <c r="AW25" s="189"/>
      <c r="AX25" s="189"/>
      <c r="AY25" s="189"/>
      <c r="AZ25" s="189"/>
      <c r="BA25" s="189"/>
      <c r="BB25" s="189"/>
      <c r="BC25" s="189"/>
      <c r="BD25" s="189"/>
      <c r="BE25" s="189"/>
      <c r="BF25" s="189"/>
      <c r="BG25" s="191"/>
      <c r="BH25" s="191"/>
      <c r="BI25" s="192"/>
      <c r="BJ25" s="193"/>
      <c r="BK25" s="189"/>
      <c r="BL25" s="189"/>
      <c r="BM25" s="189"/>
      <c r="BN25" s="189"/>
      <c r="BO25" s="189"/>
      <c r="BP25" s="189"/>
      <c r="BQ25" s="189"/>
      <c r="BR25" s="189"/>
      <c r="BS25" s="189"/>
      <c r="BT25" s="189"/>
      <c r="BU25" s="189"/>
      <c r="BV25" s="189"/>
      <c r="BW25" s="189"/>
      <c r="BX25" s="189"/>
      <c r="BY25" s="189"/>
      <c r="BZ25" s="189"/>
      <c r="CA25" s="189"/>
      <c r="CB25" s="189"/>
      <c r="CC25" s="189"/>
      <c r="CD25" s="189"/>
      <c r="CE25" s="189"/>
      <c r="CF25" s="189"/>
      <c r="CG25" s="189"/>
      <c r="CH25" s="189"/>
      <c r="CI25" s="189"/>
      <c r="CJ25" s="190"/>
    </row>
    <row r="41" spans="7:7" ht="13.5" customHeight="1">
      <c r="G41" s="63"/>
    </row>
  </sheetData>
  <mergeCells count="612">
    <mergeCell ref="CA14:CB14"/>
    <mergeCell ref="CC14:CD14"/>
    <mergeCell ref="CE14:CF14"/>
    <mergeCell ref="CG14:CH14"/>
    <mergeCell ref="CI14:CJ14"/>
    <mergeCell ref="BO14:BP14"/>
    <mergeCell ref="BQ14:BR14"/>
    <mergeCell ref="BS14:BT14"/>
    <mergeCell ref="BU14:BV14"/>
    <mergeCell ref="BW14:BX14"/>
    <mergeCell ref="AW14:AX14"/>
    <mergeCell ref="AY14:AZ14"/>
    <mergeCell ref="BA14:BB14"/>
    <mergeCell ref="BY14:BZ14"/>
    <mergeCell ref="BC14:BD14"/>
    <mergeCell ref="BE14:BF14"/>
    <mergeCell ref="BG14:BH14"/>
    <mergeCell ref="BI14:BJ14"/>
    <mergeCell ref="BK14:BL14"/>
    <mergeCell ref="BM14:BN14"/>
    <mergeCell ref="A10:A12"/>
    <mergeCell ref="B14:T14"/>
    <mergeCell ref="U14:V14"/>
    <mergeCell ref="W14:X14"/>
    <mergeCell ref="Y14:Z14"/>
    <mergeCell ref="AA14:AB14"/>
    <mergeCell ref="CC19:CD19"/>
    <mergeCell ref="CE19:CF19"/>
    <mergeCell ref="CG19:CH19"/>
    <mergeCell ref="CI19:CJ19"/>
    <mergeCell ref="AC14:AD14"/>
    <mergeCell ref="AE14:AF14"/>
    <mergeCell ref="AG14:AH14"/>
    <mergeCell ref="AI14:AJ14"/>
    <mergeCell ref="AK14:AL14"/>
    <mergeCell ref="AM14:AN14"/>
    <mergeCell ref="AA11:AB11"/>
    <mergeCell ref="AR2:AZ2"/>
    <mergeCell ref="BA2:BI2"/>
    <mergeCell ref="BJ2:BR2"/>
    <mergeCell ref="BY19:BZ19"/>
    <mergeCell ref="CA19:CB19"/>
    <mergeCell ref="AO14:AP14"/>
    <mergeCell ref="AQ14:AR14"/>
    <mergeCell ref="AS14:AT14"/>
    <mergeCell ref="AU14:AV14"/>
    <mergeCell ref="AC1:AQ1"/>
    <mergeCell ref="AR1:AZ1"/>
    <mergeCell ref="BA1:BI1"/>
    <mergeCell ref="BJ1:BR1"/>
    <mergeCell ref="BS2:CA2"/>
    <mergeCell ref="A1:N1"/>
    <mergeCell ref="O1:AB1"/>
    <mergeCell ref="BS1:CA1"/>
    <mergeCell ref="A6:I6"/>
    <mergeCell ref="J6:X6"/>
    <mergeCell ref="Y6:AG6"/>
    <mergeCell ref="AH6:BC6"/>
    <mergeCell ref="A2:N2"/>
    <mergeCell ref="O2:AB2"/>
    <mergeCell ref="AC2:AQ2"/>
    <mergeCell ref="A8:T9"/>
    <mergeCell ref="U9:V9"/>
    <mergeCell ref="W9:X9"/>
    <mergeCell ref="Y9:Z9"/>
    <mergeCell ref="AA9:AB9"/>
    <mergeCell ref="AC9:AD9"/>
    <mergeCell ref="AE9:AF9"/>
    <mergeCell ref="AG9:AH9"/>
    <mergeCell ref="AI9:AJ9"/>
    <mergeCell ref="AK9:AL9"/>
    <mergeCell ref="AM9:AN9"/>
    <mergeCell ref="AO9:AP9"/>
    <mergeCell ref="AQ9:AR9"/>
    <mergeCell ref="AS9:AT9"/>
    <mergeCell ref="AU9:AV9"/>
    <mergeCell ref="AW9:AX9"/>
    <mergeCell ref="AY9:AZ9"/>
    <mergeCell ref="BA9:BB9"/>
    <mergeCell ref="BC9:BD9"/>
    <mergeCell ref="BE9:BF9"/>
    <mergeCell ref="BG9:BH9"/>
    <mergeCell ref="BI9:BJ9"/>
    <mergeCell ref="BK9:BL9"/>
    <mergeCell ref="BM9:BN9"/>
    <mergeCell ref="CC9:CD9"/>
    <mergeCell ref="CE9:CF9"/>
    <mergeCell ref="CG9:CH9"/>
    <mergeCell ref="CI9:CJ9"/>
    <mergeCell ref="U10:V10"/>
    <mergeCell ref="W10:X10"/>
    <mergeCell ref="Y10:Z10"/>
    <mergeCell ref="AA10:AB10"/>
    <mergeCell ref="BO9:BP9"/>
    <mergeCell ref="BQ9:BR9"/>
    <mergeCell ref="AE10:AF10"/>
    <mergeCell ref="AG10:AH10"/>
    <mergeCell ref="AI10:AJ10"/>
    <mergeCell ref="AK10:AL10"/>
    <mergeCell ref="AM10:AN10"/>
    <mergeCell ref="CA9:CB9"/>
    <mergeCell ref="BS9:BT9"/>
    <mergeCell ref="BU9:BV9"/>
    <mergeCell ref="BW9:BX9"/>
    <mergeCell ref="BY9:BZ9"/>
    <mergeCell ref="BG10:BH10"/>
    <mergeCell ref="BI10:BJ10"/>
    <mergeCell ref="BK10:BL10"/>
    <mergeCell ref="AO10:AP10"/>
    <mergeCell ref="AQ10:AR10"/>
    <mergeCell ref="AS10:AT10"/>
    <mergeCell ref="AU10:AV10"/>
    <mergeCell ref="AW10:AX10"/>
    <mergeCell ref="AY10:AZ10"/>
    <mergeCell ref="CA10:CB10"/>
    <mergeCell ref="CC10:CD10"/>
    <mergeCell ref="CE10:CF10"/>
    <mergeCell ref="CG10:CH10"/>
    <mergeCell ref="CI10:CJ10"/>
    <mergeCell ref="BM10:BN10"/>
    <mergeCell ref="BO10:BP10"/>
    <mergeCell ref="BQ10:BR10"/>
    <mergeCell ref="BS10:BT10"/>
    <mergeCell ref="BU10:BV10"/>
    <mergeCell ref="AE11:AF11"/>
    <mergeCell ref="AG11:AH11"/>
    <mergeCell ref="AI11:AJ11"/>
    <mergeCell ref="AK11:AL11"/>
    <mergeCell ref="AM11:AN11"/>
    <mergeCell ref="BY10:BZ10"/>
    <mergeCell ref="BW10:BX10"/>
    <mergeCell ref="BA10:BB10"/>
    <mergeCell ref="BC10:BD10"/>
    <mergeCell ref="BE10:BF10"/>
    <mergeCell ref="AO11:AP11"/>
    <mergeCell ref="AQ11:AR11"/>
    <mergeCell ref="AS11:AT11"/>
    <mergeCell ref="AU11:AV11"/>
    <mergeCell ref="AW11:AX11"/>
    <mergeCell ref="AY11:AZ11"/>
    <mergeCell ref="BA11:BB11"/>
    <mergeCell ref="BC11:BD11"/>
    <mergeCell ref="BE11:BF11"/>
    <mergeCell ref="BG11:BH11"/>
    <mergeCell ref="BI11:BJ11"/>
    <mergeCell ref="BK11:BL11"/>
    <mergeCell ref="BM11:BN11"/>
    <mergeCell ref="BO11:BP11"/>
    <mergeCell ref="BQ11:BR11"/>
    <mergeCell ref="BS11:BT11"/>
    <mergeCell ref="BU11:BV11"/>
    <mergeCell ref="BW11:BX11"/>
    <mergeCell ref="BY11:BZ11"/>
    <mergeCell ref="CA11:CB11"/>
    <mergeCell ref="CC11:CD11"/>
    <mergeCell ref="CE11:CF11"/>
    <mergeCell ref="CG11:CH11"/>
    <mergeCell ref="CI11:CJ11"/>
    <mergeCell ref="U13:V13"/>
    <mergeCell ref="W13:X13"/>
    <mergeCell ref="Y13:Z13"/>
    <mergeCell ref="AA13:AB13"/>
    <mergeCell ref="AC13:AD13"/>
    <mergeCell ref="AE13:AF13"/>
    <mergeCell ref="AG13:AH13"/>
    <mergeCell ref="AI13:AJ13"/>
    <mergeCell ref="AK13:AL13"/>
    <mergeCell ref="AM13:AN13"/>
    <mergeCell ref="AO13:AP13"/>
    <mergeCell ref="AQ13:AR13"/>
    <mergeCell ref="BM13:BN13"/>
    <mergeCell ref="BO13:BP13"/>
    <mergeCell ref="AS13:AT13"/>
    <mergeCell ref="AU13:AV13"/>
    <mergeCell ref="AW13:AX13"/>
    <mergeCell ref="AY13:AZ13"/>
    <mergeCell ref="BA13:BB13"/>
    <mergeCell ref="BC13:BD13"/>
    <mergeCell ref="CE13:CF13"/>
    <mergeCell ref="CG13:CH13"/>
    <mergeCell ref="CI13:CJ13"/>
    <mergeCell ref="BQ13:BR13"/>
    <mergeCell ref="BS13:BT13"/>
    <mergeCell ref="BU13:BV13"/>
    <mergeCell ref="BW13:BX13"/>
    <mergeCell ref="BY13:BZ13"/>
    <mergeCell ref="CA13:CB13"/>
    <mergeCell ref="W23:X23"/>
    <mergeCell ref="Y23:Z23"/>
    <mergeCell ref="CC13:CD13"/>
    <mergeCell ref="BE13:BF13"/>
    <mergeCell ref="BG13:BH13"/>
    <mergeCell ref="BI13:BJ13"/>
    <mergeCell ref="BK13:BL13"/>
    <mergeCell ref="AG21:AH21"/>
    <mergeCell ref="AI21:AJ21"/>
    <mergeCell ref="AK21:AL21"/>
    <mergeCell ref="U21:V21"/>
    <mergeCell ref="W21:X21"/>
    <mergeCell ref="Y21:Z21"/>
    <mergeCell ref="AA21:AB21"/>
    <mergeCell ref="AC21:AD21"/>
    <mergeCell ref="AE21:AF21"/>
    <mergeCell ref="AM21:AN21"/>
    <mergeCell ref="AO21:AP21"/>
    <mergeCell ref="AQ21:AR21"/>
    <mergeCell ref="AS21:AT21"/>
    <mergeCell ref="AU21:AV21"/>
    <mergeCell ref="AW21:AX21"/>
    <mergeCell ref="AY21:AZ21"/>
    <mergeCell ref="BA21:BB21"/>
    <mergeCell ref="BC21:BD21"/>
    <mergeCell ref="BE21:BF21"/>
    <mergeCell ref="BG21:BH21"/>
    <mergeCell ref="BI21:BJ21"/>
    <mergeCell ref="BK21:BL21"/>
    <mergeCell ref="BM21:BN21"/>
    <mergeCell ref="BO21:BP21"/>
    <mergeCell ref="BQ21:BR21"/>
    <mergeCell ref="BS21:BT21"/>
    <mergeCell ref="BU21:BV21"/>
    <mergeCell ref="BW21:BX21"/>
    <mergeCell ref="BY21:BZ21"/>
    <mergeCell ref="CA21:CB21"/>
    <mergeCell ref="CC21:CD21"/>
    <mergeCell ref="CE21:CF21"/>
    <mergeCell ref="CG21:CH21"/>
    <mergeCell ref="CI21:CJ21"/>
    <mergeCell ref="U22:V22"/>
    <mergeCell ref="W22:X22"/>
    <mergeCell ref="Y22:Z22"/>
    <mergeCell ref="AA22:AB22"/>
    <mergeCell ref="AC22:AD22"/>
    <mergeCell ref="AE22:AF22"/>
    <mergeCell ref="AG22:AH22"/>
    <mergeCell ref="AI22:AJ22"/>
    <mergeCell ref="AK22:AL22"/>
    <mergeCell ref="AM22:AN22"/>
    <mergeCell ref="AO22:AP22"/>
    <mergeCell ref="AQ22:AR22"/>
    <mergeCell ref="AS22:AT22"/>
    <mergeCell ref="AU22:AV22"/>
    <mergeCell ref="AW22:AX22"/>
    <mergeCell ref="AY22:AZ22"/>
    <mergeCell ref="BA22:BB22"/>
    <mergeCell ref="BC22:BD22"/>
    <mergeCell ref="BE22:BF22"/>
    <mergeCell ref="BG22:BH22"/>
    <mergeCell ref="BI22:BJ22"/>
    <mergeCell ref="BK22:BL22"/>
    <mergeCell ref="BM22:BN22"/>
    <mergeCell ref="BO22:BP22"/>
    <mergeCell ref="BQ22:BR22"/>
    <mergeCell ref="BS22:BT22"/>
    <mergeCell ref="BU22:BV22"/>
    <mergeCell ref="BW22:BX22"/>
    <mergeCell ref="BY22:BZ22"/>
    <mergeCell ref="CA22:CB22"/>
    <mergeCell ref="CC22:CD22"/>
    <mergeCell ref="CE22:CF22"/>
    <mergeCell ref="CG22:CH22"/>
    <mergeCell ref="CI22:CJ22"/>
    <mergeCell ref="U23:V23"/>
    <mergeCell ref="AA23:AB23"/>
    <mergeCell ref="AC23:AD23"/>
    <mergeCell ref="AE23:AF23"/>
    <mergeCell ref="AG23:AH23"/>
    <mergeCell ref="AI23:AJ23"/>
    <mergeCell ref="AK23:AL23"/>
    <mergeCell ref="AM23:AN23"/>
    <mergeCell ref="AO23:AP23"/>
    <mergeCell ref="AQ23:AR23"/>
    <mergeCell ref="AS23:AT23"/>
    <mergeCell ref="AU23:AV23"/>
    <mergeCell ref="AW23:AX23"/>
    <mergeCell ref="AY23:AZ23"/>
    <mergeCell ref="BA23:BB23"/>
    <mergeCell ref="BC23:BD23"/>
    <mergeCell ref="BE23:BF23"/>
    <mergeCell ref="BG23:BH23"/>
    <mergeCell ref="BI23:BJ23"/>
    <mergeCell ref="BK23:BL23"/>
    <mergeCell ref="BM23:BN23"/>
    <mergeCell ref="BO23:BP23"/>
    <mergeCell ref="BQ23:BR23"/>
    <mergeCell ref="BS23:BT23"/>
    <mergeCell ref="BU23:BV23"/>
    <mergeCell ref="BW23:BX23"/>
    <mergeCell ref="BY23:BZ23"/>
    <mergeCell ref="CA23:CB23"/>
    <mergeCell ref="CC23:CD23"/>
    <mergeCell ref="CE23:CF23"/>
    <mergeCell ref="CG23:CH23"/>
    <mergeCell ref="CI23:CJ23"/>
    <mergeCell ref="U24:V24"/>
    <mergeCell ref="W24:X24"/>
    <mergeCell ref="Y24:Z24"/>
    <mergeCell ref="AA24:AB24"/>
    <mergeCell ref="AC24:AD24"/>
    <mergeCell ref="AE24:AF24"/>
    <mergeCell ref="AG24:AH24"/>
    <mergeCell ref="AI24:AJ24"/>
    <mergeCell ref="AK24:AL24"/>
    <mergeCell ref="AM24:AN24"/>
    <mergeCell ref="AO24:AP24"/>
    <mergeCell ref="AQ24:AR24"/>
    <mergeCell ref="AS24:AT24"/>
    <mergeCell ref="AU24:AV24"/>
    <mergeCell ref="AW24:AX24"/>
    <mergeCell ref="AY24:AZ24"/>
    <mergeCell ref="BA24:BB24"/>
    <mergeCell ref="BC24:BD24"/>
    <mergeCell ref="BE24:BF24"/>
    <mergeCell ref="BG24:BH24"/>
    <mergeCell ref="BI24:BJ24"/>
    <mergeCell ref="BK24:BL24"/>
    <mergeCell ref="BM24:BN24"/>
    <mergeCell ref="BO24:BP24"/>
    <mergeCell ref="BQ24:BR24"/>
    <mergeCell ref="BS24:BT24"/>
    <mergeCell ref="BU24:BV24"/>
    <mergeCell ref="BW24:BX24"/>
    <mergeCell ref="BY24:BZ24"/>
    <mergeCell ref="CA24:CB24"/>
    <mergeCell ref="CC24:CD24"/>
    <mergeCell ref="CE24:CF24"/>
    <mergeCell ref="CG24:CH24"/>
    <mergeCell ref="CI24:CJ24"/>
    <mergeCell ref="U25:V25"/>
    <mergeCell ref="W25:X25"/>
    <mergeCell ref="Y25:Z25"/>
    <mergeCell ref="AA25:AB25"/>
    <mergeCell ref="AC25:AD25"/>
    <mergeCell ref="AE25:AF25"/>
    <mergeCell ref="AG25:AH25"/>
    <mergeCell ref="AI25:AJ25"/>
    <mergeCell ref="AK25:AL25"/>
    <mergeCell ref="AM25:AN25"/>
    <mergeCell ref="AO25:AP25"/>
    <mergeCell ref="AQ25:AR25"/>
    <mergeCell ref="AS25:AT25"/>
    <mergeCell ref="AU25:AV25"/>
    <mergeCell ref="AW25:AX25"/>
    <mergeCell ref="AY25:AZ25"/>
    <mergeCell ref="BA25:BB25"/>
    <mergeCell ref="BC25:BD25"/>
    <mergeCell ref="BE25:BF25"/>
    <mergeCell ref="BG25:BH25"/>
    <mergeCell ref="BI25:BJ25"/>
    <mergeCell ref="BK25:BL25"/>
    <mergeCell ref="BM25:BN25"/>
    <mergeCell ref="BO25:BP25"/>
    <mergeCell ref="BQ25:BR25"/>
    <mergeCell ref="BS25:BT25"/>
    <mergeCell ref="BU25:BV25"/>
    <mergeCell ref="BW25:BX25"/>
    <mergeCell ref="BY25:BZ25"/>
    <mergeCell ref="CG20:CH20"/>
    <mergeCell ref="CI20:CJ20"/>
    <mergeCell ref="U20:V20"/>
    <mergeCell ref="CA25:CB25"/>
    <mergeCell ref="CC25:CD25"/>
    <mergeCell ref="CE25:CF25"/>
    <mergeCell ref="CG25:CH25"/>
    <mergeCell ref="CI25:CJ25"/>
    <mergeCell ref="BU20:BV20"/>
    <mergeCell ref="BW20:BX20"/>
    <mergeCell ref="CA20:CB20"/>
    <mergeCell ref="CC20:CD20"/>
    <mergeCell ref="CE20:CF20"/>
    <mergeCell ref="BI20:BJ20"/>
    <mergeCell ref="BK20:BL20"/>
    <mergeCell ref="BM20:BN20"/>
    <mergeCell ref="BO20:BP20"/>
    <mergeCell ref="BQ20:BR20"/>
    <mergeCell ref="BS20:BT20"/>
    <mergeCell ref="AY20:AZ20"/>
    <mergeCell ref="BA20:BB20"/>
    <mergeCell ref="BC20:BD20"/>
    <mergeCell ref="BE20:BF20"/>
    <mergeCell ref="BG20:BH20"/>
    <mergeCell ref="BY20:BZ20"/>
    <mergeCell ref="AM20:AN20"/>
    <mergeCell ref="AO20:AP20"/>
    <mergeCell ref="AQ20:AR20"/>
    <mergeCell ref="AS20:AT20"/>
    <mergeCell ref="AU20:AV20"/>
    <mergeCell ref="AW20:AX20"/>
    <mergeCell ref="A25:T25"/>
    <mergeCell ref="AI20:AJ20"/>
    <mergeCell ref="A13:A20"/>
    <mergeCell ref="B13:T13"/>
    <mergeCell ref="A21:T21"/>
    <mergeCell ref="A22:T22"/>
    <mergeCell ref="B20:T20"/>
    <mergeCell ref="W20:X20"/>
    <mergeCell ref="Y20:Z20"/>
    <mergeCell ref="AA20:AB20"/>
    <mergeCell ref="BS18:BT18"/>
    <mergeCell ref="BU18:BV18"/>
    <mergeCell ref="BW18:BX18"/>
    <mergeCell ref="BY18:BZ18"/>
    <mergeCell ref="A23:T23"/>
    <mergeCell ref="A24:T24"/>
    <mergeCell ref="AC20:AD20"/>
    <mergeCell ref="AE20:AF20"/>
    <mergeCell ref="AG20:AH20"/>
    <mergeCell ref="AK20:AL20"/>
    <mergeCell ref="BG18:BH18"/>
    <mergeCell ref="BI18:BJ18"/>
    <mergeCell ref="BK18:BL18"/>
    <mergeCell ref="BM18:BN18"/>
    <mergeCell ref="BO18:BP18"/>
    <mergeCell ref="BQ18:BR18"/>
    <mergeCell ref="AU18:AV18"/>
    <mergeCell ref="AW18:AX18"/>
    <mergeCell ref="AY18:AZ18"/>
    <mergeCell ref="BA18:BB18"/>
    <mergeCell ref="BC18:BD18"/>
    <mergeCell ref="BE18:BF18"/>
    <mergeCell ref="AI18:AJ18"/>
    <mergeCell ref="AK18:AL18"/>
    <mergeCell ref="AM18:AN18"/>
    <mergeCell ref="AO18:AP18"/>
    <mergeCell ref="AQ18:AR18"/>
    <mergeCell ref="AS18:AT18"/>
    <mergeCell ref="U12:V12"/>
    <mergeCell ref="W12:X12"/>
    <mergeCell ref="Y12:Z12"/>
    <mergeCell ref="AA12:AB12"/>
    <mergeCell ref="AC12:AD12"/>
    <mergeCell ref="B18:T18"/>
    <mergeCell ref="U18:V18"/>
    <mergeCell ref="W18:X18"/>
    <mergeCell ref="Y18:Z18"/>
    <mergeCell ref="AA18:AB18"/>
    <mergeCell ref="BY15:BZ15"/>
    <mergeCell ref="CA15:CB15"/>
    <mergeCell ref="CC15:CD15"/>
    <mergeCell ref="CE15:CF15"/>
    <mergeCell ref="CG15:CH15"/>
    <mergeCell ref="CI15:CJ15"/>
    <mergeCell ref="BM15:BN15"/>
    <mergeCell ref="BO15:BP15"/>
    <mergeCell ref="BQ15:BR15"/>
    <mergeCell ref="BS15:BT15"/>
    <mergeCell ref="BU15:BV15"/>
    <mergeCell ref="BW15:BX15"/>
    <mergeCell ref="BA15:BB15"/>
    <mergeCell ref="BC15:BD15"/>
    <mergeCell ref="BE15:BF15"/>
    <mergeCell ref="BG15:BH15"/>
    <mergeCell ref="BI15:BJ15"/>
    <mergeCell ref="BK15:BL15"/>
    <mergeCell ref="AO15:AP15"/>
    <mergeCell ref="AQ15:AR15"/>
    <mergeCell ref="AS15:AT15"/>
    <mergeCell ref="AU15:AV15"/>
    <mergeCell ref="AW15:AX15"/>
    <mergeCell ref="AY15:AZ15"/>
    <mergeCell ref="CA12:CB12"/>
    <mergeCell ref="CC12:CD12"/>
    <mergeCell ref="CE12:CF12"/>
    <mergeCell ref="CG12:CH12"/>
    <mergeCell ref="CI12:CJ12"/>
    <mergeCell ref="AC15:AD15"/>
    <mergeCell ref="AE15:AF15"/>
    <mergeCell ref="AI15:AJ15"/>
    <mergeCell ref="AK15:AL15"/>
    <mergeCell ref="AM15:AN15"/>
    <mergeCell ref="BO12:BP12"/>
    <mergeCell ref="BQ12:BR12"/>
    <mergeCell ref="BS12:BT12"/>
    <mergeCell ref="BU12:BV12"/>
    <mergeCell ref="BW12:BX12"/>
    <mergeCell ref="BY12:BZ12"/>
    <mergeCell ref="BC12:BD12"/>
    <mergeCell ref="BE12:BF12"/>
    <mergeCell ref="BG12:BH12"/>
    <mergeCell ref="BI12:BJ12"/>
    <mergeCell ref="BK12:BL12"/>
    <mergeCell ref="BM12:BN12"/>
    <mergeCell ref="AQ12:AR12"/>
    <mergeCell ref="AS12:AT12"/>
    <mergeCell ref="AU12:AV12"/>
    <mergeCell ref="AW12:AX12"/>
    <mergeCell ref="AY12:AZ12"/>
    <mergeCell ref="BA12:BB12"/>
    <mergeCell ref="AE12:AF12"/>
    <mergeCell ref="AG12:AH12"/>
    <mergeCell ref="AI12:AJ12"/>
    <mergeCell ref="AK12:AL12"/>
    <mergeCell ref="AM12:AN12"/>
    <mergeCell ref="AO12:AP12"/>
    <mergeCell ref="AC10:AD10"/>
    <mergeCell ref="AC11:AD11"/>
    <mergeCell ref="U11:V11"/>
    <mergeCell ref="W11:X11"/>
    <mergeCell ref="Y11:Z11"/>
    <mergeCell ref="B15:T15"/>
    <mergeCell ref="U15:V15"/>
    <mergeCell ref="W15:X15"/>
    <mergeCell ref="Y15:Z15"/>
    <mergeCell ref="AA15:AB15"/>
    <mergeCell ref="CA18:CB18"/>
    <mergeCell ref="CC18:CD18"/>
    <mergeCell ref="CE18:CF18"/>
    <mergeCell ref="CG18:CH18"/>
    <mergeCell ref="CI18:CJ18"/>
    <mergeCell ref="BO19:BP19"/>
    <mergeCell ref="BQ19:BR19"/>
    <mergeCell ref="BS19:BT19"/>
    <mergeCell ref="BU19:BV19"/>
    <mergeCell ref="BW19:BX19"/>
    <mergeCell ref="BC19:BD19"/>
    <mergeCell ref="BE19:BF19"/>
    <mergeCell ref="BG19:BH19"/>
    <mergeCell ref="BI19:BJ19"/>
    <mergeCell ref="BK19:BL19"/>
    <mergeCell ref="BM19:BN19"/>
    <mergeCell ref="AQ19:AR19"/>
    <mergeCell ref="AS19:AT19"/>
    <mergeCell ref="AU19:AV19"/>
    <mergeCell ref="AW19:AX19"/>
    <mergeCell ref="AY19:AZ19"/>
    <mergeCell ref="BA19:BB19"/>
    <mergeCell ref="AE19:AF19"/>
    <mergeCell ref="AG19:AH19"/>
    <mergeCell ref="AI19:AJ19"/>
    <mergeCell ref="AK19:AL19"/>
    <mergeCell ref="AM19:AN19"/>
    <mergeCell ref="AO19:AP19"/>
    <mergeCell ref="B19:T19"/>
    <mergeCell ref="U19:V19"/>
    <mergeCell ref="W19:X19"/>
    <mergeCell ref="Y19:Z19"/>
    <mergeCell ref="AA19:AB19"/>
    <mergeCell ref="AC19:AD19"/>
    <mergeCell ref="B16:T16"/>
    <mergeCell ref="U16:V16"/>
    <mergeCell ref="W16:X16"/>
    <mergeCell ref="Y16:Z16"/>
    <mergeCell ref="AA16:AB16"/>
    <mergeCell ref="AG18:AH18"/>
    <mergeCell ref="AC18:AD18"/>
    <mergeCell ref="AE18:AF18"/>
    <mergeCell ref="AC16:AD16"/>
    <mergeCell ref="AE16:AF16"/>
    <mergeCell ref="AI16:AJ16"/>
    <mergeCell ref="AK16:AL16"/>
    <mergeCell ref="AM16:AN16"/>
    <mergeCell ref="AO16:AP16"/>
    <mergeCell ref="AQ16:AR16"/>
    <mergeCell ref="AS16:AT16"/>
    <mergeCell ref="AU16:AV16"/>
    <mergeCell ref="AW16:AX16"/>
    <mergeCell ref="AY16:AZ16"/>
    <mergeCell ref="BA16:BB16"/>
    <mergeCell ref="BC16:BD16"/>
    <mergeCell ref="BE16:BF16"/>
    <mergeCell ref="BG16:BH16"/>
    <mergeCell ref="BI16:BJ16"/>
    <mergeCell ref="BK16:BL16"/>
    <mergeCell ref="BM16:BN16"/>
    <mergeCell ref="BO16:BP16"/>
    <mergeCell ref="BQ16:BR16"/>
    <mergeCell ref="BS16:BT16"/>
    <mergeCell ref="BU16:BV16"/>
    <mergeCell ref="BW16:BX16"/>
    <mergeCell ref="BY16:BZ16"/>
    <mergeCell ref="CA16:CB16"/>
    <mergeCell ref="CC16:CD16"/>
    <mergeCell ref="CE16:CF16"/>
    <mergeCell ref="CG16:CH16"/>
    <mergeCell ref="CI16:CJ16"/>
    <mergeCell ref="B17:T17"/>
    <mergeCell ref="U17:V17"/>
    <mergeCell ref="W17:X17"/>
    <mergeCell ref="Y17:Z17"/>
    <mergeCell ref="AA17:AB17"/>
    <mergeCell ref="AC17:AD17"/>
    <mergeCell ref="AE17:AF17"/>
    <mergeCell ref="AI17:AJ17"/>
    <mergeCell ref="AK17:AL17"/>
    <mergeCell ref="AM17:AN17"/>
    <mergeCell ref="AO17:AP17"/>
    <mergeCell ref="AQ17:AR17"/>
    <mergeCell ref="AS17:AT17"/>
    <mergeCell ref="AU17:AV17"/>
    <mergeCell ref="AW17:AX17"/>
    <mergeCell ref="AY17:AZ17"/>
    <mergeCell ref="BA17:BB17"/>
    <mergeCell ref="BS17:BT17"/>
    <mergeCell ref="BU17:BV17"/>
    <mergeCell ref="BW17:BX17"/>
    <mergeCell ref="BY17:BZ17"/>
    <mergeCell ref="BC17:BD17"/>
    <mergeCell ref="BE17:BF17"/>
    <mergeCell ref="BG17:BH17"/>
    <mergeCell ref="BI17:BJ17"/>
    <mergeCell ref="BK17:BL17"/>
    <mergeCell ref="BM17:BN17"/>
    <mergeCell ref="CA17:CB17"/>
    <mergeCell ref="CC17:CD17"/>
    <mergeCell ref="CE17:CF17"/>
    <mergeCell ref="CG17:CH17"/>
    <mergeCell ref="CI17:CJ17"/>
    <mergeCell ref="AG15:AH15"/>
    <mergeCell ref="AG16:AH16"/>
    <mergeCell ref="AG17:AH17"/>
    <mergeCell ref="BO17:BP17"/>
    <mergeCell ref="BQ17:BR17"/>
  </mergeCells>
  <phoneticPr fontId="12"/>
  <dataValidations count="1">
    <dataValidation type="list" allowBlank="1" showInputMessage="1" showErrorMessage="1" sqref="U21:BP21">
      <formula1>テスト分類</formula1>
    </dataValidation>
  </dataValidations>
  <pageMargins left="0.39370078740157483" right="0.19685039370078741" top="0.59055118110236227" bottom="0.39370078740157483" header="0.78740157480314965" footer="0.19685039370078741"/>
  <pageSetup paperSize="9" scale="98" fitToHeight="0" orientation="landscape" r:id="rId1"/>
  <headerFooter alignWithMargins="0">
    <oddFooter>&amp;C&amp;P / &amp;N&amp;RInternal Use Only</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9"/>
  <sheetViews>
    <sheetView tabSelected="1" workbookViewId="0">
      <selection activeCell="J16" sqref="J16"/>
    </sheetView>
  </sheetViews>
  <sheetFormatPr defaultRowHeight="11.25"/>
  <sheetData>
    <row r="1" spans="1:10">
      <c r="B1" t="s">
        <v>207</v>
      </c>
      <c r="C1" t="s">
        <v>208</v>
      </c>
      <c r="D1" t="s">
        <v>209</v>
      </c>
      <c r="I1" t="s">
        <v>210</v>
      </c>
      <c r="J1" t="s">
        <v>211</v>
      </c>
    </row>
    <row r="2" spans="1:10">
      <c r="A2">
        <v>1</v>
      </c>
      <c r="B2">
        <v>10</v>
      </c>
      <c r="C2">
        <v>15</v>
      </c>
      <c r="D2">
        <v>5</v>
      </c>
      <c r="F2">
        <v>8</v>
      </c>
      <c r="G2">
        <v>12</v>
      </c>
      <c r="I2">
        <v>1</v>
      </c>
      <c r="J2">
        <v>2</v>
      </c>
    </row>
    <row r="3" spans="1:10">
      <c r="A3">
        <v>2</v>
      </c>
      <c r="B3">
        <v>8</v>
      </c>
      <c r="C3">
        <v>13</v>
      </c>
      <c r="D3">
        <v>6</v>
      </c>
      <c r="I3">
        <v>3</v>
      </c>
      <c r="J3">
        <v>4</v>
      </c>
    </row>
    <row r="4" spans="1:10">
      <c r="A4">
        <v>3</v>
      </c>
      <c r="B4">
        <v>7</v>
      </c>
      <c r="C4">
        <v>9</v>
      </c>
      <c r="D4">
        <v>4</v>
      </c>
      <c r="I4">
        <v>7</v>
      </c>
      <c r="J4">
        <v>8</v>
      </c>
    </row>
    <row r="5" spans="1:10">
      <c r="A5">
        <v>4</v>
      </c>
      <c r="B5">
        <v>8</v>
      </c>
      <c r="C5">
        <v>16</v>
      </c>
      <c r="D5">
        <v>8</v>
      </c>
      <c r="I5">
        <v>9</v>
      </c>
      <c r="J5">
        <v>10</v>
      </c>
    </row>
    <row r="6" spans="1:10">
      <c r="A6">
        <v>5</v>
      </c>
      <c r="B6">
        <v>15</v>
      </c>
      <c r="C6">
        <v>20</v>
      </c>
      <c r="D6">
        <v>13</v>
      </c>
      <c r="I6">
        <v>13</v>
      </c>
      <c r="J6">
        <v>14</v>
      </c>
    </row>
    <row r="7" spans="1:10">
      <c r="A7">
        <v>6</v>
      </c>
      <c r="B7">
        <v>18</v>
      </c>
      <c r="C7">
        <v>25</v>
      </c>
      <c r="D7">
        <v>9</v>
      </c>
      <c r="I7">
        <v>15</v>
      </c>
      <c r="J7">
        <v>16</v>
      </c>
    </row>
    <row r="8" spans="1:10">
      <c r="A8">
        <v>7</v>
      </c>
      <c r="B8">
        <v>10</v>
      </c>
      <c r="C8">
        <v>15</v>
      </c>
      <c r="D8">
        <v>5</v>
      </c>
    </row>
    <row r="9" spans="1:10">
      <c r="A9">
        <v>8</v>
      </c>
      <c r="B9">
        <v>8</v>
      </c>
      <c r="C9">
        <v>13</v>
      </c>
      <c r="D9">
        <v>6</v>
      </c>
    </row>
    <row r="10" spans="1:10">
      <c r="A10">
        <v>9</v>
      </c>
      <c r="B10">
        <v>7</v>
      </c>
      <c r="C10">
        <v>9</v>
      </c>
      <c r="D10">
        <v>4</v>
      </c>
    </row>
    <row r="11" spans="1:10">
      <c r="A11">
        <v>10</v>
      </c>
      <c r="B11">
        <v>8</v>
      </c>
      <c r="C11">
        <v>16</v>
      </c>
      <c r="D11">
        <v>8</v>
      </c>
    </row>
    <row r="12" spans="1:10">
      <c r="A12">
        <v>11</v>
      </c>
      <c r="B12">
        <v>15</v>
      </c>
      <c r="C12">
        <v>20</v>
      </c>
      <c r="D12">
        <v>13</v>
      </c>
    </row>
    <row r="13" spans="1:10">
      <c r="A13">
        <v>12</v>
      </c>
      <c r="B13">
        <v>18</v>
      </c>
      <c r="C13">
        <v>25</v>
      </c>
      <c r="D13">
        <v>9</v>
      </c>
    </row>
    <row r="14" spans="1:10">
      <c r="A14">
        <v>13</v>
      </c>
      <c r="B14">
        <v>10</v>
      </c>
      <c r="C14">
        <v>15</v>
      </c>
      <c r="D14">
        <v>5</v>
      </c>
    </row>
    <row r="15" spans="1:10">
      <c r="A15">
        <v>14</v>
      </c>
      <c r="B15">
        <v>8</v>
      </c>
      <c r="C15">
        <v>13</v>
      </c>
      <c r="D15">
        <v>6</v>
      </c>
    </row>
    <row r="16" spans="1:10">
      <c r="A16">
        <v>15</v>
      </c>
      <c r="B16">
        <v>7</v>
      </c>
      <c r="C16">
        <v>9</v>
      </c>
      <c r="D16">
        <v>4</v>
      </c>
    </row>
    <row r="17" spans="1:4">
      <c r="A17">
        <v>16</v>
      </c>
      <c r="B17">
        <v>8</v>
      </c>
      <c r="C17">
        <v>16</v>
      </c>
      <c r="D17">
        <v>8</v>
      </c>
    </row>
    <row r="18" spans="1:4">
      <c r="A18">
        <v>17</v>
      </c>
      <c r="B18">
        <v>15</v>
      </c>
      <c r="C18">
        <v>20</v>
      </c>
      <c r="D18">
        <v>13</v>
      </c>
    </row>
    <row r="19" spans="1:4">
      <c r="A19">
        <v>18</v>
      </c>
      <c r="B19">
        <v>18</v>
      </c>
      <c r="C19">
        <v>25</v>
      </c>
      <c r="D19">
        <v>9</v>
      </c>
    </row>
  </sheetData>
  <autoFilter ref="I1"/>
  <phoneticPr fontId="1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31"/>
  <sheetViews>
    <sheetView workbookViewId="0">
      <selection activeCell="K11" sqref="K11"/>
    </sheetView>
  </sheetViews>
  <sheetFormatPr defaultColWidth="4.1640625" defaultRowHeight="15"/>
  <cols>
    <col min="1" max="1" width="4.1640625" style="77"/>
    <col min="2" max="2" width="19.1640625" style="79" bestFit="1" customWidth="1"/>
    <col min="3" max="3" width="16.6640625" style="77" bestFit="1" customWidth="1"/>
    <col min="4" max="4" width="18.1640625" style="77" bestFit="1" customWidth="1"/>
    <col min="5" max="16384" width="4.1640625" style="77"/>
  </cols>
  <sheetData>
    <row r="2" spans="2:4" ht="18.75" customHeight="1">
      <c r="B2" s="78" t="s">
        <v>171</v>
      </c>
      <c r="C2" s="77" t="s">
        <v>178</v>
      </c>
    </row>
    <row r="3" spans="2:4" ht="18.75" customHeight="1">
      <c r="C3" s="80" t="s">
        <v>179</v>
      </c>
      <c r="D3" s="80" t="s">
        <v>180</v>
      </c>
    </row>
    <row r="4" spans="2:4" ht="18.75" customHeight="1">
      <c r="C4" s="81" t="s">
        <v>181</v>
      </c>
      <c r="D4" s="81" t="s">
        <v>182</v>
      </c>
    </row>
    <row r="5" spans="2:4" ht="18.75" customHeight="1"/>
    <row r="6" spans="2:4" ht="18.75" customHeight="1">
      <c r="B6" s="78" t="s">
        <v>172</v>
      </c>
      <c r="C6" s="77" t="s">
        <v>178</v>
      </c>
    </row>
    <row r="7" spans="2:4" ht="18.75" customHeight="1">
      <c r="C7" s="80" t="s">
        <v>179</v>
      </c>
      <c r="D7" s="80" t="s">
        <v>180</v>
      </c>
    </row>
    <row r="8" spans="2:4" ht="18.75" customHeight="1">
      <c r="C8" s="81" t="s">
        <v>189</v>
      </c>
      <c r="D8" s="81" t="s">
        <v>182</v>
      </c>
    </row>
    <row r="9" spans="2:4" ht="18.75" customHeight="1"/>
    <row r="10" spans="2:4" ht="18.75" customHeight="1">
      <c r="B10" s="78" t="s">
        <v>173</v>
      </c>
      <c r="C10" s="77" t="s">
        <v>178</v>
      </c>
    </row>
    <row r="11" spans="2:4" ht="18.75" customHeight="1">
      <c r="C11" s="80" t="s">
        <v>179</v>
      </c>
      <c r="D11" s="80" t="s">
        <v>180</v>
      </c>
    </row>
    <row r="12" spans="2:4" ht="18.75" customHeight="1">
      <c r="C12" s="81" t="s">
        <v>181</v>
      </c>
      <c r="D12" s="81" t="s">
        <v>182</v>
      </c>
    </row>
    <row r="13" spans="2:4" ht="18.75" customHeight="1"/>
    <row r="14" spans="2:4" ht="18.75" customHeight="1">
      <c r="B14" s="78" t="s">
        <v>174</v>
      </c>
      <c r="C14" s="77" t="s">
        <v>178</v>
      </c>
    </row>
    <row r="15" spans="2:4" ht="18.75" customHeight="1">
      <c r="C15" s="80" t="s">
        <v>179</v>
      </c>
      <c r="D15" s="80" t="s">
        <v>180</v>
      </c>
    </row>
    <row r="16" spans="2:4" ht="18.75" customHeight="1">
      <c r="C16" s="81" t="s">
        <v>183</v>
      </c>
      <c r="D16" s="81" t="s">
        <v>182</v>
      </c>
    </row>
    <row r="17" spans="2:4" ht="18.75" customHeight="1"/>
    <row r="18" spans="2:4" ht="18.75" customHeight="1">
      <c r="B18" s="78" t="s">
        <v>175</v>
      </c>
      <c r="C18" s="77" t="s">
        <v>178</v>
      </c>
    </row>
    <row r="19" spans="2:4" ht="18.75" customHeight="1">
      <c r="C19" s="80" t="s">
        <v>179</v>
      </c>
      <c r="D19" s="80" t="s">
        <v>180</v>
      </c>
    </row>
    <row r="20" spans="2:4" ht="18.75" customHeight="1">
      <c r="C20" s="81" t="s">
        <v>184</v>
      </c>
      <c r="D20" s="81" t="s">
        <v>182</v>
      </c>
    </row>
    <row r="21" spans="2:4" ht="18.75" customHeight="1"/>
    <row r="22" spans="2:4" ht="18.75" customHeight="1">
      <c r="B22" s="78" t="s">
        <v>176</v>
      </c>
      <c r="C22" s="77" t="s">
        <v>178</v>
      </c>
    </row>
    <row r="23" spans="2:4" ht="18.75" customHeight="1">
      <c r="C23" s="80" t="s">
        <v>179</v>
      </c>
      <c r="D23" s="80" t="s">
        <v>180</v>
      </c>
    </row>
    <row r="24" spans="2:4" ht="18.75" customHeight="1">
      <c r="C24" s="81" t="s">
        <v>191</v>
      </c>
      <c r="D24" s="81" t="s">
        <v>182</v>
      </c>
    </row>
    <row r="25" spans="2:4" ht="18.75" customHeight="1">
      <c r="C25" s="81" t="s">
        <v>185</v>
      </c>
      <c r="D25" s="81" t="s">
        <v>182</v>
      </c>
    </row>
    <row r="26" spans="2:4" ht="18.75" customHeight="1"/>
    <row r="27" spans="2:4" ht="18.75" customHeight="1">
      <c r="B27" s="78" t="s">
        <v>190</v>
      </c>
      <c r="C27" s="77" t="s">
        <v>178</v>
      </c>
    </row>
    <row r="28" spans="2:4" ht="18.75" customHeight="1">
      <c r="C28" s="80" t="s">
        <v>179</v>
      </c>
      <c r="D28" s="80" t="s">
        <v>180</v>
      </c>
    </row>
    <row r="29" spans="2:4" ht="18.75" customHeight="1">
      <c r="C29" s="81" t="s">
        <v>191</v>
      </c>
      <c r="D29" s="81" t="s">
        <v>192</v>
      </c>
    </row>
    <row r="30" spans="2:4" ht="18.75" customHeight="1">
      <c r="C30" s="81" t="s">
        <v>185</v>
      </c>
      <c r="D30" s="81" t="s">
        <v>182</v>
      </c>
    </row>
    <row r="31" spans="2:4" ht="18.75" customHeight="1"/>
  </sheetData>
  <phoneticPr fontId="12"/>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CJ60"/>
  <sheetViews>
    <sheetView zoomScaleNormal="100" zoomScaleSheetLayoutView="85" workbookViewId="0">
      <pane xSplit="20" ySplit="9" topLeftCell="U10" activePane="bottomRight" state="frozen"/>
      <selection activeCell="X39" sqref="X39"/>
      <selection pane="topRight" activeCell="X39" sqref="X39"/>
      <selection pane="bottomLeft" activeCell="X39" sqref="X39"/>
      <selection pane="bottomRight" activeCell="A6" sqref="A6:I6"/>
    </sheetView>
  </sheetViews>
  <sheetFormatPr defaultColWidth="2.1640625" defaultRowHeight="13.5" customHeight="1"/>
  <cols>
    <col min="1" max="1" width="5" style="3" customWidth="1"/>
    <col min="2" max="14" width="2.1640625" style="3" customWidth="1"/>
    <col min="15" max="15" width="2.33203125" style="3" customWidth="1"/>
    <col min="16" max="19" width="2.1640625" style="3" customWidth="1"/>
    <col min="20" max="20" width="2.5" style="3" customWidth="1"/>
    <col min="21" max="16384" width="2.1640625" style="3"/>
  </cols>
  <sheetData>
    <row r="1" spans="1:88" ht="13.5" customHeight="1">
      <c r="A1" s="152" t="s">
        <v>0</v>
      </c>
      <c r="B1" s="152"/>
      <c r="C1" s="152"/>
      <c r="D1" s="152"/>
      <c r="E1" s="152"/>
      <c r="F1" s="152"/>
      <c r="G1" s="152"/>
      <c r="H1" s="152"/>
      <c r="I1" s="152"/>
      <c r="J1" s="152"/>
      <c r="K1" s="152"/>
      <c r="L1" s="152"/>
      <c r="M1" s="152"/>
      <c r="N1" s="152"/>
      <c r="O1" s="152" t="s">
        <v>1</v>
      </c>
      <c r="P1" s="152"/>
      <c r="Q1" s="152"/>
      <c r="R1" s="152"/>
      <c r="S1" s="152"/>
      <c r="T1" s="152"/>
      <c r="U1" s="152"/>
      <c r="V1" s="152"/>
      <c r="W1" s="152"/>
      <c r="X1" s="152"/>
      <c r="Y1" s="152"/>
      <c r="Z1" s="152"/>
      <c r="AA1" s="152"/>
      <c r="AB1" s="152"/>
      <c r="AC1" s="152" t="s">
        <v>2</v>
      </c>
      <c r="AD1" s="152"/>
      <c r="AE1" s="152"/>
      <c r="AF1" s="152"/>
      <c r="AG1" s="152"/>
      <c r="AH1" s="152"/>
      <c r="AI1" s="152"/>
      <c r="AJ1" s="152"/>
      <c r="AK1" s="152"/>
      <c r="AL1" s="152"/>
      <c r="AM1" s="152"/>
      <c r="AN1" s="152"/>
      <c r="AO1" s="152"/>
      <c r="AP1" s="152"/>
      <c r="AQ1" s="152"/>
      <c r="AR1" s="152" t="s">
        <v>3</v>
      </c>
      <c r="AS1" s="152"/>
      <c r="AT1" s="152"/>
      <c r="AU1" s="152"/>
      <c r="AV1" s="152"/>
      <c r="AW1" s="152"/>
      <c r="AX1" s="152"/>
      <c r="AY1" s="152"/>
      <c r="AZ1" s="152"/>
      <c r="BA1" s="152" t="s">
        <v>4</v>
      </c>
      <c r="BB1" s="152"/>
      <c r="BC1" s="152"/>
      <c r="BD1" s="152"/>
      <c r="BE1" s="152"/>
      <c r="BF1" s="152"/>
      <c r="BG1" s="152"/>
      <c r="BH1" s="152"/>
      <c r="BI1" s="152"/>
      <c r="BJ1" s="152" t="s">
        <v>5</v>
      </c>
      <c r="BK1" s="152"/>
      <c r="BL1" s="152"/>
      <c r="BM1" s="152"/>
      <c r="BN1" s="152"/>
      <c r="BO1" s="152"/>
      <c r="BP1" s="152"/>
      <c r="BQ1" s="152"/>
      <c r="BR1" s="152"/>
      <c r="BS1" s="152" t="s">
        <v>6</v>
      </c>
      <c r="BT1" s="152"/>
      <c r="BU1" s="152"/>
      <c r="BV1" s="152"/>
      <c r="BW1" s="152"/>
      <c r="BX1" s="152"/>
      <c r="BY1" s="152"/>
      <c r="BZ1" s="152"/>
      <c r="CA1" s="152"/>
    </row>
    <row r="2" spans="1:88" ht="13.5" customHeight="1">
      <c r="A2" s="109" t="s">
        <v>112</v>
      </c>
      <c r="B2" s="110"/>
      <c r="C2" s="110"/>
      <c r="D2" s="110"/>
      <c r="E2" s="110"/>
      <c r="F2" s="110"/>
      <c r="G2" s="110"/>
      <c r="H2" s="110"/>
      <c r="I2" s="110"/>
      <c r="J2" s="110"/>
      <c r="K2" s="110"/>
      <c r="L2" s="110"/>
      <c r="M2" s="110"/>
      <c r="N2" s="110"/>
      <c r="O2" s="116" t="str">
        <f>変更履歴!O2</f>
        <v>バイヤ1</v>
      </c>
      <c r="P2" s="116"/>
      <c r="Q2" s="116"/>
      <c r="R2" s="116"/>
      <c r="S2" s="116"/>
      <c r="T2" s="116"/>
      <c r="U2" s="116"/>
      <c r="V2" s="116"/>
      <c r="W2" s="116"/>
      <c r="X2" s="116"/>
      <c r="Y2" s="116"/>
      <c r="Z2" s="116"/>
      <c r="AA2" s="116"/>
      <c r="AB2" s="116"/>
      <c r="AC2" s="116" t="s">
        <v>16</v>
      </c>
      <c r="AD2" s="116"/>
      <c r="AE2" s="116"/>
      <c r="AF2" s="116"/>
      <c r="AG2" s="116"/>
      <c r="AH2" s="116"/>
      <c r="AI2" s="116"/>
      <c r="AJ2" s="116"/>
      <c r="AK2" s="116"/>
      <c r="AL2" s="116"/>
      <c r="AM2" s="116"/>
      <c r="AN2" s="116"/>
      <c r="AO2" s="116"/>
      <c r="AP2" s="116"/>
      <c r="AQ2" s="116"/>
      <c r="AR2" s="159" t="str">
        <f>変更履歴!AV2</f>
        <v>NSSOL 史</v>
      </c>
      <c r="AS2" s="159"/>
      <c r="AT2" s="159"/>
      <c r="AU2" s="159"/>
      <c r="AV2" s="159"/>
      <c r="AW2" s="159"/>
      <c r="AX2" s="159"/>
      <c r="AY2" s="159"/>
      <c r="AZ2" s="159"/>
      <c r="BA2" s="160">
        <f>変更履歴!D5</f>
        <v>43641</v>
      </c>
      <c r="BB2" s="160"/>
      <c r="BC2" s="160"/>
      <c r="BD2" s="160"/>
      <c r="BE2" s="160"/>
      <c r="BF2" s="160"/>
      <c r="BG2" s="160"/>
      <c r="BH2" s="160"/>
      <c r="BI2" s="160"/>
      <c r="BJ2" s="217" t="str">
        <f>変更履歴!BN2</f>
        <v/>
      </c>
      <c r="BK2" s="218"/>
      <c r="BL2" s="218"/>
      <c r="BM2" s="218"/>
      <c r="BN2" s="218"/>
      <c r="BO2" s="218"/>
      <c r="BP2" s="218"/>
      <c r="BQ2" s="218"/>
      <c r="BR2" s="219"/>
      <c r="BS2" s="160" t="str">
        <f>変更履歴!BW2</f>
        <v/>
      </c>
      <c r="BT2" s="159"/>
      <c r="BU2" s="159"/>
      <c r="BV2" s="159"/>
      <c r="BW2" s="159"/>
      <c r="BX2" s="159"/>
      <c r="BY2" s="159"/>
      <c r="BZ2" s="159"/>
      <c r="CA2" s="159"/>
    </row>
    <row r="3" spans="1:88" ht="5.0999999999999996"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row>
    <row r="4" spans="1:88" ht="12">
      <c r="A4" s="45" t="s">
        <v>46</v>
      </c>
      <c r="B4" s="45" t="s">
        <v>47</v>
      </c>
      <c r="C4" s="45" t="s">
        <v>48</v>
      </c>
      <c r="D4" s="45" t="s">
        <v>49</v>
      </c>
      <c r="E4" s="45" t="s">
        <v>50</v>
      </c>
      <c r="F4" s="45" t="s">
        <v>51</v>
      </c>
      <c r="G4" s="45" t="s">
        <v>25</v>
      </c>
      <c r="H4" s="45" t="s">
        <v>30</v>
      </c>
      <c r="I4" s="46" t="s">
        <v>113</v>
      </c>
      <c r="J4" s="45" t="s">
        <v>114</v>
      </c>
      <c r="K4" s="45" t="s">
        <v>54</v>
      </c>
      <c r="L4" s="6"/>
    </row>
    <row r="5" spans="1:88" ht="12">
      <c r="A5" s="47">
        <f>SUM(B5:H5)</f>
        <v>0</v>
      </c>
      <c r="B5" s="47">
        <f>COUNTIF($U40:$IV40,定義!$A$2)</f>
        <v>0</v>
      </c>
      <c r="C5" s="47">
        <f>COUNTIF($U40:$IV40,定義!$A$3)</f>
        <v>0</v>
      </c>
      <c r="D5" s="47">
        <f>COUNTIF($U40:$IV40,定義!$A$4)</f>
        <v>0</v>
      </c>
      <c r="E5" s="47">
        <f>COUNTIF($U40:$IV40,定義!$A$5)</f>
        <v>0</v>
      </c>
      <c r="F5" s="47">
        <f>COUNTIF($U40:$IV40,定義!$A$6)</f>
        <v>0</v>
      </c>
      <c r="G5" s="47">
        <f>COUNTIF($U40:$IV40,定義!$A$7)</f>
        <v>0</v>
      </c>
      <c r="H5" s="47">
        <f>COUNTIF($U40:$IV40,定義!$A$8)</f>
        <v>0</v>
      </c>
      <c r="I5" s="48">
        <f>COUNTIF($U43:$IV43,定義!$D$2)</f>
        <v>0</v>
      </c>
      <c r="J5" s="47">
        <f>COUNTIF($U43:$IV43,定義!$D$3)</f>
        <v>0</v>
      </c>
      <c r="K5" s="47">
        <f>COUNTIF($U43:$IV43,定義!$D$4)</f>
        <v>0</v>
      </c>
      <c r="L5" s="13"/>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row>
    <row r="6" spans="1:88" s="52" customFormat="1" ht="105.75" customHeight="1">
      <c r="A6" s="214" t="s">
        <v>17</v>
      </c>
      <c r="B6" s="215"/>
      <c r="C6" s="215"/>
      <c r="D6" s="215"/>
      <c r="E6" s="215"/>
      <c r="F6" s="215"/>
      <c r="G6" s="215"/>
      <c r="H6" s="215"/>
      <c r="I6" s="216"/>
      <c r="J6" s="156" t="str">
        <f>サマリ!J4</f>
        <v xml:space="preserve">DAD03020：商品番号・数量入力
</v>
      </c>
      <c r="K6" s="157"/>
      <c r="L6" s="157"/>
      <c r="M6" s="157"/>
      <c r="N6" s="157"/>
      <c r="O6" s="157"/>
      <c r="P6" s="157"/>
      <c r="Q6" s="157"/>
      <c r="R6" s="157"/>
      <c r="S6" s="157"/>
      <c r="T6" s="157"/>
      <c r="U6" s="157"/>
      <c r="V6" s="157"/>
      <c r="W6" s="157"/>
      <c r="X6" s="158"/>
      <c r="Y6" s="214" t="s">
        <v>18</v>
      </c>
      <c r="Z6" s="215"/>
      <c r="AA6" s="215"/>
      <c r="AB6" s="215"/>
      <c r="AC6" s="215"/>
      <c r="AD6" s="215"/>
      <c r="AE6" s="215"/>
      <c r="AF6" s="215"/>
      <c r="AG6" s="216"/>
      <c r="AH6" s="156" t="str">
        <f>サマリ!AH4</f>
        <v xml:space="preserve">DAD03020：商品番号・数量入力
</v>
      </c>
      <c r="AI6" s="157"/>
      <c r="AJ6" s="157"/>
      <c r="AK6" s="157"/>
      <c r="AL6" s="157"/>
      <c r="AM6" s="157"/>
      <c r="AN6" s="157"/>
      <c r="AO6" s="157"/>
      <c r="AP6" s="157"/>
      <c r="AQ6" s="157"/>
      <c r="AR6" s="157"/>
      <c r="AS6" s="157"/>
      <c r="AT6" s="157"/>
      <c r="AU6" s="157"/>
      <c r="AV6" s="157"/>
      <c r="AW6" s="157"/>
      <c r="AX6" s="157"/>
      <c r="AY6" s="157"/>
      <c r="AZ6" s="157"/>
      <c r="BA6" s="157"/>
      <c r="BB6" s="157"/>
      <c r="BC6" s="158"/>
      <c r="BD6" s="50"/>
      <c r="BE6" s="51"/>
      <c r="BF6" s="51"/>
      <c r="BG6" s="51"/>
      <c r="BH6" s="51"/>
      <c r="BI6" s="51"/>
      <c r="BJ6" s="51"/>
      <c r="BK6" s="51"/>
      <c r="BL6" s="51"/>
      <c r="BM6" s="51"/>
      <c r="BN6" s="51"/>
      <c r="BO6" s="51"/>
      <c r="BP6" s="51"/>
      <c r="BQ6" s="51"/>
      <c r="BR6" s="51"/>
      <c r="BS6" s="51"/>
      <c r="BT6" s="51"/>
      <c r="BU6" s="51"/>
      <c r="BV6" s="51"/>
      <c r="BW6" s="51"/>
      <c r="BX6" s="51"/>
      <c r="BY6" s="51"/>
      <c r="BZ6" s="51"/>
      <c r="CA6" s="51"/>
    </row>
    <row r="7" spans="1:88" ht="4.5" customHeight="1"/>
    <row r="8" spans="1:88" s="44" customFormat="1" ht="13.5" customHeight="1">
      <c r="A8" s="208"/>
      <c r="B8" s="209"/>
      <c r="C8" s="209"/>
      <c r="D8" s="209"/>
      <c r="E8" s="209"/>
      <c r="F8" s="209"/>
      <c r="G8" s="209"/>
      <c r="H8" s="209"/>
      <c r="I8" s="209"/>
      <c r="J8" s="209"/>
      <c r="K8" s="209"/>
      <c r="L8" s="209"/>
      <c r="M8" s="209"/>
      <c r="N8" s="209"/>
      <c r="O8" s="209"/>
      <c r="P8" s="209"/>
      <c r="Q8" s="209"/>
      <c r="R8" s="209"/>
      <c r="S8" s="209"/>
      <c r="T8" s="210"/>
      <c r="U8" s="41" t="s">
        <v>115</v>
      </c>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c r="CE8" s="42"/>
      <c r="CF8" s="42"/>
      <c r="CG8" s="42"/>
      <c r="CH8" s="42"/>
      <c r="CI8" s="42"/>
      <c r="CJ8" s="43"/>
    </row>
    <row r="9" spans="1:88" s="44" customFormat="1" ht="13.5" customHeight="1">
      <c r="A9" s="211"/>
      <c r="B9" s="212"/>
      <c r="C9" s="212"/>
      <c r="D9" s="212"/>
      <c r="E9" s="212"/>
      <c r="F9" s="212"/>
      <c r="G9" s="212"/>
      <c r="H9" s="212"/>
      <c r="I9" s="212"/>
      <c r="J9" s="212"/>
      <c r="K9" s="212"/>
      <c r="L9" s="212"/>
      <c r="M9" s="212"/>
      <c r="N9" s="212"/>
      <c r="O9" s="212"/>
      <c r="P9" s="212"/>
      <c r="Q9" s="212"/>
      <c r="R9" s="212"/>
      <c r="S9" s="212"/>
      <c r="T9" s="213"/>
      <c r="U9" s="206" t="s">
        <v>116</v>
      </c>
      <c r="V9" s="207"/>
      <c r="W9" s="206" t="s">
        <v>117</v>
      </c>
      <c r="X9" s="207"/>
      <c r="Y9" s="206" t="s">
        <v>118</v>
      </c>
      <c r="Z9" s="207"/>
      <c r="AA9" s="206" t="s">
        <v>119</v>
      </c>
      <c r="AB9" s="207"/>
      <c r="AC9" s="206" t="s">
        <v>120</v>
      </c>
      <c r="AD9" s="207"/>
      <c r="AE9" s="206" t="s">
        <v>122</v>
      </c>
      <c r="AF9" s="207"/>
      <c r="AG9" s="206" t="s">
        <v>123</v>
      </c>
      <c r="AH9" s="207"/>
      <c r="AI9" s="206" t="s">
        <v>124</v>
      </c>
      <c r="AJ9" s="207"/>
      <c r="AK9" s="206" t="s">
        <v>126</v>
      </c>
      <c r="AL9" s="207"/>
      <c r="AM9" s="206" t="s">
        <v>127</v>
      </c>
      <c r="AN9" s="207"/>
      <c r="AO9" s="206" t="s">
        <v>128</v>
      </c>
      <c r="AP9" s="207"/>
      <c r="AQ9" s="206" t="s">
        <v>129</v>
      </c>
      <c r="AR9" s="207"/>
      <c r="AS9" s="206" t="s">
        <v>130</v>
      </c>
      <c r="AT9" s="207"/>
      <c r="AU9" s="206" t="s">
        <v>131</v>
      </c>
      <c r="AV9" s="207"/>
      <c r="AW9" s="206" t="s">
        <v>132</v>
      </c>
      <c r="AX9" s="207"/>
      <c r="AY9" s="206" t="s">
        <v>133</v>
      </c>
      <c r="AZ9" s="207"/>
      <c r="BA9" s="206" t="s">
        <v>134</v>
      </c>
      <c r="BB9" s="207"/>
      <c r="BC9" s="206" t="s">
        <v>135</v>
      </c>
      <c r="BD9" s="207"/>
      <c r="BE9" s="206" t="s">
        <v>136</v>
      </c>
      <c r="BF9" s="207"/>
      <c r="BG9" s="206" t="s">
        <v>137</v>
      </c>
      <c r="BH9" s="207"/>
      <c r="BI9" s="206" t="s">
        <v>138</v>
      </c>
      <c r="BJ9" s="207"/>
      <c r="BK9" s="206" t="s">
        <v>139</v>
      </c>
      <c r="BL9" s="207"/>
      <c r="BM9" s="206" t="s">
        <v>140</v>
      </c>
      <c r="BN9" s="207"/>
      <c r="BO9" s="206" t="s">
        <v>141</v>
      </c>
      <c r="BP9" s="207"/>
      <c r="BQ9" s="206" t="s">
        <v>144</v>
      </c>
      <c r="BR9" s="207"/>
      <c r="BS9" s="206" t="s">
        <v>145</v>
      </c>
      <c r="BT9" s="207"/>
      <c r="BU9" s="206" t="s">
        <v>146</v>
      </c>
      <c r="BV9" s="207"/>
      <c r="BW9" s="206" t="s">
        <v>147</v>
      </c>
      <c r="BX9" s="207"/>
      <c r="BY9" s="206" t="s">
        <v>148</v>
      </c>
      <c r="BZ9" s="207"/>
      <c r="CA9" s="206" t="s">
        <v>149</v>
      </c>
      <c r="CB9" s="207"/>
      <c r="CC9" s="206" t="s">
        <v>150</v>
      </c>
      <c r="CD9" s="207"/>
      <c r="CE9" s="206" t="s">
        <v>151</v>
      </c>
      <c r="CF9" s="207"/>
      <c r="CG9" s="206" t="s">
        <v>152</v>
      </c>
      <c r="CH9" s="207"/>
      <c r="CI9" s="206" t="s">
        <v>153</v>
      </c>
      <c r="CJ9" s="207"/>
    </row>
    <row r="10" spans="1:88" s="44" customFormat="1" ht="13.5" customHeight="1">
      <c r="A10" s="245" t="s">
        <v>125</v>
      </c>
      <c r="B10" s="54"/>
      <c r="C10" s="64"/>
      <c r="D10" s="64"/>
      <c r="E10" s="64"/>
      <c r="F10" s="64"/>
      <c r="G10" s="64"/>
      <c r="H10" s="64"/>
      <c r="I10" s="64"/>
      <c r="J10" s="64"/>
      <c r="K10" s="64"/>
      <c r="L10" s="64"/>
      <c r="M10" s="64"/>
      <c r="N10" s="64"/>
      <c r="O10" s="64"/>
      <c r="P10" s="64"/>
      <c r="Q10" s="64"/>
      <c r="R10" s="64"/>
      <c r="S10" s="66"/>
      <c r="T10" s="68"/>
      <c r="U10" s="220"/>
      <c r="V10" s="220"/>
      <c r="W10" s="220"/>
      <c r="X10" s="220"/>
      <c r="Y10" s="220"/>
      <c r="Z10" s="220"/>
      <c r="AA10" s="220"/>
      <c r="AB10" s="220"/>
      <c r="AC10" s="220"/>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20"/>
      <c r="AZ10" s="220"/>
      <c r="BA10" s="220"/>
      <c r="BB10" s="220"/>
      <c r="BC10" s="220"/>
      <c r="BD10" s="220"/>
      <c r="BE10" s="220"/>
      <c r="BF10" s="220"/>
      <c r="BG10" s="220"/>
      <c r="BH10" s="220"/>
      <c r="BI10" s="220"/>
      <c r="BJ10" s="220"/>
      <c r="BK10" s="220"/>
      <c r="BL10" s="220"/>
      <c r="BM10" s="220"/>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42"/>
    </row>
    <row r="11" spans="1:88" s="44" customFormat="1" ht="13.5" customHeight="1">
      <c r="A11" s="182"/>
      <c r="B11" s="55"/>
      <c r="C11" s="56"/>
      <c r="D11" s="56"/>
      <c r="E11" s="56"/>
      <c r="F11" s="56"/>
      <c r="G11" s="56"/>
      <c r="H11" s="56"/>
      <c r="I11" s="56"/>
      <c r="J11" s="56"/>
      <c r="K11" s="56"/>
      <c r="L11" s="56"/>
      <c r="M11" s="56"/>
      <c r="N11" s="56"/>
      <c r="O11" s="56"/>
      <c r="P11" s="56"/>
      <c r="Q11" s="56"/>
      <c r="R11" s="56"/>
      <c r="S11" s="56"/>
      <c r="T11" s="69"/>
      <c r="U11" s="243"/>
      <c r="V11" s="227"/>
      <c r="W11" s="227"/>
      <c r="X11" s="227"/>
      <c r="Y11" s="227"/>
      <c r="Z11" s="227"/>
      <c r="AA11" s="227"/>
      <c r="AB11" s="227"/>
      <c r="AC11" s="227"/>
      <c r="AD11" s="227"/>
      <c r="AE11" s="227"/>
      <c r="AF11" s="227"/>
      <c r="AG11" s="227"/>
      <c r="AH11" s="227"/>
      <c r="AI11" s="227"/>
      <c r="AJ11" s="227"/>
      <c r="AK11" s="227"/>
      <c r="AL11" s="227"/>
      <c r="AM11" s="227"/>
      <c r="AN11" s="227"/>
      <c r="AO11" s="227"/>
      <c r="AP11" s="227"/>
      <c r="AQ11" s="227"/>
      <c r="AR11" s="227"/>
      <c r="AS11" s="227"/>
      <c r="AT11" s="227"/>
      <c r="AU11" s="227"/>
      <c r="AV11" s="227"/>
      <c r="AW11" s="227"/>
      <c r="AX11" s="227"/>
      <c r="AY11" s="227"/>
      <c r="AZ11" s="227"/>
      <c r="BA11" s="227"/>
      <c r="BB11" s="227"/>
      <c r="BC11" s="227"/>
      <c r="BD11" s="227"/>
      <c r="BE11" s="227"/>
      <c r="BF11" s="227"/>
      <c r="BG11" s="227"/>
      <c r="BH11" s="227"/>
      <c r="BI11" s="227"/>
      <c r="BJ11" s="227"/>
      <c r="BK11" s="227"/>
      <c r="BL11" s="227"/>
      <c r="BM11" s="227"/>
      <c r="BN11" s="227"/>
      <c r="BO11" s="227"/>
      <c r="BP11" s="227"/>
      <c r="BQ11" s="227"/>
      <c r="BR11" s="227"/>
      <c r="BS11" s="227"/>
      <c r="BT11" s="227"/>
      <c r="BU11" s="227"/>
      <c r="BV11" s="227"/>
      <c r="BW11" s="227"/>
      <c r="BX11" s="227"/>
      <c r="BY11" s="227"/>
      <c r="BZ11" s="227"/>
      <c r="CA11" s="227"/>
      <c r="CB11" s="227"/>
      <c r="CC11" s="227"/>
      <c r="CD11" s="227"/>
      <c r="CE11" s="227"/>
      <c r="CF11" s="227"/>
      <c r="CG11" s="227"/>
      <c r="CH11" s="227"/>
      <c r="CI11" s="227"/>
      <c r="CJ11" s="244"/>
    </row>
    <row r="12" spans="1:88" s="44" customFormat="1" ht="13.5" customHeight="1">
      <c r="A12" s="182"/>
      <c r="B12" s="55"/>
      <c r="C12" s="56"/>
      <c r="D12" s="56"/>
      <c r="E12" s="56"/>
      <c r="F12" s="56"/>
      <c r="G12" s="56"/>
      <c r="H12" s="56"/>
      <c r="I12" s="56"/>
      <c r="J12" s="56"/>
      <c r="K12" s="56"/>
      <c r="L12" s="56"/>
      <c r="M12" s="56"/>
      <c r="N12" s="56"/>
      <c r="O12" s="56"/>
      <c r="P12" s="56"/>
      <c r="Q12" s="56"/>
      <c r="R12" s="56"/>
      <c r="S12" s="56"/>
      <c r="T12" s="69"/>
      <c r="U12" s="223"/>
      <c r="V12" s="161"/>
      <c r="W12" s="161"/>
      <c r="X12" s="161"/>
      <c r="Y12" s="161"/>
      <c r="Z12" s="161"/>
      <c r="AA12" s="161"/>
      <c r="AB12" s="161"/>
      <c r="AC12" s="161"/>
      <c r="AD12" s="161"/>
      <c r="AE12" s="161"/>
      <c r="AF12" s="161"/>
      <c r="AG12" s="161"/>
      <c r="AH12" s="161"/>
      <c r="AI12" s="161"/>
      <c r="AJ12" s="161"/>
      <c r="AK12" s="161"/>
      <c r="AL12" s="161"/>
      <c r="AM12" s="161"/>
      <c r="AN12" s="161"/>
      <c r="AO12" s="161"/>
      <c r="AP12" s="161"/>
      <c r="AQ12" s="161"/>
      <c r="AR12" s="161"/>
      <c r="AS12" s="161"/>
      <c r="AT12" s="161"/>
      <c r="AU12" s="161"/>
      <c r="AV12" s="161"/>
      <c r="AW12" s="161"/>
      <c r="AX12" s="161"/>
      <c r="AY12" s="161"/>
      <c r="AZ12" s="161"/>
      <c r="BA12" s="161"/>
      <c r="BB12" s="161"/>
      <c r="BC12" s="161"/>
      <c r="BD12" s="161"/>
      <c r="BE12" s="161"/>
      <c r="BF12" s="161"/>
      <c r="BG12" s="161"/>
      <c r="BH12" s="161"/>
      <c r="BI12" s="161"/>
      <c r="BJ12" s="161"/>
      <c r="BK12" s="161"/>
      <c r="BL12" s="161"/>
      <c r="BM12" s="161"/>
      <c r="BN12" s="161"/>
      <c r="BO12" s="161"/>
      <c r="BP12" s="161"/>
      <c r="BQ12" s="161"/>
      <c r="BR12" s="161"/>
      <c r="BS12" s="161"/>
      <c r="BT12" s="161"/>
      <c r="BU12" s="161"/>
      <c r="BV12" s="161"/>
      <c r="BW12" s="161"/>
      <c r="BX12" s="161"/>
      <c r="BY12" s="161"/>
      <c r="BZ12" s="161"/>
      <c r="CA12" s="161"/>
      <c r="CB12" s="161"/>
      <c r="CC12" s="161"/>
      <c r="CD12" s="161"/>
      <c r="CE12" s="161"/>
      <c r="CF12" s="161"/>
      <c r="CG12" s="161"/>
      <c r="CH12" s="161"/>
      <c r="CI12" s="161"/>
      <c r="CJ12" s="162"/>
    </row>
    <row r="13" spans="1:88" s="44" customFormat="1" ht="13.5" customHeight="1">
      <c r="A13" s="182"/>
      <c r="B13" s="55"/>
      <c r="C13" s="56"/>
      <c r="D13" s="56"/>
      <c r="E13" s="56"/>
      <c r="F13" s="56"/>
      <c r="G13" s="56"/>
      <c r="H13" s="56"/>
      <c r="I13" s="56"/>
      <c r="J13" s="56"/>
      <c r="K13" s="56"/>
      <c r="L13" s="56"/>
      <c r="M13" s="56"/>
      <c r="N13" s="56"/>
      <c r="O13" s="56"/>
      <c r="P13" s="56"/>
      <c r="Q13" s="56"/>
      <c r="R13" s="56"/>
      <c r="S13" s="56"/>
      <c r="T13" s="69"/>
      <c r="U13" s="223"/>
      <c r="V13" s="161"/>
      <c r="W13" s="161"/>
      <c r="X13" s="161"/>
      <c r="Y13" s="161"/>
      <c r="Z13" s="161"/>
      <c r="AA13" s="161"/>
      <c r="AB13" s="161"/>
      <c r="AC13" s="161"/>
      <c r="AD13" s="161"/>
      <c r="AE13" s="161"/>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1"/>
      <c r="BE13" s="161"/>
      <c r="BF13" s="161"/>
      <c r="BG13" s="161"/>
      <c r="BH13" s="161"/>
      <c r="BI13" s="161"/>
      <c r="BJ13" s="161"/>
      <c r="BK13" s="161"/>
      <c r="BL13" s="161"/>
      <c r="BM13" s="161"/>
      <c r="BN13" s="161"/>
      <c r="BO13" s="161"/>
      <c r="BP13" s="161"/>
      <c r="BQ13" s="161"/>
      <c r="BR13" s="161"/>
      <c r="BS13" s="161"/>
      <c r="BT13" s="161"/>
      <c r="BU13" s="161"/>
      <c r="BV13" s="161"/>
      <c r="BW13" s="161"/>
      <c r="BX13" s="161"/>
      <c r="BY13" s="161"/>
      <c r="BZ13" s="161"/>
      <c r="CA13" s="161"/>
      <c r="CB13" s="161"/>
      <c r="CC13" s="161"/>
      <c r="CD13" s="161"/>
      <c r="CE13" s="161"/>
      <c r="CF13" s="161"/>
      <c r="CG13" s="161"/>
      <c r="CH13" s="161"/>
      <c r="CI13" s="161"/>
      <c r="CJ13" s="162"/>
    </row>
    <row r="14" spans="1:88" s="44" customFormat="1" ht="13.5" customHeight="1">
      <c r="A14" s="182"/>
      <c r="B14" s="55"/>
      <c r="C14" s="56"/>
      <c r="D14" s="56"/>
      <c r="E14" s="56"/>
      <c r="F14" s="56"/>
      <c r="G14" s="56"/>
      <c r="H14" s="56"/>
      <c r="I14" s="56"/>
      <c r="J14" s="56"/>
      <c r="K14" s="56"/>
      <c r="L14" s="56"/>
      <c r="M14" s="56"/>
      <c r="N14" s="56"/>
      <c r="O14" s="56"/>
      <c r="P14" s="56"/>
      <c r="Q14" s="56"/>
      <c r="R14" s="56"/>
      <c r="S14" s="56"/>
      <c r="T14" s="69"/>
      <c r="U14" s="223"/>
      <c r="V14" s="161"/>
      <c r="W14" s="161"/>
      <c r="X14" s="161"/>
      <c r="Y14" s="161"/>
      <c r="Z14" s="161"/>
      <c r="AA14" s="161"/>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161"/>
      <c r="AY14" s="161"/>
      <c r="AZ14" s="161"/>
      <c r="BA14" s="161"/>
      <c r="BB14" s="161"/>
      <c r="BC14" s="161"/>
      <c r="BD14" s="161"/>
      <c r="BE14" s="161"/>
      <c r="BF14" s="161"/>
      <c r="BG14" s="161"/>
      <c r="BH14" s="161"/>
      <c r="BI14" s="161"/>
      <c r="BJ14" s="161"/>
      <c r="BK14" s="161"/>
      <c r="BL14" s="161"/>
      <c r="BM14" s="161"/>
      <c r="BN14" s="161"/>
      <c r="BO14" s="161"/>
      <c r="BP14" s="161"/>
      <c r="BQ14" s="161"/>
      <c r="BR14" s="161"/>
      <c r="BS14" s="161"/>
      <c r="BT14" s="161"/>
      <c r="BU14" s="161"/>
      <c r="BV14" s="161"/>
      <c r="BW14" s="161"/>
      <c r="BX14" s="161"/>
      <c r="BY14" s="161"/>
      <c r="BZ14" s="161"/>
      <c r="CA14" s="161"/>
      <c r="CB14" s="161"/>
      <c r="CC14" s="161"/>
      <c r="CD14" s="161"/>
      <c r="CE14" s="161"/>
      <c r="CF14" s="161"/>
      <c r="CG14" s="161"/>
      <c r="CH14" s="161"/>
      <c r="CI14" s="161"/>
      <c r="CJ14" s="162"/>
    </row>
    <row r="15" spans="1:88" s="44" customFormat="1" ht="13.5" customHeight="1">
      <c r="A15" s="182"/>
      <c r="B15" s="55"/>
      <c r="C15" s="56"/>
      <c r="D15" s="56"/>
      <c r="E15" s="56"/>
      <c r="F15" s="56"/>
      <c r="G15" s="56"/>
      <c r="H15" s="56"/>
      <c r="I15" s="56"/>
      <c r="J15" s="56"/>
      <c r="K15" s="56"/>
      <c r="L15" s="56"/>
      <c r="M15" s="56"/>
      <c r="N15" s="56"/>
      <c r="O15" s="56"/>
      <c r="P15" s="56"/>
      <c r="Q15" s="56"/>
      <c r="R15" s="56"/>
      <c r="S15" s="65"/>
      <c r="T15" s="69"/>
      <c r="U15" s="223"/>
      <c r="V15" s="161"/>
      <c r="W15" s="161"/>
      <c r="X15" s="161"/>
      <c r="Y15" s="161"/>
      <c r="Z15" s="161"/>
      <c r="AA15" s="161"/>
      <c r="AB15" s="161"/>
      <c r="AC15" s="161"/>
      <c r="AD15" s="161"/>
      <c r="AE15" s="161"/>
      <c r="AF15" s="161"/>
      <c r="AG15" s="161"/>
      <c r="AH15" s="161"/>
      <c r="AI15" s="161"/>
      <c r="AJ15" s="161"/>
      <c r="AK15" s="161"/>
      <c r="AL15" s="161"/>
      <c r="AM15" s="161"/>
      <c r="AN15" s="161"/>
      <c r="AO15" s="161"/>
      <c r="AP15" s="161"/>
      <c r="AQ15" s="161"/>
      <c r="AR15" s="161"/>
      <c r="AS15" s="161"/>
      <c r="AT15" s="161"/>
      <c r="AU15" s="161"/>
      <c r="AV15" s="161"/>
      <c r="AW15" s="161"/>
      <c r="AX15" s="161"/>
      <c r="AY15" s="161"/>
      <c r="AZ15" s="161"/>
      <c r="BA15" s="161"/>
      <c r="BB15" s="161"/>
      <c r="BC15" s="161"/>
      <c r="BD15" s="161"/>
      <c r="BE15" s="161"/>
      <c r="BF15" s="161"/>
      <c r="BG15" s="161"/>
      <c r="BH15" s="161"/>
      <c r="BI15" s="161"/>
      <c r="BJ15" s="161"/>
      <c r="BK15" s="161"/>
      <c r="BL15" s="161"/>
      <c r="BM15" s="161"/>
      <c r="BN15" s="161"/>
      <c r="BO15" s="161"/>
      <c r="BP15" s="161"/>
      <c r="BQ15" s="161"/>
      <c r="BR15" s="161"/>
      <c r="BS15" s="161"/>
      <c r="BT15" s="161"/>
      <c r="BU15" s="161"/>
      <c r="BV15" s="161"/>
      <c r="BW15" s="161"/>
      <c r="BX15" s="161"/>
      <c r="BY15" s="161"/>
      <c r="BZ15" s="161"/>
      <c r="CA15" s="161"/>
      <c r="CB15" s="161"/>
      <c r="CC15" s="161"/>
      <c r="CD15" s="161"/>
      <c r="CE15" s="161"/>
      <c r="CF15" s="161"/>
      <c r="CG15" s="161"/>
      <c r="CH15" s="161"/>
      <c r="CI15" s="161"/>
      <c r="CJ15" s="162"/>
    </row>
    <row r="16" spans="1:88" s="44" customFormat="1" ht="13.5" customHeight="1">
      <c r="A16" s="182"/>
      <c r="B16" s="55"/>
      <c r="C16" s="56"/>
      <c r="D16" s="56"/>
      <c r="E16" s="56"/>
      <c r="F16" s="56"/>
      <c r="G16" s="56"/>
      <c r="H16" s="56"/>
      <c r="I16" s="56"/>
      <c r="J16" s="56"/>
      <c r="K16" s="56"/>
      <c r="L16" s="56"/>
      <c r="M16" s="56"/>
      <c r="N16" s="56"/>
      <c r="O16" s="56"/>
      <c r="P16" s="56"/>
      <c r="Q16" s="56"/>
      <c r="R16" s="56"/>
      <c r="S16" s="56"/>
      <c r="T16" s="69"/>
      <c r="U16" s="223"/>
      <c r="V16" s="161"/>
      <c r="W16" s="161"/>
      <c r="X16" s="161"/>
      <c r="Y16" s="161"/>
      <c r="Z16" s="161"/>
      <c r="AA16" s="161"/>
      <c r="AB16" s="161"/>
      <c r="AC16" s="161"/>
      <c r="AD16" s="161"/>
      <c r="AE16" s="161"/>
      <c r="AF16" s="161"/>
      <c r="AG16" s="161"/>
      <c r="AH16" s="161"/>
      <c r="AI16" s="161"/>
      <c r="AJ16" s="161"/>
      <c r="AK16" s="161"/>
      <c r="AL16" s="161"/>
      <c r="AM16" s="161"/>
      <c r="AN16" s="161"/>
      <c r="AO16" s="161"/>
      <c r="AP16" s="161"/>
      <c r="AQ16" s="161"/>
      <c r="AR16" s="161"/>
      <c r="AS16" s="161"/>
      <c r="AT16" s="161"/>
      <c r="AU16" s="161"/>
      <c r="AV16" s="161"/>
      <c r="AW16" s="161"/>
      <c r="AX16" s="161"/>
      <c r="AY16" s="161"/>
      <c r="AZ16" s="161"/>
      <c r="BA16" s="161"/>
      <c r="BB16" s="161"/>
      <c r="BC16" s="161"/>
      <c r="BD16" s="161"/>
      <c r="BE16" s="161"/>
      <c r="BF16" s="161"/>
      <c r="BG16" s="161"/>
      <c r="BH16" s="161"/>
      <c r="BI16" s="161"/>
      <c r="BJ16" s="161"/>
      <c r="BK16" s="161"/>
      <c r="BL16" s="161"/>
      <c r="BM16" s="161"/>
      <c r="BN16" s="161"/>
      <c r="BO16" s="161"/>
      <c r="BP16" s="161"/>
      <c r="BQ16" s="161"/>
      <c r="BR16" s="161"/>
      <c r="BS16" s="161"/>
      <c r="BT16" s="161"/>
      <c r="BU16" s="161"/>
      <c r="BV16" s="161"/>
      <c r="BW16" s="161"/>
      <c r="BX16" s="161"/>
      <c r="BY16" s="161"/>
      <c r="BZ16" s="161"/>
      <c r="CA16" s="161"/>
      <c r="CB16" s="161"/>
      <c r="CC16" s="161"/>
      <c r="CD16" s="161"/>
      <c r="CE16" s="161"/>
      <c r="CF16" s="161"/>
      <c r="CG16" s="161"/>
      <c r="CH16" s="161"/>
      <c r="CI16" s="161"/>
      <c r="CJ16" s="162"/>
    </row>
    <row r="17" spans="1:88" s="44" customFormat="1" ht="13.5" customHeight="1">
      <c r="A17" s="182"/>
      <c r="B17" s="55"/>
      <c r="C17" s="56"/>
      <c r="D17" s="56"/>
      <c r="E17" s="56"/>
      <c r="F17" s="56"/>
      <c r="G17" s="56"/>
      <c r="H17" s="56"/>
      <c r="I17" s="56"/>
      <c r="J17" s="56"/>
      <c r="K17" s="56"/>
      <c r="L17" s="56"/>
      <c r="M17" s="56"/>
      <c r="N17" s="56"/>
      <c r="O17" s="56"/>
      <c r="P17" s="56"/>
      <c r="Q17" s="56"/>
      <c r="R17" s="56"/>
      <c r="S17" s="56"/>
      <c r="T17" s="69"/>
      <c r="U17" s="223"/>
      <c r="V17" s="161"/>
      <c r="W17" s="161"/>
      <c r="X17" s="161"/>
      <c r="Y17" s="161"/>
      <c r="Z17" s="161"/>
      <c r="AA17" s="161"/>
      <c r="AB17" s="161"/>
      <c r="AC17" s="161"/>
      <c r="AD17" s="161"/>
      <c r="AE17" s="161"/>
      <c r="AF17" s="161"/>
      <c r="AG17" s="161"/>
      <c r="AH17" s="161"/>
      <c r="AI17" s="161"/>
      <c r="AJ17" s="161"/>
      <c r="AK17" s="161"/>
      <c r="AL17" s="161"/>
      <c r="AM17" s="161"/>
      <c r="AN17" s="161"/>
      <c r="AO17" s="161"/>
      <c r="AP17" s="161"/>
      <c r="AQ17" s="161"/>
      <c r="AR17" s="161"/>
      <c r="AS17" s="161"/>
      <c r="AT17" s="161"/>
      <c r="AU17" s="161"/>
      <c r="AV17" s="161"/>
      <c r="AW17" s="161"/>
      <c r="AX17" s="161"/>
      <c r="AY17" s="161"/>
      <c r="AZ17" s="161"/>
      <c r="BA17" s="161"/>
      <c r="BB17" s="161"/>
      <c r="BC17" s="161"/>
      <c r="BD17" s="161"/>
      <c r="BE17" s="161"/>
      <c r="BF17" s="161"/>
      <c r="BG17" s="161"/>
      <c r="BH17" s="161"/>
      <c r="BI17" s="161"/>
      <c r="BJ17" s="161"/>
      <c r="BK17" s="161"/>
      <c r="BL17" s="161"/>
      <c r="BM17" s="161"/>
      <c r="BN17" s="161"/>
      <c r="BO17" s="161"/>
      <c r="BP17" s="161"/>
      <c r="BQ17" s="161"/>
      <c r="BR17" s="161"/>
      <c r="BS17" s="161"/>
      <c r="BT17" s="161"/>
      <c r="BU17" s="161"/>
      <c r="BV17" s="161"/>
      <c r="BW17" s="161"/>
      <c r="BX17" s="161"/>
      <c r="BY17" s="161"/>
      <c r="BZ17" s="161"/>
      <c r="CA17" s="161"/>
      <c r="CB17" s="161"/>
      <c r="CC17" s="161"/>
      <c r="CD17" s="161"/>
      <c r="CE17" s="161"/>
      <c r="CF17" s="161"/>
      <c r="CG17" s="161"/>
      <c r="CH17" s="161"/>
      <c r="CI17" s="161"/>
      <c r="CJ17" s="162"/>
    </row>
    <row r="18" spans="1:88" s="44" customFormat="1" ht="13.5" customHeight="1">
      <c r="A18" s="182"/>
      <c r="B18" s="55"/>
      <c r="C18" s="56"/>
      <c r="D18" s="56"/>
      <c r="E18" s="56"/>
      <c r="F18" s="56"/>
      <c r="G18" s="56"/>
      <c r="H18" s="56"/>
      <c r="I18" s="56"/>
      <c r="J18" s="56"/>
      <c r="K18" s="56"/>
      <c r="L18" s="56"/>
      <c r="M18" s="56"/>
      <c r="N18" s="56"/>
      <c r="O18" s="56"/>
      <c r="P18" s="56"/>
      <c r="Q18" s="56"/>
      <c r="R18" s="56"/>
      <c r="S18" s="56"/>
      <c r="T18" s="69"/>
      <c r="U18" s="223"/>
      <c r="V18" s="161"/>
      <c r="W18" s="161"/>
      <c r="X18" s="161"/>
      <c r="Y18" s="161"/>
      <c r="Z18" s="161"/>
      <c r="AA18" s="161"/>
      <c r="AB18" s="161"/>
      <c r="AC18" s="161"/>
      <c r="AD18" s="161"/>
      <c r="AE18" s="161"/>
      <c r="AF18" s="161"/>
      <c r="AG18" s="161"/>
      <c r="AH18" s="161"/>
      <c r="AI18" s="161"/>
      <c r="AJ18" s="161"/>
      <c r="AK18" s="161"/>
      <c r="AL18" s="161"/>
      <c r="AM18" s="161"/>
      <c r="AN18" s="161"/>
      <c r="AO18" s="161"/>
      <c r="AP18" s="161"/>
      <c r="AQ18" s="161"/>
      <c r="AR18" s="161"/>
      <c r="AS18" s="161"/>
      <c r="AT18" s="161"/>
      <c r="AU18" s="161"/>
      <c r="AV18" s="161"/>
      <c r="AW18" s="161"/>
      <c r="AX18" s="161"/>
      <c r="AY18" s="161"/>
      <c r="AZ18" s="161"/>
      <c r="BA18" s="161"/>
      <c r="BB18" s="161"/>
      <c r="BC18" s="161"/>
      <c r="BD18" s="161"/>
      <c r="BE18" s="161"/>
      <c r="BF18" s="161"/>
      <c r="BG18" s="161"/>
      <c r="BH18" s="161"/>
      <c r="BI18" s="161"/>
      <c r="BJ18" s="161"/>
      <c r="BK18" s="161"/>
      <c r="BL18" s="161"/>
      <c r="BM18" s="161"/>
      <c r="BN18" s="161"/>
      <c r="BO18" s="161"/>
      <c r="BP18" s="161"/>
      <c r="BQ18" s="161"/>
      <c r="BR18" s="161"/>
      <c r="BS18" s="161"/>
      <c r="BT18" s="161"/>
      <c r="BU18" s="161"/>
      <c r="BV18" s="161"/>
      <c r="BW18" s="161"/>
      <c r="BX18" s="161"/>
      <c r="BY18" s="161"/>
      <c r="BZ18" s="161"/>
      <c r="CA18" s="161"/>
      <c r="CB18" s="161"/>
      <c r="CC18" s="161"/>
      <c r="CD18" s="161"/>
      <c r="CE18" s="161"/>
      <c r="CF18" s="161"/>
      <c r="CG18" s="161"/>
      <c r="CH18" s="161"/>
      <c r="CI18" s="161"/>
      <c r="CJ18" s="162"/>
    </row>
    <row r="19" spans="1:88" s="44" customFormat="1" ht="13.5" customHeight="1">
      <c r="A19" s="182"/>
      <c r="B19" s="55"/>
      <c r="C19" s="56"/>
      <c r="D19" s="56"/>
      <c r="E19" s="56"/>
      <c r="F19" s="56"/>
      <c r="G19" s="56"/>
      <c r="H19" s="56"/>
      <c r="I19" s="56"/>
      <c r="J19" s="56"/>
      <c r="K19" s="56"/>
      <c r="L19" s="56"/>
      <c r="M19" s="56"/>
      <c r="N19" s="56"/>
      <c r="O19" s="56"/>
      <c r="P19" s="56"/>
      <c r="Q19" s="56"/>
      <c r="R19" s="56"/>
      <c r="S19" s="56"/>
      <c r="T19" s="69"/>
      <c r="U19" s="223"/>
      <c r="V19" s="161"/>
      <c r="W19" s="161"/>
      <c r="X19" s="161"/>
      <c r="Y19" s="161"/>
      <c r="Z19" s="161"/>
      <c r="AA19" s="161"/>
      <c r="AB19" s="161"/>
      <c r="AC19" s="161"/>
      <c r="AD19" s="161"/>
      <c r="AE19" s="161"/>
      <c r="AF19" s="161"/>
      <c r="AG19" s="161"/>
      <c r="AH19" s="161"/>
      <c r="AI19" s="161"/>
      <c r="AJ19" s="161"/>
      <c r="AK19" s="161"/>
      <c r="AL19" s="161"/>
      <c r="AM19" s="161"/>
      <c r="AN19" s="161"/>
      <c r="AO19" s="161"/>
      <c r="AP19" s="161"/>
      <c r="AQ19" s="161"/>
      <c r="AR19" s="161"/>
      <c r="AS19" s="161"/>
      <c r="AT19" s="161"/>
      <c r="AU19" s="161"/>
      <c r="AV19" s="161"/>
      <c r="AW19" s="161"/>
      <c r="AX19" s="161"/>
      <c r="AY19" s="161"/>
      <c r="AZ19" s="161"/>
      <c r="BA19" s="161"/>
      <c r="BB19" s="161"/>
      <c r="BC19" s="161"/>
      <c r="BD19" s="161"/>
      <c r="BE19" s="161"/>
      <c r="BF19" s="161"/>
      <c r="BG19" s="161"/>
      <c r="BH19" s="161"/>
      <c r="BI19" s="161"/>
      <c r="BJ19" s="161"/>
      <c r="BK19" s="161"/>
      <c r="BL19" s="161"/>
      <c r="BM19" s="161"/>
      <c r="BN19" s="161"/>
      <c r="BO19" s="161"/>
      <c r="BP19" s="161"/>
      <c r="BQ19" s="161"/>
      <c r="BR19" s="161"/>
      <c r="BS19" s="161"/>
      <c r="BT19" s="161"/>
      <c r="BU19" s="161"/>
      <c r="BV19" s="161"/>
      <c r="BW19" s="161"/>
      <c r="BX19" s="161"/>
      <c r="BY19" s="161"/>
      <c r="BZ19" s="161"/>
      <c r="CA19" s="161"/>
      <c r="CB19" s="161"/>
      <c r="CC19" s="161"/>
      <c r="CD19" s="161"/>
      <c r="CE19" s="161"/>
      <c r="CF19" s="161"/>
      <c r="CG19" s="161"/>
      <c r="CH19" s="161"/>
      <c r="CI19" s="161"/>
      <c r="CJ19" s="162"/>
    </row>
    <row r="20" spans="1:88" s="44" customFormat="1" ht="13.5" customHeight="1">
      <c r="A20" s="182"/>
      <c r="B20" s="55"/>
      <c r="C20" s="56"/>
      <c r="D20" s="56"/>
      <c r="E20" s="56"/>
      <c r="F20" s="56"/>
      <c r="G20" s="56"/>
      <c r="H20" s="56"/>
      <c r="I20" s="56"/>
      <c r="J20" s="56"/>
      <c r="K20" s="56"/>
      <c r="L20" s="56"/>
      <c r="M20" s="56"/>
      <c r="N20" s="56"/>
      <c r="O20" s="56"/>
      <c r="P20" s="56"/>
      <c r="Q20" s="56"/>
      <c r="R20" s="56"/>
      <c r="S20" s="56"/>
      <c r="T20" s="69"/>
      <c r="U20" s="223"/>
      <c r="V20" s="161"/>
      <c r="W20" s="161"/>
      <c r="X20" s="161"/>
      <c r="Y20" s="161"/>
      <c r="Z20" s="161"/>
      <c r="AA20" s="161"/>
      <c r="AB20" s="161"/>
      <c r="AC20" s="161"/>
      <c r="AD20" s="161"/>
      <c r="AE20" s="161"/>
      <c r="AF20" s="161"/>
      <c r="AG20" s="161"/>
      <c r="AH20" s="161"/>
      <c r="AI20" s="161"/>
      <c r="AJ20" s="161"/>
      <c r="AK20" s="161"/>
      <c r="AL20" s="161"/>
      <c r="AM20" s="161"/>
      <c r="AN20" s="161"/>
      <c r="AO20" s="161"/>
      <c r="AP20" s="161"/>
      <c r="AQ20" s="161"/>
      <c r="AR20" s="161"/>
      <c r="AS20" s="161"/>
      <c r="AT20" s="161"/>
      <c r="AU20" s="161"/>
      <c r="AV20" s="161"/>
      <c r="AW20" s="161"/>
      <c r="AX20" s="161"/>
      <c r="AY20" s="161"/>
      <c r="AZ20" s="161"/>
      <c r="BA20" s="161"/>
      <c r="BB20" s="161"/>
      <c r="BC20" s="161"/>
      <c r="BD20" s="161"/>
      <c r="BE20" s="161"/>
      <c r="BF20" s="161"/>
      <c r="BG20" s="161"/>
      <c r="BH20" s="161"/>
      <c r="BI20" s="161"/>
      <c r="BJ20" s="161"/>
      <c r="BK20" s="161"/>
      <c r="BL20" s="161"/>
      <c r="BM20" s="161"/>
      <c r="BN20" s="161"/>
      <c r="BO20" s="161"/>
      <c r="BP20" s="161"/>
      <c r="BQ20" s="161"/>
      <c r="BR20" s="161"/>
      <c r="BS20" s="161"/>
      <c r="BT20" s="161"/>
      <c r="BU20" s="161"/>
      <c r="BV20" s="161"/>
      <c r="BW20" s="161"/>
      <c r="BX20" s="161"/>
      <c r="BY20" s="161"/>
      <c r="BZ20" s="161"/>
      <c r="CA20" s="161"/>
      <c r="CB20" s="161"/>
      <c r="CC20" s="161"/>
      <c r="CD20" s="161"/>
      <c r="CE20" s="161"/>
      <c r="CF20" s="161"/>
      <c r="CG20" s="161"/>
      <c r="CH20" s="161"/>
      <c r="CI20" s="161"/>
      <c r="CJ20" s="162"/>
    </row>
    <row r="21" spans="1:88" s="44" customFormat="1" ht="13.5" customHeight="1">
      <c r="A21" s="182"/>
      <c r="B21" s="55"/>
      <c r="C21" s="56"/>
      <c r="D21" s="56"/>
      <c r="E21" s="56"/>
      <c r="F21" s="56"/>
      <c r="G21" s="56"/>
      <c r="H21" s="56"/>
      <c r="I21" s="56"/>
      <c r="J21" s="56"/>
      <c r="K21" s="56"/>
      <c r="L21" s="56"/>
      <c r="M21" s="56"/>
      <c r="N21" s="56"/>
      <c r="O21" s="56"/>
      <c r="P21" s="56"/>
      <c r="Q21" s="56"/>
      <c r="R21" s="56"/>
      <c r="S21" s="56"/>
      <c r="T21" s="69"/>
      <c r="U21" s="223"/>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1"/>
      <c r="AS21" s="161"/>
      <c r="AT21" s="161"/>
      <c r="AU21" s="161"/>
      <c r="AV21" s="161"/>
      <c r="AW21" s="161"/>
      <c r="AX21" s="161"/>
      <c r="AY21" s="161"/>
      <c r="AZ21" s="161"/>
      <c r="BA21" s="161"/>
      <c r="BB21" s="161"/>
      <c r="BC21" s="161"/>
      <c r="BD21" s="161"/>
      <c r="BE21" s="161"/>
      <c r="BF21" s="161"/>
      <c r="BG21" s="161"/>
      <c r="BH21" s="161"/>
      <c r="BI21" s="161"/>
      <c r="BJ21" s="161"/>
      <c r="BK21" s="161"/>
      <c r="BL21" s="161"/>
      <c r="BM21" s="161"/>
      <c r="BN21" s="161"/>
      <c r="BO21" s="161"/>
      <c r="BP21" s="161"/>
      <c r="BQ21" s="161"/>
      <c r="BR21" s="161"/>
      <c r="BS21" s="161"/>
      <c r="BT21" s="161"/>
      <c r="BU21" s="161"/>
      <c r="BV21" s="161"/>
      <c r="BW21" s="161"/>
      <c r="BX21" s="161"/>
      <c r="BY21" s="161"/>
      <c r="BZ21" s="161"/>
      <c r="CA21" s="161"/>
      <c r="CB21" s="161"/>
      <c r="CC21" s="161"/>
      <c r="CD21" s="161"/>
      <c r="CE21" s="161"/>
      <c r="CF21" s="161"/>
      <c r="CG21" s="161"/>
      <c r="CH21" s="161"/>
      <c r="CI21" s="161"/>
      <c r="CJ21" s="162"/>
    </row>
    <row r="22" spans="1:88" s="44" customFormat="1" ht="13.5" customHeight="1">
      <c r="A22" s="182"/>
      <c r="B22" s="55"/>
      <c r="C22" s="56"/>
      <c r="D22" s="56"/>
      <c r="E22" s="56"/>
      <c r="F22" s="56"/>
      <c r="G22" s="56"/>
      <c r="H22" s="56"/>
      <c r="I22" s="56"/>
      <c r="J22" s="56"/>
      <c r="K22" s="56"/>
      <c r="L22" s="56"/>
      <c r="M22" s="56"/>
      <c r="N22" s="56"/>
      <c r="O22" s="56"/>
      <c r="P22" s="56"/>
      <c r="Q22" s="56"/>
      <c r="R22" s="56"/>
      <c r="S22" s="56"/>
      <c r="T22" s="69"/>
      <c r="U22" s="223"/>
      <c r="V22" s="161"/>
      <c r="W22" s="161"/>
      <c r="X22" s="161"/>
      <c r="Y22" s="161"/>
      <c r="Z22" s="161"/>
      <c r="AA22" s="161"/>
      <c r="AB22" s="161"/>
      <c r="AC22" s="161"/>
      <c r="AD22" s="161"/>
      <c r="AE22" s="161"/>
      <c r="AF22" s="161"/>
      <c r="AG22" s="161"/>
      <c r="AH22" s="161"/>
      <c r="AI22" s="161"/>
      <c r="AJ22" s="161"/>
      <c r="AK22" s="161"/>
      <c r="AL22" s="161"/>
      <c r="AM22" s="161"/>
      <c r="AN22" s="161"/>
      <c r="AO22" s="161"/>
      <c r="AP22" s="161"/>
      <c r="AQ22" s="161"/>
      <c r="AR22" s="161"/>
      <c r="AS22" s="161"/>
      <c r="AT22" s="161"/>
      <c r="AU22" s="161"/>
      <c r="AV22" s="161"/>
      <c r="AW22" s="161"/>
      <c r="AX22" s="161"/>
      <c r="AY22" s="161"/>
      <c r="AZ22" s="161"/>
      <c r="BA22" s="161"/>
      <c r="BB22" s="161"/>
      <c r="BC22" s="161"/>
      <c r="BD22" s="161"/>
      <c r="BE22" s="161"/>
      <c r="BF22" s="161"/>
      <c r="BG22" s="161"/>
      <c r="BH22" s="161"/>
      <c r="BI22" s="161"/>
      <c r="BJ22" s="161"/>
      <c r="BK22" s="161"/>
      <c r="BL22" s="161"/>
      <c r="BM22" s="161"/>
      <c r="BN22" s="161"/>
      <c r="BO22" s="161"/>
      <c r="BP22" s="161"/>
      <c r="BQ22" s="161"/>
      <c r="BR22" s="161"/>
      <c r="BS22" s="161"/>
      <c r="BT22" s="161"/>
      <c r="BU22" s="161"/>
      <c r="BV22" s="161"/>
      <c r="BW22" s="161"/>
      <c r="BX22" s="161"/>
      <c r="BY22" s="161"/>
      <c r="BZ22" s="161"/>
      <c r="CA22" s="161"/>
      <c r="CB22" s="161"/>
      <c r="CC22" s="161"/>
      <c r="CD22" s="161"/>
      <c r="CE22" s="161"/>
      <c r="CF22" s="161"/>
      <c r="CG22" s="161"/>
      <c r="CH22" s="161"/>
      <c r="CI22" s="161"/>
      <c r="CJ22" s="162"/>
    </row>
    <row r="23" spans="1:88" s="44" customFormat="1" ht="13.5" customHeight="1">
      <c r="A23" s="182"/>
      <c r="B23" s="55"/>
      <c r="C23" s="56"/>
      <c r="D23" s="56"/>
      <c r="E23" s="56"/>
      <c r="F23" s="56"/>
      <c r="G23" s="56"/>
      <c r="H23" s="56"/>
      <c r="I23" s="56"/>
      <c r="J23" s="56"/>
      <c r="K23" s="56"/>
      <c r="L23" s="56"/>
      <c r="M23" s="56"/>
      <c r="N23" s="56"/>
      <c r="O23" s="56"/>
      <c r="P23" s="56"/>
      <c r="Q23" s="56"/>
      <c r="R23" s="56"/>
      <c r="S23" s="56"/>
      <c r="T23" s="69"/>
      <c r="U23" s="223"/>
      <c r="V23" s="161"/>
      <c r="W23" s="161"/>
      <c r="X23" s="161"/>
      <c r="Y23" s="161"/>
      <c r="Z23" s="161"/>
      <c r="AA23" s="161"/>
      <c r="AB23" s="161"/>
      <c r="AC23" s="161"/>
      <c r="AD23" s="161"/>
      <c r="AE23" s="161"/>
      <c r="AF23" s="161"/>
      <c r="AG23" s="161"/>
      <c r="AH23" s="161"/>
      <c r="AI23" s="161"/>
      <c r="AJ23" s="161"/>
      <c r="AK23" s="161"/>
      <c r="AL23" s="161"/>
      <c r="AM23" s="161"/>
      <c r="AN23" s="161"/>
      <c r="AO23" s="161"/>
      <c r="AP23" s="161"/>
      <c r="AQ23" s="161"/>
      <c r="AR23" s="161"/>
      <c r="AS23" s="161"/>
      <c r="AT23" s="161"/>
      <c r="AU23" s="161"/>
      <c r="AV23" s="161"/>
      <c r="AW23" s="161"/>
      <c r="AX23" s="161"/>
      <c r="AY23" s="161"/>
      <c r="AZ23" s="161"/>
      <c r="BA23" s="161"/>
      <c r="BB23" s="161"/>
      <c r="BC23" s="161"/>
      <c r="BD23" s="161"/>
      <c r="BE23" s="161"/>
      <c r="BF23" s="161"/>
      <c r="BG23" s="161"/>
      <c r="BH23" s="161"/>
      <c r="BI23" s="161"/>
      <c r="BJ23" s="161"/>
      <c r="BK23" s="161"/>
      <c r="BL23" s="161"/>
      <c r="BM23" s="161"/>
      <c r="BN23" s="161"/>
      <c r="BO23" s="161"/>
      <c r="BP23" s="161"/>
      <c r="BQ23" s="161"/>
      <c r="BR23" s="161"/>
      <c r="BS23" s="161"/>
      <c r="BT23" s="161"/>
      <c r="BU23" s="161"/>
      <c r="BV23" s="161"/>
      <c r="BW23" s="161"/>
      <c r="BX23" s="161"/>
      <c r="BY23" s="161"/>
      <c r="BZ23" s="161"/>
      <c r="CA23" s="161"/>
      <c r="CB23" s="161"/>
      <c r="CC23" s="161"/>
      <c r="CD23" s="161"/>
      <c r="CE23" s="161"/>
      <c r="CF23" s="161"/>
      <c r="CG23" s="161"/>
      <c r="CH23" s="161"/>
      <c r="CI23" s="161"/>
      <c r="CJ23" s="162"/>
    </row>
    <row r="24" spans="1:88" s="44" customFormat="1" ht="13.5" customHeight="1">
      <c r="A24" s="182"/>
      <c r="B24" s="55"/>
      <c r="C24" s="56"/>
      <c r="D24" s="56"/>
      <c r="E24" s="56"/>
      <c r="F24" s="56"/>
      <c r="G24" s="56"/>
      <c r="H24" s="56"/>
      <c r="I24" s="56"/>
      <c r="J24" s="56"/>
      <c r="K24" s="56"/>
      <c r="L24" s="56"/>
      <c r="M24" s="56"/>
      <c r="N24" s="56"/>
      <c r="O24" s="56"/>
      <c r="P24" s="56"/>
      <c r="Q24" s="56"/>
      <c r="R24" s="56"/>
      <c r="S24" s="56"/>
      <c r="T24" s="69"/>
      <c r="U24" s="223"/>
      <c r="V24" s="161"/>
      <c r="W24" s="161"/>
      <c r="X24" s="161"/>
      <c r="Y24" s="161"/>
      <c r="Z24" s="161"/>
      <c r="AA24" s="161"/>
      <c r="AB24" s="161"/>
      <c r="AC24" s="161"/>
      <c r="AD24" s="161"/>
      <c r="AE24" s="161"/>
      <c r="AF24" s="161"/>
      <c r="AG24" s="161"/>
      <c r="AH24" s="161"/>
      <c r="AI24" s="161"/>
      <c r="AJ24" s="161"/>
      <c r="AK24" s="161"/>
      <c r="AL24" s="161"/>
      <c r="AM24" s="161"/>
      <c r="AN24" s="161"/>
      <c r="AO24" s="161"/>
      <c r="AP24" s="161"/>
      <c r="AQ24" s="161"/>
      <c r="AR24" s="161"/>
      <c r="AS24" s="161"/>
      <c r="AT24" s="161"/>
      <c r="AU24" s="161"/>
      <c r="AV24" s="161"/>
      <c r="AW24" s="161"/>
      <c r="AX24" s="161"/>
      <c r="AY24" s="161"/>
      <c r="AZ24" s="161"/>
      <c r="BA24" s="161"/>
      <c r="BB24" s="161"/>
      <c r="BC24" s="161"/>
      <c r="BD24" s="161"/>
      <c r="BE24" s="161"/>
      <c r="BF24" s="161"/>
      <c r="BG24" s="161"/>
      <c r="BH24" s="161"/>
      <c r="BI24" s="161"/>
      <c r="BJ24" s="161"/>
      <c r="BK24" s="161"/>
      <c r="BL24" s="161"/>
      <c r="BM24" s="161"/>
      <c r="BN24" s="161"/>
      <c r="BO24" s="161"/>
      <c r="BP24" s="161"/>
      <c r="BQ24" s="161"/>
      <c r="BR24" s="161"/>
      <c r="BS24" s="161"/>
      <c r="BT24" s="161"/>
      <c r="BU24" s="161"/>
      <c r="BV24" s="161"/>
      <c r="BW24" s="161"/>
      <c r="BX24" s="161"/>
      <c r="BY24" s="161"/>
      <c r="BZ24" s="161"/>
      <c r="CA24" s="161"/>
      <c r="CB24" s="161"/>
      <c r="CC24" s="161"/>
      <c r="CD24" s="161"/>
      <c r="CE24" s="161"/>
      <c r="CF24" s="161"/>
      <c r="CG24" s="161"/>
      <c r="CH24" s="161"/>
      <c r="CI24" s="161"/>
      <c r="CJ24" s="162"/>
    </row>
    <row r="25" spans="1:88" s="44" customFormat="1" ht="13.5" customHeight="1">
      <c r="A25" s="182"/>
      <c r="B25" s="55"/>
      <c r="C25" s="56"/>
      <c r="D25" s="56"/>
      <c r="E25" s="56"/>
      <c r="F25" s="56"/>
      <c r="G25" s="56"/>
      <c r="H25" s="56"/>
      <c r="I25" s="56"/>
      <c r="J25" s="56"/>
      <c r="K25" s="56"/>
      <c r="L25" s="56"/>
      <c r="M25" s="56"/>
      <c r="N25" s="56"/>
      <c r="O25" s="56"/>
      <c r="P25" s="56"/>
      <c r="Q25" s="56"/>
      <c r="R25" s="56"/>
      <c r="S25" s="56"/>
      <c r="T25" s="69"/>
      <c r="U25" s="223"/>
      <c r="V25" s="161"/>
      <c r="W25" s="161"/>
      <c r="X25" s="161"/>
      <c r="Y25" s="161"/>
      <c r="Z25" s="161"/>
      <c r="AA25" s="161"/>
      <c r="AB25" s="161"/>
      <c r="AC25" s="161"/>
      <c r="AD25" s="161"/>
      <c r="AE25" s="161"/>
      <c r="AF25" s="161"/>
      <c r="AG25" s="161"/>
      <c r="AH25" s="161"/>
      <c r="AI25" s="161"/>
      <c r="AJ25" s="161"/>
      <c r="AK25" s="161"/>
      <c r="AL25" s="161"/>
      <c r="AM25" s="161"/>
      <c r="AN25" s="161"/>
      <c r="AO25" s="161"/>
      <c r="AP25" s="161"/>
      <c r="AQ25" s="161"/>
      <c r="AR25" s="161"/>
      <c r="AS25" s="161"/>
      <c r="AT25" s="161"/>
      <c r="AU25" s="161"/>
      <c r="AV25" s="161"/>
      <c r="AW25" s="161"/>
      <c r="AX25" s="161"/>
      <c r="AY25" s="161"/>
      <c r="AZ25" s="161"/>
      <c r="BA25" s="161"/>
      <c r="BB25" s="161"/>
      <c r="BC25" s="161"/>
      <c r="BD25" s="161"/>
      <c r="BE25" s="161"/>
      <c r="BF25" s="161"/>
      <c r="BG25" s="161"/>
      <c r="BH25" s="161"/>
      <c r="BI25" s="161"/>
      <c r="BJ25" s="161"/>
      <c r="BK25" s="161"/>
      <c r="BL25" s="161"/>
      <c r="BM25" s="161"/>
      <c r="BN25" s="161"/>
      <c r="BO25" s="161"/>
      <c r="BP25" s="161"/>
      <c r="BQ25" s="161"/>
      <c r="BR25" s="161"/>
      <c r="BS25" s="161"/>
      <c r="BT25" s="161"/>
      <c r="BU25" s="161"/>
      <c r="BV25" s="161"/>
      <c r="BW25" s="161"/>
      <c r="BX25" s="161"/>
      <c r="BY25" s="161"/>
      <c r="BZ25" s="161"/>
      <c r="CA25" s="161"/>
      <c r="CB25" s="161"/>
      <c r="CC25" s="161"/>
      <c r="CD25" s="161"/>
      <c r="CE25" s="161"/>
      <c r="CF25" s="161"/>
      <c r="CG25" s="161"/>
      <c r="CH25" s="161"/>
      <c r="CI25" s="161"/>
      <c r="CJ25" s="162"/>
    </row>
    <row r="26" spans="1:88" s="44" customFormat="1" ht="13.5" customHeight="1">
      <c r="A26" s="182"/>
      <c r="B26" s="55"/>
      <c r="C26" s="56"/>
      <c r="D26" s="56"/>
      <c r="E26" s="56"/>
      <c r="F26" s="56"/>
      <c r="G26" s="56"/>
      <c r="H26" s="56"/>
      <c r="I26" s="56"/>
      <c r="J26" s="56"/>
      <c r="K26" s="56"/>
      <c r="L26" s="56"/>
      <c r="M26" s="56"/>
      <c r="N26" s="56"/>
      <c r="O26" s="56"/>
      <c r="P26" s="56"/>
      <c r="Q26" s="56"/>
      <c r="R26" s="56"/>
      <c r="S26" s="56"/>
      <c r="T26" s="69"/>
      <c r="U26" s="223"/>
      <c r="V26" s="161"/>
      <c r="W26" s="161"/>
      <c r="X26" s="161"/>
      <c r="Y26" s="161"/>
      <c r="Z26" s="161"/>
      <c r="AA26" s="161"/>
      <c r="AB26" s="161"/>
      <c r="AC26" s="161"/>
      <c r="AD26" s="161"/>
      <c r="AE26" s="161"/>
      <c r="AF26" s="161"/>
      <c r="AG26" s="161"/>
      <c r="AH26" s="161"/>
      <c r="AI26" s="161"/>
      <c r="AJ26" s="161"/>
      <c r="AK26" s="161"/>
      <c r="AL26" s="161"/>
      <c r="AM26" s="161"/>
      <c r="AN26" s="161"/>
      <c r="AO26" s="161"/>
      <c r="AP26" s="161"/>
      <c r="AQ26" s="161"/>
      <c r="AR26" s="161"/>
      <c r="AS26" s="161"/>
      <c r="AT26" s="161"/>
      <c r="AU26" s="161"/>
      <c r="AV26" s="161"/>
      <c r="AW26" s="161"/>
      <c r="AX26" s="161"/>
      <c r="AY26" s="161"/>
      <c r="AZ26" s="161"/>
      <c r="BA26" s="161"/>
      <c r="BB26" s="161"/>
      <c r="BC26" s="161"/>
      <c r="BD26" s="161"/>
      <c r="BE26" s="161"/>
      <c r="BF26" s="161"/>
      <c r="BG26" s="161"/>
      <c r="BH26" s="161"/>
      <c r="BI26" s="161"/>
      <c r="BJ26" s="161"/>
      <c r="BK26" s="161"/>
      <c r="BL26" s="161"/>
      <c r="BM26" s="161"/>
      <c r="BN26" s="161"/>
      <c r="BO26" s="161"/>
      <c r="BP26" s="161"/>
      <c r="BQ26" s="161"/>
      <c r="BR26" s="161"/>
      <c r="BS26" s="161"/>
      <c r="BT26" s="161"/>
      <c r="BU26" s="161"/>
      <c r="BV26" s="161"/>
      <c r="BW26" s="161"/>
      <c r="BX26" s="161"/>
      <c r="BY26" s="161"/>
      <c r="BZ26" s="161"/>
      <c r="CA26" s="161"/>
      <c r="CB26" s="161"/>
      <c r="CC26" s="161"/>
      <c r="CD26" s="161"/>
      <c r="CE26" s="161"/>
      <c r="CF26" s="161"/>
      <c r="CG26" s="161"/>
      <c r="CH26" s="161"/>
      <c r="CI26" s="161"/>
      <c r="CJ26" s="162"/>
    </row>
    <row r="27" spans="1:88" s="44" customFormat="1" ht="13.5" customHeight="1">
      <c r="A27" s="182"/>
      <c r="B27" s="55"/>
      <c r="C27" s="56"/>
      <c r="D27" s="56"/>
      <c r="E27" s="56"/>
      <c r="F27" s="56"/>
      <c r="G27" s="56"/>
      <c r="H27" s="56"/>
      <c r="I27" s="56"/>
      <c r="J27" s="56"/>
      <c r="K27" s="56"/>
      <c r="L27" s="56"/>
      <c r="M27" s="56"/>
      <c r="N27" s="56"/>
      <c r="O27" s="56"/>
      <c r="P27" s="56"/>
      <c r="Q27" s="56"/>
      <c r="R27" s="56"/>
      <c r="S27" s="56"/>
      <c r="T27" s="69"/>
      <c r="U27" s="223"/>
      <c r="V27" s="161"/>
      <c r="W27" s="161"/>
      <c r="X27" s="161"/>
      <c r="Y27" s="161"/>
      <c r="Z27" s="161"/>
      <c r="AA27" s="161"/>
      <c r="AB27" s="161"/>
      <c r="AC27" s="161"/>
      <c r="AD27" s="161"/>
      <c r="AE27" s="161"/>
      <c r="AF27" s="161"/>
      <c r="AG27" s="161"/>
      <c r="AH27" s="161"/>
      <c r="AI27" s="161"/>
      <c r="AJ27" s="161"/>
      <c r="AK27" s="161"/>
      <c r="AL27" s="161"/>
      <c r="AM27" s="161"/>
      <c r="AN27" s="161"/>
      <c r="AO27" s="161"/>
      <c r="AP27" s="161"/>
      <c r="AQ27" s="161"/>
      <c r="AR27" s="161"/>
      <c r="AS27" s="161"/>
      <c r="AT27" s="161"/>
      <c r="AU27" s="161"/>
      <c r="AV27" s="161"/>
      <c r="AW27" s="161"/>
      <c r="AX27" s="161"/>
      <c r="AY27" s="161"/>
      <c r="AZ27" s="161"/>
      <c r="BA27" s="161"/>
      <c r="BB27" s="161"/>
      <c r="BC27" s="161"/>
      <c r="BD27" s="161"/>
      <c r="BE27" s="161"/>
      <c r="BF27" s="161"/>
      <c r="BG27" s="161"/>
      <c r="BH27" s="161"/>
      <c r="BI27" s="161"/>
      <c r="BJ27" s="161"/>
      <c r="BK27" s="161"/>
      <c r="BL27" s="161"/>
      <c r="BM27" s="161"/>
      <c r="BN27" s="161"/>
      <c r="BO27" s="161"/>
      <c r="BP27" s="161"/>
      <c r="BQ27" s="161"/>
      <c r="BR27" s="161"/>
      <c r="BS27" s="161"/>
      <c r="BT27" s="161"/>
      <c r="BU27" s="161"/>
      <c r="BV27" s="161"/>
      <c r="BW27" s="161"/>
      <c r="BX27" s="161"/>
      <c r="BY27" s="161"/>
      <c r="BZ27" s="161"/>
      <c r="CA27" s="161"/>
      <c r="CB27" s="161"/>
      <c r="CC27" s="161"/>
      <c r="CD27" s="161"/>
      <c r="CE27" s="161"/>
      <c r="CF27" s="161"/>
      <c r="CG27" s="161"/>
      <c r="CH27" s="161"/>
      <c r="CI27" s="161"/>
      <c r="CJ27" s="162"/>
    </row>
    <row r="28" spans="1:88" s="44" customFormat="1" ht="13.5" customHeight="1">
      <c r="A28" s="182"/>
      <c r="B28" s="55"/>
      <c r="C28" s="56"/>
      <c r="D28" s="56"/>
      <c r="E28" s="56"/>
      <c r="F28" s="56"/>
      <c r="G28" s="56"/>
      <c r="H28" s="56"/>
      <c r="I28" s="56"/>
      <c r="J28" s="56"/>
      <c r="K28" s="56"/>
      <c r="L28" s="56"/>
      <c r="M28" s="56"/>
      <c r="N28" s="56"/>
      <c r="O28" s="56"/>
      <c r="P28" s="56"/>
      <c r="Q28" s="56"/>
      <c r="R28" s="56"/>
      <c r="S28" s="56"/>
      <c r="T28" s="69"/>
      <c r="U28" s="223"/>
      <c r="V28" s="161"/>
      <c r="W28" s="161"/>
      <c r="X28" s="161"/>
      <c r="Y28" s="161"/>
      <c r="Z28" s="161"/>
      <c r="AA28" s="161"/>
      <c r="AB28" s="161"/>
      <c r="AC28" s="161"/>
      <c r="AD28" s="161"/>
      <c r="AE28" s="161"/>
      <c r="AF28" s="161"/>
      <c r="AG28" s="161"/>
      <c r="AH28" s="161"/>
      <c r="AI28" s="161"/>
      <c r="AJ28" s="161"/>
      <c r="AK28" s="161"/>
      <c r="AL28" s="161"/>
      <c r="AM28" s="161"/>
      <c r="AN28" s="161"/>
      <c r="AO28" s="161"/>
      <c r="AP28" s="161"/>
      <c r="AQ28" s="161"/>
      <c r="AR28" s="161"/>
      <c r="AS28" s="161"/>
      <c r="AT28" s="161"/>
      <c r="AU28" s="161"/>
      <c r="AV28" s="161"/>
      <c r="AW28" s="161"/>
      <c r="AX28" s="161"/>
      <c r="AY28" s="161"/>
      <c r="AZ28" s="161"/>
      <c r="BA28" s="161"/>
      <c r="BB28" s="161"/>
      <c r="BC28" s="161"/>
      <c r="BD28" s="161"/>
      <c r="BE28" s="161"/>
      <c r="BF28" s="161"/>
      <c r="BG28" s="161"/>
      <c r="BH28" s="161"/>
      <c r="BI28" s="161"/>
      <c r="BJ28" s="161"/>
      <c r="BK28" s="161"/>
      <c r="BL28" s="161"/>
      <c r="BM28" s="161"/>
      <c r="BN28" s="161"/>
      <c r="BO28" s="161"/>
      <c r="BP28" s="161"/>
      <c r="BQ28" s="161"/>
      <c r="BR28" s="161"/>
      <c r="BS28" s="161"/>
      <c r="BT28" s="161"/>
      <c r="BU28" s="161"/>
      <c r="BV28" s="161"/>
      <c r="BW28" s="161"/>
      <c r="BX28" s="161"/>
      <c r="BY28" s="161"/>
      <c r="BZ28" s="161"/>
      <c r="CA28" s="161"/>
      <c r="CB28" s="161"/>
      <c r="CC28" s="161"/>
      <c r="CD28" s="161"/>
      <c r="CE28" s="161"/>
      <c r="CF28" s="161"/>
      <c r="CG28" s="161"/>
      <c r="CH28" s="161"/>
      <c r="CI28" s="161"/>
      <c r="CJ28" s="162"/>
    </row>
    <row r="29" spans="1:88" s="44" customFormat="1" ht="13.5" customHeight="1">
      <c r="A29" s="182"/>
      <c r="B29" s="55"/>
      <c r="C29" s="56"/>
      <c r="D29" s="56"/>
      <c r="E29" s="56"/>
      <c r="F29" s="56"/>
      <c r="G29" s="56"/>
      <c r="H29" s="56"/>
      <c r="I29" s="56"/>
      <c r="J29" s="56"/>
      <c r="K29" s="56"/>
      <c r="L29" s="56"/>
      <c r="M29" s="56"/>
      <c r="N29" s="56"/>
      <c r="O29" s="56"/>
      <c r="P29" s="56"/>
      <c r="Q29" s="56"/>
      <c r="R29" s="56"/>
      <c r="S29" s="56"/>
      <c r="T29" s="69"/>
      <c r="U29" s="223"/>
      <c r="V29" s="161"/>
      <c r="W29" s="161"/>
      <c r="X29" s="161"/>
      <c r="Y29" s="161"/>
      <c r="Z29" s="161"/>
      <c r="AA29" s="161"/>
      <c r="AB29" s="161"/>
      <c r="AC29" s="161"/>
      <c r="AD29" s="161"/>
      <c r="AE29" s="161"/>
      <c r="AF29" s="161"/>
      <c r="AG29" s="161"/>
      <c r="AH29" s="161"/>
      <c r="AI29" s="161"/>
      <c r="AJ29" s="161"/>
      <c r="AK29" s="161"/>
      <c r="AL29" s="161"/>
      <c r="AM29" s="161"/>
      <c r="AN29" s="161"/>
      <c r="AO29" s="161"/>
      <c r="AP29" s="161"/>
      <c r="AQ29" s="161"/>
      <c r="AR29" s="161"/>
      <c r="AS29" s="161"/>
      <c r="AT29" s="161"/>
      <c r="AU29" s="161"/>
      <c r="AV29" s="161"/>
      <c r="AW29" s="161"/>
      <c r="AX29" s="161"/>
      <c r="AY29" s="161"/>
      <c r="AZ29" s="161"/>
      <c r="BA29" s="161"/>
      <c r="BB29" s="161"/>
      <c r="BC29" s="161"/>
      <c r="BD29" s="161"/>
      <c r="BE29" s="161"/>
      <c r="BF29" s="161"/>
      <c r="BG29" s="161"/>
      <c r="BH29" s="161"/>
      <c r="BI29" s="161"/>
      <c r="BJ29" s="161"/>
      <c r="BK29" s="161"/>
      <c r="BL29" s="161"/>
      <c r="BM29" s="161"/>
      <c r="BN29" s="161"/>
      <c r="BO29" s="161"/>
      <c r="BP29" s="161"/>
      <c r="BQ29" s="161"/>
      <c r="BR29" s="161"/>
      <c r="BS29" s="161"/>
      <c r="BT29" s="161"/>
      <c r="BU29" s="161"/>
      <c r="BV29" s="161"/>
      <c r="BW29" s="161"/>
      <c r="BX29" s="161"/>
      <c r="BY29" s="161"/>
      <c r="BZ29" s="161"/>
      <c r="CA29" s="161"/>
      <c r="CB29" s="161"/>
      <c r="CC29" s="161"/>
      <c r="CD29" s="161"/>
      <c r="CE29" s="161"/>
      <c r="CF29" s="161"/>
      <c r="CG29" s="161"/>
      <c r="CH29" s="161"/>
      <c r="CI29" s="161"/>
      <c r="CJ29" s="162"/>
    </row>
    <row r="30" spans="1:88" s="44" customFormat="1" ht="13.5" customHeight="1">
      <c r="A30" s="182"/>
      <c r="B30" s="55"/>
      <c r="C30" s="56"/>
      <c r="D30" s="56"/>
      <c r="E30" s="56"/>
      <c r="F30" s="56"/>
      <c r="G30" s="56"/>
      <c r="H30" s="56"/>
      <c r="I30" s="56"/>
      <c r="J30" s="56"/>
      <c r="K30" s="56"/>
      <c r="L30" s="56"/>
      <c r="M30" s="56"/>
      <c r="N30" s="56"/>
      <c r="O30" s="56"/>
      <c r="P30" s="56"/>
      <c r="Q30" s="56"/>
      <c r="R30" s="56"/>
      <c r="S30" s="56"/>
      <c r="T30" s="69"/>
      <c r="U30" s="223"/>
      <c r="V30" s="161"/>
      <c r="W30" s="161"/>
      <c r="X30" s="161"/>
      <c r="Y30" s="161"/>
      <c r="Z30" s="161"/>
      <c r="AA30" s="161"/>
      <c r="AB30" s="161"/>
      <c r="AC30" s="161"/>
      <c r="AD30" s="161"/>
      <c r="AE30" s="161"/>
      <c r="AF30" s="161"/>
      <c r="AG30" s="161"/>
      <c r="AH30" s="161"/>
      <c r="AI30" s="161"/>
      <c r="AJ30" s="161"/>
      <c r="AK30" s="161"/>
      <c r="AL30" s="161"/>
      <c r="AM30" s="161"/>
      <c r="AN30" s="161"/>
      <c r="AO30" s="161"/>
      <c r="AP30" s="161"/>
      <c r="AQ30" s="161"/>
      <c r="AR30" s="161"/>
      <c r="AS30" s="161"/>
      <c r="AT30" s="161"/>
      <c r="AU30" s="161"/>
      <c r="AV30" s="161"/>
      <c r="AW30" s="161"/>
      <c r="AX30" s="161"/>
      <c r="AY30" s="161"/>
      <c r="AZ30" s="161"/>
      <c r="BA30" s="161"/>
      <c r="BB30" s="161"/>
      <c r="BC30" s="161"/>
      <c r="BD30" s="161"/>
      <c r="BE30" s="161"/>
      <c r="BF30" s="161"/>
      <c r="BG30" s="161"/>
      <c r="BH30" s="161"/>
      <c r="BI30" s="161"/>
      <c r="BJ30" s="161"/>
      <c r="BK30" s="161"/>
      <c r="BL30" s="161"/>
      <c r="BM30" s="161"/>
      <c r="BN30" s="161"/>
      <c r="BO30" s="161"/>
      <c r="BP30" s="161"/>
      <c r="BQ30" s="161"/>
      <c r="BR30" s="161"/>
      <c r="BS30" s="161"/>
      <c r="BT30" s="161"/>
      <c r="BU30" s="161"/>
      <c r="BV30" s="161"/>
      <c r="BW30" s="161"/>
      <c r="BX30" s="161"/>
      <c r="BY30" s="161"/>
      <c r="BZ30" s="161"/>
      <c r="CA30" s="161"/>
      <c r="CB30" s="161"/>
      <c r="CC30" s="161"/>
      <c r="CD30" s="161"/>
      <c r="CE30" s="161"/>
      <c r="CF30" s="161"/>
      <c r="CG30" s="161"/>
      <c r="CH30" s="161"/>
      <c r="CI30" s="161"/>
      <c r="CJ30" s="162"/>
    </row>
    <row r="31" spans="1:88" s="44" customFormat="1" ht="13.5" customHeight="1">
      <c r="A31" s="182"/>
      <c r="B31" s="55"/>
      <c r="C31" s="56"/>
      <c r="D31" s="56"/>
      <c r="E31" s="56"/>
      <c r="F31" s="56"/>
      <c r="G31" s="56"/>
      <c r="H31" s="56"/>
      <c r="I31" s="56"/>
      <c r="J31" s="56"/>
      <c r="K31" s="56"/>
      <c r="L31" s="56"/>
      <c r="M31" s="56"/>
      <c r="N31" s="56"/>
      <c r="O31" s="56"/>
      <c r="P31" s="56"/>
      <c r="Q31" s="56"/>
      <c r="R31" s="56"/>
      <c r="S31" s="56"/>
      <c r="T31" s="69"/>
      <c r="U31" s="223"/>
      <c r="V31" s="161"/>
      <c r="W31" s="161"/>
      <c r="X31" s="161"/>
      <c r="Y31" s="161"/>
      <c r="Z31" s="161"/>
      <c r="AA31" s="161"/>
      <c r="AB31" s="161"/>
      <c r="AC31" s="161"/>
      <c r="AD31" s="161"/>
      <c r="AE31" s="161"/>
      <c r="AF31" s="161"/>
      <c r="AG31" s="161"/>
      <c r="AH31" s="161"/>
      <c r="AI31" s="161"/>
      <c r="AJ31" s="161"/>
      <c r="AK31" s="161"/>
      <c r="AL31" s="161"/>
      <c r="AM31" s="161"/>
      <c r="AN31" s="161"/>
      <c r="AO31" s="161"/>
      <c r="AP31" s="161"/>
      <c r="AQ31" s="161"/>
      <c r="AR31" s="161"/>
      <c r="AS31" s="161"/>
      <c r="AT31" s="161"/>
      <c r="AU31" s="161"/>
      <c r="AV31" s="161"/>
      <c r="AW31" s="161"/>
      <c r="AX31" s="161"/>
      <c r="AY31" s="161"/>
      <c r="AZ31" s="161"/>
      <c r="BA31" s="161"/>
      <c r="BB31" s="161"/>
      <c r="BC31" s="161"/>
      <c r="BD31" s="161"/>
      <c r="BE31" s="161"/>
      <c r="BF31" s="161"/>
      <c r="BG31" s="161"/>
      <c r="BH31" s="161"/>
      <c r="BI31" s="161"/>
      <c r="BJ31" s="161"/>
      <c r="BK31" s="161"/>
      <c r="BL31" s="161"/>
      <c r="BM31" s="161"/>
      <c r="BN31" s="161"/>
      <c r="BO31" s="161"/>
      <c r="BP31" s="161"/>
      <c r="BQ31" s="161"/>
      <c r="BR31" s="161"/>
      <c r="BS31" s="161"/>
      <c r="BT31" s="161"/>
      <c r="BU31" s="161"/>
      <c r="BV31" s="161"/>
      <c r="BW31" s="161"/>
      <c r="BX31" s="161"/>
      <c r="BY31" s="161"/>
      <c r="BZ31" s="161"/>
      <c r="CA31" s="161"/>
      <c r="CB31" s="161"/>
      <c r="CC31" s="161"/>
      <c r="CD31" s="161"/>
      <c r="CE31" s="161"/>
      <c r="CF31" s="161"/>
      <c r="CG31" s="161"/>
      <c r="CH31" s="161"/>
      <c r="CI31" s="161"/>
      <c r="CJ31" s="162"/>
    </row>
    <row r="32" spans="1:88" s="44" customFormat="1" ht="13.5" customHeight="1">
      <c r="A32" s="182"/>
      <c r="B32" s="55"/>
      <c r="C32" s="56"/>
      <c r="D32" s="56"/>
      <c r="E32" s="56"/>
      <c r="F32" s="56"/>
      <c r="G32" s="56"/>
      <c r="H32" s="56"/>
      <c r="I32" s="56"/>
      <c r="J32" s="56"/>
      <c r="K32" s="56"/>
      <c r="L32" s="56"/>
      <c r="M32" s="56"/>
      <c r="N32" s="56"/>
      <c r="O32" s="56"/>
      <c r="P32" s="56"/>
      <c r="Q32" s="56"/>
      <c r="R32" s="56"/>
      <c r="S32" s="56"/>
      <c r="T32" s="69"/>
      <c r="U32" s="223"/>
      <c r="V32" s="161"/>
      <c r="W32" s="161"/>
      <c r="X32" s="161"/>
      <c r="Y32" s="161"/>
      <c r="Z32" s="161"/>
      <c r="AA32" s="161"/>
      <c r="AB32" s="161"/>
      <c r="AC32" s="161"/>
      <c r="AD32" s="161"/>
      <c r="AE32" s="161"/>
      <c r="AF32" s="161"/>
      <c r="AG32" s="161"/>
      <c r="AH32" s="161"/>
      <c r="AI32" s="161"/>
      <c r="AJ32" s="161"/>
      <c r="AK32" s="161"/>
      <c r="AL32" s="161"/>
      <c r="AM32" s="161"/>
      <c r="AN32" s="161"/>
      <c r="AO32" s="161"/>
      <c r="AP32" s="161"/>
      <c r="AQ32" s="161"/>
      <c r="AR32" s="161"/>
      <c r="AS32" s="161"/>
      <c r="AT32" s="161"/>
      <c r="AU32" s="161"/>
      <c r="AV32" s="161"/>
      <c r="AW32" s="161"/>
      <c r="AX32" s="161"/>
      <c r="AY32" s="161"/>
      <c r="AZ32" s="161"/>
      <c r="BA32" s="161"/>
      <c r="BB32" s="161"/>
      <c r="BC32" s="161"/>
      <c r="BD32" s="161"/>
      <c r="BE32" s="161"/>
      <c r="BF32" s="161"/>
      <c r="BG32" s="161"/>
      <c r="BH32" s="161"/>
      <c r="BI32" s="161"/>
      <c r="BJ32" s="161"/>
      <c r="BK32" s="161"/>
      <c r="BL32" s="161"/>
      <c r="BM32" s="161"/>
      <c r="BN32" s="161"/>
      <c r="BO32" s="161"/>
      <c r="BP32" s="161"/>
      <c r="BQ32" s="161"/>
      <c r="BR32" s="161"/>
      <c r="BS32" s="161"/>
      <c r="BT32" s="161"/>
      <c r="BU32" s="161"/>
      <c r="BV32" s="161"/>
      <c r="BW32" s="161"/>
      <c r="BX32" s="161"/>
      <c r="BY32" s="161"/>
      <c r="BZ32" s="161"/>
      <c r="CA32" s="161"/>
      <c r="CB32" s="161"/>
      <c r="CC32" s="161"/>
      <c r="CD32" s="161"/>
      <c r="CE32" s="161"/>
      <c r="CF32" s="161"/>
      <c r="CG32" s="161"/>
      <c r="CH32" s="161"/>
      <c r="CI32" s="161"/>
      <c r="CJ32" s="162"/>
    </row>
    <row r="33" spans="1:88" s="44" customFormat="1" ht="13.5" customHeight="1">
      <c r="A33" s="182"/>
      <c r="B33" s="55"/>
      <c r="C33" s="56"/>
      <c r="D33" s="56"/>
      <c r="E33" s="56"/>
      <c r="F33" s="56"/>
      <c r="G33" s="56"/>
      <c r="H33" s="56"/>
      <c r="I33" s="56"/>
      <c r="J33" s="56"/>
      <c r="K33" s="56"/>
      <c r="L33" s="56"/>
      <c r="M33" s="56"/>
      <c r="N33" s="56"/>
      <c r="O33" s="56"/>
      <c r="P33" s="56"/>
      <c r="Q33" s="56"/>
      <c r="R33" s="56"/>
      <c r="S33" s="56"/>
      <c r="T33" s="69"/>
      <c r="U33" s="223"/>
      <c r="V33" s="161"/>
      <c r="W33" s="161"/>
      <c r="X33" s="161"/>
      <c r="Y33" s="161"/>
      <c r="Z33" s="161"/>
      <c r="AA33" s="161"/>
      <c r="AB33" s="161"/>
      <c r="AC33" s="161"/>
      <c r="AD33" s="161"/>
      <c r="AE33" s="161"/>
      <c r="AF33" s="161"/>
      <c r="AG33" s="161"/>
      <c r="AH33" s="161"/>
      <c r="AI33" s="161"/>
      <c r="AJ33" s="161"/>
      <c r="AK33" s="161"/>
      <c r="AL33" s="161"/>
      <c r="AM33" s="161"/>
      <c r="AN33" s="161"/>
      <c r="AO33" s="161"/>
      <c r="AP33" s="161"/>
      <c r="AQ33" s="161"/>
      <c r="AR33" s="161"/>
      <c r="AS33" s="161"/>
      <c r="AT33" s="161"/>
      <c r="AU33" s="161"/>
      <c r="AV33" s="161"/>
      <c r="AW33" s="161"/>
      <c r="AX33" s="161"/>
      <c r="AY33" s="161"/>
      <c r="AZ33" s="161"/>
      <c r="BA33" s="161"/>
      <c r="BB33" s="161"/>
      <c r="BC33" s="161"/>
      <c r="BD33" s="161"/>
      <c r="BE33" s="161"/>
      <c r="BF33" s="161"/>
      <c r="BG33" s="161"/>
      <c r="BH33" s="161"/>
      <c r="BI33" s="161"/>
      <c r="BJ33" s="161"/>
      <c r="BK33" s="161"/>
      <c r="BL33" s="161"/>
      <c r="BM33" s="161"/>
      <c r="BN33" s="161"/>
      <c r="BO33" s="161"/>
      <c r="BP33" s="161"/>
      <c r="BQ33" s="161"/>
      <c r="BR33" s="161"/>
      <c r="BS33" s="161"/>
      <c r="BT33" s="161"/>
      <c r="BU33" s="161"/>
      <c r="BV33" s="161"/>
      <c r="BW33" s="161"/>
      <c r="BX33" s="161"/>
      <c r="BY33" s="161"/>
      <c r="BZ33" s="161"/>
      <c r="CA33" s="161"/>
      <c r="CB33" s="161"/>
      <c r="CC33" s="161"/>
      <c r="CD33" s="161"/>
      <c r="CE33" s="161"/>
      <c r="CF33" s="161"/>
      <c r="CG33" s="161"/>
      <c r="CH33" s="161"/>
      <c r="CI33" s="161"/>
      <c r="CJ33" s="162"/>
    </row>
    <row r="34" spans="1:88" s="44" customFormat="1" ht="13.5" customHeight="1">
      <c r="A34" s="182"/>
      <c r="B34" s="55"/>
      <c r="C34" s="67"/>
      <c r="D34" s="56"/>
      <c r="E34" s="56"/>
      <c r="F34" s="56"/>
      <c r="G34" s="56"/>
      <c r="H34" s="56"/>
      <c r="I34" s="56"/>
      <c r="J34" s="56"/>
      <c r="K34" s="56"/>
      <c r="L34" s="56"/>
      <c r="M34" s="56"/>
      <c r="N34" s="56"/>
      <c r="O34" s="56"/>
      <c r="P34" s="56"/>
      <c r="Q34" s="56"/>
      <c r="R34" s="56"/>
      <c r="S34" s="56"/>
      <c r="T34" s="69"/>
      <c r="U34" s="223"/>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1"/>
      <c r="BF34" s="161"/>
      <c r="BG34" s="161"/>
      <c r="BH34" s="161"/>
      <c r="BI34" s="161"/>
      <c r="BJ34" s="161"/>
      <c r="BK34" s="161"/>
      <c r="BL34" s="161"/>
      <c r="BM34" s="161"/>
      <c r="BN34" s="161"/>
      <c r="BO34" s="161"/>
      <c r="BP34" s="161"/>
      <c r="BQ34" s="161"/>
      <c r="BR34" s="161"/>
      <c r="BS34" s="161"/>
      <c r="BT34" s="161"/>
      <c r="BU34" s="161"/>
      <c r="BV34" s="161"/>
      <c r="BW34" s="161"/>
      <c r="BX34" s="161"/>
      <c r="BY34" s="161"/>
      <c r="BZ34" s="161"/>
      <c r="CA34" s="161"/>
      <c r="CB34" s="161"/>
      <c r="CC34" s="161"/>
      <c r="CD34" s="161"/>
      <c r="CE34" s="161"/>
      <c r="CF34" s="161"/>
      <c r="CG34" s="161"/>
      <c r="CH34" s="161"/>
      <c r="CI34" s="161"/>
      <c r="CJ34" s="162"/>
    </row>
    <row r="35" spans="1:88" s="44" customFormat="1" ht="13.5" customHeight="1">
      <c r="A35" s="246"/>
      <c r="B35" s="55"/>
      <c r="C35" s="67"/>
      <c r="D35" s="56"/>
      <c r="E35" s="56"/>
      <c r="F35" s="56"/>
      <c r="G35" s="56"/>
      <c r="H35" s="56"/>
      <c r="I35" s="56"/>
      <c r="J35" s="56"/>
      <c r="K35" s="56"/>
      <c r="L35" s="56"/>
      <c r="M35" s="56"/>
      <c r="N35" s="56"/>
      <c r="O35" s="56"/>
      <c r="P35" s="56"/>
      <c r="Q35" s="56"/>
      <c r="R35" s="56"/>
      <c r="S35" s="56"/>
      <c r="T35" s="69"/>
      <c r="U35" s="221"/>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2"/>
      <c r="BG35" s="222"/>
      <c r="BH35" s="222"/>
      <c r="BI35" s="222"/>
      <c r="BJ35" s="222"/>
      <c r="BK35" s="222"/>
      <c r="BL35" s="222"/>
      <c r="BM35" s="222"/>
      <c r="BN35" s="222"/>
      <c r="BO35" s="222"/>
      <c r="BP35" s="222"/>
      <c r="BQ35" s="222"/>
      <c r="BR35" s="222"/>
      <c r="BS35" s="222"/>
      <c r="BT35" s="222"/>
      <c r="BU35" s="222"/>
      <c r="BV35" s="222"/>
      <c r="BW35" s="222"/>
      <c r="BX35" s="222"/>
      <c r="BY35" s="222"/>
      <c r="BZ35" s="222"/>
      <c r="CA35" s="222"/>
      <c r="CB35" s="222"/>
      <c r="CC35" s="222"/>
      <c r="CD35" s="222"/>
      <c r="CE35" s="222"/>
      <c r="CF35" s="222"/>
      <c r="CG35" s="222"/>
      <c r="CH35" s="222"/>
      <c r="CI35" s="222"/>
      <c r="CJ35" s="224"/>
    </row>
    <row r="36" spans="1:88" s="44" customFormat="1" ht="35.1" customHeight="1">
      <c r="A36" s="182" t="s">
        <v>154</v>
      </c>
      <c r="B36" s="240"/>
      <c r="C36" s="241"/>
      <c r="D36" s="241"/>
      <c r="E36" s="241"/>
      <c r="F36" s="241"/>
      <c r="G36" s="241"/>
      <c r="H36" s="241"/>
      <c r="I36" s="241"/>
      <c r="J36" s="241"/>
      <c r="K36" s="241"/>
      <c r="L36" s="241"/>
      <c r="M36" s="241"/>
      <c r="N36" s="241"/>
      <c r="O36" s="241"/>
      <c r="P36" s="241"/>
      <c r="Q36" s="241"/>
      <c r="R36" s="241"/>
      <c r="S36" s="241"/>
      <c r="T36" s="241"/>
      <c r="U36" s="169"/>
      <c r="V36" s="169"/>
      <c r="W36" s="169"/>
      <c r="X36" s="169"/>
      <c r="Y36" s="169"/>
      <c r="Z36" s="169"/>
      <c r="AA36" s="169"/>
      <c r="AB36" s="169"/>
      <c r="AC36" s="169"/>
      <c r="AD36" s="169"/>
      <c r="AE36" s="169"/>
      <c r="AF36" s="169"/>
      <c r="AG36" s="169"/>
      <c r="AH36" s="169"/>
      <c r="AI36" s="169"/>
      <c r="AJ36" s="169"/>
      <c r="AK36" s="169"/>
      <c r="AL36" s="169"/>
      <c r="AM36" s="169"/>
      <c r="AN36" s="169"/>
      <c r="AO36" s="169"/>
      <c r="AP36" s="169"/>
      <c r="AQ36" s="169"/>
      <c r="AR36" s="169"/>
      <c r="AS36" s="169"/>
      <c r="AT36" s="169"/>
      <c r="AU36" s="169"/>
      <c r="AV36" s="169"/>
      <c r="AW36" s="169"/>
      <c r="AX36" s="169"/>
      <c r="AY36" s="169"/>
      <c r="AZ36" s="169"/>
      <c r="BA36" s="169"/>
      <c r="BB36" s="169"/>
      <c r="BC36" s="169"/>
      <c r="BD36" s="169"/>
      <c r="BE36" s="169"/>
      <c r="BF36" s="169"/>
      <c r="BG36" s="169"/>
      <c r="BH36" s="169"/>
      <c r="BI36" s="169"/>
      <c r="BJ36" s="169"/>
      <c r="BK36" s="169"/>
      <c r="BL36" s="169"/>
      <c r="BM36" s="169"/>
      <c r="BN36" s="169"/>
      <c r="BO36" s="169"/>
      <c r="BP36" s="169"/>
      <c r="BQ36" s="169"/>
      <c r="BR36" s="169"/>
      <c r="BS36" s="169"/>
      <c r="BT36" s="169"/>
      <c r="BU36" s="169"/>
      <c r="BV36" s="169"/>
      <c r="BW36" s="169"/>
      <c r="BX36" s="169"/>
      <c r="BY36" s="169"/>
      <c r="BZ36" s="169"/>
      <c r="CA36" s="169"/>
      <c r="CB36" s="169"/>
      <c r="CC36" s="169"/>
      <c r="CD36" s="169"/>
      <c r="CE36" s="169"/>
      <c r="CF36" s="169"/>
      <c r="CG36" s="169"/>
      <c r="CH36" s="169"/>
      <c r="CI36" s="169"/>
      <c r="CJ36" s="204"/>
    </row>
    <row r="37" spans="1:88" s="44" customFormat="1" ht="35.1" customHeight="1">
      <c r="A37" s="182"/>
      <c r="B37" s="225"/>
      <c r="C37" s="226"/>
      <c r="D37" s="226"/>
      <c r="E37" s="226"/>
      <c r="F37" s="226"/>
      <c r="G37" s="226"/>
      <c r="H37" s="226"/>
      <c r="I37" s="226"/>
      <c r="J37" s="226"/>
      <c r="K37" s="226"/>
      <c r="L37" s="226"/>
      <c r="M37" s="226"/>
      <c r="N37" s="226"/>
      <c r="O37" s="226"/>
      <c r="P37" s="226"/>
      <c r="Q37" s="226"/>
      <c r="R37" s="226"/>
      <c r="S37" s="226"/>
      <c r="T37" s="226"/>
      <c r="U37" s="161"/>
      <c r="V37" s="161"/>
      <c r="W37" s="161"/>
      <c r="X37" s="161"/>
      <c r="Y37" s="161"/>
      <c r="Z37" s="161"/>
      <c r="AA37" s="161"/>
      <c r="AB37" s="161"/>
      <c r="AC37" s="161"/>
      <c r="AD37" s="161"/>
      <c r="AE37" s="161"/>
      <c r="AF37" s="161"/>
      <c r="AG37" s="161"/>
      <c r="AH37" s="161"/>
      <c r="AI37" s="161"/>
      <c r="AJ37" s="161"/>
      <c r="AK37" s="161"/>
      <c r="AL37" s="161"/>
      <c r="AM37" s="161"/>
      <c r="AN37" s="161"/>
      <c r="AO37" s="161"/>
      <c r="AP37" s="161"/>
      <c r="AQ37" s="161"/>
      <c r="AR37" s="161"/>
      <c r="AS37" s="161"/>
      <c r="AT37" s="161"/>
      <c r="AU37" s="161"/>
      <c r="AV37" s="161"/>
      <c r="AW37" s="161"/>
      <c r="AX37" s="161"/>
      <c r="AY37" s="161"/>
      <c r="AZ37" s="161"/>
      <c r="BA37" s="161"/>
      <c r="BB37" s="161"/>
      <c r="BC37" s="161"/>
      <c r="BD37" s="161"/>
      <c r="BE37" s="161"/>
      <c r="BF37" s="161"/>
      <c r="BG37" s="161"/>
      <c r="BH37" s="161"/>
      <c r="BI37" s="161"/>
      <c r="BJ37" s="161"/>
      <c r="BK37" s="161"/>
      <c r="BL37" s="161"/>
      <c r="BM37" s="161"/>
      <c r="BN37" s="161"/>
      <c r="BO37" s="161"/>
      <c r="BP37" s="161"/>
      <c r="BQ37" s="161"/>
      <c r="BR37" s="161"/>
      <c r="BS37" s="161"/>
      <c r="BT37" s="161"/>
      <c r="BU37" s="161"/>
      <c r="BV37" s="161"/>
      <c r="BW37" s="161"/>
      <c r="BX37" s="161"/>
      <c r="BY37" s="161"/>
      <c r="BZ37" s="161"/>
      <c r="CA37" s="161"/>
      <c r="CB37" s="161"/>
      <c r="CC37" s="161"/>
      <c r="CD37" s="161"/>
      <c r="CE37" s="161"/>
      <c r="CF37" s="161"/>
      <c r="CG37" s="161"/>
      <c r="CH37" s="161"/>
      <c r="CI37" s="161"/>
      <c r="CJ37" s="162"/>
    </row>
    <row r="38" spans="1:88" s="44" customFormat="1" ht="35.1" customHeight="1">
      <c r="A38" s="182"/>
      <c r="B38" s="225"/>
      <c r="C38" s="226"/>
      <c r="D38" s="226"/>
      <c r="E38" s="226"/>
      <c r="F38" s="226"/>
      <c r="G38" s="226"/>
      <c r="H38" s="226"/>
      <c r="I38" s="226"/>
      <c r="J38" s="226"/>
      <c r="K38" s="226"/>
      <c r="L38" s="226"/>
      <c r="M38" s="226"/>
      <c r="N38" s="226"/>
      <c r="O38" s="226"/>
      <c r="P38" s="226"/>
      <c r="Q38" s="226"/>
      <c r="R38" s="226"/>
      <c r="S38" s="226"/>
      <c r="T38" s="226"/>
      <c r="U38" s="161"/>
      <c r="V38" s="161"/>
      <c r="W38" s="161"/>
      <c r="X38" s="161"/>
      <c r="Y38" s="161"/>
      <c r="Z38" s="161"/>
      <c r="AA38" s="161"/>
      <c r="AB38" s="161"/>
      <c r="AC38" s="161"/>
      <c r="AD38" s="161"/>
      <c r="AE38" s="161"/>
      <c r="AF38" s="161"/>
      <c r="AG38" s="161"/>
      <c r="AH38" s="161"/>
      <c r="AI38" s="161"/>
      <c r="AJ38" s="161"/>
      <c r="AK38" s="161"/>
      <c r="AL38" s="161"/>
      <c r="AM38" s="161"/>
      <c r="AN38" s="161"/>
      <c r="AO38" s="161"/>
      <c r="AP38" s="161"/>
      <c r="AQ38" s="161"/>
      <c r="AR38" s="161"/>
      <c r="AS38" s="161"/>
      <c r="AT38" s="161"/>
      <c r="AU38" s="161"/>
      <c r="AV38" s="161"/>
      <c r="AW38" s="161"/>
      <c r="AX38" s="161"/>
      <c r="AY38" s="161"/>
      <c r="AZ38" s="161"/>
      <c r="BA38" s="161"/>
      <c r="BB38" s="161"/>
      <c r="BC38" s="161"/>
      <c r="BD38" s="161"/>
      <c r="BE38" s="161"/>
      <c r="BF38" s="161"/>
      <c r="BG38" s="161"/>
      <c r="BH38" s="161"/>
      <c r="BI38" s="161"/>
      <c r="BJ38" s="161"/>
      <c r="BK38" s="161"/>
      <c r="BL38" s="161"/>
      <c r="BM38" s="161"/>
      <c r="BN38" s="161"/>
      <c r="BO38" s="161"/>
      <c r="BP38" s="161"/>
      <c r="BQ38" s="161"/>
      <c r="BR38" s="161"/>
      <c r="BS38" s="161"/>
      <c r="BT38" s="161"/>
      <c r="BU38" s="161"/>
      <c r="BV38" s="161"/>
      <c r="BW38" s="161"/>
      <c r="BX38" s="161"/>
      <c r="BY38" s="161"/>
      <c r="BZ38" s="161"/>
      <c r="CA38" s="161"/>
      <c r="CB38" s="161"/>
      <c r="CC38" s="161"/>
      <c r="CD38" s="161"/>
      <c r="CE38" s="161"/>
      <c r="CF38" s="161"/>
      <c r="CG38" s="161"/>
      <c r="CH38" s="161"/>
      <c r="CI38" s="161"/>
      <c r="CJ38" s="162"/>
    </row>
    <row r="39" spans="1:88" s="44" customFormat="1" ht="35.1" customHeight="1" thickBot="1">
      <c r="A39" s="247"/>
      <c r="B39" s="238"/>
      <c r="C39" s="239"/>
      <c r="D39" s="239"/>
      <c r="E39" s="239"/>
      <c r="F39" s="239"/>
      <c r="G39" s="239"/>
      <c r="H39" s="239"/>
      <c r="I39" s="239"/>
      <c r="J39" s="239"/>
      <c r="K39" s="239"/>
      <c r="L39" s="239"/>
      <c r="M39" s="239"/>
      <c r="N39" s="239"/>
      <c r="O39" s="239"/>
      <c r="P39" s="239"/>
      <c r="Q39" s="239"/>
      <c r="R39" s="239"/>
      <c r="S39" s="239"/>
      <c r="T39" s="239"/>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2"/>
      <c r="BG39" s="222"/>
      <c r="BH39" s="222"/>
      <c r="BI39" s="222"/>
      <c r="BJ39" s="222"/>
      <c r="BK39" s="222"/>
      <c r="BL39" s="222"/>
      <c r="BM39" s="222"/>
      <c r="BN39" s="222"/>
      <c r="BO39" s="222"/>
      <c r="BP39" s="222"/>
      <c r="BQ39" s="222"/>
      <c r="BR39" s="222"/>
      <c r="BS39" s="222"/>
      <c r="BT39" s="222"/>
      <c r="BU39" s="222"/>
      <c r="BV39" s="222"/>
      <c r="BW39" s="222"/>
      <c r="BX39" s="222"/>
      <c r="BY39" s="222"/>
      <c r="BZ39" s="222"/>
      <c r="CA39" s="222"/>
      <c r="CB39" s="222"/>
      <c r="CC39" s="222"/>
      <c r="CD39" s="222"/>
      <c r="CE39" s="222"/>
      <c r="CF39" s="222"/>
      <c r="CG39" s="222"/>
      <c r="CH39" s="222"/>
      <c r="CI39" s="222"/>
      <c r="CJ39" s="224"/>
    </row>
    <row r="40" spans="1:88" s="44" customFormat="1" ht="75" customHeight="1" thickTop="1">
      <c r="A40" s="234" t="s">
        <v>19</v>
      </c>
      <c r="B40" s="235"/>
      <c r="C40" s="235"/>
      <c r="D40" s="235"/>
      <c r="E40" s="235"/>
      <c r="F40" s="235"/>
      <c r="G40" s="235"/>
      <c r="H40" s="235"/>
      <c r="I40" s="235"/>
      <c r="J40" s="235"/>
      <c r="K40" s="235"/>
      <c r="L40" s="235"/>
      <c r="M40" s="235"/>
      <c r="N40" s="235"/>
      <c r="O40" s="235"/>
      <c r="P40" s="235"/>
      <c r="Q40" s="235"/>
      <c r="R40" s="235"/>
      <c r="S40" s="235"/>
      <c r="T40" s="236"/>
      <c r="U40" s="237"/>
      <c r="V40" s="228"/>
      <c r="W40" s="228"/>
      <c r="X40" s="228"/>
      <c r="Y40" s="228"/>
      <c r="Z40" s="228"/>
      <c r="AA40" s="228"/>
      <c r="AB40" s="228"/>
      <c r="AC40" s="228"/>
      <c r="AD40" s="228"/>
      <c r="AE40" s="228"/>
      <c r="AF40" s="228"/>
      <c r="AG40" s="228"/>
      <c r="AH40" s="228"/>
      <c r="AI40" s="228"/>
      <c r="AJ40" s="228"/>
      <c r="AK40" s="228"/>
      <c r="AL40" s="228"/>
      <c r="AM40" s="228"/>
      <c r="AN40" s="228"/>
      <c r="AO40" s="228"/>
      <c r="AP40" s="228"/>
      <c r="AQ40" s="228"/>
      <c r="AR40" s="228"/>
      <c r="AS40" s="228"/>
      <c r="AT40" s="228"/>
      <c r="AU40" s="228"/>
      <c r="AV40" s="228"/>
      <c r="AW40" s="228"/>
      <c r="AX40" s="228"/>
      <c r="AY40" s="228"/>
      <c r="AZ40" s="228"/>
      <c r="BA40" s="228"/>
      <c r="BB40" s="228"/>
      <c r="BC40" s="228"/>
      <c r="BD40" s="228"/>
      <c r="BE40" s="228"/>
      <c r="BF40" s="228"/>
      <c r="BG40" s="228"/>
      <c r="BH40" s="228"/>
      <c r="BI40" s="228"/>
      <c r="BJ40" s="228"/>
      <c r="BK40" s="228"/>
      <c r="BL40" s="228"/>
      <c r="BM40" s="228"/>
      <c r="BN40" s="228"/>
      <c r="BO40" s="228"/>
      <c r="BP40" s="228"/>
      <c r="BQ40" s="228"/>
      <c r="BR40" s="228"/>
      <c r="BS40" s="228"/>
      <c r="BT40" s="228"/>
      <c r="BU40" s="228"/>
      <c r="BV40" s="228"/>
      <c r="BW40" s="228"/>
      <c r="BX40" s="228"/>
      <c r="BY40" s="228"/>
      <c r="BZ40" s="228"/>
      <c r="CA40" s="228"/>
      <c r="CB40" s="228"/>
      <c r="CC40" s="228"/>
      <c r="CD40" s="228"/>
      <c r="CE40" s="228"/>
      <c r="CF40" s="228"/>
      <c r="CG40" s="228"/>
      <c r="CH40" s="228"/>
      <c r="CI40" s="228"/>
      <c r="CJ40" s="233"/>
    </row>
    <row r="41" spans="1:88" s="44" customFormat="1" ht="13.5" customHeight="1">
      <c r="A41" s="230" t="s">
        <v>20</v>
      </c>
      <c r="B41" s="231"/>
      <c r="C41" s="231"/>
      <c r="D41" s="231"/>
      <c r="E41" s="231"/>
      <c r="F41" s="231"/>
      <c r="G41" s="231"/>
      <c r="H41" s="231"/>
      <c r="I41" s="231"/>
      <c r="J41" s="231"/>
      <c r="K41" s="231"/>
      <c r="L41" s="231"/>
      <c r="M41" s="231"/>
      <c r="N41" s="231"/>
      <c r="O41" s="231"/>
      <c r="P41" s="231"/>
      <c r="Q41" s="231"/>
      <c r="R41" s="231"/>
      <c r="S41" s="231"/>
      <c r="T41" s="232"/>
      <c r="U41" s="196"/>
      <c r="V41" s="194"/>
      <c r="W41" s="194"/>
      <c r="X41" s="194"/>
      <c r="Y41" s="194"/>
      <c r="Z41" s="194"/>
      <c r="AA41" s="194"/>
      <c r="AB41" s="194"/>
      <c r="AC41" s="194"/>
      <c r="AD41" s="194"/>
      <c r="AE41" s="194"/>
      <c r="AF41" s="194"/>
      <c r="AG41" s="194"/>
      <c r="AH41" s="194"/>
      <c r="AI41" s="194"/>
      <c r="AJ41" s="194"/>
      <c r="AK41" s="194"/>
      <c r="AL41" s="194"/>
      <c r="AM41" s="194"/>
      <c r="AN41" s="194"/>
      <c r="AO41" s="194"/>
      <c r="AP41" s="194"/>
      <c r="AQ41" s="194"/>
      <c r="AR41" s="194"/>
      <c r="AS41" s="194"/>
      <c r="AT41" s="194"/>
      <c r="AU41" s="194"/>
      <c r="AV41" s="194"/>
      <c r="AW41" s="194"/>
      <c r="AX41" s="194"/>
      <c r="AY41" s="194"/>
      <c r="AZ41" s="194"/>
      <c r="BA41" s="194"/>
      <c r="BB41" s="194"/>
      <c r="BC41" s="194"/>
      <c r="BD41" s="194"/>
      <c r="BE41" s="194"/>
      <c r="BF41" s="194"/>
      <c r="BG41" s="194"/>
      <c r="BH41" s="194"/>
      <c r="BI41" s="194"/>
      <c r="BJ41" s="194"/>
      <c r="BK41" s="194"/>
      <c r="BL41" s="194"/>
      <c r="BM41" s="194"/>
      <c r="BN41" s="194"/>
      <c r="BO41" s="194"/>
      <c r="BP41" s="194"/>
      <c r="BQ41" s="194"/>
      <c r="BR41" s="194"/>
      <c r="BS41" s="194"/>
      <c r="BT41" s="194"/>
      <c r="BU41" s="194"/>
      <c r="BV41" s="194"/>
      <c r="BW41" s="194"/>
      <c r="BX41" s="194"/>
      <c r="BY41" s="194"/>
      <c r="BZ41" s="194"/>
      <c r="CA41" s="194"/>
      <c r="CB41" s="194"/>
      <c r="CC41" s="194"/>
      <c r="CD41" s="194"/>
      <c r="CE41" s="194"/>
      <c r="CF41" s="194"/>
      <c r="CG41" s="194"/>
      <c r="CH41" s="194"/>
      <c r="CI41" s="194"/>
      <c r="CJ41" s="195"/>
    </row>
    <row r="42" spans="1:88" s="44" customFormat="1" ht="13.5" customHeight="1">
      <c r="A42" s="175" t="s">
        <v>21</v>
      </c>
      <c r="B42" s="176"/>
      <c r="C42" s="176"/>
      <c r="D42" s="176"/>
      <c r="E42" s="176"/>
      <c r="F42" s="176"/>
      <c r="G42" s="176"/>
      <c r="H42" s="176"/>
      <c r="I42" s="176"/>
      <c r="J42" s="176"/>
      <c r="K42" s="176"/>
      <c r="L42" s="176"/>
      <c r="M42" s="176"/>
      <c r="N42" s="176"/>
      <c r="O42" s="176"/>
      <c r="P42" s="176"/>
      <c r="Q42" s="176"/>
      <c r="R42" s="176"/>
      <c r="S42" s="176"/>
      <c r="T42" s="177"/>
      <c r="U42" s="229"/>
      <c r="V42" s="197"/>
      <c r="W42" s="197"/>
      <c r="X42" s="197"/>
      <c r="Y42" s="197"/>
      <c r="Z42" s="197"/>
      <c r="AA42" s="197"/>
      <c r="AB42" s="197"/>
      <c r="AC42" s="197"/>
      <c r="AD42" s="197"/>
      <c r="AE42" s="197"/>
      <c r="AF42" s="197"/>
      <c r="AG42" s="197"/>
      <c r="AH42" s="197"/>
      <c r="AI42" s="197"/>
      <c r="AJ42" s="197"/>
      <c r="AK42" s="197"/>
      <c r="AL42" s="197"/>
      <c r="AM42" s="197"/>
      <c r="AN42" s="197"/>
      <c r="AO42" s="197"/>
      <c r="AP42" s="197"/>
      <c r="AQ42" s="197"/>
      <c r="AR42" s="197"/>
      <c r="AS42" s="197"/>
      <c r="AT42" s="197"/>
      <c r="AU42" s="197"/>
      <c r="AV42" s="197"/>
      <c r="AW42" s="197"/>
      <c r="AX42" s="197"/>
      <c r="AY42" s="197"/>
      <c r="AZ42" s="197"/>
      <c r="BA42" s="197"/>
      <c r="BB42" s="197"/>
      <c r="BC42" s="197"/>
      <c r="BD42" s="197"/>
      <c r="BE42" s="197"/>
      <c r="BF42" s="197"/>
      <c r="BG42" s="197"/>
      <c r="BH42" s="197"/>
      <c r="BI42" s="197"/>
      <c r="BJ42" s="197"/>
      <c r="BK42" s="197"/>
      <c r="BL42" s="197"/>
      <c r="BM42" s="197"/>
      <c r="BN42" s="197"/>
      <c r="BO42" s="197"/>
      <c r="BP42" s="197"/>
      <c r="BQ42" s="197"/>
      <c r="BR42" s="197"/>
      <c r="BS42" s="197"/>
      <c r="BT42" s="197"/>
      <c r="BU42" s="197"/>
      <c r="BV42" s="197"/>
      <c r="BW42" s="197"/>
      <c r="BX42" s="197"/>
      <c r="BY42" s="197"/>
      <c r="BZ42" s="197"/>
      <c r="CA42" s="197"/>
      <c r="CB42" s="197"/>
      <c r="CC42" s="197"/>
      <c r="CD42" s="197"/>
      <c r="CE42" s="197"/>
      <c r="CF42" s="197"/>
      <c r="CG42" s="197"/>
      <c r="CH42" s="197"/>
      <c r="CI42" s="197"/>
      <c r="CJ42" s="198"/>
    </row>
    <row r="43" spans="1:88" s="44" customFormat="1" ht="13.5" customHeight="1">
      <c r="A43" s="175" t="s">
        <v>22</v>
      </c>
      <c r="B43" s="176"/>
      <c r="C43" s="176"/>
      <c r="D43" s="176"/>
      <c r="E43" s="176"/>
      <c r="F43" s="176"/>
      <c r="G43" s="176"/>
      <c r="H43" s="176"/>
      <c r="I43" s="176"/>
      <c r="J43" s="176"/>
      <c r="K43" s="176"/>
      <c r="L43" s="176"/>
      <c r="M43" s="176"/>
      <c r="N43" s="176"/>
      <c r="O43" s="176"/>
      <c r="P43" s="176"/>
      <c r="Q43" s="176"/>
      <c r="R43" s="176"/>
      <c r="S43" s="176"/>
      <c r="T43" s="177"/>
      <c r="U43" s="196"/>
      <c r="V43" s="194"/>
      <c r="W43" s="194"/>
      <c r="X43" s="194"/>
      <c r="Y43" s="194"/>
      <c r="Z43" s="194"/>
      <c r="AA43" s="194"/>
      <c r="AB43" s="194"/>
      <c r="AC43" s="194"/>
      <c r="AD43" s="194"/>
      <c r="AE43" s="194"/>
      <c r="AF43" s="194"/>
      <c r="AG43" s="194"/>
      <c r="AH43" s="194"/>
      <c r="AI43" s="194"/>
      <c r="AJ43" s="194"/>
      <c r="AK43" s="194"/>
      <c r="AL43" s="194"/>
      <c r="AM43" s="194"/>
      <c r="AN43" s="194"/>
      <c r="AO43" s="194"/>
      <c r="AP43" s="194"/>
      <c r="AQ43" s="194"/>
      <c r="AR43" s="194"/>
      <c r="AS43" s="194"/>
      <c r="AT43" s="194"/>
      <c r="AU43" s="194"/>
      <c r="AV43" s="194"/>
      <c r="AW43" s="194"/>
      <c r="AX43" s="194"/>
      <c r="AY43" s="194"/>
      <c r="AZ43" s="194"/>
      <c r="BA43" s="194"/>
      <c r="BB43" s="194"/>
      <c r="BC43" s="194"/>
      <c r="BD43" s="194"/>
      <c r="BE43" s="194"/>
      <c r="BF43" s="194"/>
      <c r="BG43" s="194"/>
      <c r="BH43" s="194"/>
      <c r="BI43" s="194"/>
      <c r="BJ43" s="194"/>
      <c r="BK43" s="194"/>
      <c r="BL43" s="194"/>
      <c r="BM43" s="194"/>
      <c r="BN43" s="194"/>
      <c r="BO43" s="194"/>
      <c r="BP43" s="194"/>
      <c r="BQ43" s="194"/>
      <c r="BR43" s="194"/>
      <c r="BS43" s="194"/>
      <c r="BT43" s="194"/>
      <c r="BU43" s="194"/>
      <c r="BV43" s="194"/>
      <c r="BW43" s="194"/>
      <c r="BX43" s="194"/>
      <c r="BY43" s="194"/>
      <c r="BZ43" s="194"/>
      <c r="CA43" s="194"/>
      <c r="CB43" s="194"/>
      <c r="CC43" s="194"/>
      <c r="CD43" s="194"/>
      <c r="CE43" s="194"/>
      <c r="CF43" s="194"/>
      <c r="CG43" s="194"/>
      <c r="CH43" s="194"/>
      <c r="CI43" s="194"/>
      <c r="CJ43" s="195"/>
    </row>
    <row r="44" spans="1:88" s="44" customFormat="1" ht="147.75" customHeight="1">
      <c r="A44" s="178" t="s">
        <v>23</v>
      </c>
      <c r="B44" s="179"/>
      <c r="C44" s="179"/>
      <c r="D44" s="179"/>
      <c r="E44" s="179"/>
      <c r="F44" s="179"/>
      <c r="G44" s="179"/>
      <c r="H44" s="179"/>
      <c r="I44" s="179"/>
      <c r="J44" s="179"/>
      <c r="K44" s="179"/>
      <c r="L44" s="179"/>
      <c r="M44" s="179"/>
      <c r="N44" s="179"/>
      <c r="O44" s="179"/>
      <c r="P44" s="179"/>
      <c r="Q44" s="179"/>
      <c r="R44" s="179"/>
      <c r="S44" s="179"/>
      <c r="T44" s="180"/>
      <c r="U44" s="196"/>
      <c r="V44" s="194"/>
      <c r="W44" s="194"/>
      <c r="X44" s="194"/>
      <c r="Y44" s="194"/>
      <c r="Z44" s="194"/>
      <c r="AA44" s="194"/>
      <c r="AB44" s="194"/>
      <c r="AC44" s="194"/>
      <c r="AD44" s="194"/>
      <c r="AE44" s="194"/>
      <c r="AF44" s="194"/>
      <c r="AG44" s="194"/>
      <c r="AH44" s="194"/>
      <c r="AI44" s="191"/>
      <c r="AJ44" s="191"/>
      <c r="AK44" s="194"/>
      <c r="AL44" s="194"/>
      <c r="AM44" s="194"/>
      <c r="AN44" s="194"/>
      <c r="AO44" s="194"/>
      <c r="AP44" s="194"/>
      <c r="AQ44" s="194"/>
      <c r="AR44" s="194"/>
      <c r="AS44" s="189"/>
      <c r="AT44" s="189"/>
      <c r="AU44" s="189"/>
      <c r="AV44" s="189"/>
      <c r="AW44" s="189"/>
      <c r="AX44" s="189"/>
      <c r="AY44" s="189"/>
      <c r="AZ44" s="189"/>
      <c r="BA44" s="189"/>
      <c r="BB44" s="189"/>
      <c r="BC44" s="189"/>
      <c r="BD44" s="189"/>
      <c r="BE44" s="189"/>
      <c r="BF44" s="189"/>
      <c r="BG44" s="191"/>
      <c r="BH44" s="191"/>
      <c r="BI44" s="192"/>
      <c r="BJ44" s="193"/>
      <c r="BK44" s="189"/>
      <c r="BL44" s="189"/>
      <c r="BM44" s="189"/>
      <c r="BN44" s="189"/>
      <c r="BO44" s="189"/>
      <c r="BP44" s="189"/>
      <c r="BQ44" s="189"/>
      <c r="BR44" s="189"/>
      <c r="BS44" s="189"/>
      <c r="BT44" s="189"/>
      <c r="BU44" s="189"/>
      <c r="BV44" s="189"/>
      <c r="BW44" s="189"/>
      <c r="BX44" s="189"/>
      <c r="BY44" s="189"/>
      <c r="BZ44" s="189"/>
      <c r="CA44" s="189"/>
      <c r="CB44" s="189"/>
      <c r="CC44" s="189"/>
      <c r="CD44" s="189"/>
      <c r="CE44" s="189"/>
      <c r="CF44" s="189"/>
      <c r="CG44" s="189"/>
      <c r="CH44" s="189"/>
      <c r="CI44" s="189"/>
      <c r="CJ44" s="190"/>
    </row>
    <row r="60" spans="7:7" ht="13.5" customHeight="1">
      <c r="G60" s="63"/>
    </row>
  </sheetData>
  <mergeCells count="1254">
    <mergeCell ref="A10:A35"/>
    <mergeCell ref="A36:A39"/>
    <mergeCell ref="CG10:CH10"/>
    <mergeCell ref="CG15:CH15"/>
    <mergeCell ref="CG16:CH16"/>
    <mergeCell ref="CG19:CH19"/>
    <mergeCell ref="CG22:CH22"/>
    <mergeCell ref="CG25:CH25"/>
    <mergeCell ref="CG28:CH28"/>
    <mergeCell ref="CG31:CH31"/>
    <mergeCell ref="BU31:BV31"/>
    <mergeCell ref="BW31:BX31"/>
    <mergeCell ref="BY31:BZ31"/>
    <mergeCell ref="CA31:CB31"/>
    <mergeCell ref="CC31:CD31"/>
    <mergeCell ref="CE31:CF31"/>
    <mergeCell ref="BI31:BJ31"/>
    <mergeCell ref="BK31:BL31"/>
    <mergeCell ref="BM31:BN31"/>
    <mergeCell ref="BO31:BP31"/>
    <mergeCell ref="BQ31:BR31"/>
    <mergeCell ref="BS31:BT31"/>
    <mergeCell ref="AW31:AX31"/>
    <mergeCell ref="AY31:AZ31"/>
    <mergeCell ref="BA31:BB31"/>
    <mergeCell ref="BC31:BD31"/>
    <mergeCell ref="BE31:BF31"/>
    <mergeCell ref="BG31:BH31"/>
    <mergeCell ref="AK31:AL31"/>
    <mergeCell ref="AM31:AN31"/>
    <mergeCell ref="AO31:AP31"/>
    <mergeCell ref="AQ31:AR31"/>
    <mergeCell ref="AS31:AT31"/>
    <mergeCell ref="AU31:AV31"/>
    <mergeCell ref="CG30:CH30"/>
    <mergeCell ref="CI30:CJ30"/>
    <mergeCell ref="U31:V31"/>
    <mergeCell ref="W31:X31"/>
    <mergeCell ref="Y31:Z31"/>
    <mergeCell ref="AA31:AB31"/>
    <mergeCell ref="AC31:AD31"/>
    <mergeCell ref="AE31:AF31"/>
    <mergeCell ref="AG31:AH31"/>
    <mergeCell ref="AI31:AJ31"/>
    <mergeCell ref="BU30:BV30"/>
    <mergeCell ref="BW30:BX30"/>
    <mergeCell ref="BY30:BZ30"/>
    <mergeCell ref="CA30:CB30"/>
    <mergeCell ref="CC30:CD30"/>
    <mergeCell ref="CE30:CF30"/>
    <mergeCell ref="BI30:BJ30"/>
    <mergeCell ref="BK30:BL30"/>
    <mergeCell ref="BM30:BN30"/>
    <mergeCell ref="BO30:BP30"/>
    <mergeCell ref="BQ30:BR30"/>
    <mergeCell ref="BS30:BT30"/>
    <mergeCell ref="AW30:AX30"/>
    <mergeCell ref="AY30:AZ30"/>
    <mergeCell ref="BA30:BB30"/>
    <mergeCell ref="BC30:BD30"/>
    <mergeCell ref="BE30:BF30"/>
    <mergeCell ref="BG30:BH30"/>
    <mergeCell ref="AK30:AL30"/>
    <mergeCell ref="AM30:AN30"/>
    <mergeCell ref="AO30:AP30"/>
    <mergeCell ref="AQ30:AR30"/>
    <mergeCell ref="AS30:AT30"/>
    <mergeCell ref="AU30:AV30"/>
    <mergeCell ref="CG29:CH29"/>
    <mergeCell ref="CI29:CJ29"/>
    <mergeCell ref="U30:V30"/>
    <mergeCell ref="W30:X30"/>
    <mergeCell ref="Y30:Z30"/>
    <mergeCell ref="AA30:AB30"/>
    <mergeCell ref="AC30:AD30"/>
    <mergeCell ref="AE30:AF30"/>
    <mergeCell ref="AG30:AH30"/>
    <mergeCell ref="AI30:AJ30"/>
    <mergeCell ref="BU29:BV29"/>
    <mergeCell ref="BW29:BX29"/>
    <mergeCell ref="BY29:BZ29"/>
    <mergeCell ref="CA29:CB29"/>
    <mergeCell ref="CC29:CD29"/>
    <mergeCell ref="CE29:CF29"/>
    <mergeCell ref="BI29:BJ29"/>
    <mergeCell ref="BK29:BL29"/>
    <mergeCell ref="BM29:BN29"/>
    <mergeCell ref="BO29:BP29"/>
    <mergeCell ref="BQ29:BR29"/>
    <mergeCell ref="BS29:BT29"/>
    <mergeCell ref="AW29:AX29"/>
    <mergeCell ref="AY29:AZ29"/>
    <mergeCell ref="BA29:BB29"/>
    <mergeCell ref="BC29:BD29"/>
    <mergeCell ref="BE29:BF29"/>
    <mergeCell ref="BG29:BH29"/>
    <mergeCell ref="AK29:AL29"/>
    <mergeCell ref="AM29:AN29"/>
    <mergeCell ref="AO29:AP29"/>
    <mergeCell ref="AQ29:AR29"/>
    <mergeCell ref="AS29:AT29"/>
    <mergeCell ref="AU29:AV29"/>
    <mergeCell ref="U29:V29"/>
    <mergeCell ref="W29:X29"/>
    <mergeCell ref="Y29:Z29"/>
    <mergeCell ref="AA29:AB29"/>
    <mergeCell ref="AC29:AD29"/>
    <mergeCell ref="AE29:AF29"/>
    <mergeCell ref="AG29:AH29"/>
    <mergeCell ref="AI29:AJ29"/>
    <mergeCell ref="BU28:BV28"/>
    <mergeCell ref="BW28:BX28"/>
    <mergeCell ref="BY28:BZ28"/>
    <mergeCell ref="CA28:CB28"/>
    <mergeCell ref="AW28:AX28"/>
    <mergeCell ref="AY28:AZ28"/>
    <mergeCell ref="BA28:BB28"/>
    <mergeCell ref="BC28:BD28"/>
    <mergeCell ref="CC28:CD28"/>
    <mergeCell ref="CE28:CF28"/>
    <mergeCell ref="BI28:BJ28"/>
    <mergeCell ref="BK28:BL28"/>
    <mergeCell ref="BM28:BN28"/>
    <mergeCell ref="BO28:BP28"/>
    <mergeCell ref="BQ28:BR28"/>
    <mergeCell ref="BS28:BT28"/>
    <mergeCell ref="BE28:BF28"/>
    <mergeCell ref="BG28:BH28"/>
    <mergeCell ref="AK28:AL28"/>
    <mergeCell ref="AM28:AN28"/>
    <mergeCell ref="AO28:AP28"/>
    <mergeCell ref="AQ28:AR28"/>
    <mergeCell ref="AS28:AT28"/>
    <mergeCell ref="AU28:AV28"/>
    <mergeCell ref="CG27:CH27"/>
    <mergeCell ref="CI27:CJ27"/>
    <mergeCell ref="U28:V28"/>
    <mergeCell ref="W28:X28"/>
    <mergeCell ref="Y28:Z28"/>
    <mergeCell ref="AA28:AB28"/>
    <mergeCell ref="AC28:AD28"/>
    <mergeCell ref="AE28:AF28"/>
    <mergeCell ref="AG28:AH28"/>
    <mergeCell ref="AI28:AJ28"/>
    <mergeCell ref="BU27:BV27"/>
    <mergeCell ref="BW27:BX27"/>
    <mergeCell ref="BY27:BZ27"/>
    <mergeCell ref="CA27:CB27"/>
    <mergeCell ref="CC27:CD27"/>
    <mergeCell ref="CE27:CF27"/>
    <mergeCell ref="BI27:BJ27"/>
    <mergeCell ref="BK27:BL27"/>
    <mergeCell ref="BM27:BN27"/>
    <mergeCell ref="BO27:BP27"/>
    <mergeCell ref="BQ27:BR27"/>
    <mergeCell ref="BS27:BT27"/>
    <mergeCell ref="AW27:AX27"/>
    <mergeCell ref="AY27:AZ27"/>
    <mergeCell ref="BA27:BB27"/>
    <mergeCell ref="BC27:BD27"/>
    <mergeCell ref="BE27:BF27"/>
    <mergeCell ref="BG27:BH27"/>
    <mergeCell ref="AK27:AL27"/>
    <mergeCell ref="AM27:AN27"/>
    <mergeCell ref="AO27:AP27"/>
    <mergeCell ref="AQ27:AR27"/>
    <mergeCell ref="AS27:AT27"/>
    <mergeCell ref="AU27:AV27"/>
    <mergeCell ref="CG26:CH26"/>
    <mergeCell ref="CI26:CJ26"/>
    <mergeCell ref="U27:V27"/>
    <mergeCell ref="W27:X27"/>
    <mergeCell ref="Y27:Z27"/>
    <mergeCell ref="AA27:AB27"/>
    <mergeCell ref="AC27:AD27"/>
    <mergeCell ref="AE27:AF27"/>
    <mergeCell ref="AG27:AH27"/>
    <mergeCell ref="AI27:AJ27"/>
    <mergeCell ref="BU26:BV26"/>
    <mergeCell ref="BW26:BX26"/>
    <mergeCell ref="BY26:BZ26"/>
    <mergeCell ref="CA26:CB26"/>
    <mergeCell ref="CC26:CD26"/>
    <mergeCell ref="CE26:CF26"/>
    <mergeCell ref="BI26:BJ26"/>
    <mergeCell ref="BK26:BL26"/>
    <mergeCell ref="BM26:BN26"/>
    <mergeCell ref="BO26:BP26"/>
    <mergeCell ref="BQ26:BR26"/>
    <mergeCell ref="BS26:BT26"/>
    <mergeCell ref="AW26:AX26"/>
    <mergeCell ref="AY26:AZ26"/>
    <mergeCell ref="BA26:BB26"/>
    <mergeCell ref="BC26:BD26"/>
    <mergeCell ref="BE26:BF26"/>
    <mergeCell ref="BG26:BH26"/>
    <mergeCell ref="AK26:AL26"/>
    <mergeCell ref="AM26:AN26"/>
    <mergeCell ref="AO26:AP26"/>
    <mergeCell ref="AQ26:AR26"/>
    <mergeCell ref="AS26:AT26"/>
    <mergeCell ref="AU26:AV26"/>
    <mergeCell ref="U26:V26"/>
    <mergeCell ref="W26:X26"/>
    <mergeCell ref="Y26:Z26"/>
    <mergeCell ref="AA26:AB26"/>
    <mergeCell ref="AC26:AD26"/>
    <mergeCell ref="AE26:AF26"/>
    <mergeCell ref="AG26:AH26"/>
    <mergeCell ref="AI26:AJ26"/>
    <mergeCell ref="BU25:BV25"/>
    <mergeCell ref="BW25:BX25"/>
    <mergeCell ref="BY25:BZ25"/>
    <mergeCell ref="CA25:CB25"/>
    <mergeCell ref="AW25:AX25"/>
    <mergeCell ref="AY25:AZ25"/>
    <mergeCell ref="BA25:BB25"/>
    <mergeCell ref="BC25:BD25"/>
    <mergeCell ref="CC25:CD25"/>
    <mergeCell ref="CE25:CF25"/>
    <mergeCell ref="BI25:BJ25"/>
    <mergeCell ref="BK25:BL25"/>
    <mergeCell ref="BM25:BN25"/>
    <mergeCell ref="BO25:BP25"/>
    <mergeCell ref="BQ25:BR25"/>
    <mergeCell ref="BS25:BT25"/>
    <mergeCell ref="AG25:AH25"/>
    <mergeCell ref="AI25:AJ25"/>
    <mergeCell ref="BE25:BF25"/>
    <mergeCell ref="BG25:BH25"/>
    <mergeCell ref="AK25:AL25"/>
    <mergeCell ref="AM25:AN25"/>
    <mergeCell ref="AO25:AP25"/>
    <mergeCell ref="AQ25:AR25"/>
    <mergeCell ref="AS25:AT25"/>
    <mergeCell ref="AU25:AV25"/>
    <mergeCell ref="CC24:CD24"/>
    <mergeCell ref="CE24:CF24"/>
    <mergeCell ref="CG24:CH24"/>
    <mergeCell ref="CI24:CJ24"/>
    <mergeCell ref="U25:V25"/>
    <mergeCell ref="W25:X25"/>
    <mergeCell ref="Y25:Z25"/>
    <mergeCell ref="AA25:AB25"/>
    <mergeCell ref="AC25:AD25"/>
    <mergeCell ref="AE25:AF25"/>
    <mergeCell ref="BQ24:BR24"/>
    <mergeCell ref="BS24:BT24"/>
    <mergeCell ref="BU24:BV24"/>
    <mergeCell ref="BW24:BX24"/>
    <mergeCell ref="BY24:BZ24"/>
    <mergeCell ref="CA24:CB24"/>
    <mergeCell ref="BE24:BF24"/>
    <mergeCell ref="BG24:BH24"/>
    <mergeCell ref="BI24:BJ24"/>
    <mergeCell ref="BK24:BL24"/>
    <mergeCell ref="BM24:BN24"/>
    <mergeCell ref="BO24:BP24"/>
    <mergeCell ref="AS24:AT24"/>
    <mergeCell ref="AU24:AV24"/>
    <mergeCell ref="AW24:AX24"/>
    <mergeCell ref="AY24:AZ24"/>
    <mergeCell ref="BA24:BB24"/>
    <mergeCell ref="BC24:BD24"/>
    <mergeCell ref="AG24:AH24"/>
    <mergeCell ref="AI24:AJ24"/>
    <mergeCell ref="AK24:AL24"/>
    <mergeCell ref="AM24:AN24"/>
    <mergeCell ref="AO24:AP24"/>
    <mergeCell ref="AQ24:AR24"/>
    <mergeCell ref="U24:V24"/>
    <mergeCell ref="W24:X24"/>
    <mergeCell ref="Y24:Z24"/>
    <mergeCell ref="AA24:AB24"/>
    <mergeCell ref="AC24:AD24"/>
    <mergeCell ref="AE24:AF24"/>
    <mergeCell ref="BU23:BV23"/>
    <mergeCell ref="BW23:BX23"/>
    <mergeCell ref="BY23:BZ23"/>
    <mergeCell ref="CA23:CB23"/>
    <mergeCell ref="CC23:CD23"/>
    <mergeCell ref="CE23:CF23"/>
    <mergeCell ref="BI23:BJ23"/>
    <mergeCell ref="BK23:BL23"/>
    <mergeCell ref="BM23:BN23"/>
    <mergeCell ref="BO23:BP23"/>
    <mergeCell ref="BQ23:BR23"/>
    <mergeCell ref="BS23:BT23"/>
    <mergeCell ref="AW23:AX23"/>
    <mergeCell ref="AY23:AZ23"/>
    <mergeCell ref="BA23:BB23"/>
    <mergeCell ref="BC23:BD23"/>
    <mergeCell ref="BE23:BF23"/>
    <mergeCell ref="BG23:BH23"/>
    <mergeCell ref="AK23:AL23"/>
    <mergeCell ref="AM23:AN23"/>
    <mergeCell ref="AO23:AP23"/>
    <mergeCell ref="AQ23:AR23"/>
    <mergeCell ref="AS23:AT23"/>
    <mergeCell ref="AU23:AV23"/>
    <mergeCell ref="U23:V23"/>
    <mergeCell ref="W23:X23"/>
    <mergeCell ref="Y23:Z23"/>
    <mergeCell ref="AA23:AB23"/>
    <mergeCell ref="AC23:AD23"/>
    <mergeCell ref="AE23:AF23"/>
    <mergeCell ref="AG23:AH23"/>
    <mergeCell ref="AI23:AJ23"/>
    <mergeCell ref="BU22:BV22"/>
    <mergeCell ref="BW22:BX22"/>
    <mergeCell ref="BY22:BZ22"/>
    <mergeCell ref="CA22:CB22"/>
    <mergeCell ref="AW22:AX22"/>
    <mergeCell ref="AY22:AZ22"/>
    <mergeCell ref="BA22:BB22"/>
    <mergeCell ref="BC22:BD22"/>
    <mergeCell ref="CC22:CD22"/>
    <mergeCell ref="CE22:CF22"/>
    <mergeCell ref="BI22:BJ22"/>
    <mergeCell ref="BK22:BL22"/>
    <mergeCell ref="BM22:BN22"/>
    <mergeCell ref="BO22:BP22"/>
    <mergeCell ref="BQ22:BR22"/>
    <mergeCell ref="BS22:BT22"/>
    <mergeCell ref="AG22:AH22"/>
    <mergeCell ref="AI22:AJ22"/>
    <mergeCell ref="BE22:BF22"/>
    <mergeCell ref="BG22:BH22"/>
    <mergeCell ref="AK22:AL22"/>
    <mergeCell ref="AM22:AN22"/>
    <mergeCell ref="AO22:AP22"/>
    <mergeCell ref="AQ22:AR22"/>
    <mergeCell ref="AS22:AT22"/>
    <mergeCell ref="AU22:AV22"/>
    <mergeCell ref="CC21:CD21"/>
    <mergeCell ref="CE21:CF21"/>
    <mergeCell ref="CG21:CH21"/>
    <mergeCell ref="CI21:CJ21"/>
    <mergeCell ref="U22:V22"/>
    <mergeCell ref="W22:X22"/>
    <mergeCell ref="Y22:Z22"/>
    <mergeCell ref="AA22:AB22"/>
    <mergeCell ref="AC22:AD22"/>
    <mergeCell ref="AE22:AF22"/>
    <mergeCell ref="BQ21:BR21"/>
    <mergeCell ref="BS21:BT21"/>
    <mergeCell ref="BU21:BV21"/>
    <mergeCell ref="BW21:BX21"/>
    <mergeCell ref="BY21:BZ21"/>
    <mergeCell ref="CA21:CB21"/>
    <mergeCell ref="BE21:BF21"/>
    <mergeCell ref="BG21:BH21"/>
    <mergeCell ref="BI21:BJ21"/>
    <mergeCell ref="BK21:BL21"/>
    <mergeCell ref="BM21:BN21"/>
    <mergeCell ref="BO21:BP21"/>
    <mergeCell ref="AS21:AT21"/>
    <mergeCell ref="AU21:AV21"/>
    <mergeCell ref="AW21:AX21"/>
    <mergeCell ref="AY21:AZ21"/>
    <mergeCell ref="BA21:BB21"/>
    <mergeCell ref="BC21:BD21"/>
    <mergeCell ref="AG21:AH21"/>
    <mergeCell ref="AI21:AJ21"/>
    <mergeCell ref="AK21:AL21"/>
    <mergeCell ref="AM21:AN21"/>
    <mergeCell ref="AO21:AP21"/>
    <mergeCell ref="AQ21:AR21"/>
    <mergeCell ref="U21:V21"/>
    <mergeCell ref="W21:X21"/>
    <mergeCell ref="Y21:Z21"/>
    <mergeCell ref="AA21:AB21"/>
    <mergeCell ref="AC21:AD21"/>
    <mergeCell ref="AE21:AF21"/>
    <mergeCell ref="BU20:BV20"/>
    <mergeCell ref="BW20:BX20"/>
    <mergeCell ref="BY20:BZ20"/>
    <mergeCell ref="CA20:CB20"/>
    <mergeCell ref="CC20:CD20"/>
    <mergeCell ref="CE20:CF20"/>
    <mergeCell ref="BI20:BJ20"/>
    <mergeCell ref="BK20:BL20"/>
    <mergeCell ref="BM20:BN20"/>
    <mergeCell ref="BO20:BP20"/>
    <mergeCell ref="BQ20:BR20"/>
    <mergeCell ref="BS20:BT20"/>
    <mergeCell ref="AW20:AX20"/>
    <mergeCell ref="AY20:AZ20"/>
    <mergeCell ref="BA20:BB20"/>
    <mergeCell ref="BC20:BD20"/>
    <mergeCell ref="BE20:BF20"/>
    <mergeCell ref="BG20:BH20"/>
    <mergeCell ref="AK20:AL20"/>
    <mergeCell ref="AM20:AN20"/>
    <mergeCell ref="AO20:AP20"/>
    <mergeCell ref="AQ20:AR20"/>
    <mergeCell ref="AS20:AT20"/>
    <mergeCell ref="AU20:AV20"/>
    <mergeCell ref="U20:V20"/>
    <mergeCell ref="W20:X20"/>
    <mergeCell ref="Y20:Z20"/>
    <mergeCell ref="AA20:AB20"/>
    <mergeCell ref="AC20:AD20"/>
    <mergeCell ref="AE20:AF20"/>
    <mergeCell ref="AG20:AH20"/>
    <mergeCell ref="AI20:AJ20"/>
    <mergeCell ref="BU19:BV19"/>
    <mergeCell ref="BW19:BX19"/>
    <mergeCell ref="BY19:BZ19"/>
    <mergeCell ref="CA19:CB19"/>
    <mergeCell ref="AM19:AN19"/>
    <mergeCell ref="AO19:AP19"/>
    <mergeCell ref="AQ19:AR19"/>
    <mergeCell ref="AS19:AT19"/>
    <mergeCell ref="CC19:CD19"/>
    <mergeCell ref="CE19:CF19"/>
    <mergeCell ref="BI19:BJ19"/>
    <mergeCell ref="BK19:BL19"/>
    <mergeCell ref="BM19:BN19"/>
    <mergeCell ref="BO19:BP19"/>
    <mergeCell ref="BQ19:BR19"/>
    <mergeCell ref="BS19:BT19"/>
    <mergeCell ref="U17:V17"/>
    <mergeCell ref="W17:X17"/>
    <mergeCell ref="Y17:Z17"/>
    <mergeCell ref="AA17:AB17"/>
    <mergeCell ref="AC17:AD17"/>
    <mergeCell ref="AE17:AF17"/>
    <mergeCell ref="AG17:AH17"/>
    <mergeCell ref="AI17:AJ17"/>
    <mergeCell ref="CG13:CH13"/>
    <mergeCell ref="CI13:CJ13"/>
    <mergeCell ref="CG14:CH14"/>
    <mergeCell ref="CI14:CJ14"/>
    <mergeCell ref="AG15:AH15"/>
    <mergeCell ref="AK17:AL17"/>
    <mergeCell ref="AM17:AN17"/>
    <mergeCell ref="AO17:AP17"/>
    <mergeCell ref="CG32:CH32"/>
    <mergeCell ref="CI32:CJ32"/>
    <mergeCell ref="CG17:CH17"/>
    <mergeCell ref="CI17:CJ17"/>
    <mergeCell ref="CG18:CH18"/>
    <mergeCell ref="CI18:CJ18"/>
    <mergeCell ref="CG20:CH20"/>
    <mergeCell ref="CI20:CJ20"/>
    <mergeCell ref="CG23:CH23"/>
    <mergeCell ref="CI23:CJ23"/>
    <mergeCell ref="U11:V11"/>
    <mergeCell ref="CG11:CH11"/>
    <mergeCell ref="CI11:CJ11"/>
    <mergeCell ref="BM13:BN13"/>
    <mergeCell ref="BW13:BX13"/>
    <mergeCell ref="BY13:BZ13"/>
    <mergeCell ref="CA13:CB13"/>
    <mergeCell ref="CC13:CD13"/>
    <mergeCell ref="CE13:CF13"/>
    <mergeCell ref="BK11:BL11"/>
    <mergeCell ref="CG33:CH33"/>
    <mergeCell ref="CI10:CJ10"/>
    <mergeCell ref="CI15:CJ15"/>
    <mergeCell ref="CI16:CJ16"/>
    <mergeCell ref="CI19:CJ19"/>
    <mergeCell ref="CI22:CJ22"/>
    <mergeCell ref="CI25:CJ25"/>
    <mergeCell ref="CI28:CJ28"/>
    <mergeCell ref="CI31:CJ31"/>
    <mergeCell ref="CI33:CJ33"/>
    <mergeCell ref="AE15:AF15"/>
    <mergeCell ref="AC15:AD15"/>
    <mergeCell ref="AA15:AB15"/>
    <mergeCell ref="Y15:Z15"/>
    <mergeCell ref="W15:X15"/>
    <mergeCell ref="U15:V15"/>
    <mergeCell ref="AQ17:AR17"/>
    <mergeCell ref="AS17:AT17"/>
    <mergeCell ref="AU17:AV17"/>
    <mergeCell ref="AW17:AX17"/>
    <mergeCell ref="AY17:AZ17"/>
    <mergeCell ref="BA17:BB17"/>
    <mergeCell ref="AU36:AV36"/>
    <mergeCell ref="B36:T36"/>
    <mergeCell ref="AI36:AJ36"/>
    <mergeCell ref="AK36:AL36"/>
    <mergeCell ref="AM36:AN36"/>
    <mergeCell ref="AQ36:AR36"/>
    <mergeCell ref="AS36:AT36"/>
    <mergeCell ref="AC36:AD36"/>
    <mergeCell ref="AE36:AF36"/>
    <mergeCell ref="AO36:AP36"/>
    <mergeCell ref="BC10:BD10"/>
    <mergeCell ref="BY39:BZ39"/>
    <mergeCell ref="CA39:CB39"/>
    <mergeCell ref="BA39:BB39"/>
    <mergeCell ref="BC39:BD39"/>
    <mergeCell ref="BE39:BF39"/>
    <mergeCell ref="BG39:BH39"/>
    <mergeCell ref="BU37:BV37"/>
    <mergeCell ref="BC17:BD17"/>
    <mergeCell ref="BI39:BJ39"/>
    <mergeCell ref="CC39:CD39"/>
    <mergeCell ref="CE39:CF39"/>
    <mergeCell ref="CG39:CH39"/>
    <mergeCell ref="CI39:CJ39"/>
    <mergeCell ref="BM39:BN39"/>
    <mergeCell ref="BO39:BP39"/>
    <mergeCell ref="BQ39:BR39"/>
    <mergeCell ref="BS39:BT39"/>
    <mergeCell ref="BU39:BV39"/>
    <mergeCell ref="BW39:BX39"/>
    <mergeCell ref="AO39:AP39"/>
    <mergeCell ref="AQ39:AR39"/>
    <mergeCell ref="AS39:AT39"/>
    <mergeCell ref="AU39:AV39"/>
    <mergeCell ref="AW39:AX39"/>
    <mergeCell ref="AY39:AZ39"/>
    <mergeCell ref="Y10:Z10"/>
    <mergeCell ref="AA10:AB10"/>
    <mergeCell ref="AC39:AD39"/>
    <mergeCell ref="AE39:AF39"/>
    <mergeCell ref="AG39:AH39"/>
    <mergeCell ref="AI39:AJ39"/>
    <mergeCell ref="Y18:Z18"/>
    <mergeCell ref="AA18:AB18"/>
    <mergeCell ref="AG10:AH10"/>
    <mergeCell ref="AI10:AJ10"/>
    <mergeCell ref="B39:T39"/>
    <mergeCell ref="U39:V39"/>
    <mergeCell ref="W39:X39"/>
    <mergeCell ref="Y39:Z39"/>
    <mergeCell ref="AA39:AB39"/>
    <mergeCell ref="U10:V10"/>
    <mergeCell ref="W10:X10"/>
    <mergeCell ref="W36:X36"/>
    <mergeCell ref="Y36:Z36"/>
    <mergeCell ref="AA36:AB36"/>
    <mergeCell ref="AO44:AP44"/>
    <mergeCell ref="AQ44:AR44"/>
    <mergeCell ref="U37:V37"/>
    <mergeCell ref="U36:V36"/>
    <mergeCell ref="AK39:AL39"/>
    <mergeCell ref="AM39:AN39"/>
    <mergeCell ref="AC37:AD37"/>
    <mergeCell ref="AQ37:AR37"/>
    <mergeCell ref="AG37:AH37"/>
    <mergeCell ref="AI37:AJ37"/>
    <mergeCell ref="BK39:BL39"/>
    <mergeCell ref="CC10:CD10"/>
    <mergeCell ref="CE10:CF10"/>
    <mergeCell ref="BQ10:BR10"/>
    <mergeCell ref="BS10:BT10"/>
    <mergeCell ref="BU10:BV10"/>
    <mergeCell ref="BW10:BX10"/>
    <mergeCell ref="BY10:BZ10"/>
    <mergeCell ref="CA10:CB10"/>
    <mergeCell ref="BK37:BL37"/>
    <mergeCell ref="BE10:BF10"/>
    <mergeCell ref="BI10:BJ10"/>
    <mergeCell ref="BK10:BL10"/>
    <mergeCell ref="BM10:BN10"/>
    <mergeCell ref="BO10:BP10"/>
    <mergeCell ref="AS10:AT10"/>
    <mergeCell ref="AU10:AV10"/>
    <mergeCell ref="AW10:AX10"/>
    <mergeCell ref="AY10:AZ10"/>
    <mergeCell ref="BA10:BB10"/>
    <mergeCell ref="AK10:AL10"/>
    <mergeCell ref="AM10:AN10"/>
    <mergeCell ref="AO10:AP10"/>
    <mergeCell ref="AQ10:AR10"/>
    <mergeCell ref="AC10:AD10"/>
    <mergeCell ref="AE10:AF10"/>
    <mergeCell ref="BJ2:BR2"/>
    <mergeCell ref="BS2:CA2"/>
    <mergeCell ref="A1:N1"/>
    <mergeCell ref="O1:AB1"/>
    <mergeCell ref="AC1:AQ1"/>
    <mergeCell ref="AR1:AZ1"/>
    <mergeCell ref="BA1:BI1"/>
    <mergeCell ref="BJ1:BR1"/>
    <mergeCell ref="W9:X9"/>
    <mergeCell ref="Y9:Z9"/>
    <mergeCell ref="AA9:AB9"/>
    <mergeCell ref="AC9:AD9"/>
    <mergeCell ref="BS1:CA1"/>
    <mergeCell ref="A2:N2"/>
    <mergeCell ref="O2:AB2"/>
    <mergeCell ref="AC2:AQ2"/>
    <mergeCell ref="AR2:AZ2"/>
    <mergeCell ref="BA2:BI2"/>
    <mergeCell ref="AE9:AF9"/>
    <mergeCell ref="AG9:AH9"/>
    <mergeCell ref="AI9:AJ9"/>
    <mergeCell ref="AK9:AL9"/>
    <mergeCell ref="A6:I6"/>
    <mergeCell ref="J6:X6"/>
    <mergeCell ref="Y6:AG6"/>
    <mergeCell ref="AH6:BC6"/>
    <mergeCell ref="A8:T9"/>
    <mergeCell ref="U9:V9"/>
    <mergeCell ref="AM9:AN9"/>
    <mergeCell ref="AO9:AP9"/>
    <mergeCell ref="AQ9:AR9"/>
    <mergeCell ref="AS9:AT9"/>
    <mergeCell ref="AU9:AV9"/>
    <mergeCell ref="AW9:AX9"/>
    <mergeCell ref="AY9:AZ9"/>
    <mergeCell ref="BA9:BB9"/>
    <mergeCell ref="BC9:BD9"/>
    <mergeCell ref="BE9:BF9"/>
    <mergeCell ref="BG9:BH9"/>
    <mergeCell ref="BI9:BJ9"/>
    <mergeCell ref="BK9:BL9"/>
    <mergeCell ref="BM9:BN9"/>
    <mergeCell ref="BO9:BP9"/>
    <mergeCell ref="BQ9:BR9"/>
    <mergeCell ref="BS9:BT9"/>
    <mergeCell ref="BU9:BV9"/>
    <mergeCell ref="CI9:CJ9"/>
    <mergeCell ref="BW9:BX9"/>
    <mergeCell ref="BY9:BZ9"/>
    <mergeCell ref="CA9:CB9"/>
    <mergeCell ref="CC9:CD9"/>
    <mergeCell ref="CE9:CF9"/>
    <mergeCell ref="CG9:CH9"/>
    <mergeCell ref="AK37:AL37"/>
    <mergeCell ref="AM37:AN37"/>
    <mergeCell ref="AO37:AP37"/>
    <mergeCell ref="AS37:AT37"/>
    <mergeCell ref="AU37:AV37"/>
    <mergeCell ref="BI37:BJ37"/>
    <mergeCell ref="BM37:BN37"/>
    <mergeCell ref="BO37:BP37"/>
    <mergeCell ref="AW37:AX37"/>
    <mergeCell ref="AY37:AZ37"/>
    <mergeCell ref="BA37:BB37"/>
    <mergeCell ref="BC37:BD37"/>
    <mergeCell ref="BE37:BF37"/>
    <mergeCell ref="BG37:BH37"/>
    <mergeCell ref="CG37:CH37"/>
    <mergeCell ref="CI37:CJ37"/>
    <mergeCell ref="CC37:CD37"/>
    <mergeCell ref="CE37:CF37"/>
    <mergeCell ref="BQ37:BR37"/>
    <mergeCell ref="BS37:BT37"/>
    <mergeCell ref="BW37:BX37"/>
    <mergeCell ref="CA37:CB37"/>
    <mergeCell ref="A40:T40"/>
    <mergeCell ref="W40:X40"/>
    <mergeCell ref="Y40:Z40"/>
    <mergeCell ref="AA40:AB40"/>
    <mergeCell ref="AC40:AD40"/>
    <mergeCell ref="AE40:AF40"/>
    <mergeCell ref="U40:V40"/>
    <mergeCell ref="AG40:AH40"/>
    <mergeCell ref="AI40:AJ40"/>
    <mergeCell ref="AK40:AL40"/>
    <mergeCell ref="AM40:AN40"/>
    <mergeCell ref="AO40:AP40"/>
    <mergeCell ref="AQ40:AR40"/>
    <mergeCell ref="BK40:BL40"/>
    <mergeCell ref="BM40:BN40"/>
    <mergeCell ref="BO40:BP40"/>
    <mergeCell ref="AS40:AT40"/>
    <mergeCell ref="AU40:AV40"/>
    <mergeCell ref="AW40:AX40"/>
    <mergeCell ref="AY40:AZ40"/>
    <mergeCell ref="BA40:BB40"/>
    <mergeCell ref="BC40:BD40"/>
    <mergeCell ref="BQ40:BR40"/>
    <mergeCell ref="BS40:BT40"/>
    <mergeCell ref="BU40:BV40"/>
    <mergeCell ref="BW40:BX40"/>
    <mergeCell ref="BY40:BZ40"/>
    <mergeCell ref="CA40:CB40"/>
    <mergeCell ref="CC40:CD40"/>
    <mergeCell ref="CE40:CF40"/>
    <mergeCell ref="CG40:CH40"/>
    <mergeCell ref="CI40:CJ40"/>
    <mergeCell ref="AE41:AF41"/>
    <mergeCell ref="AG41:AH41"/>
    <mergeCell ref="AI41:AJ41"/>
    <mergeCell ref="AK41:AL41"/>
    <mergeCell ref="BG41:BH41"/>
    <mergeCell ref="BI41:BJ41"/>
    <mergeCell ref="A41:T41"/>
    <mergeCell ref="U41:V41"/>
    <mergeCell ref="W41:X41"/>
    <mergeCell ref="Y41:Z41"/>
    <mergeCell ref="AA41:AB41"/>
    <mergeCell ref="AC41:AD41"/>
    <mergeCell ref="AM41:AN41"/>
    <mergeCell ref="AO41:AP41"/>
    <mergeCell ref="AQ41:AR41"/>
    <mergeCell ref="AS41:AT41"/>
    <mergeCell ref="AU41:AV41"/>
    <mergeCell ref="AW41:AX41"/>
    <mergeCell ref="CA41:CB41"/>
    <mergeCell ref="CC41:CD41"/>
    <mergeCell ref="CE41:CF41"/>
    <mergeCell ref="CG41:CH41"/>
    <mergeCell ref="BK41:BL41"/>
    <mergeCell ref="BM41:BN41"/>
    <mergeCell ref="BO41:BP41"/>
    <mergeCell ref="BQ41:BR41"/>
    <mergeCell ref="BS41:BT41"/>
    <mergeCell ref="BU41:BV41"/>
    <mergeCell ref="AC42:AD42"/>
    <mergeCell ref="AE42:AF42"/>
    <mergeCell ref="AG42:AH42"/>
    <mergeCell ref="AI42:AJ42"/>
    <mergeCell ref="BW41:BX41"/>
    <mergeCell ref="BY41:BZ41"/>
    <mergeCell ref="AY41:AZ41"/>
    <mergeCell ref="BA41:BB41"/>
    <mergeCell ref="BC41:BD41"/>
    <mergeCell ref="BE41:BF41"/>
    <mergeCell ref="AK42:AL42"/>
    <mergeCell ref="AM42:AN42"/>
    <mergeCell ref="AO42:AP42"/>
    <mergeCell ref="AQ42:AR42"/>
    <mergeCell ref="CI41:CJ41"/>
    <mergeCell ref="A42:T42"/>
    <mergeCell ref="U42:V42"/>
    <mergeCell ref="W42:X42"/>
    <mergeCell ref="Y42:Z42"/>
    <mergeCell ref="AA42:AB42"/>
    <mergeCell ref="BM42:BN42"/>
    <mergeCell ref="BO42:BP42"/>
    <mergeCell ref="AS42:AT42"/>
    <mergeCell ref="AU42:AV42"/>
    <mergeCell ref="AW42:AX42"/>
    <mergeCell ref="AY42:AZ42"/>
    <mergeCell ref="BA42:BB42"/>
    <mergeCell ref="BC42:BD42"/>
    <mergeCell ref="CG42:CH42"/>
    <mergeCell ref="CI42:CJ42"/>
    <mergeCell ref="A43:T43"/>
    <mergeCell ref="U43:V43"/>
    <mergeCell ref="W43:X43"/>
    <mergeCell ref="Y43:Z43"/>
    <mergeCell ref="AA43:AB43"/>
    <mergeCell ref="AC43:AD43"/>
    <mergeCell ref="BQ42:BR42"/>
    <mergeCell ref="BS42:BT42"/>
    <mergeCell ref="AI43:AJ43"/>
    <mergeCell ref="AK43:AL43"/>
    <mergeCell ref="CC42:CD42"/>
    <mergeCell ref="CE42:CF42"/>
    <mergeCell ref="BU42:BV42"/>
    <mergeCell ref="BW42:BX42"/>
    <mergeCell ref="BY42:BZ42"/>
    <mergeCell ref="CA42:CB42"/>
    <mergeCell ref="BE42:BF42"/>
    <mergeCell ref="BG42:BH42"/>
    <mergeCell ref="AM43:AN43"/>
    <mergeCell ref="AO43:AP43"/>
    <mergeCell ref="AQ43:AR43"/>
    <mergeCell ref="AS43:AT43"/>
    <mergeCell ref="AU43:AV43"/>
    <mergeCell ref="AW43:AX43"/>
    <mergeCell ref="CA43:CB43"/>
    <mergeCell ref="CC43:CD43"/>
    <mergeCell ref="CE43:CF43"/>
    <mergeCell ref="CG43:CH43"/>
    <mergeCell ref="BK43:BL43"/>
    <mergeCell ref="BM43:BN43"/>
    <mergeCell ref="BO43:BP43"/>
    <mergeCell ref="BQ43:BR43"/>
    <mergeCell ref="BS43:BT43"/>
    <mergeCell ref="BU43:BV43"/>
    <mergeCell ref="BY43:BZ43"/>
    <mergeCell ref="AY43:AZ43"/>
    <mergeCell ref="BA43:BB43"/>
    <mergeCell ref="BC43:BD43"/>
    <mergeCell ref="BE43:BF43"/>
    <mergeCell ref="BG43:BH43"/>
    <mergeCell ref="BI43:BJ43"/>
    <mergeCell ref="AS44:AT44"/>
    <mergeCell ref="CI43:CJ43"/>
    <mergeCell ref="A44:T44"/>
    <mergeCell ref="AU44:AV44"/>
    <mergeCell ref="AW44:AX44"/>
    <mergeCell ref="AY44:AZ44"/>
    <mergeCell ref="BA44:BB44"/>
    <mergeCell ref="BC44:BD44"/>
    <mergeCell ref="BE44:BF44"/>
    <mergeCell ref="BG44:BH44"/>
    <mergeCell ref="CG44:CH44"/>
    <mergeCell ref="CI44:CJ44"/>
    <mergeCell ref="BQ44:BR44"/>
    <mergeCell ref="BS44:BT44"/>
    <mergeCell ref="CC44:CD44"/>
    <mergeCell ref="CE44:CF44"/>
    <mergeCell ref="BY44:BZ44"/>
    <mergeCell ref="CA44:CB44"/>
    <mergeCell ref="BU44:BV44"/>
    <mergeCell ref="BW44:BX44"/>
    <mergeCell ref="BI44:BJ44"/>
    <mergeCell ref="BK44:BL44"/>
    <mergeCell ref="BE36:BF36"/>
    <mergeCell ref="BG36:BH36"/>
    <mergeCell ref="BI36:BJ36"/>
    <mergeCell ref="BK36:BL36"/>
    <mergeCell ref="BK42:BL42"/>
    <mergeCell ref="BE40:BF40"/>
    <mergeCell ref="BG40:BH40"/>
    <mergeCell ref="BI40:BJ40"/>
    <mergeCell ref="BM44:BN44"/>
    <mergeCell ref="BO44:BP44"/>
    <mergeCell ref="BW43:BX43"/>
    <mergeCell ref="BI42:BJ42"/>
    <mergeCell ref="CG36:CH36"/>
    <mergeCell ref="CI36:CJ36"/>
    <mergeCell ref="BM36:BN36"/>
    <mergeCell ref="BO36:BP36"/>
    <mergeCell ref="BQ36:BR36"/>
    <mergeCell ref="BS36:BT36"/>
    <mergeCell ref="BY36:BZ36"/>
    <mergeCell ref="BU36:BV36"/>
    <mergeCell ref="BW36:BX36"/>
    <mergeCell ref="AG36:AH36"/>
    <mergeCell ref="CC36:CD36"/>
    <mergeCell ref="CE36:CF36"/>
    <mergeCell ref="AW36:AX36"/>
    <mergeCell ref="AY36:AZ36"/>
    <mergeCell ref="BA36:BB36"/>
    <mergeCell ref="BC36:BD36"/>
    <mergeCell ref="Y37:Z37"/>
    <mergeCell ref="AA37:AB37"/>
    <mergeCell ref="AE37:AF37"/>
    <mergeCell ref="CA36:CB36"/>
    <mergeCell ref="BY37:BZ37"/>
    <mergeCell ref="W11:X11"/>
    <mergeCell ref="Y11:Z11"/>
    <mergeCell ref="AA11:AB11"/>
    <mergeCell ref="AC11:AD11"/>
    <mergeCell ref="AE11:AF11"/>
    <mergeCell ref="BE17:BF17"/>
    <mergeCell ref="AG11:AH11"/>
    <mergeCell ref="AI11:AJ11"/>
    <mergeCell ref="AK11:AL11"/>
    <mergeCell ref="AM11:AN11"/>
    <mergeCell ref="BI11:BJ11"/>
    <mergeCell ref="AO11:AP11"/>
    <mergeCell ref="AQ11:AR11"/>
    <mergeCell ref="AS11:AT11"/>
    <mergeCell ref="AU11:AV11"/>
    <mergeCell ref="AW11:AX11"/>
    <mergeCell ref="AY11:AZ11"/>
    <mergeCell ref="BM11:BN11"/>
    <mergeCell ref="BO11:BP11"/>
    <mergeCell ref="BQ11:BR11"/>
    <mergeCell ref="BS11:BT11"/>
    <mergeCell ref="BY11:BZ11"/>
    <mergeCell ref="CA11:CB11"/>
    <mergeCell ref="CC11:CD11"/>
    <mergeCell ref="CE11:CF11"/>
    <mergeCell ref="BA11:BB11"/>
    <mergeCell ref="BC11:BD11"/>
    <mergeCell ref="BE11:BF11"/>
    <mergeCell ref="BG11:BH11"/>
    <mergeCell ref="BU11:BV11"/>
    <mergeCell ref="BW11:BX11"/>
    <mergeCell ref="AI38:AJ38"/>
    <mergeCell ref="AK38:AL38"/>
    <mergeCell ref="AC44:AD44"/>
    <mergeCell ref="AE44:AF44"/>
    <mergeCell ref="W37:X37"/>
    <mergeCell ref="AG44:AH44"/>
    <mergeCell ref="AI44:AJ44"/>
    <mergeCell ref="AK44:AL44"/>
    <mergeCell ref="AE43:AF43"/>
    <mergeCell ref="AG43:AH43"/>
    <mergeCell ref="AI13:AJ13"/>
    <mergeCell ref="AK13:AL13"/>
    <mergeCell ref="AM44:AN44"/>
    <mergeCell ref="B37:T37"/>
    <mergeCell ref="U44:V44"/>
    <mergeCell ref="W44:X44"/>
    <mergeCell ref="Y44:Z44"/>
    <mergeCell ref="AA44:AB44"/>
    <mergeCell ref="AE38:AF38"/>
    <mergeCell ref="AG38:AH38"/>
    <mergeCell ref="U13:V13"/>
    <mergeCell ref="Y13:Z13"/>
    <mergeCell ref="AA13:AB13"/>
    <mergeCell ref="AC13:AD13"/>
    <mergeCell ref="AE13:AF13"/>
    <mergeCell ref="AG13:AH13"/>
    <mergeCell ref="W13:X13"/>
    <mergeCell ref="AM13:AN13"/>
    <mergeCell ref="AO13:AP13"/>
    <mergeCell ref="AQ13:AR13"/>
    <mergeCell ref="AS13:AT13"/>
    <mergeCell ref="AU13:AV13"/>
    <mergeCell ref="AW13:AX13"/>
    <mergeCell ref="BU13:BV13"/>
    <mergeCell ref="AY13:AZ13"/>
    <mergeCell ref="BA13:BB13"/>
    <mergeCell ref="BC13:BD13"/>
    <mergeCell ref="BE13:BF13"/>
    <mergeCell ref="BG13:BH13"/>
    <mergeCell ref="BI13:BJ13"/>
    <mergeCell ref="BK13:BL13"/>
    <mergeCell ref="BQ13:BR13"/>
    <mergeCell ref="BS13:BT13"/>
    <mergeCell ref="BG17:BH17"/>
    <mergeCell ref="BI17:BJ17"/>
    <mergeCell ref="BK17:BL17"/>
    <mergeCell ref="BM17:BN17"/>
    <mergeCell ref="BO17:BP17"/>
    <mergeCell ref="AS18:AT18"/>
    <mergeCell ref="AU18:AV18"/>
    <mergeCell ref="AW18:AX18"/>
    <mergeCell ref="AY18:AZ18"/>
    <mergeCell ref="BE18:BF18"/>
    <mergeCell ref="BG33:BH33"/>
    <mergeCell ref="BI33:BJ33"/>
    <mergeCell ref="BK33:BL33"/>
    <mergeCell ref="BM33:BN33"/>
    <mergeCell ref="BO33:BP33"/>
    <mergeCell ref="AG12:AH12"/>
    <mergeCell ref="BO13:BP13"/>
    <mergeCell ref="AI12:AJ12"/>
    <mergeCell ref="AK12:AL12"/>
    <mergeCell ref="AM12:AN12"/>
    <mergeCell ref="BS33:BT33"/>
    <mergeCell ref="BU33:BV33"/>
    <mergeCell ref="BW33:BX33"/>
    <mergeCell ref="BY33:BZ33"/>
    <mergeCell ref="CA33:CB33"/>
    <mergeCell ref="BQ33:BR33"/>
    <mergeCell ref="U12:V12"/>
    <mergeCell ref="W12:X12"/>
    <mergeCell ref="Y12:Z12"/>
    <mergeCell ref="AA12:AB12"/>
    <mergeCell ref="AC12:AD12"/>
    <mergeCell ref="AE12:AF12"/>
    <mergeCell ref="AO12:AP12"/>
    <mergeCell ref="AQ12:AR12"/>
    <mergeCell ref="AS12:AT12"/>
    <mergeCell ref="AU12:AV12"/>
    <mergeCell ref="AW12:AX12"/>
    <mergeCell ref="AY12:AZ12"/>
    <mergeCell ref="BA12:BB12"/>
    <mergeCell ref="BC12:BD12"/>
    <mergeCell ref="BE12:BF12"/>
    <mergeCell ref="BG12:BH12"/>
    <mergeCell ref="BI12:BJ12"/>
    <mergeCell ref="BK12:BL12"/>
    <mergeCell ref="BM12:BN12"/>
    <mergeCell ref="BO12:BP12"/>
    <mergeCell ref="BQ12:BR12"/>
    <mergeCell ref="BS12:BT12"/>
    <mergeCell ref="BU12:BV12"/>
    <mergeCell ref="BW12:BX12"/>
    <mergeCell ref="BY12:BZ12"/>
    <mergeCell ref="CA12:CB12"/>
    <mergeCell ref="CC12:CD12"/>
    <mergeCell ref="CE12:CF12"/>
    <mergeCell ref="CG12:CH12"/>
    <mergeCell ref="CI12:CJ12"/>
    <mergeCell ref="U14:V14"/>
    <mergeCell ref="W14:X14"/>
    <mergeCell ref="Y14:Z14"/>
    <mergeCell ref="AA14:AB14"/>
    <mergeCell ref="AC14:AD14"/>
    <mergeCell ref="AE14:AF14"/>
    <mergeCell ref="AG14:AH14"/>
    <mergeCell ref="AI14:AJ14"/>
    <mergeCell ref="AK14:AL14"/>
    <mergeCell ref="AM14:AN14"/>
    <mergeCell ref="AO14:AP14"/>
    <mergeCell ref="AQ14:AR14"/>
    <mergeCell ref="AS14:AT14"/>
    <mergeCell ref="AU14:AV14"/>
    <mergeCell ref="AW14:AX14"/>
    <mergeCell ref="AY14:AZ14"/>
    <mergeCell ref="BA14:BB14"/>
    <mergeCell ref="BC14:BD14"/>
    <mergeCell ref="BE14:BF14"/>
    <mergeCell ref="BW14:BX14"/>
    <mergeCell ref="BY14:BZ14"/>
    <mergeCell ref="CA14:CB14"/>
    <mergeCell ref="CC14:CD14"/>
    <mergeCell ref="BG14:BH14"/>
    <mergeCell ref="BI14:BJ14"/>
    <mergeCell ref="BK14:BL14"/>
    <mergeCell ref="BM14:BN14"/>
    <mergeCell ref="BO14:BP14"/>
    <mergeCell ref="BQ14:BR14"/>
    <mergeCell ref="CE14:CF14"/>
    <mergeCell ref="BS14:BT14"/>
    <mergeCell ref="BU14:BV14"/>
    <mergeCell ref="BQ17:BR17"/>
    <mergeCell ref="BS17:BT17"/>
    <mergeCell ref="BU17:BV17"/>
    <mergeCell ref="BW17:BX17"/>
    <mergeCell ref="BY17:BZ17"/>
    <mergeCell ref="CA17:CB17"/>
    <mergeCell ref="CC17:CD17"/>
    <mergeCell ref="AI15:AJ15"/>
    <mergeCell ref="AK15:AL15"/>
    <mergeCell ref="AM15:AN15"/>
    <mergeCell ref="AO15:AP15"/>
    <mergeCell ref="AQ15:AR15"/>
    <mergeCell ref="AS15:AT15"/>
    <mergeCell ref="AU15:AV15"/>
    <mergeCell ref="AW15:AX15"/>
    <mergeCell ref="AY15:AZ15"/>
    <mergeCell ref="BA15:BB15"/>
    <mergeCell ref="BC15:BD15"/>
    <mergeCell ref="BE15:BF15"/>
    <mergeCell ref="BG15:BH15"/>
    <mergeCell ref="BI15:BJ15"/>
    <mergeCell ref="BK15:BL15"/>
    <mergeCell ref="BM15:BN15"/>
    <mergeCell ref="BO15:BP15"/>
    <mergeCell ref="BQ15:BR15"/>
    <mergeCell ref="BS15:BT15"/>
    <mergeCell ref="BU15:BV15"/>
    <mergeCell ref="BW15:BX15"/>
    <mergeCell ref="BY15:BZ15"/>
    <mergeCell ref="CA15:CB15"/>
    <mergeCell ref="CC15:CD15"/>
    <mergeCell ref="CE15:CF15"/>
    <mergeCell ref="U16:V16"/>
    <mergeCell ref="W16:X16"/>
    <mergeCell ref="Y16:Z16"/>
    <mergeCell ref="AA16:AB16"/>
    <mergeCell ref="AC16:AD16"/>
    <mergeCell ref="AE16:AF16"/>
    <mergeCell ref="AG16:AH16"/>
    <mergeCell ref="AI16:AJ16"/>
    <mergeCell ref="AK16:AL16"/>
    <mergeCell ref="AM16:AN16"/>
    <mergeCell ref="AO16:AP16"/>
    <mergeCell ref="AQ16:AR16"/>
    <mergeCell ref="AS16:AT16"/>
    <mergeCell ref="AU16:AV16"/>
    <mergeCell ref="AW16:AX16"/>
    <mergeCell ref="AY16:AZ16"/>
    <mergeCell ref="BA16:BB16"/>
    <mergeCell ref="BC16:BD16"/>
    <mergeCell ref="BE16:BF16"/>
    <mergeCell ref="BG16:BH16"/>
    <mergeCell ref="BI16:BJ16"/>
    <mergeCell ref="BK16:BL16"/>
    <mergeCell ref="BM16:BN16"/>
    <mergeCell ref="BO16:BP16"/>
    <mergeCell ref="BQ16:BR16"/>
    <mergeCell ref="BS16:BT16"/>
    <mergeCell ref="BU16:BV16"/>
    <mergeCell ref="BW16:BX16"/>
    <mergeCell ref="BY16:BZ16"/>
    <mergeCell ref="CA16:CB16"/>
    <mergeCell ref="CC16:CD16"/>
    <mergeCell ref="CE16:CF16"/>
    <mergeCell ref="U32:V32"/>
    <mergeCell ref="W32:X32"/>
    <mergeCell ref="Y32:Z32"/>
    <mergeCell ref="AA32:AB32"/>
    <mergeCell ref="AC32:AD32"/>
    <mergeCell ref="AE32:AF32"/>
    <mergeCell ref="AG32:AH32"/>
    <mergeCell ref="AI32:AJ32"/>
    <mergeCell ref="BC32:BD32"/>
    <mergeCell ref="BE32:BF32"/>
    <mergeCell ref="BW32:BX32"/>
    <mergeCell ref="AK32:AL32"/>
    <mergeCell ref="AM32:AN32"/>
    <mergeCell ref="AO32:AP32"/>
    <mergeCell ref="AQ32:AR32"/>
    <mergeCell ref="AS32:AT32"/>
    <mergeCell ref="AU32:AV32"/>
    <mergeCell ref="BY32:BZ32"/>
    <mergeCell ref="CA32:CB32"/>
    <mergeCell ref="CC32:CD32"/>
    <mergeCell ref="BG32:BH32"/>
    <mergeCell ref="BI32:BJ32"/>
    <mergeCell ref="BK32:BL32"/>
    <mergeCell ref="BM32:BN32"/>
    <mergeCell ref="BO32:BP32"/>
    <mergeCell ref="BQ32:BR32"/>
    <mergeCell ref="CE32:CF32"/>
    <mergeCell ref="BS32:BT32"/>
    <mergeCell ref="BU32:BV32"/>
    <mergeCell ref="CE17:CF17"/>
    <mergeCell ref="U18:V18"/>
    <mergeCell ref="W18:X18"/>
    <mergeCell ref="AC18:AD18"/>
    <mergeCell ref="AE18:AF18"/>
    <mergeCell ref="AG18:AH18"/>
    <mergeCell ref="AI18:AJ18"/>
    <mergeCell ref="AK18:AL18"/>
    <mergeCell ref="AM18:AN18"/>
    <mergeCell ref="AO18:AP18"/>
    <mergeCell ref="AQ18:AR18"/>
    <mergeCell ref="BA18:BB18"/>
    <mergeCell ref="BC18:BD18"/>
    <mergeCell ref="BG18:BH18"/>
    <mergeCell ref="BI18:BJ18"/>
    <mergeCell ref="BK18:BL18"/>
    <mergeCell ref="BM18:BN18"/>
    <mergeCell ref="BO18:BP18"/>
    <mergeCell ref="BQ18:BR18"/>
    <mergeCell ref="BS18:BT18"/>
    <mergeCell ref="BU18:BV18"/>
    <mergeCell ref="BW18:BX18"/>
    <mergeCell ref="BY18:BZ18"/>
    <mergeCell ref="CA18:CB18"/>
    <mergeCell ref="CC18:CD18"/>
    <mergeCell ref="AM38:AN38"/>
    <mergeCell ref="AO38:AP38"/>
    <mergeCell ref="AQ38:AR38"/>
    <mergeCell ref="CE18:CF18"/>
    <mergeCell ref="U19:V19"/>
    <mergeCell ref="W19:X19"/>
    <mergeCell ref="Y19:Z19"/>
    <mergeCell ref="AA19:AB19"/>
    <mergeCell ref="AC19:AD19"/>
    <mergeCell ref="AE19:AF19"/>
    <mergeCell ref="B38:T38"/>
    <mergeCell ref="U38:V38"/>
    <mergeCell ref="W38:X38"/>
    <mergeCell ref="Y38:Z38"/>
    <mergeCell ref="AA38:AB38"/>
    <mergeCell ref="AC38:AD38"/>
    <mergeCell ref="AS38:AT38"/>
    <mergeCell ref="AU38:AV38"/>
    <mergeCell ref="AW38:AX38"/>
    <mergeCell ref="BO38:BP38"/>
    <mergeCell ref="BQ38:BR38"/>
    <mergeCell ref="BS38:BT38"/>
    <mergeCell ref="BU38:BV38"/>
    <mergeCell ref="AY38:AZ38"/>
    <mergeCell ref="BA38:BB38"/>
    <mergeCell ref="BC38:BD38"/>
    <mergeCell ref="BE38:BF38"/>
    <mergeCell ref="BG38:BH38"/>
    <mergeCell ref="BI38:BJ38"/>
    <mergeCell ref="BK38:BL38"/>
    <mergeCell ref="BM38:BN38"/>
    <mergeCell ref="CI38:CJ38"/>
    <mergeCell ref="BW38:BX38"/>
    <mergeCell ref="BY38:BZ38"/>
    <mergeCell ref="CA38:CB38"/>
    <mergeCell ref="CC38:CD38"/>
    <mergeCell ref="CE38:CF38"/>
    <mergeCell ref="CG38:CH38"/>
    <mergeCell ref="U33:V33"/>
    <mergeCell ref="W33:X33"/>
    <mergeCell ref="Y33:Z33"/>
    <mergeCell ref="AW19:AX19"/>
    <mergeCell ref="AY19:AZ19"/>
    <mergeCell ref="BA19:BB19"/>
    <mergeCell ref="AU19:AV19"/>
    <mergeCell ref="AG19:AH19"/>
    <mergeCell ref="AI19:AJ19"/>
    <mergeCell ref="AK19:AL19"/>
    <mergeCell ref="AA33:AB33"/>
    <mergeCell ref="AC33:AD33"/>
    <mergeCell ref="AE33:AF33"/>
    <mergeCell ref="AG33:AH33"/>
    <mergeCell ref="AI33:AJ33"/>
    <mergeCell ref="AK33:AL33"/>
    <mergeCell ref="AW33:AX33"/>
    <mergeCell ref="AY33:AZ33"/>
    <mergeCell ref="BA33:BB33"/>
    <mergeCell ref="BC19:BD19"/>
    <mergeCell ref="BE19:BF19"/>
    <mergeCell ref="BG19:BH19"/>
    <mergeCell ref="BC33:BD33"/>
    <mergeCell ref="AW32:AX32"/>
    <mergeCell ref="AY32:AZ32"/>
    <mergeCell ref="BA32:BB32"/>
    <mergeCell ref="CE35:CF35"/>
    <mergeCell ref="BK35:BL35"/>
    <mergeCell ref="BM35:BN35"/>
    <mergeCell ref="CC33:CD33"/>
    <mergeCell ref="CE33:CF33"/>
    <mergeCell ref="AM33:AN33"/>
    <mergeCell ref="AO33:AP33"/>
    <mergeCell ref="AQ33:AR33"/>
    <mergeCell ref="AS33:AT33"/>
    <mergeCell ref="AU33:AV33"/>
    <mergeCell ref="BI35:BJ35"/>
    <mergeCell ref="BO35:BP35"/>
    <mergeCell ref="BQ35:BR35"/>
    <mergeCell ref="BE33:BF33"/>
    <mergeCell ref="CG35:CH35"/>
    <mergeCell ref="CI35:CJ35"/>
    <mergeCell ref="BW35:BX35"/>
    <mergeCell ref="BY35:BZ35"/>
    <mergeCell ref="CA35:CB35"/>
    <mergeCell ref="CC35:CD35"/>
    <mergeCell ref="AS35:AT35"/>
    <mergeCell ref="AU35:AV35"/>
    <mergeCell ref="BS35:BT35"/>
    <mergeCell ref="CC34:CD34"/>
    <mergeCell ref="BU35:BV35"/>
    <mergeCell ref="AY35:AZ35"/>
    <mergeCell ref="BA35:BB35"/>
    <mergeCell ref="BC35:BD35"/>
    <mergeCell ref="BE35:BF35"/>
    <mergeCell ref="BG35:BH35"/>
    <mergeCell ref="CE34:CF34"/>
    <mergeCell ref="AS34:AT34"/>
    <mergeCell ref="AU34:AV34"/>
    <mergeCell ref="AW34:AX34"/>
    <mergeCell ref="BG34:BH34"/>
    <mergeCell ref="AK34:AL34"/>
    <mergeCell ref="BE34:BF34"/>
    <mergeCell ref="AG35:AH35"/>
    <mergeCell ref="CG34:CH34"/>
    <mergeCell ref="BK34:BL34"/>
    <mergeCell ref="BM34:BN34"/>
    <mergeCell ref="BO34:BP34"/>
    <mergeCell ref="BQ34:BR34"/>
    <mergeCell ref="BI34:BJ34"/>
    <mergeCell ref="BY34:BZ34"/>
    <mergeCell ref="CA34:CB34"/>
    <mergeCell ref="BS34:BT34"/>
    <mergeCell ref="CI34:CJ34"/>
    <mergeCell ref="Y34:Z34"/>
    <mergeCell ref="AA34:AB34"/>
    <mergeCell ref="AC34:AD34"/>
    <mergeCell ref="AQ35:AR35"/>
    <mergeCell ref="AO34:AP34"/>
    <mergeCell ref="AE34:AF34"/>
    <mergeCell ref="AG34:AH34"/>
    <mergeCell ref="AI34:AJ34"/>
    <mergeCell ref="AI35:AJ35"/>
    <mergeCell ref="AK35:AL35"/>
    <mergeCell ref="AM35:AN35"/>
    <mergeCell ref="AO35:AP35"/>
    <mergeCell ref="AQ34:AR34"/>
    <mergeCell ref="BW34:BX34"/>
    <mergeCell ref="BU34:BV34"/>
    <mergeCell ref="AY34:AZ34"/>
    <mergeCell ref="BA34:BB34"/>
    <mergeCell ref="BC34:BD34"/>
    <mergeCell ref="AW35:AX35"/>
    <mergeCell ref="BG10:BH10"/>
    <mergeCell ref="U35:V35"/>
    <mergeCell ref="W35:X35"/>
    <mergeCell ref="Y35:Z35"/>
    <mergeCell ref="AA35:AB35"/>
    <mergeCell ref="AC35:AD35"/>
    <mergeCell ref="AE35:AF35"/>
    <mergeCell ref="AM34:AN34"/>
    <mergeCell ref="U34:V34"/>
    <mergeCell ref="W34:X34"/>
  </mergeCells>
  <phoneticPr fontId="12"/>
  <dataValidations disablePrompts="1" count="1">
    <dataValidation type="list" allowBlank="1" showInputMessage="1" showErrorMessage="1" sqref="U40:BP40">
      <formula1>テスト分類</formula1>
    </dataValidation>
  </dataValidations>
  <pageMargins left="0.39370078740157483" right="0.19685039370078741" top="0.59055118110236227" bottom="0.39370078740157483" header="0.78740157480314965" footer="0.19685039370078741"/>
  <pageSetup paperSize="9" scale="98" fitToHeight="0" orientation="landscape" r:id="rId1"/>
  <headerFooter alignWithMargins="0">
    <oddFooter>&amp;C&amp;P / &amp;N&amp;RInternal Use Only</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13</vt:i4>
      </vt:variant>
    </vt:vector>
  </HeadingPairs>
  <TitlesOfParts>
    <vt:vector size="21" baseType="lpstr">
      <vt:lpstr>変更履歴</vt:lpstr>
      <vt:lpstr>定義</vt:lpstr>
      <vt:lpstr>作業チェックリスト</vt:lpstr>
      <vt:lpstr>サマリ</vt:lpstr>
      <vt:lpstr>履歴シートを削除できるようにする</vt:lpstr>
      <vt:lpstr>index</vt:lpstr>
      <vt:lpstr>対象データ</vt:lpstr>
      <vt:lpstr>tmp</vt:lpstr>
      <vt:lpstr>サマリ!Print_Area</vt:lpstr>
      <vt:lpstr>変更履歴!Print_Area</vt:lpstr>
      <vt:lpstr>tmp!Print_Titles</vt:lpstr>
      <vt:lpstr>サマリ!Print_Titles</vt:lpstr>
      <vt:lpstr>作業チェックリスト!Print_Titles</vt:lpstr>
      <vt:lpstr>変更履歴!Print_Titles</vt:lpstr>
      <vt:lpstr>履歴シートを削除できるようにする!Print_Titles</vt:lpstr>
      <vt:lpstr>tmp!テスト分類</vt:lpstr>
      <vt:lpstr>履歴シートを削除できるようにする!テスト分類</vt:lpstr>
      <vt:lpstr>テスト分類</vt:lpstr>
      <vt:lpstr>tmp!確認結果</vt:lpstr>
      <vt:lpstr>履歴シートを削除できるようにする!確認結果</vt:lpstr>
      <vt:lpstr>確認結果</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津久井　崇文</dc:creator>
  <cp:lastModifiedBy>史 正韵</cp:lastModifiedBy>
  <dcterms:created xsi:type="dcterms:W3CDTF">2014-09-29T07:35:18Z</dcterms:created>
  <dcterms:modified xsi:type="dcterms:W3CDTF">2019-07-02T06:49:20Z</dcterms:modified>
</cp:coreProperties>
</file>