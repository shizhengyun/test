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ptn54719\Desktop\shi\"/>
    </mc:Choice>
  </mc:AlternateContent>
  <bookViews>
    <workbookView xWindow="0" yWindow="10200" windowWidth="20820" windowHeight="8415" tabRatio="757" firstSheet="2" activeTab="6"/>
  </bookViews>
  <sheets>
    <sheet name="変更履歴" sheetId="2" r:id="rId1"/>
    <sheet name="定義" sheetId="6" r:id="rId2"/>
    <sheet name="作業チェックリスト" sheetId="10" r:id="rId3"/>
    <sheet name="サマリ" sheetId="11" r:id="rId4"/>
    <sheet name="履歴シートを削除できるようにする" sheetId="16" r:id="rId5"/>
    <sheet name="Sheet1" sheetId="19" r:id="rId6"/>
    <sheet name="index" sheetId="18" r:id="rId7"/>
    <sheet name="Sheet2" sheetId="20" r:id="rId8"/>
    <sheet name="対象データ" sheetId="17" state="hidden" r:id="rId9"/>
    <sheet name="tmp" sheetId="15" state="hidden" r:id="rId10"/>
  </sheets>
  <definedNames>
    <definedName name="_xlnm._FilterDatabase" localSheetId="6" hidden="1">index!$S$1:$T$1</definedName>
    <definedName name="_xlnm._FilterDatabase" localSheetId="2" hidden="1">作業チェックリスト!#REF!</definedName>
    <definedName name="_Regression_X" localSheetId="9" hidden="1">#REF!</definedName>
    <definedName name="_Regression_X" localSheetId="3" hidden="1">#REF!</definedName>
    <definedName name="_Regression_X" localSheetId="4" hidden="1">#REF!</definedName>
    <definedName name="_Regression_X" hidden="1">#REF!</definedName>
    <definedName name="ｋ" localSheetId="9" hidden="1">#REF!</definedName>
    <definedName name="ｋ" localSheetId="3" hidden="1">#REF!</definedName>
    <definedName name="ｋ" localSheetId="4" hidden="1">#REF!</definedName>
    <definedName name="ｋ" hidden="1">#REF!</definedName>
    <definedName name="_xlnm.Print_Area" localSheetId="3">サマリ!$A$1:$CE$39</definedName>
    <definedName name="_xlnm.Print_Area" localSheetId="0">変更履歴!$A$1:$CE$41</definedName>
    <definedName name="_xlnm.Print_Titles" localSheetId="9">tmp!$1:$9</definedName>
    <definedName name="_xlnm.Print_Titles" localSheetId="3">サマリ!$1:$3</definedName>
    <definedName name="_xlnm.Print_Titles" localSheetId="2">作業チェックリスト!$1:$7</definedName>
    <definedName name="_xlnm.Print_Titles" localSheetId="0">変更履歴!$1:$4</definedName>
    <definedName name="_xlnm.Print_Titles" localSheetId="4">履歴シートを削除できるようにする!$1:$9</definedName>
    <definedName name="あ" localSheetId="9" hidden="1">#REF!</definedName>
    <definedName name="あ" localSheetId="3" hidden="1">#REF!</definedName>
    <definedName name="あ" localSheetId="4" hidden="1">#REF!</definedName>
    <definedName name="あ" hidden="1">#REF!</definedName>
    <definedName name="ああ" localSheetId="9" hidden="1">#REF!</definedName>
    <definedName name="ああ" localSheetId="3" hidden="1">#REF!</definedName>
    <definedName name="ああ" localSheetId="4" hidden="1">#REF!</definedName>
    <definedName name="ああ" hidden="1">#REF!</definedName>
    <definedName name="い" localSheetId="9" hidden="1">#REF!</definedName>
    <definedName name="い" localSheetId="3" hidden="1">#REF!</definedName>
    <definedName name="い" localSheetId="4" hidden="1">#REF!</definedName>
    <definedName name="い" hidden="1">#REF!</definedName>
    <definedName name="う" localSheetId="9" hidden="1">#REF!</definedName>
    <definedName name="う" localSheetId="3" hidden="1">#REF!</definedName>
    <definedName name="う" localSheetId="4" hidden="1">#REF!</definedName>
    <definedName name="う" hidden="1">#REF!</definedName>
    <definedName name="テスト分類" localSheetId="9">定義!$A$2:$A$8</definedName>
    <definedName name="テスト分類" localSheetId="4">定義!$A$2:$A$8</definedName>
    <definedName name="テスト分類">定義!$A$2:$A$8</definedName>
    <definedName name="確認結果" localSheetId="9">定義!$D$2:$D$4</definedName>
    <definedName name="確認結果" localSheetId="4">定義!$D$2:$D$4</definedName>
    <definedName name="確認結果">定義!$D$2:$D$4</definedName>
    <definedName name="関連表" localSheetId="9" hidden="1">#REF!</definedName>
    <definedName name="関連表" localSheetId="3" hidden="1">#REF!</definedName>
    <definedName name="関連表" localSheetId="4" hidden="1">#REF!</definedName>
    <definedName name="関連表" hidden="1">#REF!</definedName>
  </definedNames>
  <calcPr calcId="152511"/>
  <pivotCaches>
    <pivotCache cacheId="0" r:id="rId11"/>
  </pivotCaches>
</workbook>
</file>

<file path=xl/calcChain.xml><?xml version="1.0" encoding="utf-8"?>
<calcChain xmlns="http://schemas.openxmlformats.org/spreadsheetml/2006/main">
  <c r="N2" i="18" l="1" a="1"/>
  <c r="N5" i="18" s="1"/>
  <c r="M2" i="18" a="1"/>
  <c r="M2" i="18" s="1"/>
  <c r="O2" i="18" s="1"/>
  <c r="N80" i="18" l="1"/>
  <c r="N76" i="18"/>
  <c r="N72" i="18"/>
  <c r="N68" i="18"/>
  <c r="N64" i="18"/>
  <c r="N60" i="18"/>
  <c r="N56" i="18"/>
  <c r="N52" i="18"/>
  <c r="N48" i="18"/>
  <c r="N44" i="18"/>
  <c r="N40" i="18"/>
  <c r="N36" i="18"/>
  <c r="N32" i="18"/>
  <c r="N28" i="18"/>
  <c r="N24" i="18"/>
  <c r="N20" i="18"/>
  <c r="N16" i="18"/>
  <c r="N12" i="18"/>
  <c r="N8" i="18"/>
  <c r="N4" i="18"/>
  <c r="N79" i="18"/>
  <c r="N75" i="18"/>
  <c r="N71" i="18"/>
  <c r="N67" i="18"/>
  <c r="N63" i="18"/>
  <c r="N59" i="18"/>
  <c r="N55" i="18"/>
  <c r="N51" i="18"/>
  <c r="N47" i="18"/>
  <c r="N43" i="18"/>
  <c r="N39" i="18"/>
  <c r="N35" i="18"/>
  <c r="N31" i="18"/>
  <c r="N27" i="18"/>
  <c r="N23" i="18"/>
  <c r="N19" i="18"/>
  <c r="N15" i="18"/>
  <c r="N11" i="18"/>
  <c r="N7" i="18"/>
  <c r="N3" i="18"/>
  <c r="N78" i="18"/>
  <c r="N74" i="18"/>
  <c r="N70" i="18"/>
  <c r="N66" i="18"/>
  <c r="N62" i="18"/>
  <c r="N58" i="18"/>
  <c r="N54" i="18"/>
  <c r="N50" i="18"/>
  <c r="N46" i="18"/>
  <c r="N42" i="18"/>
  <c r="N38" i="18"/>
  <c r="N34" i="18"/>
  <c r="N30" i="18"/>
  <c r="N26" i="18"/>
  <c r="N22" i="18"/>
  <c r="N18" i="18"/>
  <c r="N14" i="18"/>
  <c r="N10" i="18"/>
  <c r="N6" i="18"/>
  <c r="N2" i="18"/>
  <c r="P2" i="18" s="1"/>
  <c r="N81" i="18"/>
  <c r="N77" i="18"/>
  <c r="N73" i="18"/>
  <c r="N69" i="18"/>
  <c r="N65" i="18"/>
  <c r="N61" i="18"/>
  <c r="N57" i="18"/>
  <c r="N53" i="18"/>
  <c r="N49" i="18"/>
  <c r="N45" i="18"/>
  <c r="N41" i="18"/>
  <c r="N37" i="18"/>
  <c r="N33" i="18"/>
  <c r="N29" i="18"/>
  <c r="N25" i="18"/>
  <c r="N21" i="18"/>
  <c r="N17" i="18"/>
  <c r="N13" i="18"/>
  <c r="N9" i="18"/>
  <c r="M79" i="18"/>
  <c r="M75" i="18"/>
  <c r="M71" i="18"/>
  <c r="M67" i="18"/>
  <c r="M63" i="18"/>
  <c r="M59" i="18"/>
  <c r="M55" i="18"/>
  <c r="M51" i="18"/>
  <c r="M47" i="18"/>
  <c r="M43" i="18"/>
  <c r="M39" i="18"/>
  <c r="M35" i="18"/>
  <c r="M78" i="18"/>
  <c r="M74" i="18"/>
  <c r="M70" i="18"/>
  <c r="M66" i="18"/>
  <c r="M62" i="18"/>
  <c r="M58" i="18"/>
  <c r="M54" i="18"/>
  <c r="M50" i="18"/>
  <c r="M46" i="18"/>
  <c r="M42" i="18"/>
  <c r="M38" i="18"/>
  <c r="M34" i="18"/>
  <c r="M30" i="18"/>
  <c r="M26" i="18"/>
  <c r="M22" i="18"/>
  <c r="M18" i="18"/>
  <c r="M14" i="18"/>
  <c r="M10" i="18"/>
  <c r="M6" i="18"/>
  <c r="M81" i="18"/>
  <c r="M77" i="18"/>
  <c r="M73" i="18"/>
  <c r="M69" i="18"/>
  <c r="M65" i="18"/>
  <c r="M61" i="18"/>
  <c r="M57" i="18"/>
  <c r="M53" i="18"/>
  <c r="M49" i="18"/>
  <c r="M45" i="18"/>
  <c r="M41" i="18"/>
  <c r="M37" i="18"/>
  <c r="M33" i="18"/>
  <c r="M29" i="18"/>
  <c r="M25" i="18"/>
  <c r="M21" i="18"/>
  <c r="M17" i="18"/>
  <c r="M13" i="18"/>
  <c r="M9" i="18"/>
  <c r="M5" i="18"/>
  <c r="M80" i="18"/>
  <c r="M76" i="18"/>
  <c r="M72" i="18"/>
  <c r="M68" i="18"/>
  <c r="M64" i="18"/>
  <c r="M60" i="18"/>
  <c r="M56" i="18"/>
  <c r="M52" i="18"/>
  <c r="M48" i="18"/>
  <c r="M44" i="18"/>
  <c r="M40" i="18"/>
  <c r="M36" i="18"/>
  <c r="M32" i="18"/>
  <c r="M28" i="18"/>
  <c r="M24" i="18"/>
  <c r="M20" i="18"/>
  <c r="M16" i="18"/>
  <c r="M12" i="18"/>
  <c r="M8" i="18"/>
  <c r="M4" i="18"/>
  <c r="M31" i="18"/>
  <c r="M27" i="18"/>
  <c r="M23" i="18"/>
  <c r="M19" i="18"/>
  <c r="M15" i="18"/>
  <c r="M11" i="18"/>
  <c r="M7" i="18"/>
  <c r="M3" i="18"/>
  <c r="O3" i="18" s="1"/>
  <c r="BE2" i="2"/>
  <c r="O2" i="16"/>
  <c r="AV2" i="2"/>
  <c r="AV2" i="11"/>
  <c r="BW2" i="2"/>
  <c r="BS2" i="15" s="1"/>
  <c r="BN2" i="2"/>
  <c r="J6" i="15"/>
  <c r="AH6" i="15"/>
  <c r="BE2" i="11"/>
  <c r="BA2" i="15"/>
  <c r="G5" i="15"/>
  <c r="I5" i="15"/>
  <c r="K5" i="15"/>
  <c r="J5" i="15"/>
  <c r="H5" i="15"/>
  <c r="F5" i="15"/>
  <c r="E5" i="15"/>
  <c r="D5" i="15"/>
  <c r="A5" i="15" s="1"/>
  <c r="C5" i="15"/>
  <c r="B5" i="15"/>
  <c r="O2" i="15"/>
  <c r="BH37" i="11"/>
  <c r="BD37" i="11"/>
  <c r="AZ37" i="11"/>
  <c r="AV37" i="11"/>
  <c r="AR37" i="11"/>
  <c r="AN37" i="11"/>
  <c r="AJ37" i="11"/>
  <c r="AF37" i="11"/>
  <c r="AB37" i="11"/>
  <c r="X37" i="11"/>
  <c r="T37" i="11"/>
  <c r="BH36" i="11"/>
  <c r="BD36" i="11"/>
  <c r="AZ36" i="11"/>
  <c r="AV36" i="11"/>
  <c r="AR36" i="11"/>
  <c r="AN36" i="11"/>
  <c r="AJ36" i="11"/>
  <c r="AF36" i="11"/>
  <c r="AB36" i="11"/>
  <c r="X36" i="11"/>
  <c r="T36" i="11"/>
  <c r="BH35" i="11"/>
  <c r="BD35" i="11"/>
  <c r="AZ35" i="11"/>
  <c r="AV35" i="11"/>
  <c r="AR35" i="11"/>
  <c r="AN35" i="11"/>
  <c r="AJ35" i="11"/>
  <c r="AF35" i="11"/>
  <c r="AB35" i="11"/>
  <c r="X35" i="11"/>
  <c r="T35" i="11"/>
  <c r="BH34" i="11"/>
  <c r="BD34" i="11"/>
  <c r="AZ34" i="11"/>
  <c r="AV34" i="11"/>
  <c r="AR34" i="11"/>
  <c r="AN34" i="11"/>
  <c r="AJ34" i="11"/>
  <c r="AF34" i="11"/>
  <c r="AB34" i="11"/>
  <c r="X34" i="11"/>
  <c r="T34" i="11"/>
  <c r="BH33" i="11"/>
  <c r="BD33" i="11"/>
  <c r="AZ33" i="11"/>
  <c r="AV33" i="11"/>
  <c r="AR33" i="11"/>
  <c r="AN33" i="11"/>
  <c r="AJ33" i="11"/>
  <c r="AF33" i="11"/>
  <c r="AB33" i="11"/>
  <c r="X33" i="11"/>
  <c r="T33" i="11"/>
  <c r="BH32" i="11"/>
  <c r="BD32" i="11"/>
  <c r="AZ32" i="11"/>
  <c r="AV32" i="11"/>
  <c r="AR32" i="11"/>
  <c r="AN32" i="11"/>
  <c r="AJ32" i="11"/>
  <c r="AF32" i="11"/>
  <c r="AB32" i="11"/>
  <c r="X32" i="11"/>
  <c r="T32" i="11"/>
  <c r="BH31" i="11"/>
  <c r="BD31" i="11"/>
  <c r="AZ31" i="11"/>
  <c r="AV31" i="11"/>
  <c r="AR31" i="11"/>
  <c r="AN31" i="11"/>
  <c r="AJ31" i="11"/>
  <c r="AF31" i="11"/>
  <c r="AB31" i="11"/>
  <c r="X31" i="11"/>
  <c r="T31" i="11"/>
  <c r="BH30" i="11"/>
  <c r="BD30" i="11"/>
  <c r="AZ30" i="11"/>
  <c r="AV30" i="11"/>
  <c r="AR30" i="11"/>
  <c r="AN30" i="11"/>
  <c r="AJ30" i="11"/>
  <c r="AF30" i="11"/>
  <c r="AB30" i="11"/>
  <c r="X30" i="11"/>
  <c r="T30" i="11"/>
  <c r="BH29" i="11"/>
  <c r="BD29" i="11"/>
  <c r="AZ29" i="11"/>
  <c r="AV29" i="11"/>
  <c r="AR29" i="11"/>
  <c r="AN29" i="11"/>
  <c r="AJ29" i="11"/>
  <c r="AF29" i="11"/>
  <c r="AB29" i="11"/>
  <c r="X29" i="11"/>
  <c r="T29" i="11"/>
  <c r="BH28" i="11"/>
  <c r="BD28" i="11"/>
  <c r="AZ28" i="11"/>
  <c r="AV28" i="11"/>
  <c r="AR28" i="11"/>
  <c r="AN28" i="11"/>
  <c r="AJ28" i="11"/>
  <c r="AF28" i="11"/>
  <c r="AB28" i="11"/>
  <c r="X28" i="11"/>
  <c r="T28" i="11"/>
  <c r="BH27" i="11"/>
  <c r="BD27" i="11"/>
  <c r="AZ27" i="11"/>
  <c r="AV27" i="11"/>
  <c r="AR27" i="11"/>
  <c r="AN27" i="11"/>
  <c r="AJ27" i="11"/>
  <c r="AF27" i="11"/>
  <c r="AB27" i="11"/>
  <c r="X27" i="11"/>
  <c r="T27" i="11"/>
  <c r="BH26" i="11"/>
  <c r="BD26" i="11"/>
  <c r="AZ26" i="11"/>
  <c r="AV26" i="11"/>
  <c r="AR26" i="11"/>
  <c r="AN26" i="11"/>
  <c r="AJ26" i="11"/>
  <c r="AF26" i="11"/>
  <c r="AB26" i="11"/>
  <c r="X26" i="11"/>
  <c r="T26" i="11"/>
  <c r="BH25" i="11"/>
  <c r="BD25" i="11"/>
  <c r="AZ25" i="11"/>
  <c r="AV25" i="11"/>
  <c r="AR25" i="11"/>
  <c r="AN25" i="11"/>
  <c r="AJ25" i="11"/>
  <c r="AF25" i="11"/>
  <c r="AB25" i="11"/>
  <c r="X25" i="11"/>
  <c r="T25" i="11"/>
  <c r="BH24" i="11"/>
  <c r="BD24" i="11"/>
  <c r="AZ24" i="11"/>
  <c r="AV24" i="11"/>
  <c r="AR24" i="11"/>
  <c r="AN24" i="11"/>
  <c r="AJ24" i="11"/>
  <c r="AF24" i="11"/>
  <c r="AB24" i="11"/>
  <c r="X24" i="11"/>
  <c r="T24" i="11"/>
  <c r="BH23" i="11"/>
  <c r="BD23" i="11"/>
  <c r="AZ23" i="11"/>
  <c r="AV23" i="11"/>
  <c r="AR23" i="11"/>
  <c r="AN23" i="11"/>
  <c r="AJ23" i="11"/>
  <c r="AF23" i="11"/>
  <c r="AB23" i="11"/>
  <c r="X23" i="11"/>
  <c r="T23" i="11"/>
  <c r="BH22" i="11"/>
  <c r="BD22" i="11"/>
  <c r="AZ22" i="11"/>
  <c r="AV22" i="11"/>
  <c r="AR22" i="11"/>
  <c r="AN22" i="11"/>
  <c r="AJ22" i="11"/>
  <c r="AF22" i="11"/>
  <c r="AB22" i="11"/>
  <c r="X22" i="11"/>
  <c r="T22" i="11"/>
  <c r="BH21" i="11"/>
  <c r="BD21" i="11"/>
  <c r="AZ21" i="11"/>
  <c r="AV21" i="11"/>
  <c r="AR21" i="11"/>
  <c r="AN21" i="11"/>
  <c r="AJ21" i="11"/>
  <c r="AF21" i="11"/>
  <c r="AB21" i="11"/>
  <c r="X21" i="11"/>
  <c r="T21" i="11"/>
  <c r="BH20" i="11"/>
  <c r="BD20" i="11"/>
  <c r="AZ20" i="11"/>
  <c r="AV20" i="11"/>
  <c r="AR20" i="11"/>
  <c r="AN20" i="11"/>
  <c r="AJ20" i="11"/>
  <c r="AF20" i="11"/>
  <c r="AB20" i="11"/>
  <c r="X20" i="11"/>
  <c r="T20" i="11"/>
  <c r="BH19" i="11"/>
  <c r="BD19" i="11"/>
  <c r="AZ19" i="11"/>
  <c r="AV19" i="11"/>
  <c r="AR19" i="11"/>
  <c r="AN19" i="11"/>
  <c r="AJ19" i="11"/>
  <c r="AF19" i="11"/>
  <c r="AB19" i="11"/>
  <c r="X19" i="11"/>
  <c r="T19" i="11"/>
  <c r="BH18" i="11"/>
  <c r="BD18" i="11"/>
  <c r="AZ18" i="11"/>
  <c r="AV18" i="11"/>
  <c r="AR18" i="11"/>
  <c r="AN18" i="11"/>
  <c r="AJ18" i="11"/>
  <c r="AF18" i="11"/>
  <c r="AB18" i="11"/>
  <c r="X18" i="11"/>
  <c r="T18" i="11"/>
  <c r="BH17" i="11"/>
  <c r="BD17" i="11"/>
  <c r="AZ17" i="11"/>
  <c r="AV17" i="11"/>
  <c r="AR17" i="11"/>
  <c r="AN17" i="11"/>
  <c r="AJ17" i="11"/>
  <c r="AF17" i="11"/>
  <c r="AB17" i="11"/>
  <c r="X17" i="11"/>
  <c r="T17" i="11"/>
  <c r="BH16" i="11"/>
  <c r="BD16" i="11"/>
  <c r="AZ16" i="11"/>
  <c r="AV16" i="11"/>
  <c r="AR16" i="11"/>
  <c r="AN16" i="11"/>
  <c r="AJ16" i="11"/>
  <c r="AF16" i="11"/>
  <c r="AB16" i="11"/>
  <c r="X16" i="11"/>
  <c r="T16" i="11"/>
  <c r="BH15" i="11"/>
  <c r="BD15" i="11"/>
  <c r="AZ15" i="11"/>
  <c r="AV15" i="11"/>
  <c r="AR15" i="11"/>
  <c r="AN15" i="11"/>
  <c r="AJ15" i="11"/>
  <c r="AF15" i="11"/>
  <c r="AB15" i="11"/>
  <c r="X15" i="11"/>
  <c r="T15" i="11"/>
  <c r="O2" i="11"/>
  <c r="AR2" i="15"/>
  <c r="BJ2" i="15"/>
  <c r="BN2" i="11"/>
  <c r="AV9" i="11"/>
  <c r="A5" i="16"/>
  <c r="BW2" i="11"/>
  <c r="BH14" i="11"/>
  <c r="AB14" i="11"/>
  <c r="AF14" i="11"/>
  <c r="AV14" i="11"/>
  <c r="T14" i="11"/>
  <c r="X14" i="11"/>
  <c r="AR14" i="11"/>
  <c r="BD14" i="11"/>
  <c r="AJ14" i="11"/>
  <c r="AN14" i="11"/>
  <c r="O4" i="18" l="1"/>
  <c r="O5" i="18" s="1"/>
  <c r="O6" i="18" s="1"/>
  <c r="O7" i="18" s="1"/>
  <c r="O8" i="18" s="1"/>
  <c r="O9" i="18" s="1"/>
  <c r="O10" i="18" s="1"/>
  <c r="O11" i="18" s="1"/>
  <c r="O12" i="18" s="1"/>
  <c r="O13" i="18" s="1"/>
  <c r="O14" i="18" s="1"/>
  <c r="O15" i="18" s="1"/>
  <c r="O16" i="18" s="1"/>
  <c r="O17" i="18" s="1"/>
  <c r="O18" i="18" s="1"/>
  <c r="O19" i="18" s="1"/>
  <c r="O20" i="18" s="1"/>
  <c r="O21" i="18" s="1"/>
  <c r="O22" i="18" s="1"/>
  <c r="O23" i="18" s="1"/>
  <c r="O24" i="18" s="1"/>
  <c r="O25" i="18" s="1"/>
  <c r="O26" i="18" s="1"/>
  <c r="O27" i="18" s="1"/>
  <c r="O28" i="18" s="1"/>
  <c r="O29" i="18" s="1"/>
  <c r="O30" i="18" s="1"/>
  <c r="O31" i="18" s="1"/>
  <c r="O32" i="18" s="1"/>
  <c r="O33" i="18" s="1"/>
  <c r="O34" i="18" s="1"/>
  <c r="O35" i="18" s="1"/>
  <c r="O36" i="18" s="1"/>
  <c r="O37" i="18" s="1"/>
  <c r="O38" i="18" s="1"/>
  <c r="O39" i="18" s="1"/>
  <c r="O40" i="18" s="1"/>
  <c r="O41" i="18" s="1"/>
  <c r="O42" i="18" s="1"/>
  <c r="O43" i="18" s="1"/>
  <c r="O44" i="18" s="1"/>
  <c r="O45" i="18" s="1"/>
  <c r="O46" i="18" s="1"/>
  <c r="O47" i="18" s="1"/>
  <c r="O48" i="18" s="1"/>
  <c r="O49" i="18" s="1"/>
  <c r="O50" i="18" s="1"/>
  <c r="O51" i="18" s="1"/>
  <c r="O52" i="18" s="1"/>
  <c r="O53" i="18" s="1"/>
  <c r="O54" i="18" s="1"/>
  <c r="O55" i="18" s="1"/>
  <c r="O56" i="18" s="1"/>
  <c r="O57" i="18" s="1"/>
  <c r="O58" i="18" s="1"/>
  <c r="O59" i="18" s="1"/>
  <c r="O60" i="18" s="1"/>
  <c r="O61" i="18" s="1"/>
  <c r="O62" i="18" s="1"/>
  <c r="O63" i="18" s="1"/>
  <c r="O64" i="18" s="1"/>
  <c r="O65" i="18" s="1"/>
  <c r="O66" i="18" s="1"/>
  <c r="O67" i="18" s="1"/>
  <c r="O68" i="18" s="1"/>
  <c r="O69" i="18" s="1"/>
  <c r="O70" i="18" s="1"/>
  <c r="O71" i="18" s="1"/>
  <c r="O72" i="18" s="1"/>
  <c r="O73" i="18" s="1"/>
  <c r="O74" i="18" s="1"/>
  <c r="O75" i="18" s="1"/>
  <c r="O76" i="18" s="1"/>
  <c r="O77" i="18" s="1"/>
  <c r="O78" i="18" s="1"/>
  <c r="O79" i="18" s="1"/>
  <c r="O80" i="18" s="1"/>
  <c r="O81" i="18" s="1"/>
  <c r="P3" i="18"/>
  <c r="P4" i="18" s="1"/>
  <c r="P5" i="18" s="1"/>
  <c r="P6" i="18" s="1"/>
  <c r="P7" i="18" s="1"/>
  <c r="P8" i="18" s="1"/>
  <c r="P9" i="18" s="1"/>
  <c r="P10" i="18" s="1"/>
  <c r="P11" i="18" s="1"/>
  <c r="P12" i="18" s="1"/>
  <c r="P13" i="18" s="1"/>
  <c r="P14" i="18" s="1"/>
  <c r="P15" i="18" s="1"/>
  <c r="P16" i="18" s="1"/>
  <c r="P17" i="18" s="1"/>
  <c r="P18" i="18" s="1"/>
  <c r="P19" i="18" s="1"/>
  <c r="P20" i="18" s="1"/>
  <c r="P21" i="18" s="1"/>
  <c r="P22" i="18" s="1"/>
  <c r="P23" i="18" s="1"/>
  <c r="P24" i="18" s="1"/>
  <c r="P25" i="18" s="1"/>
  <c r="P26" i="18" s="1"/>
  <c r="P27" i="18" s="1"/>
  <c r="P28" i="18" s="1"/>
  <c r="P29" i="18" s="1"/>
  <c r="P30" i="18" s="1"/>
  <c r="P31" i="18" s="1"/>
  <c r="P32" i="18" s="1"/>
  <c r="P33" i="18" s="1"/>
  <c r="P34" i="18" s="1"/>
  <c r="P35" i="18" s="1"/>
  <c r="P36" i="18" s="1"/>
  <c r="P37" i="18" s="1"/>
  <c r="P38" i="18" s="1"/>
  <c r="P39" i="18" s="1"/>
  <c r="P40" i="18" s="1"/>
  <c r="P41" i="18" s="1"/>
  <c r="P42" i="18" s="1"/>
  <c r="P43" i="18" s="1"/>
  <c r="P44" i="18" s="1"/>
  <c r="P45" i="18" s="1"/>
  <c r="P46" i="18" s="1"/>
  <c r="P47" i="18" s="1"/>
  <c r="P48" i="18" s="1"/>
  <c r="P49" i="18" s="1"/>
  <c r="P50" i="18" s="1"/>
  <c r="P51" i="18" s="1"/>
  <c r="P52" i="18" s="1"/>
  <c r="P53" i="18" s="1"/>
  <c r="P54" i="18" s="1"/>
  <c r="P55" i="18" s="1"/>
  <c r="P56" i="18" s="1"/>
  <c r="P57" i="18" s="1"/>
  <c r="P58" i="18" s="1"/>
  <c r="P59" i="18" s="1"/>
  <c r="P60" i="18" s="1"/>
  <c r="P61" i="18" s="1"/>
  <c r="P62" i="18" s="1"/>
  <c r="P63" i="18" s="1"/>
  <c r="P64" i="18" s="1"/>
  <c r="P65" i="18" s="1"/>
  <c r="P66" i="18" s="1"/>
  <c r="P67" i="18" s="1"/>
  <c r="P68" i="18" s="1"/>
  <c r="P69" i="18" s="1"/>
  <c r="P70" i="18" s="1"/>
  <c r="P71" i="18" s="1"/>
  <c r="P72" i="18" s="1"/>
  <c r="P73" i="18" s="1"/>
  <c r="P74" i="18" s="1"/>
  <c r="P75" i="18" s="1"/>
  <c r="P76" i="18" s="1"/>
  <c r="P77" i="18" s="1"/>
  <c r="P78" i="18" s="1"/>
  <c r="P79" i="18" s="1"/>
  <c r="P80" i="18" s="1"/>
</calcChain>
</file>

<file path=xl/comments1.xml><?xml version="1.0" encoding="utf-8"?>
<comments xmlns="http://schemas.openxmlformats.org/spreadsheetml/2006/main">
  <authors>
    <author>tepHagiwara</author>
  </authors>
  <commentList>
    <comment ref="AJ7" authorId="0" shapeId="0">
      <text>
        <r>
          <rPr>
            <sz val="9"/>
            <color indexed="81"/>
            <rFont val="ＭＳ Ｐゴシック"/>
            <family val="3"/>
            <charset val="128"/>
          </rPr>
          <t>結果については、全ての内訳を合計する(再テスト分を含む)。</t>
        </r>
      </text>
    </comment>
    <comment ref="P12" authorId="0" shapeId="0">
      <text>
        <r>
          <rPr>
            <sz val="9"/>
            <color indexed="81"/>
            <rFont val="ＭＳ Ｐゴシック"/>
            <family val="3"/>
            <charset val="128"/>
          </rPr>
          <t>再テストの場合は、"○"</t>
        </r>
      </text>
    </comment>
  </commentList>
</comments>
</file>

<file path=xl/sharedStrings.xml><?xml version="1.0" encoding="utf-8"?>
<sst xmlns="http://schemas.openxmlformats.org/spreadsheetml/2006/main" count="5398" uniqueCount="221">
  <si>
    <t>プロジェクト名</t>
    <rPh sb="6" eb="7">
      <t>メイ</t>
    </rPh>
    <phoneticPr fontId="7"/>
  </si>
  <si>
    <t>サブシステム名</t>
    <rPh sb="6" eb="7">
      <t>メイ</t>
    </rPh>
    <phoneticPr fontId="7"/>
  </si>
  <si>
    <t>文書名</t>
    <rPh sb="0" eb="2">
      <t>ブンショ</t>
    </rPh>
    <rPh sb="2" eb="3">
      <t>メイ</t>
    </rPh>
    <phoneticPr fontId="7"/>
  </si>
  <si>
    <t>作成者</t>
    <rPh sb="0" eb="3">
      <t>サクセイシャ</t>
    </rPh>
    <phoneticPr fontId="7"/>
  </si>
  <si>
    <t>作成日</t>
    <rPh sb="0" eb="2">
      <t>サクセイ</t>
    </rPh>
    <rPh sb="2" eb="3">
      <t>ヒ</t>
    </rPh>
    <phoneticPr fontId="7"/>
  </si>
  <si>
    <t>更新者</t>
    <rPh sb="0" eb="3">
      <t>コウシンシャ</t>
    </rPh>
    <phoneticPr fontId="7"/>
  </si>
  <si>
    <t>更新日</t>
    <rPh sb="0" eb="2">
      <t>コウシン</t>
    </rPh>
    <rPh sb="2" eb="3">
      <t>ヒ</t>
    </rPh>
    <phoneticPr fontId="7"/>
  </si>
  <si>
    <t>版</t>
    <rPh sb="0" eb="1">
      <t>バン</t>
    </rPh>
    <phoneticPr fontId="7"/>
  </si>
  <si>
    <t>変更日</t>
    <rPh sb="0" eb="2">
      <t>ヘンコウ</t>
    </rPh>
    <rPh sb="2" eb="3">
      <t>ヒ</t>
    </rPh>
    <phoneticPr fontId="7"/>
  </si>
  <si>
    <t>依頼者</t>
    <rPh sb="0" eb="3">
      <t>イライシャ</t>
    </rPh>
    <phoneticPr fontId="7"/>
  </si>
  <si>
    <t>作業者</t>
    <rPh sb="0" eb="3">
      <t>サギョウシャ</t>
    </rPh>
    <phoneticPr fontId="7"/>
  </si>
  <si>
    <t>変更種別</t>
    <rPh sb="0" eb="2">
      <t>ヘンコウ</t>
    </rPh>
    <rPh sb="2" eb="4">
      <t>シュベツ</t>
    </rPh>
    <phoneticPr fontId="7"/>
  </si>
  <si>
    <t>変更内容</t>
    <rPh sb="0" eb="2">
      <t>ヘンコウ</t>
    </rPh>
    <rPh sb="2" eb="4">
      <t>ナイヨウ</t>
    </rPh>
    <phoneticPr fontId="7"/>
  </si>
  <si>
    <t>異常系</t>
    <rPh sb="0" eb="2">
      <t>イジョウ</t>
    </rPh>
    <rPh sb="2" eb="3">
      <t>ケイ</t>
    </rPh>
    <phoneticPr fontId="1"/>
  </si>
  <si>
    <t>境界値チェック</t>
    <rPh sb="0" eb="2">
      <t>キョウカイ</t>
    </rPh>
    <rPh sb="2" eb="3">
      <t>チ</t>
    </rPh>
    <phoneticPr fontId="1"/>
  </si>
  <si>
    <t>件数</t>
    <rPh sb="0" eb="2">
      <t>ケンスウ</t>
    </rPh>
    <phoneticPr fontId="1"/>
  </si>
  <si>
    <t>単体テスト仕様書兼実施結果</t>
    <rPh sb="0" eb="2">
      <t>タンタイ</t>
    </rPh>
    <rPh sb="5" eb="8">
      <t>シヨウショ</t>
    </rPh>
    <rPh sb="8" eb="9">
      <t>ケン</t>
    </rPh>
    <rPh sb="9" eb="11">
      <t>ジッシ</t>
    </rPh>
    <rPh sb="11" eb="13">
      <t>ケッカ</t>
    </rPh>
    <phoneticPr fontId="7"/>
  </si>
  <si>
    <t>テスト対象
画面ID／バッチID</t>
    <rPh sb="3" eb="5">
      <t>タイショウ</t>
    </rPh>
    <rPh sb="6" eb="8">
      <t>ガメン</t>
    </rPh>
    <phoneticPr fontId="7"/>
  </si>
  <si>
    <t>テスト対象
画面名／バッチ名</t>
    <rPh sb="3" eb="5">
      <t>タイショウ</t>
    </rPh>
    <rPh sb="6" eb="8">
      <t>ガメン</t>
    </rPh>
    <rPh sb="13" eb="14">
      <t>メイ</t>
    </rPh>
    <phoneticPr fontId="7"/>
  </si>
  <si>
    <t>テスト分類</t>
    <rPh sb="3" eb="5">
      <t>ブンルイ</t>
    </rPh>
    <phoneticPr fontId="7"/>
  </si>
  <si>
    <t>確認者</t>
    <rPh sb="0" eb="2">
      <t>カクニン</t>
    </rPh>
    <rPh sb="2" eb="3">
      <t>シャ</t>
    </rPh>
    <phoneticPr fontId="7"/>
  </si>
  <si>
    <t>確認日</t>
    <rPh sb="0" eb="2">
      <t>カクニン</t>
    </rPh>
    <rPh sb="2" eb="3">
      <t>ビ</t>
    </rPh>
    <phoneticPr fontId="7"/>
  </si>
  <si>
    <t>確認結果</t>
    <rPh sb="0" eb="2">
      <t>カクニン</t>
    </rPh>
    <rPh sb="2" eb="4">
      <t>ケッカ</t>
    </rPh>
    <phoneticPr fontId="7"/>
  </si>
  <si>
    <t>備考</t>
    <rPh sb="0" eb="2">
      <t>ビコウ</t>
    </rPh>
    <phoneticPr fontId="7"/>
  </si>
  <si>
    <t>結果</t>
    <rPh sb="0" eb="2">
      <t>ケッカ</t>
    </rPh>
    <phoneticPr fontId="7"/>
  </si>
  <si>
    <t>件数</t>
    <rPh sb="0" eb="2">
      <t>ケンスウ</t>
    </rPh>
    <phoneticPr fontId="7"/>
  </si>
  <si>
    <t>■実施結果</t>
    <rPh sb="1" eb="3">
      <t>ジッシ</t>
    </rPh>
    <rPh sb="3" eb="5">
      <t>ケッカ</t>
    </rPh>
    <phoneticPr fontId="7"/>
  </si>
  <si>
    <t>■内訳</t>
    <rPh sb="1" eb="3">
      <t>ウチワケ</t>
    </rPh>
    <phoneticPr fontId="7"/>
  </si>
  <si>
    <t>テストケース数</t>
    <rPh sb="6" eb="7">
      <t>スウ</t>
    </rPh>
    <phoneticPr fontId="7"/>
  </si>
  <si>
    <t>限界値チェック</t>
    <rPh sb="0" eb="2">
      <t>ゲンカイ</t>
    </rPh>
    <rPh sb="2" eb="3">
      <t>チ</t>
    </rPh>
    <phoneticPr fontId="1"/>
  </si>
  <si>
    <t>その他</t>
    <rPh sb="2" eb="3">
      <t>タ</t>
    </rPh>
    <phoneticPr fontId="7"/>
  </si>
  <si>
    <t>入力値チェック</t>
    <rPh sb="0" eb="2">
      <t>ニュウリョク</t>
    </rPh>
    <rPh sb="2" eb="3">
      <t>チ</t>
    </rPh>
    <phoneticPr fontId="1"/>
  </si>
  <si>
    <t>出力項目確認</t>
    <rPh sb="0" eb="2">
      <t>シュツリョク</t>
    </rPh>
    <rPh sb="2" eb="4">
      <t>コウモク</t>
    </rPh>
    <rPh sb="4" eb="6">
      <t>カクニン</t>
    </rPh>
    <phoneticPr fontId="7"/>
  </si>
  <si>
    <t>テスト分類</t>
    <rPh sb="3" eb="5">
      <t>ブンルイ</t>
    </rPh>
    <phoneticPr fontId="12"/>
  </si>
  <si>
    <t>画面表示、DB更新、ファイル出力</t>
    <phoneticPr fontId="12"/>
  </si>
  <si>
    <t>入力項目に対する必須チェック、型桁チェック、整合性チェックなど</t>
    <rPh sb="0" eb="2">
      <t>ニュウリョク</t>
    </rPh>
    <rPh sb="2" eb="4">
      <t>コウモク</t>
    </rPh>
    <rPh sb="5" eb="6">
      <t>タイ</t>
    </rPh>
    <rPh sb="8" eb="10">
      <t>ヒッス</t>
    </rPh>
    <rPh sb="15" eb="16">
      <t>カタ</t>
    </rPh>
    <rPh sb="16" eb="17">
      <t>ケタ</t>
    </rPh>
    <rPh sb="22" eb="25">
      <t>セイゴウセイ</t>
    </rPh>
    <phoneticPr fontId="12"/>
  </si>
  <si>
    <t>確認内容</t>
    <rPh sb="0" eb="2">
      <t>カクニン</t>
    </rPh>
    <rPh sb="2" eb="4">
      <t>ナイヨウ</t>
    </rPh>
    <phoneticPr fontId="12"/>
  </si>
  <si>
    <t>チェック処理以外で、入力条件による分岐を網羅するケース</t>
    <phoneticPr fontId="12"/>
  </si>
  <si>
    <t>発生しうる例外エラー、バッチ入力ファイルのフォーマット異常など</t>
    <rPh sb="0" eb="2">
      <t>ハッセイ</t>
    </rPh>
    <rPh sb="5" eb="7">
      <t>レイガイ</t>
    </rPh>
    <rPh sb="14" eb="16">
      <t>ニュウリョク</t>
    </rPh>
    <rPh sb="27" eb="29">
      <t>イジョウ</t>
    </rPh>
    <phoneticPr fontId="12"/>
  </si>
  <si>
    <t>バッチ入力ファイルの件数に関する確認（0件ファイル、複数件ファイル）</t>
    <rPh sb="3" eb="5">
      <t>ニュウリョク</t>
    </rPh>
    <rPh sb="10" eb="12">
      <t>ケンスウ</t>
    </rPh>
    <rPh sb="13" eb="14">
      <t>カン</t>
    </rPh>
    <rPh sb="16" eb="18">
      <t>カクニン</t>
    </rPh>
    <rPh sb="20" eb="21">
      <t>ケン</t>
    </rPh>
    <rPh sb="26" eb="28">
      <t>フクスウ</t>
    </rPh>
    <rPh sb="28" eb="29">
      <t>ケン</t>
    </rPh>
    <phoneticPr fontId="12"/>
  </si>
  <si>
    <t>上記以外</t>
    <rPh sb="0" eb="2">
      <t>ジョウキ</t>
    </rPh>
    <rPh sb="2" eb="4">
      <t>イガイ</t>
    </rPh>
    <phoneticPr fontId="12"/>
  </si>
  <si>
    <t>最大桁数の値を入出力するケース</t>
    <rPh sb="0" eb="2">
      <t>サイダイ</t>
    </rPh>
    <rPh sb="2" eb="4">
      <t>ケタスウ</t>
    </rPh>
    <rPh sb="5" eb="6">
      <t>アタイ</t>
    </rPh>
    <rPh sb="7" eb="10">
      <t>ニュウシュツリョク</t>
    </rPh>
    <phoneticPr fontId="12"/>
  </si>
  <si>
    <t>確認結果</t>
    <rPh sb="0" eb="2">
      <t>カクニン</t>
    </rPh>
    <rPh sb="2" eb="4">
      <t>ケッカ</t>
    </rPh>
    <phoneticPr fontId="12"/>
  </si>
  <si>
    <t>OK</t>
    <phoneticPr fontId="12"/>
  </si>
  <si>
    <t>NG</t>
    <phoneticPr fontId="12"/>
  </si>
  <si>
    <t>対象外</t>
    <rPh sb="0" eb="3">
      <t>タイショウガイ</t>
    </rPh>
    <phoneticPr fontId="12"/>
  </si>
  <si>
    <t>合計</t>
    <rPh sb="0" eb="2">
      <t>ゴウケイ</t>
    </rPh>
    <phoneticPr fontId="7"/>
  </si>
  <si>
    <t>入力値</t>
    <rPh sb="0" eb="2">
      <t>ニュウリョク</t>
    </rPh>
    <rPh sb="2" eb="3">
      <t>チ</t>
    </rPh>
    <phoneticPr fontId="7"/>
  </si>
  <si>
    <t>境界値</t>
    <rPh sb="0" eb="2">
      <t>キョウカイ</t>
    </rPh>
    <rPh sb="2" eb="3">
      <t>チ</t>
    </rPh>
    <phoneticPr fontId="7"/>
  </si>
  <si>
    <t>限界値</t>
    <rPh sb="0" eb="2">
      <t>ゲンカイ</t>
    </rPh>
    <rPh sb="2" eb="3">
      <t>チ</t>
    </rPh>
    <phoneticPr fontId="7"/>
  </si>
  <si>
    <t>出力</t>
    <rPh sb="0" eb="2">
      <t>シュツリョク</t>
    </rPh>
    <phoneticPr fontId="7"/>
  </si>
  <si>
    <t>異常</t>
    <rPh sb="0" eb="2">
      <t>イジョウ</t>
    </rPh>
    <phoneticPr fontId="7"/>
  </si>
  <si>
    <t>OK</t>
    <phoneticPr fontId="7"/>
  </si>
  <si>
    <t>NG</t>
    <phoneticPr fontId="7"/>
  </si>
  <si>
    <t>対象外</t>
    <rPh sb="0" eb="3">
      <t>タイショウガイ</t>
    </rPh>
    <phoneticPr fontId="7"/>
  </si>
  <si>
    <t>シート名</t>
    <rPh sb="3" eb="4">
      <t>メイ</t>
    </rPh>
    <phoneticPr fontId="7"/>
  </si>
  <si>
    <t>再テスト</t>
    <rPh sb="0" eb="1">
      <t>サイ</t>
    </rPh>
    <phoneticPr fontId="7"/>
  </si>
  <si>
    <t>Javaソース</t>
  </si>
  <si>
    <t>Javascript</t>
  </si>
  <si>
    <t>シェル</t>
  </si>
  <si>
    <t>SQL</t>
  </si>
  <si>
    <t>対象案件</t>
    <rPh sb="0" eb="2">
      <t>タイショウ</t>
    </rPh>
    <rPh sb="2" eb="4">
      <t>アンケン</t>
    </rPh>
    <phoneticPr fontId="7"/>
  </si>
  <si>
    <t>対象機能</t>
    <rPh sb="0" eb="2">
      <t>タイショウ</t>
    </rPh>
    <rPh sb="2" eb="4">
      <t>キノウ</t>
    </rPh>
    <phoneticPr fontId="7"/>
  </si>
  <si>
    <t>対象ドキュメント</t>
    <rPh sb="0" eb="2">
      <t>タイショウ</t>
    </rPh>
    <phoneticPr fontId="7"/>
  </si>
  <si>
    <t>チェック者</t>
    <rPh sb="4" eb="5">
      <t>シャ</t>
    </rPh>
    <phoneticPr fontId="7"/>
  </si>
  <si>
    <t>チェック完了日</t>
    <rPh sb="4" eb="7">
      <t>カンリョウビ</t>
    </rPh>
    <phoneticPr fontId="7"/>
  </si>
  <si>
    <t>チェック分類</t>
    <rPh sb="4" eb="6">
      <t>ブンルイ</t>
    </rPh>
    <phoneticPr fontId="7"/>
  </si>
  <si>
    <t>チェック対象</t>
    <rPh sb="4" eb="6">
      <t>タイショウ</t>
    </rPh>
    <phoneticPr fontId="7"/>
  </si>
  <si>
    <t>チェックポイント</t>
    <phoneticPr fontId="7"/>
  </si>
  <si>
    <t>ﾁｪｯｸ結果</t>
    <rPh sb="4" eb="6">
      <t>ケッカ</t>
    </rPh>
    <phoneticPr fontId="7"/>
  </si>
  <si>
    <t>PG</t>
    <phoneticPr fontId="7"/>
  </si>
  <si>
    <t>規約の確認</t>
    <rPh sb="0" eb="2">
      <t>キヤク</t>
    </rPh>
    <rPh sb="3" eb="5">
      <t>カクニン</t>
    </rPh>
    <phoneticPr fontId="7"/>
  </si>
  <si>
    <t>各種コーディング・ガイドを確認してから、実装に着手しているか</t>
    <rPh sb="0" eb="2">
      <t>カクシュ</t>
    </rPh>
    <rPh sb="13" eb="15">
      <t>カクニン</t>
    </rPh>
    <rPh sb="20" eb="22">
      <t>ジッソウ</t>
    </rPh>
    <rPh sb="23" eb="25">
      <t>チャクシュ</t>
    </rPh>
    <phoneticPr fontId="7"/>
  </si>
  <si>
    <t>ソース内のコメントを正しく記載しているか（javadocコメント例_社外秘.txt 参照）（Copyright 注意）</t>
    <rPh sb="3" eb="4">
      <t>ナイ</t>
    </rPh>
    <rPh sb="10" eb="11">
      <t>タダ</t>
    </rPh>
    <rPh sb="13" eb="15">
      <t>キサイ</t>
    </rPh>
    <rPh sb="32" eb="33">
      <t>レイ</t>
    </rPh>
    <rPh sb="34" eb="37">
      <t>シャガイヒ</t>
    </rPh>
    <rPh sb="42" eb="44">
      <t>サンショウ</t>
    </rPh>
    <rPh sb="56" eb="58">
      <t>チュウイ</t>
    </rPh>
    <phoneticPr fontId="7"/>
  </si>
  <si>
    <t>不要なコメントが残っていないか</t>
    <rPh sb="0" eb="2">
      <t>フヨウ</t>
    </rPh>
    <rPh sb="8" eb="9">
      <t>ノコ</t>
    </rPh>
    <phoneticPr fontId="7"/>
  </si>
  <si>
    <t>TODOタグが残っていないか</t>
    <rPh sb="7" eb="8">
      <t>ノコ</t>
    </rPh>
    <phoneticPr fontId="7"/>
  </si>
  <si>
    <t>CheckStyle、Findbugsの警告が極力排除されているか</t>
    <rPh sb="20" eb="22">
      <t>ケイコク</t>
    </rPh>
    <rPh sb="23" eb="25">
      <t>キョクリョク</t>
    </rPh>
    <rPh sb="25" eb="27">
      <t>ハイジョ</t>
    </rPh>
    <phoneticPr fontId="7"/>
  </si>
  <si>
    <t>Javaコーディング・ガイドに則って実装されているか</t>
    <rPh sb="15" eb="16">
      <t>ノット</t>
    </rPh>
    <rPh sb="18" eb="20">
      <t>ジッソウ</t>
    </rPh>
    <phoneticPr fontId="7"/>
  </si>
  <si>
    <t>JavaScriptコーディング・ガイドに則って実装されているか</t>
    <rPh sb="21" eb="22">
      <t>ノット</t>
    </rPh>
    <rPh sb="24" eb="26">
      <t>ジッソウ</t>
    </rPh>
    <phoneticPr fontId="7"/>
  </si>
  <si>
    <t>シェルスクリプト・コーディング・ガイドに則って実装されているか</t>
    <rPh sb="20" eb="21">
      <t>ノット</t>
    </rPh>
    <rPh sb="23" eb="25">
      <t>ジッソウ</t>
    </rPh>
    <phoneticPr fontId="7"/>
  </si>
  <si>
    <t>SQLコーディング・ガイドに則って実装されているか</t>
    <rPh sb="14" eb="15">
      <t>ノット</t>
    </rPh>
    <rPh sb="17" eb="19">
      <t>ジッソウ</t>
    </rPh>
    <phoneticPr fontId="7"/>
  </si>
  <si>
    <t>実行計画の確認がされているか（SQL実行計画確認検証ガイド 参照）</t>
    <rPh sb="0" eb="2">
      <t>ジッコウ</t>
    </rPh>
    <rPh sb="2" eb="4">
      <t>ケイカク</t>
    </rPh>
    <rPh sb="5" eb="7">
      <t>カクニン</t>
    </rPh>
    <rPh sb="30" eb="32">
      <t>サンショウ</t>
    </rPh>
    <phoneticPr fontId="7"/>
  </si>
  <si>
    <t>【入力値チェック】全入力項目に対する必須チェック、型桁チェックの動作を確認するケースを挙げているか</t>
    <rPh sb="1" eb="3">
      <t>ニュウリョク</t>
    </rPh>
    <rPh sb="3" eb="4">
      <t>チ</t>
    </rPh>
    <rPh sb="9" eb="10">
      <t>ゼン</t>
    </rPh>
    <rPh sb="10" eb="12">
      <t>ニュウリョク</t>
    </rPh>
    <rPh sb="12" eb="14">
      <t>コウモク</t>
    </rPh>
    <rPh sb="15" eb="16">
      <t>タイ</t>
    </rPh>
    <rPh sb="18" eb="20">
      <t>ヒッス</t>
    </rPh>
    <rPh sb="25" eb="26">
      <t>カタ</t>
    </rPh>
    <rPh sb="26" eb="27">
      <t>ケタ</t>
    </rPh>
    <rPh sb="32" eb="34">
      <t>ドウサ</t>
    </rPh>
    <rPh sb="35" eb="37">
      <t>カクニン</t>
    </rPh>
    <rPh sb="43" eb="44">
      <t>ア</t>
    </rPh>
    <phoneticPr fontId="7"/>
  </si>
  <si>
    <t>【入力値チェック】バッチ処理で、引数のチェックを確認するケースを挙げているか</t>
    <rPh sb="1" eb="3">
      <t>ニュウリョク</t>
    </rPh>
    <rPh sb="3" eb="4">
      <t>チ</t>
    </rPh>
    <rPh sb="12" eb="14">
      <t>ショリ</t>
    </rPh>
    <rPh sb="16" eb="18">
      <t>ヒキスウ</t>
    </rPh>
    <rPh sb="24" eb="26">
      <t>カクニン</t>
    </rPh>
    <rPh sb="32" eb="33">
      <t>ア</t>
    </rPh>
    <phoneticPr fontId="7"/>
  </si>
  <si>
    <t>【入力値チェック】プログラム内で実装している全ての整合性チェック処理を確認するケースを挙げているか</t>
    <rPh sb="1" eb="3">
      <t>ニュウリョク</t>
    </rPh>
    <rPh sb="3" eb="4">
      <t>チ</t>
    </rPh>
    <rPh sb="14" eb="15">
      <t>ナイ</t>
    </rPh>
    <rPh sb="16" eb="18">
      <t>ジッソウ</t>
    </rPh>
    <rPh sb="22" eb="23">
      <t>スベ</t>
    </rPh>
    <rPh sb="25" eb="28">
      <t>セイゴウセイ</t>
    </rPh>
    <rPh sb="32" eb="34">
      <t>ショリ</t>
    </rPh>
    <rPh sb="35" eb="37">
      <t>カクニン</t>
    </rPh>
    <rPh sb="43" eb="44">
      <t>ア</t>
    </rPh>
    <phoneticPr fontId="7"/>
  </si>
  <si>
    <t>【境界値チェック】チェック処理以外で、入力条件による分岐を網羅するケースを全て挙げているか</t>
    <rPh sb="1" eb="3">
      <t>キョウカイ</t>
    </rPh>
    <rPh sb="3" eb="4">
      <t>チ</t>
    </rPh>
    <phoneticPr fontId="7"/>
  </si>
  <si>
    <t>【限界値チェック】各入力項目に対し、画面／ファイルで許容される最大入力桁数を処理するケースを挙げているか</t>
    <phoneticPr fontId="7"/>
  </si>
  <si>
    <t>【出力項目確認】DBを更新する場合、更新対象の全テーブルに対する更新仕様を確認するケースを挙げているか</t>
    <rPh sb="1" eb="3">
      <t>シュツリョク</t>
    </rPh>
    <rPh sb="3" eb="5">
      <t>コウモク</t>
    </rPh>
    <rPh sb="5" eb="7">
      <t>カクニン</t>
    </rPh>
    <phoneticPr fontId="7"/>
  </si>
  <si>
    <t>【出力項目確認】ファイルを出力する場合、出力ファイル仕様を確認するケースを挙げているか</t>
    <rPh sb="1" eb="3">
      <t>シュツリョク</t>
    </rPh>
    <rPh sb="3" eb="5">
      <t>コウモク</t>
    </rPh>
    <rPh sb="5" eb="7">
      <t>カクニン</t>
    </rPh>
    <phoneticPr fontId="7"/>
  </si>
  <si>
    <t>【出力項目確認】画面出力仕様を確認するケースを挙げているか</t>
    <rPh sb="1" eb="3">
      <t>シュツリョク</t>
    </rPh>
    <rPh sb="3" eb="5">
      <t>コウモク</t>
    </rPh>
    <rPh sb="5" eb="7">
      <t>カクニン</t>
    </rPh>
    <phoneticPr fontId="7"/>
  </si>
  <si>
    <t>【異常系】 内部で発生しうる例外によるエラーケースを挙げているか</t>
    <rPh sb="1" eb="3">
      <t>イジョウ</t>
    </rPh>
    <rPh sb="3" eb="4">
      <t>ケイ</t>
    </rPh>
    <rPh sb="6" eb="8">
      <t>ナイブ</t>
    </rPh>
    <rPh sb="9" eb="11">
      <t>ハッセイ</t>
    </rPh>
    <rPh sb="14" eb="16">
      <t>レイガイ</t>
    </rPh>
    <rPh sb="26" eb="27">
      <t>ア</t>
    </rPh>
    <phoneticPr fontId="7"/>
  </si>
  <si>
    <t>【異常系】 入力ファイルのフォーマット異常によるエラーケースを挙げているか</t>
    <rPh sb="1" eb="3">
      <t>イジョウ</t>
    </rPh>
    <rPh sb="3" eb="4">
      <t>ケイ</t>
    </rPh>
    <rPh sb="6" eb="8">
      <t>ニュウリョク</t>
    </rPh>
    <rPh sb="19" eb="21">
      <t>イジョウ</t>
    </rPh>
    <rPh sb="31" eb="32">
      <t>ア</t>
    </rPh>
    <phoneticPr fontId="7"/>
  </si>
  <si>
    <t>【件数】 バッチの入力件数が0件のケースを挙げているか</t>
    <rPh sb="1" eb="3">
      <t>ケンスウ</t>
    </rPh>
    <rPh sb="9" eb="11">
      <t>ニュウリョク</t>
    </rPh>
    <rPh sb="11" eb="13">
      <t>ケンスウ</t>
    </rPh>
    <rPh sb="15" eb="16">
      <t>ケン</t>
    </rPh>
    <rPh sb="21" eb="22">
      <t>ア</t>
    </rPh>
    <phoneticPr fontId="7"/>
  </si>
  <si>
    <t>【件数】 バッチの入力件数が複数件のケースを挙げているか</t>
    <rPh sb="1" eb="3">
      <t>ケンスウ</t>
    </rPh>
    <rPh sb="9" eb="11">
      <t>ニュウリョク</t>
    </rPh>
    <rPh sb="11" eb="13">
      <t>ケンスウ</t>
    </rPh>
    <rPh sb="14" eb="16">
      <t>フクスウ</t>
    </rPh>
    <rPh sb="16" eb="17">
      <t>ケン</t>
    </rPh>
    <rPh sb="22" eb="23">
      <t>ア</t>
    </rPh>
    <phoneticPr fontId="7"/>
  </si>
  <si>
    <t>【件数】 バッチの出力件数が0件のケースを挙げているか</t>
    <rPh sb="1" eb="3">
      <t>ケンスウ</t>
    </rPh>
    <rPh sb="9" eb="11">
      <t>シュツリョク</t>
    </rPh>
    <rPh sb="11" eb="13">
      <t>ケンスウ</t>
    </rPh>
    <rPh sb="15" eb="16">
      <t>ケン</t>
    </rPh>
    <rPh sb="21" eb="22">
      <t>ア</t>
    </rPh>
    <phoneticPr fontId="7"/>
  </si>
  <si>
    <t>【件数】 バッチの出力件数が複数件のケースを挙げているか</t>
    <rPh sb="1" eb="3">
      <t>ケンスウ</t>
    </rPh>
    <rPh sb="9" eb="11">
      <t>シュツリョク</t>
    </rPh>
    <rPh sb="11" eb="13">
      <t>ケンスウ</t>
    </rPh>
    <rPh sb="14" eb="16">
      <t>フクスウ</t>
    </rPh>
    <rPh sb="16" eb="17">
      <t>ケン</t>
    </rPh>
    <rPh sb="22" eb="23">
      <t>ア</t>
    </rPh>
    <phoneticPr fontId="7"/>
  </si>
  <si>
    <t>実施結果</t>
    <rPh sb="0" eb="2">
      <t>ジッシ</t>
    </rPh>
    <rPh sb="2" eb="4">
      <t>ケッカ</t>
    </rPh>
    <phoneticPr fontId="7"/>
  </si>
  <si>
    <t>未確認のケースが残っていないか</t>
    <rPh sb="0" eb="3">
      <t>ミカクニン</t>
    </rPh>
    <rPh sb="8" eb="9">
      <t>ノコ</t>
    </rPh>
    <phoneticPr fontId="7"/>
  </si>
  <si>
    <t>NGがあった場合、再テストの結果を正しく記載しているか</t>
    <rPh sb="6" eb="8">
      <t>バアイ</t>
    </rPh>
    <rPh sb="9" eb="10">
      <t>サイ</t>
    </rPh>
    <rPh sb="14" eb="16">
      <t>ケッカ</t>
    </rPh>
    <rPh sb="17" eb="18">
      <t>タダ</t>
    </rPh>
    <rPh sb="20" eb="22">
      <t>キサイ</t>
    </rPh>
    <phoneticPr fontId="7"/>
  </si>
  <si>
    <t>エビデンス</t>
    <phoneticPr fontId="7"/>
  </si>
  <si>
    <t>第三者が見てテスト内容・結果が確認できるエビデンスを残しているか</t>
    <rPh sb="0" eb="1">
      <t>ダイ</t>
    </rPh>
    <rPh sb="1" eb="3">
      <t>サンシャ</t>
    </rPh>
    <rPh sb="4" eb="5">
      <t>ミ</t>
    </rPh>
    <rPh sb="9" eb="11">
      <t>ナイヨウ</t>
    </rPh>
    <rPh sb="12" eb="14">
      <t>ケッカ</t>
    </rPh>
    <rPh sb="15" eb="17">
      <t>カクニン</t>
    </rPh>
    <rPh sb="26" eb="27">
      <t>ノコ</t>
    </rPh>
    <phoneticPr fontId="7"/>
  </si>
  <si>
    <t>チェックコメント：チェック時連絡事項、覚書等あれば、以下に記載のこと</t>
    <rPh sb="13" eb="14">
      <t>ジ</t>
    </rPh>
    <rPh sb="14" eb="16">
      <t>レンラク</t>
    </rPh>
    <rPh sb="16" eb="18">
      <t>ジコウ</t>
    </rPh>
    <rPh sb="19" eb="21">
      <t>オボエガキ</t>
    </rPh>
    <rPh sb="21" eb="22">
      <t>トウ</t>
    </rPh>
    <rPh sb="26" eb="28">
      <t>イカ</t>
    </rPh>
    <rPh sb="29" eb="31">
      <t>キサイ</t>
    </rPh>
    <phoneticPr fontId="7"/>
  </si>
  <si>
    <t>【ログ確認】ログ出力が必要な全ての箇所に対して、ログ内容を確認するケースを挙げているか</t>
    <rPh sb="3" eb="5">
      <t>カクニン</t>
    </rPh>
    <rPh sb="8" eb="10">
      <t>シュツリョク</t>
    </rPh>
    <rPh sb="11" eb="13">
      <t>ヒツヨウ</t>
    </rPh>
    <rPh sb="14" eb="15">
      <t>スベ</t>
    </rPh>
    <rPh sb="17" eb="19">
      <t>カショ</t>
    </rPh>
    <rPh sb="20" eb="21">
      <t>タイ</t>
    </rPh>
    <rPh sb="26" eb="28">
      <t>ナイヨウ</t>
    </rPh>
    <rPh sb="29" eb="31">
      <t>カクニン</t>
    </rPh>
    <rPh sb="37" eb="38">
      <t>ア</t>
    </rPh>
    <phoneticPr fontId="7"/>
  </si>
  <si>
    <t>1.0</t>
    <phoneticPr fontId="7"/>
  </si>
  <si>
    <t>画面内のテスト対象イベント処理がテストケースとして網羅されているか</t>
    <rPh sb="0" eb="3">
      <t>ガメンナイ</t>
    </rPh>
    <rPh sb="7" eb="9">
      <t>タイショウ</t>
    </rPh>
    <rPh sb="13" eb="15">
      <t>ショリ</t>
    </rPh>
    <rPh sb="25" eb="27">
      <t>モウラ</t>
    </rPh>
    <phoneticPr fontId="7"/>
  </si>
  <si>
    <t>進捗率</t>
    <rPh sb="0" eb="2">
      <t>シンチョク</t>
    </rPh>
    <rPh sb="2" eb="3">
      <t>リツ</t>
    </rPh>
    <phoneticPr fontId="7"/>
  </si>
  <si>
    <t>画面</t>
    <rPh sb="0" eb="2">
      <t>ガメン</t>
    </rPh>
    <phoneticPr fontId="7"/>
  </si>
  <si>
    <t>新規追加となる画面、項目について、HIDDEN項目も型桁指定、フォーマット指定を行っているか</t>
    <rPh sb="40" eb="41">
      <t>オコナ</t>
    </rPh>
    <phoneticPr fontId="7"/>
  </si>
  <si>
    <t>UT</t>
    <phoneticPr fontId="7"/>
  </si>
  <si>
    <t>テストケース</t>
    <phoneticPr fontId="7"/>
  </si>
  <si>
    <t>SOLOEL STD. MODEL  PROJECT</t>
    <phoneticPr fontId="7"/>
  </si>
  <si>
    <t>【限界値チェック】各出力項目に対し、導出元で許容される最大桁数を表示・出力するケースを挙げているか</t>
    <phoneticPr fontId="7"/>
  </si>
  <si>
    <t>SOLOEL STD. MODEL  PROJECT</t>
    <phoneticPr fontId="7"/>
  </si>
  <si>
    <t>OK</t>
    <phoneticPr fontId="7"/>
  </si>
  <si>
    <t>NG</t>
    <phoneticPr fontId="7"/>
  </si>
  <si>
    <t>ケースNo.</t>
    <phoneticPr fontId="7"/>
  </si>
  <si>
    <t>1</t>
    <phoneticPr fontId="7"/>
  </si>
  <si>
    <t>2</t>
    <phoneticPr fontId="7"/>
  </si>
  <si>
    <t>3</t>
    <phoneticPr fontId="7"/>
  </si>
  <si>
    <t>4</t>
  </si>
  <si>
    <t>5</t>
  </si>
  <si>
    <t>-</t>
    <phoneticPr fontId="7"/>
  </si>
  <si>
    <t>6</t>
  </si>
  <si>
    <t>7</t>
  </si>
  <si>
    <t>8</t>
  </si>
  <si>
    <t>入力・条件</t>
    <rPh sb="0" eb="2">
      <t>ニュウリョク</t>
    </rPh>
    <rPh sb="3" eb="5">
      <t>ジョウケン</t>
    </rPh>
    <phoneticPr fontId="12"/>
  </si>
  <si>
    <t>9</t>
  </si>
  <si>
    <t>10</t>
  </si>
  <si>
    <t>11</t>
  </si>
  <si>
    <t>12</t>
  </si>
  <si>
    <t>13</t>
  </si>
  <si>
    <t>14</t>
  </si>
  <si>
    <t>15</t>
  </si>
  <si>
    <t>16</t>
  </si>
  <si>
    <t>17</t>
  </si>
  <si>
    <t>18</t>
  </si>
  <si>
    <t>19</t>
  </si>
  <si>
    <t>20</t>
  </si>
  <si>
    <t>21</t>
  </si>
  <si>
    <t>22</t>
  </si>
  <si>
    <t>23</t>
  </si>
  <si>
    <t>24</t>
  </si>
  <si>
    <t>新規</t>
    <rPh sb="0" eb="2">
      <t>シンキ</t>
    </rPh>
    <phoneticPr fontId="7"/>
  </si>
  <si>
    <t>初版作成</t>
    <rPh sb="0" eb="2">
      <t>ショハン</t>
    </rPh>
    <rPh sb="2" eb="4">
      <t>サクセイ</t>
    </rPh>
    <phoneticPr fontId="7"/>
  </si>
  <si>
    <t>25</t>
  </si>
  <si>
    <t>26</t>
  </si>
  <si>
    <t>27</t>
  </si>
  <si>
    <t>28</t>
  </si>
  <si>
    <t>29</t>
  </si>
  <si>
    <t>30</t>
  </si>
  <si>
    <t>31</t>
  </si>
  <si>
    <t>32</t>
  </si>
  <si>
    <t>33</t>
  </si>
  <si>
    <t>34</t>
  </si>
  <si>
    <t>確認観点</t>
    <rPh sb="0" eb="2">
      <t>カクニン</t>
    </rPh>
    <rPh sb="2" eb="4">
      <t>カンテン</t>
    </rPh>
    <phoneticPr fontId="12"/>
  </si>
  <si>
    <t>対象画面</t>
    <rPh sb="0" eb="2">
      <t>タイショウ</t>
    </rPh>
    <rPh sb="2" eb="4">
      <t>ガメン</t>
    </rPh>
    <phoneticPr fontId="12"/>
  </si>
  <si>
    <t>〇</t>
    <phoneticPr fontId="12"/>
  </si>
  <si>
    <t>OK</t>
  </si>
  <si>
    <t>対象外</t>
  </si>
  <si>
    <t>バイヤ1</t>
    <phoneticPr fontId="7"/>
  </si>
  <si>
    <t>NSSOL 史</t>
    <rPh sb="6" eb="7">
      <t>シ</t>
    </rPh>
    <phoneticPr fontId="7"/>
  </si>
  <si>
    <t>SOLOEL STD. MODEL  PROJECT</t>
    <phoneticPr fontId="7"/>
  </si>
  <si>
    <t>OK</t>
    <phoneticPr fontId="7"/>
  </si>
  <si>
    <t>NG</t>
    <phoneticPr fontId="7"/>
  </si>
  <si>
    <t>ケースNo.</t>
    <phoneticPr fontId="7"/>
  </si>
  <si>
    <t>1</t>
    <phoneticPr fontId="7"/>
  </si>
  <si>
    <t>2</t>
    <phoneticPr fontId="7"/>
  </si>
  <si>
    <t>3</t>
    <phoneticPr fontId="7"/>
  </si>
  <si>
    <t>NSSOL 史</t>
    <phoneticPr fontId="12"/>
  </si>
  <si>
    <t>System.out、System.errへの出力がないか</t>
    <phoneticPr fontId="7"/>
  </si>
  <si>
    <t xml:space="preserve">DAD03020：商品番号・数量入力
</t>
    <phoneticPr fontId="12"/>
  </si>
  <si>
    <t>CASE1</t>
    <phoneticPr fontId="12"/>
  </si>
  <si>
    <t>CASE2</t>
    <phoneticPr fontId="12"/>
  </si>
  <si>
    <t>CASE3</t>
    <phoneticPr fontId="12"/>
  </si>
  <si>
    <t>CASE4</t>
    <phoneticPr fontId="12"/>
  </si>
  <si>
    <t>CASE5</t>
    <phoneticPr fontId="12"/>
  </si>
  <si>
    <t>CASE6</t>
    <phoneticPr fontId="12"/>
  </si>
  <si>
    <t>DAD03020</t>
    <phoneticPr fontId="12"/>
  </si>
  <si>
    <t>クイックオーダー入力フォーム</t>
    <rPh sb="8" eb="10">
      <t>ニュウリョク</t>
    </rPh>
    <phoneticPr fontId="12"/>
  </si>
  <si>
    <t>NO</t>
    <phoneticPr fontId="12"/>
  </si>
  <si>
    <t>お申し込み番号</t>
    <rPh sb="1" eb="2">
      <t>モウ</t>
    </rPh>
    <rPh sb="3" eb="4">
      <t>コ</t>
    </rPh>
    <rPh sb="5" eb="7">
      <t>バンゴウ</t>
    </rPh>
    <phoneticPr fontId="12"/>
  </si>
  <si>
    <t>1</t>
    <phoneticPr fontId="12"/>
  </si>
  <si>
    <t>EDE53001</t>
    <phoneticPr fontId="12"/>
  </si>
  <si>
    <t>10</t>
    <phoneticPr fontId="12"/>
  </si>
  <si>
    <t>11</t>
    <phoneticPr fontId="12"/>
  </si>
  <si>
    <t>11</t>
    <phoneticPr fontId="12"/>
  </si>
  <si>
    <t xml:space="preserve">DAD03020：商品番号・数量入力
</t>
  </si>
  <si>
    <t xml:space="preserve">DAD03020：商品番号・数量入力
</t>
    <phoneticPr fontId="12"/>
  </si>
  <si>
    <t>DAD03020：商品番号・数量入力</t>
    <phoneticPr fontId="7"/>
  </si>
  <si>
    <t>1</t>
    <phoneticPr fontId="12"/>
  </si>
  <si>
    <t>CASE7</t>
    <phoneticPr fontId="12"/>
  </si>
  <si>
    <t>9</t>
    <phoneticPr fontId="12"/>
  </si>
  <si>
    <t>N808491</t>
    <phoneticPr fontId="12"/>
  </si>
  <si>
    <t>履歴シートを削除できるようにする</t>
    <phoneticPr fontId="12"/>
  </si>
  <si>
    <t>〇</t>
    <phoneticPr fontId="12"/>
  </si>
  <si>
    <t>〇</t>
    <phoneticPr fontId="12"/>
  </si>
  <si>
    <t>保守案件#8713</t>
    <phoneticPr fontId="7"/>
  </si>
  <si>
    <t>閉じボタンを押下した後に、カートに入れるボタンを押下して、入力商品情報はクイックオーダーに反映されること</t>
    <phoneticPr fontId="12"/>
  </si>
  <si>
    <t>対象データを入力フォームに入れった後、クリアボタンを押下して、DAD04020画面に遷移して、DAD03020画面に戻る</t>
    <phoneticPr fontId="12"/>
  </si>
  <si>
    <t>クイックオーダーは5件商品がある時に、閉じボタンを押下して画面が崩れないこと</t>
    <phoneticPr fontId="12"/>
  </si>
  <si>
    <t>クイックオーダーは1件商品がある時に、閉じボタンを押下して画面が崩れないこと</t>
    <phoneticPr fontId="12"/>
  </si>
  <si>
    <t>クイックオーダーは8件商品がある時に、カートに入れるボタンを押下して、閉じボタンを押下して、クイックオーダー商品情報が崩れないこと</t>
    <phoneticPr fontId="12"/>
  </si>
  <si>
    <t>閉じボタンを押下して、CRTL+F5で画面をリフレッシュして、画面が崩れないこと</t>
    <phoneticPr fontId="12"/>
  </si>
  <si>
    <t>〇</t>
    <phoneticPr fontId="12"/>
  </si>
  <si>
    <t>〇</t>
    <phoneticPr fontId="12"/>
  </si>
  <si>
    <t>閉じボタンを押下して、クイックオーダーは削除されたこと。画面がリフレッシュしないこと。DB中対応するデータが削除されたこと</t>
    <phoneticPr fontId="12"/>
  </si>
  <si>
    <t>クイックオーダーの一つ歴史商品情報を選択して、閉じボタンを押下して、新規オーダー入力の状態になること</t>
    <rPh sb="9" eb="10">
      <t>ヒト</t>
    </rPh>
    <rPh sb="11" eb="13">
      <t>レキシ</t>
    </rPh>
    <rPh sb="13" eb="17">
      <t>ショウヒンジョウホウ</t>
    </rPh>
    <rPh sb="18" eb="20">
      <t>センタク</t>
    </rPh>
    <rPh sb="34" eb="36">
      <t>シンキ</t>
    </rPh>
    <rPh sb="40" eb="42">
      <t>ニュウリョク</t>
    </rPh>
    <rPh sb="43" eb="45">
      <t>ジョウタイ</t>
    </rPh>
    <phoneticPr fontId="12"/>
  </si>
  <si>
    <t>start</t>
    <phoneticPr fontId="12"/>
  </si>
  <si>
    <t>high</t>
    <phoneticPr fontId="12"/>
  </si>
  <si>
    <t>low</t>
    <phoneticPr fontId="12"/>
  </si>
  <si>
    <t>buy</t>
    <phoneticPr fontId="12"/>
  </si>
  <si>
    <t>sell</t>
    <phoneticPr fontId="12"/>
  </si>
  <si>
    <r>
      <t>分</t>
    </r>
    <r>
      <rPr>
        <sz val="9"/>
        <rFont val="NSimSun"/>
        <family val="3"/>
        <charset val="134"/>
      </rPr>
      <t>组</t>
    </r>
    <phoneticPr fontId="12"/>
  </si>
  <si>
    <t>日期</t>
  </si>
  <si>
    <t>高</t>
  </si>
  <si>
    <t>低</t>
  </si>
  <si>
    <t>交易量</t>
  </si>
  <si>
    <t>涨跌幅</t>
  </si>
  <si>
    <t>-</t>
  </si>
  <si>
    <t>high频率</t>
    <phoneticPr fontId="12"/>
  </si>
  <si>
    <r>
      <t>low</t>
    </r>
    <r>
      <rPr>
        <sz val="9"/>
        <rFont val="NSimSun"/>
        <family val="3"/>
        <charset val="134"/>
      </rPr>
      <t>频</t>
    </r>
    <r>
      <rPr>
        <sz val="9"/>
        <rFont val="ＭＳ ゴシック"/>
        <family val="3"/>
        <charset val="128"/>
      </rPr>
      <t>率</t>
    </r>
    <phoneticPr fontId="12"/>
  </si>
</sst>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6" formatCode="&quot;¥&quot;#,##0;[Red]&quot;¥&quot;\-#,##0"/>
    <numFmt numFmtId="8" formatCode="&quot;¥&quot;#,##0.00;[Red]&quot;¥&quot;\-#,##0.00"/>
    <numFmt numFmtId="176" formatCode="#,##0;\-#,##0;&quot;-&quot;"/>
    <numFmt numFmtId="177" formatCode="m/d;@"/>
  </numFmts>
  <fonts count="26">
    <font>
      <sz val="9"/>
      <name val="ＭＳ ゴシック"/>
      <family val="3"/>
      <charset val="128"/>
    </font>
    <font>
      <sz val="10"/>
      <color indexed="8"/>
      <name val="ARIAL"/>
      <family val="2"/>
    </font>
    <font>
      <b/>
      <sz val="12"/>
      <name val="Arial"/>
      <family val="2"/>
    </font>
    <font>
      <sz val="10"/>
      <name val="ＭＳ ゴシック"/>
      <family val="3"/>
      <charset val="128"/>
    </font>
    <font>
      <sz val="10"/>
      <name val="Arial"/>
      <family val="2"/>
    </font>
    <font>
      <b/>
      <sz val="11"/>
      <name val="Helv"/>
      <family val="2"/>
    </font>
    <font>
      <sz val="11"/>
      <name val="ＭＳ Ｐゴシック"/>
      <family val="3"/>
      <charset val="128"/>
    </font>
    <font>
      <sz val="6"/>
      <name val="ＭＳ Ｐゴシック"/>
      <family val="3"/>
      <charset val="128"/>
    </font>
    <font>
      <sz val="10"/>
      <name val="ＭＳ Ｐゴシック"/>
      <family val="3"/>
      <charset val="128"/>
    </font>
    <font>
      <sz val="7.5"/>
      <name val="ＭＳ Ｐゴシック"/>
      <family val="3"/>
      <charset val="128"/>
    </font>
    <font>
      <b/>
      <sz val="12"/>
      <name val="ＭＳ Ｐゴシック"/>
      <family val="3"/>
      <charset val="128"/>
    </font>
    <font>
      <sz val="9"/>
      <name val="ＭＳ Ｐゴシック"/>
      <family val="3"/>
      <charset val="128"/>
    </font>
    <font>
      <sz val="6"/>
      <name val="ＭＳ ゴシック"/>
      <family val="3"/>
      <charset val="128"/>
    </font>
    <font>
      <sz val="9"/>
      <color indexed="81"/>
      <name val="ＭＳ Ｐゴシック"/>
      <family val="3"/>
      <charset val="128"/>
    </font>
    <font>
      <sz val="8"/>
      <name val="ＭＳ Ｐゴシック"/>
      <family val="3"/>
      <charset val="128"/>
    </font>
    <font>
      <sz val="10"/>
      <name val="MS Sans Serif"/>
      <family val="2"/>
    </font>
    <font>
      <b/>
      <sz val="10"/>
      <name val="MS Sans Serif"/>
      <family val="2"/>
    </font>
    <font>
      <sz val="10"/>
      <name val="Helv"/>
      <family val="2"/>
    </font>
    <font>
      <sz val="10"/>
      <name val="ＤＦ細丸ゴシック体"/>
      <family val="3"/>
      <charset val="128"/>
    </font>
    <font>
      <sz val="14"/>
      <name val="ＭＳ 明朝"/>
      <family val="1"/>
      <charset val="128"/>
    </font>
    <font>
      <sz val="9"/>
      <name val="メイリオ"/>
      <family val="3"/>
      <charset val="128"/>
    </font>
    <font>
      <b/>
      <u/>
      <sz val="9"/>
      <name val="メイリオ"/>
      <family val="3"/>
      <charset val="128"/>
    </font>
    <font>
      <sz val="11"/>
      <color theme="1"/>
      <name val="ＭＳ Ｐゴシック"/>
      <family val="3"/>
      <charset val="128"/>
      <scheme val="minor"/>
    </font>
    <font>
      <sz val="9"/>
      <color rgb="FFFF0000"/>
      <name val="メイリオ"/>
      <family val="3"/>
      <charset val="128"/>
    </font>
    <font>
      <sz val="9"/>
      <name val="NSimSun"/>
      <family val="3"/>
      <charset val="134"/>
    </font>
    <font>
      <sz val="10"/>
      <color rgb="FF000000"/>
      <name val="Arial Unicode MS"/>
      <family val="3"/>
      <charset val="128"/>
    </font>
  </fonts>
  <fills count="8">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rgb="FFCCFFFF"/>
        <bgColor indexed="64"/>
      </patternFill>
    </fill>
    <fill>
      <patternFill patternType="solid">
        <fgColor theme="4" tint="0.79998168889431442"/>
        <bgColor indexed="64"/>
      </patternFill>
    </fill>
  </fills>
  <borders count="96">
    <border>
      <left/>
      <right/>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double">
        <color indexed="64"/>
      </left>
      <right/>
      <top style="thin">
        <color indexed="64"/>
      </top>
      <bottom/>
      <diagonal/>
    </border>
    <border>
      <left style="double">
        <color indexed="64"/>
      </left>
      <right/>
      <top/>
      <bottom style="thin">
        <color indexed="64"/>
      </bottom>
      <diagonal/>
    </border>
    <border>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diagonal/>
    </border>
    <border>
      <left/>
      <right style="hair">
        <color indexed="64"/>
      </right>
      <top style="hair">
        <color indexed="64"/>
      </top>
      <bottom/>
      <diagonal/>
    </border>
    <border>
      <left style="thin">
        <color indexed="64"/>
      </left>
      <right style="thin">
        <color indexed="64"/>
      </right>
      <top style="double">
        <color indexed="64"/>
      </top>
      <bottom/>
      <diagonal/>
    </border>
    <border>
      <left style="hair">
        <color indexed="64"/>
      </left>
      <right style="hair">
        <color indexed="64"/>
      </right>
      <top style="thin">
        <color indexed="64"/>
      </top>
      <bottom style="hair">
        <color indexed="64"/>
      </bottom>
      <diagonal/>
    </border>
    <border diagonalDown="1">
      <left style="thin">
        <color indexed="64"/>
      </left>
      <right/>
      <top style="thin">
        <color indexed="64"/>
      </top>
      <bottom/>
      <diagonal style="thin">
        <color indexed="64"/>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bottom/>
      <diagonal style="thin">
        <color indexed="64"/>
      </diagonal>
    </border>
    <border diagonalDown="1">
      <left/>
      <right/>
      <top/>
      <bottom/>
      <diagonal style="thin">
        <color indexed="64"/>
      </diagonal>
    </border>
    <border diagonalDown="1">
      <left/>
      <right style="thin">
        <color indexed="64"/>
      </right>
      <top/>
      <bottom/>
      <diagonal style="thin">
        <color indexed="64"/>
      </diagonal>
    </border>
    <border>
      <left style="hair">
        <color indexed="64"/>
      </left>
      <right style="thin">
        <color indexed="64"/>
      </right>
      <top style="thin">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thin">
        <color indexed="64"/>
      </right>
      <top style="double">
        <color indexed="64"/>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hair">
        <color indexed="64"/>
      </left>
      <right style="thin">
        <color indexed="64"/>
      </right>
      <top style="double">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indexed="64"/>
      </left>
      <right/>
      <top style="double">
        <color indexed="64"/>
      </top>
      <bottom style="hair">
        <color indexed="64"/>
      </bottom>
      <diagonal/>
    </border>
    <border>
      <left/>
      <right/>
      <top style="double">
        <color indexed="64"/>
      </top>
      <bottom style="hair">
        <color indexed="64"/>
      </bottom>
      <diagonal/>
    </border>
    <border>
      <left/>
      <right style="hair">
        <color indexed="64"/>
      </right>
      <top style="double">
        <color indexed="64"/>
      </top>
      <bottom style="hair">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thin">
        <color indexed="64"/>
      </left>
      <right style="thin">
        <color indexed="64"/>
      </right>
      <top/>
      <bottom style="double">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bottom style="thin">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right style="hair">
        <color indexed="64"/>
      </right>
      <top style="hair">
        <color indexed="64"/>
      </top>
      <bottom style="thin">
        <color indexed="64"/>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21">
    <xf numFmtId="0" fontId="0" fillId="0" borderId="0">
      <alignment vertical="center"/>
    </xf>
    <xf numFmtId="176" fontId="1" fillId="0" borderId="0" applyFill="0" applyBorder="0" applyAlignment="0"/>
    <xf numFmtId="0" fontId="2" fillId="0" borderId="1" applyNumberFormat="0" applyAlignment="0" applyProtection="0">
      <alignment horizontal="left" vertical="center"/>
    </xf>
    <xf numFmtId="0" fontId="2" fillId="0" borderId="2">
      <alignment horizontal="left" vertical="center"/>
    </xf>
    <xf numFmtId="0" fontId="3" fillId="0" borderId="0" applyBorder="0"/>
    <xf numFmtId="0" fontId="3" fillId="0" borderId="0"/>
    <xf numFmtId="0" fontId="4" fillId="0" borderId="0"/>
    <xf numFmtId="0" fontId="15" fillId="0" borderId="0" applyNumberFormat="0" applyFont="0" applyFill="0" applyBorder="0" applyAlignment="0" applyProtection="0">
      <alignment horizontal="left"/>
    </xf>
    <xf numFmtId="0" fontId="16" fillId="0" borderId="3">
      <alignment horizontal="center"/>
    </xf>
    <xf numFmtId="0" fontId="5" fillId="0" borderId="0"/>
    <xf numFmtId="0" fontId="17" fillId="0" borderId="0"/>
    <xf numFmtId="0" fontId="18" fillId="0" borderId="0"/>
    <xf numFmtId="8" fontId="8" fillId="0" borderId="0" applyFont="0" applyFill="0" applyBorder="0" applyAlignment="0" applyProtection="0"/>
    <xf numFmtId="6" fontId="8" fillId="0" borderId="0" applyFont="0" applyFill="0" applyBorder="0" applyAlignment="0" applyProtection="0"/>
    <xf numFmtId="0" fontId="22"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1" fontId="19" fillId="0" borderId="0"/>
  </cellStyleXfs>
  <cellXfs count="261">
    <xf numFmtId="0" fontId="0" fillId="0" borderId="0" xfId="0">
      <alignment vertical="center"/>
    </xf>
    <xf numFmtId="0" fontId="8" fillId="2" borderId="0" xfId="17" applyFont="1" applyFill="1" applyBorder="1">
      <alignment vertical="center"/>
    </xf>
    <xf numFmtId="0" fontId="8" fillId="2" borderId="4" xfId="17" applyFont="1" applyFill="1" applyBorder="1">
      <alignment vertical="center"/>
    </xf>
    <xf numFmtId="0" fontId="8" fillId="2" borderId="0" xfId="19" applyFont="1" applyFill="1" applyBorder="1">
      <alignment vertical="center"/>
    </xf>
    <xf numFmtId="0" fontId="8" fillId="2" borderId="4" xfId="19" applyFont="1" applyFill="1" applyBorder="1">
      <alignment vertical="center"/>
    </xf>
    <xf numFmtId="0" fontId="6" fillId="2" borderId="5" xfId="19" applyFill="1" applyBorder="1" applyAlignment="1">
      <alignment horizontal="left" vertical="center" wrapText="1"/>
    </xf>
    <xf numFmtId="0" fontId="8" fillId="2" borderId="6" xfId="19" applyFont="1" applyFill="1" applyBorder="1">
      <alignment vertical="center"/>
    </xf>
    <xf numFmtId="0" fontId="8" fillId="2" borderId="7" xfId="19" applyFont="1" applyFill="1" applyBorder="1">
      <alignment vertical="center"/>
    </xf>
    <xf numFmtId="0" fontId="8" fillId="3" borderId="8" xfId="19" applyFont="1" applyFill="1" applyBorder="1">
      <alignment vertical="center"/>
    </xf>
    <xf numFmtId="0" fontId="8" fillId="3" borderId="2" xfId="19" applyFont="1" applyFill="1" applyBorder="1">
      <alignment vertical="center"/>
    </xf>
    <xf numFmtId="0" fontId="8" fillId="3" borderId="9" xfId="19" applyFont="1" applyFill="1" applyBorder="1">
      <alignment vertical="center"/>
    </xf>
    <xf numFmtId="0" fontId="8" fillId="2" borderId="10" xfId="19" applyFont="1" applyFill="1" applyBorder="1">
      <alignment vertical="center"/>
    </xf>
    <xf numFmtId="0" fontId="8" fillId="2" borderId="11" xfId="19" applyFont="1" applyFill="1" applyBorder="1">
      <alignment vertical="center"/>
    </xf>
    <xf numFmtId="0" fontId="8" fillId="2" borderId="12" xfId="19" applyFont="1" applyFill="1" applyBorder="1">
      <alignment vertical="center"/>
    </xf>
    <xf numFmtId="0" fontId="8" fillId="2" borderId="5" xfId="19" applyFont="1" applyFill="1" applyBorder="1">
      <alignment vertical="center"/>
    </xf>
    <xf numFmtId="0" fontId="0" fillId="4" borderId="13" xfId="0" applyFill="1" applyBorder="1">
      <alignment vertical="center"/>
    </xf>
    <xf numFmtId="0" fontId="0" fillId="0" borderId="13" xfId="0" applyBorder="1">
      <alignment vertical="center"/>
    </xf>
    <xf numFmtId="0" fontId="0" fillId="0" borderId="13" xfId="0" applyBorder="1" applyAlignment="1">
      <alignment vertical="center" wrapText="1"/>
    </xf>
    <xf numFmtId="0" fontId="8" fillId="3" borderId="14" xfId="19" applyFont="1" applyFill="1" applyBorder="1">
      <alignment vertical="center"/>
    </xf>
    <xf numFmtId="0" fontId="8" fillId="3" borderId="15" xfId="19" applyFont="1" applyFill="1" applyBorder="1">
      <alignment vertical="center"/>
    </xf>
    <xf numFmtId="0" fontId="8" fillId="3" borderId="16" xfId="19" applyFont="1" applyFill="1" applyBorder="1">
      <alignment vertical="center"/>
    </xf>
    <xf numFmtId="0" fontId="11" fillId="5" borderId="13" xfId="16" applyFont="1" applyFill="1" applyBorder="1">
      <alignment vertical="center"/>
    </xf>
    <xf numFmtId="0" fontId="11" fillId="0" borderId="0" xfId="16" applyFont="1" applyAlignment="1">
      <alignment horizontal="center" vertical="center"/>
    </xf>
    <xf numFmtId="0" fontId="11" fillId="0" borderId="0" xfId="16" applyFont="1">
      <alignment vertical="center"/>
    </xf>
    <xf numFmtId="0" fontId="11" fillId="0" borderId="0" xfId="16" applyFont="1" applyBorder="1" applyAlignment="1">
      <alignment horizontal="center" vertical="center"/>
    </xf>
    <xf numFmtId="0" fontId="11" fillId="0" borderId="13" xfId="16" applyFont="1" applyBorder="1">
      <alignment vertical="center"/>
    </xf>
    <xf numFmtId="14" fontId="11" fillId="0" borderId="13" xfId="16" applyNumberFormat="1" applyFont="1" applyBorder="1" applyAlignment="1">
      <alignment horizontal="left" vertical="center"/>
    </xf>
    <xf numFmtId="0" fontId="6" fillId="0" borderId="0" xfId="16">
      <alignment vertical="center"/>
    </xf>
    <xf numFmtId="0" fontId="11" fillId="5" borderId="13" xfId="16" applyFont="1" applyFill="1" applyBorder="1" applyAlignment="1">
      <alignment vertical="center" wrapText="1"/>
    </xf>
    <xf numFmtId="0" fontId="11" fillId="5" borderId="13" xfId="16" applyFont="1" applyFill="1" applyBorder="1" applyAlignment="1">
      <alignment horizontal="center" vertical="center" wrapText="1"/>
    </xf>
    <xf numFmtId="0" fontId="11" fillId="0" borderId="17" xfId="16" applyFont="1" applyBorder="1" applyAlignment="1">
      <alignment vertical="center" wrapText="1"/>
    </xf>
    <xf numFmtId="0" fontId="11" fillId="0" borderId="18" xfId="16" applyFont="1" applyBorder="1" applyAlignment="1">
      <alignment vertical="center" wrapText="1"/>
    </xf>
    <xf numFmtId="0" fontId="11" fillId="0" borderId="19" xfId="16" applyFont="1" applyBorder="1" applyAlignment="1">
      <alignment vertical="center" wrapText="1"/>
    </xf>
    <xf numFmtId="0" fontId="11" fillId="0" borderId="20" xfId="16" applyFont="1" applyBorder="1" applyAlignment="1">
      <alignment vertical="center" wrapText="1"/>
    </xf>
    <xf numFmtId="0" fontId="11" fillId="0" borderId="21" xfId="16" applyFont="1" applyBorder="1" applyAlignment="1">
      <alignment vertical="center" wrapText="1"/>
    </xf>
    <xf numFmtId="0" fontId="11" fillId="0" borderId="22" xfId="16" applyFont="1" applyBorder="1" applyAlignment="1">
      <alignment vertical="center" wrapText="1"/>
    </xf>
    <xf numFmtId="0" fontId="11" fillId="0" borderId="13" xfId="16" applyFont="1" applyBorder="1" applyAlignment="1">
      <alignment vertical="center" wrapText="1"/>
    </xf>
    <xf numFmtId="0" fontId="11" fillId="0" borderId="23" xfId="16" applyFont="1" applyBorder="1" applyAlignment="1">
      <alignment vertical="center" wrapText="1"/>
    </xf>
    <xf numFmtId="0" fontId="11" fillId="0" borderId="24" xfId="16" applyFont="1" applyBorder="1" applyAlignment="1">
      <alignment vertical="center" wrapText="1"/>
    </xf>
    <xf numFmtId="0" fontId="11" fillId="0" borderId="0" xfId="16" applyFont="1" applyAlignment="1">
      <alignment vertical="center"/>
    </xf>
    <xf numFmtId="0" fontId="11" fillId="0" borderId="0" xfId="16" applyFont="1" applyBorder="1">
      <alignment vertical="center"/>
    </xf>
    <xf numFmtId="0" fontId="11" fillId="3" borderId="8" xfId="19" applyFont="1" applyFill="1" applyBorder="1" applyAlignment="1">
      <alignment vertical="center"/>
    </xf>
    <xf numFmtId="0" fontId="11" fillId="3" borderId="2" xfId="19" applyFont="1" applyFill="1" applyBorder="1" applyAlignment="1">
      <alignment vertical="center"/>
    </xf>
    <xf numFmtId="0" fontId="11" fillId="3" borderId="9" xfId="19" applyFont="1" applyFill="1" applyBorder="1" applyAlignment="1">
      <alignment vertical="center"/>
    </xf>
    <xf numFmtId="0" fontId="11" fillId="2" borderId="0" xfId="19" applyFont="1" applyFill="1" applyBorder="1">
      <alignment vertical="center"/>
    </xf>
    <xf numFmtId="0" fontId="14" fillId="4" borderId="8" xfId="19" applyFont="1" applyFill="1" applyBorder="1" applyAlignment="1">
      <alignment vertical="center"/>
    </xf>
    <xf numFmtId="0" fontId="14" fillId="4" borderId="15" xfId="19" applyFont="1" applyFill="1" applyBorder="1" applyAlignment="1">
      <alignment vertical="center"/>
    </xf>
    <xf numFmtId="0" fontId="14" fillId="4" borderId="8" xfId="19" applyFont="1" applyFill="1" applyBorder="1" applyAlignment="1">
      <alignment vertical="center" shrinkToFit="1"/>
    </xf>
    <xf numFmtId="0" fontId="14" fillId="4" borderId="15" xfId="19" applyFont="1" applyFill="1" applyBorder="1" applyAlignment="1">
      <alignment vertical="center" shrinkToFit="1"/>
    </xf>
    <xf numFmtId="0" fontId="11" fillId="0" borderId="13" xfId="16" applyFont="1" applyFill="1" applyBorder="1" applyAlignment="1">
      <alignment vertical="center" wrapText="1"/>
    </xf>
    <xf numFmtId="0" fontId="6" fillId="2" borderId="6" xfId="19" applyFill="1" applyBorder="1" applyAlignment="1">
      <alignment vertical="center" wrapText="1"/>
    </xf>
    <xf numFmtId="0" fontId="6" fillId="2" borderId="0" xfId="19" applyFill="1" applyBorder="1" applyAlignment="1">
      <alignment vertical="center" wrapText="1"/>
    </xf>
    <xf numFmtId="0" fontId="8" fillId="2" borderId="0" xfId="19" applyFont="1" applyFill="1" applyBorder="1" applyAlignment="1">
      <alignment vertical="center"/>
    </xf>
    <xf numFmtId="14" fontId="6" fillId="0" borderId="0" xfId="16" applyNumberFormat="1">
      <alignment vertical="center"/>
    </xf>
    <xf numFmtId="0" fontId="11" fillId="3" borderId="10" xfId="19" applyFont="1" applyFill="1" applyBorder="1" applyAlignment="1">
      <alignment vertical="center"/>
    </xf>
    <xf numFmtId="0" fontId="11" fillId="3" borderId="6" xfId="19" applyFont="1" applyFill="1" applyBorder="1" applyAlignment="1">
      <alignment vertical="center"/>
    </xf>
    <xf numFmtId="0" fontId="11" fillId="3" borderId="0" xfId="19" applyFont="1" applyFill="1" applyBorder="1" applyAlignment="1">
      <alignment vertical="center"/>
    </xf>
    <xf numFmtId="0" fontId="11" fillId="0" borderId="18" xfId="16" applyFont="1" applyBorder="1" applyAlignment="1">
      <alignment horizontal="center" vertical="center" wrapText="1"/>
    </xf>
    <xf numFmtId="0" fontId="11" fillId="0" borderId="20" xfId="16" applyFont="1" applyBorder="1" applyAlignment="1">
      <alignment horizontal="center" vertical="center" wrapText="1"/>
    </xf>
    <xf numFmtId="0" fontId="11" fillId="0" borderId="22" xfId="16" applyFont="1" applyBorder="1" applyAlignment="1">
      <alignment horizontal="center" vertical="center" wrapText="1"/>
    </xf>
    <xf numFmtId="0" fontId="11" fillId="0" borderId="13" xfId="16" applyFont="1" applyBorder="1" applyAlignment="1">
      <alignment horizontal="center" vertical="center" wrapText="1"/>
    </xf>
    <xf numFmtId="0" fontId="11" fillId="0" borderId="19" xfId="16" applyFont="1" applyBorder="1" applyAlignment="1">
      <alignment horizontal="center" vertical="center" wrapText="1"/>
    </xf>
    <xf numFmtId="0" fontId="11" fillId="0" borderId="21" xfId="16" applyFont="1" applyBorder="1" applyAlignment="1">
      <alignment horizontal="center" vertical="center" wrapText="1"/>
    </xf>
    <xf numFmtId="0" fontId="0" fillId="0" borderId="0" xfId="0" applyAlignment="1">
      <alignment horizontal="left" vertical="center" indent="1"/>
    </xf>
    <xf numFmtId="0" fontId="11" fillId="3" borderId="4" xfId="19" applyFont="1" applyFill="1" applyBorder="1" applyAlignment="1">
      <alignment vertical="center"/>
    </xf>
    <xf numFmtId="0" fontId="11" fillId="6" borderId="0" xfId="19" applyFont="1" applyFill="1" applyBorder="1" applyAlignment="1">
      <alignment vertical="center"/>
    </xf>
    <xf numFmtId="0" fontId="11" fillId="6" borderId="4" xfId="19" applyFont="1" applyFill="1" applyBorder="1" applyAlignment="1">
      <alignment vertical="center"/>
    </xf>
    <xf numFmtId="0" fontId="11" fillId="3" borderId="0" xfId="19" quotePrefix="1" applyFont="1" applyFill="1" applyBorder="1" applyAlignment="1">
      <alignment vertical="center"/>
    </xf>
    <xf numFmtId="0" fontId="11" fillId="3" borderId="11" xfId="19" applyFont="1" applyFill="1" applyBorder="1" applyAlignment="1">
      <alignment vertical="center"/>
    </xf>
    <xf numFmtId="0" fontId="11" fillId="3" borderId="7" xfId="19" applyFont="1" applyFill="1" applyBorder="1" applyAlignment="1">
      <alignment vertical="center"/>
    </xf>
    <xf numFmtId="0" fontId="11" fillId="3" borderId="25" xfId="19" applyFont="1" applyFill="1" applyBorder="1" applyAlignment="1">
      <alignment vertical="center"/>
    </xf>
    <xf numFmtId="0" fontId="11" fillId="3" borderId="26" xfId="19" applyFont="1" applyFill="1" applyBorder="1" applyAlignment="1">
      <alignment vertical="center"/>
    </xf>
    <xf numFmtId="0" fontId="11" fillId="3" borderId="27" xfId="19" applyFont="1" applyFill="1" applyBorder="1" applyAlignment="1">
      <alignment vertical="center"/>
    </xf>
    <xf numFmtId="0" fontId="11" fillId="3" borderId="28" xfId="19" applyFont="1" applyFill="1" applyBorder="1" applyAlignment="1">
      <alignment vertical="center"/>
    </xf>
    <xf numFmtId="0" fontId="11" fillId="3" borderId="29" xfId="19" applyFont="1" applyFill="1" applyBorder="1" applyAlignment="1">
      <alignment vertical="center"/>
    </xf>
    <xf numFmtId="0" fontId="11" fillId="6" borderId="29" xfId="19" applyFont="1" applyFill="1" applyBorder="1" applyAlignment="1">
      <alignment vertical="center"/>
    </xf>
    <xf numFmtId="0" fontId="11" fillId="3" borderId="30" xfId="19" applyFont="1" applyFill="1" applyBorder="1" applyAlignment="1">
      <alignment vertical="center"/>
    </xf>
    <xf numFmtId="49" fontId="20" fillId="0" borderId="0" xfId="0" applyNumberFormat="1" applyFont="1">
      <alignment vertical="center"/>
    </xf>
    <xf numFmtId="49" fontId="21" fillId="0" borderId="0" xfId="0" applyNumberFormat="1" applyFont="1" applyAlignment="1">
      <alignment horizontal="left" vertical="center"/>
    </xf>
    <xf numFmtId="49" fontId="23" fillId="0" borderId="0" xfId="0" applyNumberFormat="1" applyFont="1">
      <alignment vertical="center"/>
    </xf>
    <xf numFmtId="49" fontId="20" fillId="7" borderId="13" xfId="0" applyNumberFormat="1" applyFont="1" applyFill="1" applyBorder="1">
      <alignment vertical="center"/>
    </xf>
    <xf numFmtId="49" fontId="20" fillId="0" borderId="13" xfId="0" applyNumberFormat="1" applyFont="1" applyBorder="1">
      <alignment vertical="center"/>
    </xf>
    <xf numFmtId="0" fontId="11" fillId="3" borderId="12" xfId="19" applyFont="1" applyFill="1" applyBorder="1" applyAlignment="1">
      <alignment vertical="center"/>
    </xf>
    <xf numFmtId="0" fontId="11" fillId="3" borderId="31" xfId="19" quotePrefix="1" applyFont="1" applyFill="1" applyBorder="1" applyAlignment="1">
      <alignment vertical="center"/>
    </xf>
    <xf numFmtId="0" fontId="11" fillId="3" borderId="32" xfId="19" applyFont="1" applyFill="1" applyBorder="1" applyAlignment="1">
      <alignment vertical="center"/>
    </xf>
    <xf numFmtId="0" fontId="11" fillId="3" borderId="33" xfId="19" applyFont="1" applyFill="1" applyBorder="1" applyAlignment="1">
      <alignment vertical="center"/>
    </xf>
    <xf numFmtId="0" fontId="0" fillId="0" borderId="87" xfId="0" applyBorder="1">
      <alignment vertical="center"/>
    </xf>
    <xf numFmtId="0" fontId="0" fillId="0" borderId="88" xfId="0" applyBorder="1">
      <alignment vertical="center"/>
    </xf>
    <xf numFmtId="0" fontId="0" fillId="0" borderId="89" xfId="0" applyBorder="1">
      <alignment vertical="center"/>
    </xf>
    <xf numFmtId="0" fontId="0" fillId="0" borderId="90" xfId="0" applyBorder="1">
      <alignment vertical="center"/>
    </xf>
    <xf numFmtId="0" fontId="0" fillId="0" borderId="91" xfId="0" applyBorder="1">
      <alignment vertical="center"/>
    </xf>
    <xf numFmtId="0" fontId="0" fillId="0" borderId="92" xfId="0" applyBorder="1">
      <alignment vertical="center"/>
    </xf>
    <xf numFmtId="0" fontId="0" fillId="0" borderId="93" xfId="0" applyBorder="1">
      <alignment vertical="center"/>
    </xf>
    <xf numFmtId="0" fontId="0" fillId="0" borderId="94" xfId="0" applyBorder="1">
      <alignment vertical="center"/>
    </xf>
    <xf numFmtId="0" fontId="0" fillId="0" borderId="95" xfId="0" applyBorder="1">
      <alignment vertical="center"/>
    </xf>
    <xf numFmtId="0" fontId="24" fillId="0" borderId="0" xfId="0" applyFont="1">
      <alignment vertical="center"/>
    </xf>
    <xf numFmtId="0" fontId="25" fillId="0" borderId="0" xfId="0" applyFont="1">
      <alignment vertical="center"/>
    </xf>
    <xf numFmtId="10" fontId="0" fillId="0" borderId="0" xfId="0" applyNumberFormat="1">
      <alignment vertical="center"/>
    </xf>
    <xf numFmtId="49" fontId="25" fillId="0" borderId="0" xfId="0" applyNumberFormat="1" applyFont="1">
      <alignment vertical="center"/>
    </xf>
    <xf numFmtId="0" fontId="8" fillId="3" borderId="13" xfId="17" applyFont="1" applyFill="1" applyBorder="1" applyAlignment="1">
      <alignment horizontal="center" vertical="center"/>
    </xf>
    <xf numFmtId="0" fontId="11" fillId="2" borderId="8" xfId="17" applyFont="1" applyFill="1" applyBorder="1" applyAlignment="1">
      <alignment horizontal="center" vertical="center"/>
    </xf>
    <xf numFmtId="0" fontId="11" fillId="2" borderId="2" xfId="17" applyFont="1" applyFill="1" applyBorder="1" applyAlignment="1">
      <alignment horizontal="center" vertical="center"/>
    </xf>
    <xf numFmtId="0" fontId="11" fillId="2" borderId="9" xfId="17" applyFont="1" applyFill="1" applyBorder="1" applyAlignment="1">
      <alignment horizontal="center" vertical="center"/>
    </xf>
    <xf numFmtId="14" fontId="11" fillId="2" borderId="13" xfId="17" applyNumberFormat="1" applyFont="1" applyFill="1" applyBorder="1" applyAlignment="1">
      <alignment horizontal="center" vertical="center"/>
    </xf>
    <xf numFmtId="49" fontId="11" fillId="2" borderId="13" xfId="17" applyNumberFormat="1" applyFont="1" applyFill="1" applyBorder="1" applyAlignment="1">
      <alignment horizontal="center" vertical="center"/>
    </xf>
    <xf numFmtId="0" fontId="8" fillId="3" borderId="8" xfId="17" applyFont="1" applyFill="1" applyBorder="1" applyAlignment="1">
      <alignment horizontal="center" vertical="center"/>
    </xf>
    <xf numFmtId="0" fontId="8" fillId="3" borderId="2" xfId="17" applyFont="1" applyFill="1" applyBorder="1" applyAlignment="1">
      <alignment horizontal="center" vertical="center"/>
    </xf>
    <xf numFmtId="0" fontId="8" fillId="3" borderId="9" xfId="17" applyFont="1" applyFill="1" applyBorder="1" applyAlignment="1">
      <alignment horizontal="center" vertical="center"/>
    </xf>
    <xf numFmtId="0" fontId="11" fillId="2" borderId="8" xfId="18" applyFont="1" applyFill="1" applyBorder="1" applyAlignment="1">
      <alignment horizontal="center" vertical="center"/>
    </xf>
    <xf numFmtId="0" fontId="11" fillId="2" borderId="2" xfId="18" applyFont="1" applyFill="1" applyBorder="1" applyAlignment="1">
      <alignment horizontal="center" vertical="center"/>
    </xf>
    <xf numFmtId="0" fontId="11" fillId="2" borderId="9" xfId="18" applyFont="1" applyFill="1" applyBorder="1" applyAlignment="1">
      <alignment horizontal="center" vertical="center"/>
    </xf>
    <xf numFmtId="0" fontId="10" fillId="0" borderId="0" xfId="17" applyFont="1" applyFill="1" applyBorder="1" applyAlignment="1">
      <alignment horizontal="center" vertical="center"/>
    </xf>
    <xf numFmtId="0" fontId="8" fillId="2" borderId="13" xfId="17" applyNumberFormat="1" applyFont="1" applyFill="1" applyBorder="1" applyAlignment="1">
      <alignment horizontal="center" vertical="center"/>
    </xf>
    <xf numFmtId="0" fontId="8" fillId="2" borderId="13" xfId="19" applyFont="1" applyFill="1" applyBorder="1" applyAlignment="1">
      <alignment horizontal="center" vertical="center"/>
    </xf>
    <xf numFmtId="0" fontId="9" fillId="2" borderId="13" xfId="17" applyFont="1" applyFill="1" applyBorder="1" applyAlignment="1">
      <alignment horizontal="center" vertical="center"/>
    </xf>
    <xf numFmtId="0" fontId="8" fillId="2" borderId="13" xfId="17" applyFont="1" applyFill="1" applyBorder="1" applyAlignment="1">
      <alignment horizontal="center" vertical="center"/>
    </xf>
    <xf numFmtId="0" fontId="11" fillId="2" borderId="8" xfId="17" applyFont="1" applyFill="1" applyBorder="1" applyAlignment="1">
      <alignment horizontal="left" vertical="center"/>
    </xf>
    <xf numFmtId="0" fontId="11" fillId="2" borderId="2" xfId="17" applyFont="1" applyFill="1" applyBorder="1" applyAlignment="1">
      <alignment horizontal="left" vertical="center"/>
    </xf>
    <xf numFmtId="0" fontId="11" fillId="2" borderId="9" xfId="17" applyFont="1" applyFill="1" applyBorder="1" applyAlignment="1">
      <alignment horizontal="left" vertical="center"/>
    </xf>
    <xf numFmtId="0" fontId="11" fillId="2" borderId="8" xfId="18" applyFont="1" applyFill="1" applyBorder="1" applyAlignment="1">
      <alignment horizontal="left" vertical="center"/>
    </xf>
    <xf numFmtId="0" fontId="11" fillId="2" borderId="2" xfId="18" applyFont="1" applyFill="1" applyBorder="1" applyAlignment="1">
      <alignment horizontal="left" vertical="center"/>
    </xf>
    <xf numFmtId="0" fontId="11" fillId="2" borderId="9" xfId="18" applyFont="1" applyFill="1" applyBorder="1" applyAlignment="1">
      <alignment horizontal="left" vertical="center"/>
    </xf>
    <xf numFmtId="14" fontId="8" fillId="2" borderId="13" xfId="17" applyNumberFormat="1" applyFont="1" applyFill="1" applyBorder="1" applyAlignment="1">
      <alignment horizontal="center" vertical="center"/>
    </xf>
    <xf numFmtId="49" fontId="11" fillId="2" borderId="8" xfId="17" applyNumberFormat="1" applyFont="1" applyFill="1" applyBorder="1" applyAlignment="1">
      <alignment horizontal="center" vertical="center"/>
    </xf>
    <xf numFmtId="49" fontId="11" fillId="2" borderId="2" xfId="17" applyNumberFormat="1" applyFont="1" applyFill="1" applyBorder="1" applyAlignment="1">
      <alignment horizontal="center" vertical="center"/>
    </xf>
    <xf numFmtId="49" fontId="11" fillId="2" borderId="9" xfId="17" applyNumberFormat="1" applyFont="1" applyFill="1" applyBorder="1" applyAlignment="1">
      <alignment horizontal="center" vertical="center"/>
    </xf>
    <xf numFmtId="14" fontId="11" fillId="2" borderId="8" xfId="17" applyNumberFormat="1" applyFont="1" applyFill="1" applyBorder="1" applyAlignment="1">
      <alignment horizontal="center" vertical="center"/>
    </xf>
    <xf numFmtId="14" fontId="11" fillId="2" borderId="2" xfId="17" applyNumberFormat="1" applyFont="1" applyFill="1" applyBorder="1" applyAlignment="1">
      <alignment horizontal="center" vertical="center"/>
    </xf>
    <xf numFmtId="14" fontId="11" fillId="2" borderId="9" xfId="17" applyNumberFormat="1" applyFont="1" applyFill="1" applyBorder="1" applyAlignment="1">
      <alignment horizontal="center" vertical="center"/>
    </xf>
    <xf numFmtId="0" fontId="11" fillId="2" borderId="8" xfId="17" applyFont="1" applyFill="1" applyBorder="1" applyAlignment="1">
      <alignment horizontal="left" vertical="center" wrapText="1"/>
    </xf>
    <xf numFmtId="0" fontId="11" fillId="0" borderId="8" xfId="16" applyFont="1" applyBorder="1" applyAlignment="1">
      <alignment vertical="center" wrapText="1"/>
    </xf>
    <xf numFmtId="0" fontId="11" fillId="0" borderId="9" xfId="16" applyFont="1" applyBorder="1">
      <alignment vertical="center"/>
    </xf>
    <xf numFmtId="0" fontId="8" fillId="3" borderId="13" xfId="19" applyFont="1" applyFill="1" applyBorder="1" applyAlignment="1">
      <alignment horizontal="center" vertical="center"/>
    </xf>
    <xf numFmtId="0" fontId="8" fillId="2" borderId="13" xfId="19" applyNumberFormat="1" applyFont="1" applyFill="1" applyBorder="1" applyAlignment="1">
      <alignment horizontal="center" vertical="center"/>
    </xf>
    <xf numFmtId="14" fontId="8" fillId="2" borderId="13" xfId="19" applyNumberFormat="1" applyFont="1" applyFill="1" applyBorder="1" applyAlignment="1">
      <alignment horizontal="center" vertical="center"/>
    </xf>
    <xf numFmtId="0" fontId="8" fillId="3" borderId="8" xfId="19" applyFont="1" applyFill="1" applyBorder="1" applyAlignment="1">
      <alignment horizontal="center" vertical="center" wrapText="1"/>
    </xf>
    <xf numFmtId="0" fontId="8" fillId="3" borderId="2" xfId="19" applyFont="1" applyFill="1" applyBorder="1" applyAlignment="1">
      <alignment horizontal="center" vertical="center" wrapText="1"/>
    </xf>
    <xf numFmtId="0" fontId="8" fillId="3" borderId="9" xfId="19" applyFont="1" applyFill="1" applyBorder="1" applyAlignment="1">
      <alignment horizontal="center" vertical="center" wrapText="1"/>
    </xf>
    <xf numFmtId="0" fontId="8" fillId="2" borderId="8" xfId="19" applyFont="1" applyFill="1" applyBorder="1" applyAlignment="1">
      <alignment vertical="center" wrapText="1"/>
    </xf>
    <xf numFmtId="0" fontId="8" fillId="2" borderId="2" xfId="19" applyFont="1" applyFill="1" applyBorder="1" applyAlignment="1">
      <alignment vertical="center" wrapText="1"/>
    </xf>
    <xf numFmtId="0" fontId="8" fillId="2" borderId="9" xfId="19" applyFont="1" applyFill="1" applyBorder="1" applyAlignment="1">
      <alignment vertical="center" wrapText="1"/>
    </xf>
    <xf numFmtId="0" fontId="8" fillId="4" borderId="34" xfId="19" applyFont="1" applyFill="1" applyBorder="1" applyAlignment="1">
      <alignment horizontal="center" vertical="center"/>
    </xf>
    <xf numFmtId="0" fontId="8" fillId="4" borderId="4" xfId="19" applyFont="1" applyFill="1" applyBorder="1" applyAlignment="1">
      <alignment horizontal="center" vertical="center"/>
    </xf>
    <xf numFmtId="0" fontId="8" fillId="4" borderId="11" xfId="19" applyFont="1" applyFill="1" applyBorder="1" applyAlignment="1">
      <alignment horizontal="center" vertical="center"/>
    </xf>
    <xf numFmtId="0" fontId="8" fillId="4" borderId="35" xfId="19" applyFont="1" applyFill="1" applyBorder="1" applyAlignment="1">
      <alignment horizontal="center" vertical="center"/>
    </xf>
    <xf numFmtId="0" fontId="8" fillId="4" borderId="5" xfId="19" applyFont="1" applyFill="1" applyBorder="1" applyAlignment="1">
      <alignment horizontal="center" vertical="center"/>
    </xf>
    <xf numFmtId="0" fontId="8" fillId="4" borderId="36" xfId="19" applyFont="1" applyFill="1" applyBorder="1" applyAlignment="1">
      <alignment horizontal="center" vertical="center"/>
    </xf>
    <xf numFmtId="0" fontId="8" fillId="3" borderId="8" xfId="19" applyFont="1" applyFill="1" applyBorder="1" applyAlignment="1">
      <alignment horizontal="center" vertical="center"/>
    </xf>
    <xf numFmtId="0" fontId="8" fillId="3" borderId="2" xfId="19" applyFont="1" applyFill="1" applyBorder="1" applyAlignment="1">
      <alignment horizontal="center" vertical="center"/>
    </xf>
    <xf numFmtId="0" fontId="8" fillId="3" borderId="9" xfId="19" applyFont="1" applyFill="1" applyBorder="1" applyAlignment="1">
      <alignment horizontal="center" vertical="center"/>
    </xf>
    <xf numFmtId="0" fontId="8" fillId="3" borderId="14" xfId="19" applyFont="1" applyFill="1" applyBorder="1" applyAlignment="1">
      <alignment horizontal="center" vertical="center"/>
    </xf>
    <xf numFmtId="0" fontId="8" fillId="3" borderId="15" xfId="19" applyFont="1" applyFill="1" applyBorder="1" applyAlignment="1">
      <alignment horizontal="center" vertical="center"/>
    </xf>
    <xf numFmtId="0" fontId="8" fillId="2" borderId="8" xfId="19" applyFont="1" applyFill="1" applyBorder="1" applyAlignment="1">
      <alignment horizontal="center" vertical="center"/>
    </xf>
    <xf numFmtId="0" fontId="8" fillId="2" borderId="2" xfId="19" applyFont="1" applyFill="1" applyBorder="1" applyAlignment="1">
      <alignment horizontal="center" vertical="center"/>
    </xf>
    <xf numFmtId="0" fontId="8" fillId="2" borderId="9" xfId="19" applyFont="1" applyFill="1" applyBorder="1" applyAlignment="1">
      <alignment horizontal="center" vertical="center"/>
    </xf>
    <xf numFmtId="9" fontId="8" fillId="0" borderId="15" xfId="19" applyNumberFormat="1" applyFont="1" applyFill="1" applyBorder="1" applyAlignment="1">
      <alignment horizontal="center" vertical="center"/>
    </xf>
    <xf numFmtId="9" fontId="8" fillId="0" borderId="2" xfId="19" applyNumberFormat="1" applyFont="1" applyFill="1" applyBorder="1" applyAlignment="1">
      <alignment horizontal="center" vertical="center"/>
    </xf>
    <xf numFmtId="9" fontId="8" fillId="0" borderId="9" xfId="19" applyNumberFormat="1" applyFont="1" applyFill="1" applyBorder="1" applyAlignment="1">
      <alignment horizontal="center" vertical="center"/>
    </xf>
    <xf numFmtId="0" fontId="8" fillId="3" borderId="10" xfId="19" applyFont="1" applyFill="1" applyBorder="1" applyAlignment="1">
      <alignment horizontal="center" vertical="center"/>
    </xf>
    <xf numFmtId="0" fontId="8" fillId="3" borderId="4" xfId="19" applyFont="1" applyFill="1" applyBorder="1" applyAlignment="1">
      <alignment horizontal="center" vertical="center"/>
    </xf>
    <xf numFmtId="0" fontId="8" fillId="3" borderId="11" xfId="19" applyFont="1" applyFill="1" applyBorder="1" applyAlignment="1">
      <alignment horizontal="center" vertical="center"/>
    </xf>
    <xf numFmtId="0" fontId="8" fillId="3" borderId="12" xfId="19" applyFont="1" applyFill="1" applyBorder="1" applyAlignment="1">
      <alignment horizontal="center" vertical="center"/>
    </xf>
    <xf numFmtId="0" fontId="8" fillId="3" borderId="5" xfId="19" applyFont="1" applyFill="1" applyBorder="1" applyAlignment="1">
      <alignment horizontal="center" vertical="center"/>
    </xf>
    <xf numFmtId="0" fontId="8" fillId="3" borderId="36" xfId="19" applyFont="1" applyFill="1" applyBorder="1" applyAlignment="1">
      <alignment horizontal="center" vertical="center"/>
    </xf>
    <xf numFmtId="0" fontId="8" fillId="3" borderId="37" xfId="19" applyFont="1" applyFill="1" applyBorder="1" applyAlignment="1">
      <alignment horizontal="center" vertical="center"/>
    </xf>
    <xf numFmtId="0" fontId="8" fillId="3" borderId="38" xfId="19" applyFont="1" applyFill="1" applyBorder="1" applyAlignment="1">
      <alignment horizontal="center" vertical="center"/>
    </xf>
    <xf numFmtId="0" fontId="8" fillId="2" borderId="14" xfId="19" applyFont="1" applyFill="1" applyBorder="1" applyAlignment="1">
      <alignment horizontal="center" vertical="center"/>
    </xf>
    <xf numFmtId="0" fontId="8" fillId="2" borderId="15" xfId="19" applyFont="1" applyFill="1" applyBorder="1" applyAlignment="1">
      <alignment horizontal="center" vertical="center"/>
    </xf>
    <xf numFmtId="0" fontId="8" fillId="2" borderId="8" xfId="19" applyFont="1" applyFill="1" applyBorder="1" applyAlignment="1">
      <alignment vertical="center"/>
    </xf>
    <xf numFmtId="0" fontId="8" fillId="2" borderId="2" xfId="19" applyFont="1" applyFill="1" applyBorder="1" applyAlignment="1">
      <alignment vertical="center"/>
    </xf>
    <xf numFmtId="0" fontId="8" fillId="2" borderId="9" xfId="19" applyFont="1" applyFill="1" applyBorder="1" applyAlignment="1">
      <alignment vertical="center"/>
    </xf>
    <xf numFmtId="0" fontId="8" fillId="2" borderId="39" xfId="19" applyFont="1" applyFill="1" applyBorder="1" applyAlignment="1">
      <alignment horizontal="center" vertical="center"/>
    </xf>
    <xf numFmtId="0" fontId="8" fillId="2" borderId="16" xfId="19" applyFont="1" applyFill="1" applyBorder="1" applyAlignment="1">
      <alignment horizontal="center" vertical="center"/>
    </xf>
    <xf numFmtId="0" fontId="8" fillId="2" borderId="40" xfId="19" applyFont="1" applyFill="1" applyBorder="1" applyAlignment="1">
      <alignment horizontal="center" vertical="center"/>
    </xf>
    <xf numFmtId="49" fontId="11" fillId="0" borderId="41" xfId="19" applyNumberFormat="1" applyFont="1" applyFill="1" applyBorder="1" applyAlignment="1">
      <alignment horizontal="center" vertical="center" shrinkToFit="1"/>
    </xf>
    <xf numFmtId="49" fontId="11" fillId="0" borderId="42" xfId="19" applyNumberFormat="1" applyFont="1" applyFill="1" applyBorder="1" applyAlignment="1">
      <alignment horizontal="center" vertical="center" shrinkToFit="1"/>
    </xf>
    <xf numFmtId="0" fontId="11" fillId="3" borderId="48" xfId="19" applyFont="1" applyFill="1" applyBorder="1" applyAlignment="1">
      <alignment horizontal="center" vertical="center" textRotation="255"/>
    </xf>
    <xf numFmtId="0" fontId="11" fillId="3" borderId="19" xfId="19" applyFont="1" applyFill="1" applyBorder="1" applyAlignment="1">
      <alignment horizontal="center" vertical="center" textRotation="255"/>
    </xf>
    <xf numFmtId="0" fontId="11" fillId="3" borderId="43" xfId="19" applyFont="1" applyFill="1" applyBorder="1" applyAlignment="1">
      <alignment horizontal="left" vertical="center" wrapText="1"/>
    </xf>
    <xf numFmtId="0" fontId="11" fillId="3" borderId="44" xfId="19" applyFont="1" applyFill="1" applyBorder="1" applyAlignment="1">
      <alignment horizontal="left" vertical="center" wrapText="1"/>
    </xf>
    <xf numFmtId="0" fontId="11" fillId="3" borderId="45" xfId="19" applyFont="1" applyFill="1" applyBorder="1" applyAlignment="1">
      <alignment horizontal="left" vertical="center" wrapText="1"/>
    </xf>
    <xf numFmtId="49" fontId="11" fillId="0" borderId="46" xfId="19" applyNumberFormat="1" applyFont="1" applyFill="1" applyBorder="1" applyAlignment="1">
      <alignment horizontal="center" vertical="center" shrinkToFit="1"/>
    </xf>
    <xf numFmtId="49" fontId="11" fillId="0" borderId="47" xfId="19" applyNumberFormat="1" applyFont="1" applyFill="1" applyBorder="1" applyAlignment="1">
      <alignment horizontal="center" vertical="center" shrinkToFit="1"/>
    </xf>
    <xf numFmtId="49" fontId="11" fillId="0" borderId="49" xfId="19" applyNumberFormat="1" applyFont="1" applyFill="1" applyBorder="1" applyAlignment="1">
      <alignment horizontal="center" vertical="center" shrinkToFit="1"/>
    </xf>
    <xf numFmtId="49" fontId="11" fillId="6" borderId="29" xfId="19" applyNumberFormat="1" applyFont="1" applyFill="1" applyBorder="1" applyAlignment="1">
      <alignment horizontal="center" vertical="center" shrinkToFit="1"/>
    </xf>
    <xf numFmtId="49" fontId="11" fillId="3" borderId="10" xfId="19" applyNumberFormat="1" applyFont="1" applyFill="1" applyBorder="1" applyAlignment="1">
      <alignment horizontal="center" vertical="center" shrinkToFit="1"/>
    </xf>
    <xf numFmtId="49" fontId="11" fillId="3" borderId="11" xfId="19" applyNumberFormat="1" applyFont="1" applyFill="1" applyBorder="1" applyAlignment="1">
      <alignment horizontal="center" vertical="center" shrinkToFit="1"/>
    </xf>
    <xf numFmtId="0" fontId="8" fillId="3" borderId="8" xfId="19" applyFont="1" applyFill="1" applyBorder="1" applyAlignment="1">
      <alignment vertical="center" wrapText="1"/>
    </xf>
    <xf numFmtId="0" fontId="8" fillId="3" borderId="2" xfId="19" applyFont="1" applyFill="1" applyBorder="1" applyAlignment="1">
      <alignment vertical="center" wrapText="1"/>
    </xf>
    <xf numFmtId="0" fontId="8" fillId="3" borderId="9" xfId="19" applyFont="1" applyFill="1" applyBorder="1" applyAlignment="1">
      <alignment vertical="center" wrapText="1"/>
    </xf>
    <xf numFmtId="0" fontId="8" fillId="2" borderId="8" xfId="19" applyNumberFormat="1" applyFont="1" applyFill="1" applyBorder="1" applyAlignment="1">
      <alignment horizontal="center" vertical="center"/>
    </xf>
    <xf numFmtId="0" fontId="8" fillId="2" borderId="2" xfId="19" applyNumberFormat="1" applyFont="1" applyFill="1" applyBorder="1" applyAlignment="1">
      <alignment horizontal="center" vertical="center"/>
    </xf>
    <xf numFmtId="0" fontId="8" fillId="2" borderId="9" xfId="19" applyNumberFormat="1" applyFont="1" applyFill="1" applyBorder="1" applyAlignment="1">
      <alignment horizontal="center" vertical="center"/>
    </xf>
    <xf numFmtId="0" fontId="11" fillId="3" borderId="50" xfId="19" applyFont="1" applyFill="1" applyBorder="1" applyAlignment="1">
      <alignment horizontal="center" vertical="center"/>
    </xf>
    <xf numFmtId="0" fontId="11" fillId="3" borderId="51" xfId="19" applyFont="1" applyFill="1" applyBorder="1" applyAlignment="1">
      <alignment horizontal="center" vertical="center"/>
    </xf>
    <xf numFmtId="0" fontId="11" fillId="3" borderId="52" xfId="19" applyFont="1" applyFill="1" applyBorder="1" applyAlignment="1">
      <alignment horizontal="center" vertical="center"/>
    </xf>
    <xf numFmtId="0" fontId="11" fillId="3" borderId="53" xfId="19" applyFont="1" applyFill="1" applyBorder="1" applyAlignment="1">
      <alignment horizontal="center" vertical="center"/>
    </xf>
    <xf numFmtId="0" fontId="11" fillId="3" borderId="54" xfId="19" applyFont="1" applyFill="1" applyBorder="1" applyAlignment="1">
      <alignment horizontal="center" vertical="center"/>
    </xf>
    <xf numFmtId="0" fontId="11" fillId="3" borderId="55" xfId="19" applyFont="1" applyFill="1" applyBorder="1" applyAlignment="1">
      <alignment horizontal="center" vertical="center"/>
    </xf>
    <xf numFmtId="49" fontId="11" fillId="0" borderId="56" xfId="19" applyNumberFormat="1" applyFont="1" applyFill="1" applyBorder="1" applyAlignment="1">
      <alignment horizontal="center" vertical="center" shrinkToFit="1"/>
    </xf>
    <xf numFmtId="49" fontId="11" fillId="6" borderId="30" xfId="19" applyNumberFormat="1" applyFont="1" applyFill="1" applyBorder="1" applyAlignment="1">
      <alignment horizontal="center" vertical="center" shrinkToFit="1"/>
    </xf>
    <xf numFmtId="49" fontId="11" fillId="0" borderId="57" xfId="19" applyNumberFormat="1" applyFont="1" applyFill="1" applyBorder="1" applyAlignment="1">
      <alignment horizontal="center" vertical="center" shrinkToFit="1"/>
    </xf>
    <xf numFmtId="49" fontId="11" fillId="0" borderId="58" xfId="19" applyNumberFormat="1" applyFont="1" applyFill="1" applyBorder="1" applyAlignment="1">
      <alignment horizontal="center" vertical="center" shrinkToFit="1"/>
    </xf>
    <xf numFmtId="0" fontId="11" fillId="2" borderId="62" xfId="19" applyFont="1" applyFill="1" applyBorder="1" applyAlignment="1">
      <alignment horizontal="center" vertical="center" textRotation="255" shrinkToFit="1"/>
    </xf>
    <xf numFmtId="177" fontId="11" fillId="2" borderId="60" xfId="19" applyNumberFormat="1" applyFont="1" applyFill="1" applyBorder="1" applyAlignment="1">
      <alignment horizontal="center" vertical="center" shrinkToFit="1"/>
    </xf>
    <xf numFmtId="0" fontId="11" fillId="2" borderId="61" xfId="19" applyFont="1" applyFill="1" applyBorder="1" applyAlignment="1">
      <alignment horizontal="center" vertical="center" textRotation="255" shrinkToFit="1"/>
    </xf>
    <xf numFmtId="0" fontId="11" fillId="2" borderId="63" xfId="19" applyFont="1" applyFill="1" applyBorder="1" applyAlignment="1">
      <alignment horizontal="center" vertical="center" textRotation="255" shrinkToFit="1"/>
    </xf>
    <xf numFmtId="49" fontId="11" fillId="2" borderId="60" xfId="19" applyNumberFormat="1" applyFont="1" applyFill="1" applyBorder="1" applyAlignment="1">
      <alignment horizontal="center" vertical="center" shrinkToFit="1"/>
    </xf>
    <xf numFmtId="49" fontId="11" fillId="2" borderId="64" xfId="19" applyNumberFormat="1" applyFont="1" applyFill="1" applyBorder="1" applyAlignment="1">
      <alignment horizontal="center" vertical="center" shrinkToFit="1"/>
    </xf>
    <xf numFmtId="177" fontId="11" fillId="2" borderId="64" xfId="19" applyNumberFormat="1" applyFont="1" applyFill="1" applyBorder="1" applyAlignment="1">
      <alignment horizontal="center" vertical="center" shrinkToFit="1"/>
    </xf>
    <xf numFmtId="49" fontId="11" fillId="2" borderId="59" xfId="19" applyNumberFormat="1" applyFont="1" applyFill="1" applyBorder="1" applyAlignment="1">
      <alignment horizontal="center" vertical="center" shrinkToFit="1"/>
    </xf>
    <xf numFmtId="49" fontId="11" fillId="2" borderId="60" xfId="19" applyNumberFormat="1" applyFont="1" applyFill="1" applyBorder="1" applyAlignment="1">
      <alignment horizontal="center" vertical="center" wrapText="1" shrinkToFit="1"/>
    </xf>
    <xf numFmtId="0" fontId="11" fillId="2" borderId="60" xfId="19" applyFont="1" applyFill="1" applyBorder="1" applyAlignment="1">
      <alignment vertical="center" textRotation="255" shrinkToFit="1"/>
    </xf>
    <xf numFmtId="0" fontId="11" fillId="2" borderId="64" xfId="19" applyFont="1" applyFill="1" applyBorder="1" applyAlignment="1">
      <alignment vertical="center" textRotation="255" shrinkToFit="1"/>
    </xf>
    <xf numFmtId="0" fontId="11" fillId="2" borderId="65" xfId="19" applyFont="1" applyFill="1" applyBorder="1" applyAlignment="1">
      <alignment vertical="center" textRotation="255" shrinkToFit="1"/>
    </xf>
    <xf numFmtId="0" fontId="11" fillId="2" borderId="66" xfId="19" applyFont="1" applyFill="1" applyBorder="1" applyAlignment="1">
      <alignment vertical="center" textRotation="255" shrinkToFit="1"/>
    </xf>
    <xf numFmtId="0" fontId="11" fillId="3" borderId="8" xfId="19" applyFont="1" applyFill="1" applyBorder="1" applyAlignment="1">
      <alignment vertical="center" textRotation="255"/>
    </xf>
    <xf numFmtId="0" fontId="11" fillId="3" borderId="2" xfId="19" applyFont="1" applyFill="1" applyBorder="1" applyAlignment="1">
      <alignment vertical="center" textRotation="255"/>
    </xf>
    <xf numFmtId="0" fontId="11" fillId="3" borderId="9" xfId="19" applyFont="1" applyFill="1" applyBorder="1" applyAlignment="1">
      <alignment vertical="center" textRotation="255"/>
    </xf>
    <xf numFmtId="0" fontId="11" fillId="3" borderId="67" xfId="19" applyFont="1" applyFill="1" applyBorder="1" applyAlignment="1">
      <alignment horizontal="left" vertical="center" wrapText="1"/>
    </xf>
    <xf numFmtId="0" fontId="11" fillId="3" borderId="68" xfId="19" applyFont="1" applyFill="1" applyBorder="1" applyAlignment="1">
      <alignment horizontal="left" vertical="center" wrapText="1"/>
    </xf>
    <xf numFmtId="0" fontId="11" fillId="3" borderId="69" xfId="19" applyFont="1" applyFill="1" applyBorder="1" applyAlignment="1">
      <alignment horizontal="left" vertical="center" wrapText="1"/>
    </xf>
    <xf numFmtId="0" fontId="11" fillId="3" borderId="70" xfId="19" applyFont="1" applyFill="1" applyBorder="1" applyAlignment="1">
      <alignment horizontal="center" vertical="center" textRotation="255"/>
    </xf>
    <xf numFmtId="0" fontId="11" fillId="3" borderId="71" xfId="19" applyFont="1" applyFill="1" applyBorder="1" applyAlignment="1">
      <alignment horizontal="center" vertical="center" textRotation="255"/>
    </xf>
    <xf numFmtId="0" fontId="11" fillId="3" borderId="72" xfId="19" applyFont="1" applyFill="1" applyBorder="1" applyAlignment="1">
      <alignment horizontal="center" vertical="center" textRotation="255"/>
    </xf>
    <xf numFmtId="0" fontId="11" fillId="3" borderId="8" xfId="19" applyFont="1" applyFill="1" applyBorder="1" applyAlignment="1">
      <alignment horizontal="center" vertical="center"/>
    </xf>
    <xf numFmtId="0" fontId="11" fillId="3" borderId="2" xfId="19" applyFont="1" applyFill="1" applyBorder="1" applyAlignment="1">
      <alignment horizontal="center" vertical="center"/>
    </xf>
    <xf numFmtId="0" fontId="11" fillId="3" borderId="9" xfId="19" applyFont="1" applyFill="1" applyBorder="1" applyAlignment="1">
      <alignment horizontal="center" vertical="center"/>
    </xf>
    <xf numFmtId="49" fontId="11" fillId="0" borderId="31" xfId="19" applyNumberFormat="1" applyFont="1" applyFill="1" applyBorder="1" applyAlignment="1">
      <alignment horizontal="center" vertical="center" shrinkToFit="1"/>
    </xf>
    <xf numFmtId="49" fontId="11" fillId="0" borderId="86" xfId="19" applyNumberFormat="1" applyFont="1" applyFill="1" applyBorder="1" applyAlignment="1">
      <alignment horizontal="center" vertical="center" shrinkToFit="1"/>
    </xf>
    <xf numFmtId="49" fontId="11" fillId="0" borderId="74" xfId="19" applyNumberFormat="1" applyFont="1" applyFill="1" applyBorder="1" applyAlignment="1">
      <alignment horizontal="center" vertical="center" shrinkToFit="1"/>
    </xf>
    <xf numFmtId="49" fontId="11" fillId="0" borderId="33" xfId="19" applyNumberFormat="1" applyFont="1" applyFill="1" applyBorder="1" applyAlignment="1">
      <alignment horizontal="center" vertical="center" shrinkToFit="1"/>
    </xf>
    <xf numFmtId="49" fontId="11" fillId="0" borderId="76" xfId="19" applyNumberFormat="1" applyFont="1" applyFill="1" applyBorder="1" applyAlignment="1">
      <alignment horizontal="center" vertical="center" shrinkToFit="1"/>
    </xf>
    <xf numFmtId="0" fontId="11" fillId="3" borderId="17" xfId="19" applyFont="1" applyFill="1" applyBorder="1" applyAlignment="1">
      <alignment horizontal="center" vertical="center" textRotation="255"/>
    </xf>
    <xf numFmtId="0" fontId="11" fillId="3" borderId="21" xfId="19" applyFont="1" applyFill="1" applyBorder="1" applyAlignment="1">
      <alignment horizontal="center" vertical="center" textRotation="255"/>
    </xf>
    <xf numFmtId="0" fontId="11" fillId="3" borderId="77" xfId="19" applyFont="1" applyFill="1" applyBorder="1" applyAlignment="1">
      <alignment horizontal="center" vertical="center" textRotation="255"/>
    </xf>
    <xf numFmtId="49" fontId="11" fillId="6" borderId="4" xfId="19" applyNumberFormat="1" applyFont="1" applyFill="1" applyBorder="1" applyAlignment="1">
      <alignment horizontal="center" vertical="center" shrinkToFit="1"/>
    </xf>
    <xf numFmtId="49" fontId="11" fillId="0" borderId="78" xfId="19" applyNumberFormat="1" applyFont="1" applyFill="1" applyBorder="1" applyAlignment="1">
      <alignment horizontal="center" vertical="center" shrinkToFit="1"/>
    </xf>
    <xf numFmtId="49" fontId="11" fillId="0" borderId="79" xfId="19" applyNumberFormat="1" applyFont="1" applyFill="1" applyBorder="1" applyAlignment="1">
      <alignment horizontal="center" vertical="center" shrinkToFit="1"/>
    </xf>
    <xf numFmtId="49" fontId="11" fillId="0" borderId="80" xfId="19" applyNumberFormat="1" applyFont="1" applyFill="1" applyBorder="1" applyAlignment="1">
      <alignment horizontal="center" vertical="center" shrinkToFit="1"/>
    </xf>
    <xf numFmtId="49" fontId="11" fillId="0" borderId="81" xfId="19" applyNumberFormat="1" applyFont="1" applyFill="1" applyBorder="1" applyAlignment="1">
      <alignment horizontal="center" vertical="center" shrinkToFit="1"/>
    </xf>
    <xf numFmtId="0" fontId="11" fillId="3" borderId="76" xfId="19" applyFont="1" applyFill="1" applyBorder="1" applyAlignment="1">
      <alignment horizontal="left" vertical="center" wrapText="1"/>
    </xf>
    <xf numFmtId="0" fontId="11" fillId="3" borderId="49" xfId="19" applyFont="1" applyFill="1" applyBorder="1" applyAlignment="1">
      <alignment horizontal="left" vertical="center" wrapText="1"/>
    </xf>
    <xf numFmtId="49" fontId="11" fillId="0" borderId="73" xfId="19" applyNumberFormat="1" applyFont="1" applyFill="1" applyBorder="1" applyAlignment="1">
      <alignment horizontal="center" vertical="center" shrinkToFit="1"/>
    </xf>
    <xf numFmtId="0" fontId="11" fillId="3" borderId="75" xfId="19" applyFont="1" applyFill="1" applyBorder="1" applyAlignment="1">
      <alignment horizontal="left" vertical="center" wrapText="1"/>
    </xf>
    <xf numFmtId="0" fontId="11" fillId="3" borderId="73" xfId="19" applyFont="1" applyFill="1" applyBorder="1" applyAlignment="1">
      <alignment horizontal="left" vertical="center" wrapText="1"/>
    </xf>
    <xf numFmtId="49" fontId="11" fillId="0" borderId="82" xfId="19" applyNumberFormat="1" applyFont="1" applyFill="1" applyBorder="1" applyAlignment="1">
      <alignment horizontal="center" vertical="center" shrinkToFit="1"/>
    </xf>
    <xf numFmtId="49" fontId="11" fillId="6" borderId="11" xfId="19" applyNumberFormat="1" applyFont="1" applyFill="1" applyBorder="1" applyAlignment="1">
      <alignment horizontal="center" vertical="center" shrinkToFit="1"/>
    </xf>
    <xf numFmtId="0" fontId="11" fillId="2" borderId="83" xfId="19" applyFont="1" applyFill="1" applyBorder="1" applyAlignment="1">
      <alignment horizontal="center" vertical="center" textRotation="255" shrinkToFit="1"/>
    </xf>
    <xf numFmtId="0" fontId="11" fillId="2" borderId="84" xfId="19" applyFont="1" applyFill="1" applyBorder="1" applyAlignment="1">
      <alignment horizontal="center" vertical="center" textRotation="255" shrinkToFit="1"/>
    </xf>
    <xf numFmtId="0" fontId="11" fillId="2" borderId="85" xfId="19" applyFont="1" applyFill="1" applyBorder="1" applyAlignment="1">
      <alignment horizontal="center" vertical="center" textRotation="255" shrinkToFit="1"/>
    </xf>
    <xf numFmtId="0" fontId="11" fillId="3" borderId="12" xfId="19" applyFont="1" applyFill="1" applyBorder="1" applyAlignment="1">
      <alignment horizontal="center" vertical="center"/>
    </xf>
    <xf numFmtId="0" fontId="11" fillId="3" borderId="5" xfId="19" applyFont="1" applyFill="1" applyBorder="1" applyAlignment="1">
      <alignment horizontal="center" vertical="center"/>
    </xf>
    <xf numFmtId="0" fontId="11" fillId="3" borderId="36" xfId="19" applyFont="1" applyFill="1" applyBorder="1" applyAlignment="1">
      <alignment horizontal="center" vertical="center"/>
    </xf>
    <xf numFmtId="177" fontId="11" fillId="2" borderId="59" xfId="19" applyNumberFormat="1" applyFont="1" applyFill="1" applyBorder="1" applyAlignment="1">
      <alignment horizontal="center" vertical="center" shrinkToFit="1"/>
    </xf>
    <xf numFmtId="0" fontId="11" fillId="3" borderId="78" xfId="19" applyFont="1" applyFill="1" applyBorder="1" applyAlignment="1">
      <alignment horizontal="left" vertical="center" wrapText="1"/>
    </xf>
    <xf numFmtId="0" fontId="11" fillId="3" borderId="41" xfId="19" applyFont="1" applyFill="1" applyBorder="1" applyAlignment="1">
      <alignment horizontal="left" vertical="center" wrapText="1"/>
    </xf>
    <xf numFmtId="0" fontId="11" fillId="3" borderId="12" xfId="19" applyFont="1" applyFill="1" applyBorder="1" applyAlignment="1">
      <alignment horizontal="center" vertical="center" textRotation="255"/>
    </xf>
    <xf numFmtId="0" fontId="11" fillId="3" borderId="5" xfId="19" applyFont="1" applyFill="1" applyBorder="1" applyAlignment="1">
      <alignment horizontal="center" vertical="center" textRotation="255"/>
    </xf>
    <xf numFmtId="0" fontId="11" fillId="3" borderId="36" xfId="19" applyFont="1" applyFill="1" applyBorder="1" applyAlignment="1">
      <alignment horizontal="center" vertical="center" textRotation="255"/>
    </xf>
    <xf numFmtId="49" fontId="11" fillId="0" borderId="75" xfId="19" applyNumberFormat="1" applyFont="1" applyFill="1" applyBorder="1" applyAlignment="1">
      <alignment horizontal="center" vertical="center" shrinkToFit="1"/>
    </xf>
  </cellXfs>
  <cellStyles count="21">
    <cellStyle name="Calc Currency (0)" xfId="1"/>
    <cellStyle name="Header1" xfId="2"/>
    <cellStyle name="Header2" xfId="3"/>
    <cellStyle name="IBM(401K)" xfId="4"/>
    <cellStyle name="J401K" xfId="5"/>
    <cellStyle name="Normal_#18-Internet" xfId="6"/>
    <cellStyle name="PSChar" xfId="7"/>
    <cellStyle name="PSHeading" xfId="8"/>
    <cellStyle name="subhead" xfId="9"/>
    <cellStyle name="スタイル 1" xfId="10"/>
    <cellStyle name="常规_単票_2006MMDD_(課題・QA・通達名)" xfId="11"/>
    <cellStyle name="脱浦 [0.00]_3990#10" xfId="12"/>
    <cellStyle name="脱浦_3990#10" xfId="13"/>
    <cellStyle name="標準" xfId="0" builtinId="0"/>
    <cellStyle name="標準 2" xfId="14"/>
    <cellStyle name="標準 3" xfId="15"/>
    <cellStyle name="標準_V1.2作業チェックリスト_PG・UT_社外秘" xfId="16"/>
    <cellStyle name="標準_サンプル-3005005_共通処理機能記述_CK0030_01_高度検索_社外秘" xfId="17"/>
    <cellStyle name="標準_ヘッダー・フッター設定・ファイル名変更ツール" xfId="18"/>
    <cellStyle name="標準_単体テストケース_BM4A40030_組織マスタ全件取込_社外秘" xfId="19"/>
    <cellStyle name="未定義" xfId="20"/>
  </cellStyles>
  <dxfs count="6">
    <dxf>
      <fill>
        <patternFill>
          <bgColor indexed="13"/>
        </patternFill>
      </fill>
    </dxf>
    <dxf>
      <fill>
        <patternFill>
          <bgColor indexed="13"/>
        </patternFill>
      </fill>
    </dxf>
    <dxf>
      <fill>
        <patternFill>
          <bgColor indexed="22"/>
        </patternFill>
      </fill>
    </dxf>
    <dxf>
      <fill>
        <patternFill>
          <bgColor indexed="22"/>
        </patternFill>
      </fill>
    </dxf>
    <dxf>
      <fill>
        <patternFill>
          <bgColor indexed="22"/>
        </patternFill>
      </fill>
    </dxf>
    <dxf>
      <fill>
        <patternFill>
          <bgColor indexed="13"/>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[test.xlsm]Sheet1!ﾋﾟﾎﾞｯﾄﾃｰﾌﾞﾙ3</c:name>
    <c:fmtId val="0"/>
  </c:pivotSource>
  <c:chart>
    <c:autoTitleDeleted val="0"/>
    <c:plotArea>
      <c:layout/>
      <c:barChart>
        <c:barDir val="col"/>
        <c:grouping val="clustered"/>
        <c:varyColors val="0"/>
        <c:dLbls>
          <c:showLegendKey val="0"/>
          <c:showVal val="0"/>
          <c:showCatName val="0"/>
          <c:showSerName val="0"/>
          <c:showPercent val="0"/>
          <c:showBubbleSize val="0"/>
        </c:dLbls>
        <c:gapWidth val="219"/>
        <c:overlap val="-27"/>
        <c:axId val="-2001494320"/>
        <c:axId val="-2001484528"/>
      </c:barChart>
      <c:catAx>
        <c:axId val="-20014943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01484528"/>
        <c:crosses val="autoZero"/>
        <c:auto val="1"/>
        <c:lblAlgn val="ctr"/>
        <c:lblOffset val="100"/>
        <c:noMultiLvlLbl val="0"/>
      </c:catAx>
      <c:valAx>
        <c:axId val="-20014845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014943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val>
            <c:numRef>
              <c:f>index!$U$2:$U$217</c:f>
              <c:numCache>
                <c:formatCode>General</c:formatCode>
                <c:ptCount val="216"/>
                <c:pt idx="0">
                  <c:v>60</c:v>
                </c:pt>
                <c:pt idx="1">
                  <c:v>63</c:v>
                </c:pt>
                <c:pt idx="2">
                  <c:v>64</c:v>
                </c:pt>
                <c:pt idx="3">
                  <c:v>72</c:v>
                </c:pt>
                <c:pt idx="4">
                  <c:v>50</c:v>
                </c:pt>
                <c:pt idx="5">
                  <c:v>55</c:v>
                </c:pt>
                <c:pt idx="6">
                  <c:v>48</c:v>
                </c:pt>
                <c:pt idx="7">
                  <c:v>52</c:v>
                </c:pt>
                <c:pt idx="8">
                  <c:v>56</c:v>
                </c:pt>
                <c:pt idx="9">
                  <c:v>60</c:v>
                </c:pt>
                <c:pt idx="10">
                  <c:v>64</c:v>
                </c:pt>
                <c:pt idx="11">
                  <c:v>51</c:v>
                </c:pt>
                <c:pt idx="12">
                  <c:v>54</c:v>
                </c:pt>
                <c:pt idx="13">
                  <c:v>57</c:v>
                </c:pt>
                <c:pt idx="14">
                  <c:v>60</c:v>
                </c:pt>
                <c:pt idx="15">
                  <c:v>63</c:v>
                </c:pt>
                <c:pt idx="16">
                  <c:v>66</c:v>
                </c:pt>
                <c:pt idx="17">
                  <c:v>69</c:v>
                </c:pt>
                <c:pt idx="18">
                  <c:v>65</c:v>
                </c:pt>
                <c:pt idx="19">
                  <c:v>66</c:v>
                </c:pt>
                <c:pt idx="20">
                  <c:v>56</c:v>
                </c:pt>
                <c:pt idx="21">
                  <c:v>64</c:v>
                </c:pt>
                <c:pt idx="22">
                  <c:v>45</c:v>
                </c:pt>
                <c:pt idx="23">
                  <c:v>50</c:v>
                </c:pt>
                <c:pt idx="24">
                  <c:v>44</c:v>
                </c:pt>
                <c:pt idx="25">
                  <c:v>48</c:v>
                </c:pt>
                <c:pt idx="26">
                  <c:v>52</c:v>
                </c:pt>
                <c:pt idx="27">
                  <c:v>56</c:v>
                </c:pt>
                <c:pt idx="28">
                  <c:v>60</c:v>
                </c:pt>
                <c:pt idx="29">
                  <c:v>48</c:v>
                </c:pt>
                <c:pt idx="30">
                  <c:v>51</c:v>
                </c:pt>
                <c:pt idx="31">
                  <c:v>54</c:v>
                </c:pt>
                <c:pt idx="32">
                  <c:v>57</c:v>
                </c:pt>
                <c:pt idx="33">
                  <c:v>60</c:v>
                </c:pt>
                <c:pt idx="34">
                  <c:v>63</c:v>
                </c:pt>
                <c:pt idx="35">
                  <c:v>66</c:v>
                </c:pt>
                <c:pt idx="36">
                  <c:v>100</c:v>
                </c:pt>
                <c:pt idx="37">
                  <c:v>105</c:v>
                </c:pt>
                <c:pt idx="38">
                  <c:v>96</c:v>
                </c:pt>
                <c:pt idx="39">
                  <c:v>91</c:v>
                </c:pt>
                <c:pt idx="40">
                  <c:v>72</c:v>
                </c:pt>
                <c:pt idx="41">
                  <c:v>72</c:v>
                </c:pt>
                <c:pt idx="42">
                  <c:v>60</c:v>
                </c:pt>
                <c:pt idx="43">
                  <c:v>66</c:v>
                </c:pt>
                <c:pt idx="44">
                  <c:v>72</c:v>
                </c:pt>
                <c:pt idx="45">
                  <c:v>78</c:v>
                </c:pt>
                <c:pt idx="46">
                  <c:v>56</c:v>
                </c:pt>
                <c:pt idx="47">
                  <c:v>45</c:v>
                </c:pt>
                <c:pt idx="48">
                  <c:v>48</c:v>
                </c:pt>
                <c:pt idx="49">
                  <c:v>51</c:v>
                </c:pt>
                <c:pt idx="50">
                  <c:v>54</c:v>
                </c:pt>
                <c:pt idx="51">
                  <c:v>57</c:v>
                </c:pt>
                <c:pt idx="52">
                  <c:v>60</c:v>
                </c:pt>
                <c:pt idx="53">
                  <c:v>63</c:v>
                </c:pt>
                <c:pt idx="54">
                  <c:v>117</c:v>
                </c:pt>
                <c:pt idx="55">
                  <c:v>112</c:v>
                </c:pt>
                <c:pt idx="56">
                  <c:v>95</c:v>
                </c:pt>
                <c:pt idx="57">
                  <c:v>96</c:v>
                </c:pt>
                <c:pt idx="58">
                  <c:v>77</c:v>
                </c:pt>
                <c:pt idx="59">
                  <c:v>80</c:v>
                </c:pt>
                <c:pt idx="60">
                  <c:v>72</c:v>
                </c:pt>
                <c:pt idx="61">
                  <c:v>80</c:v>
                </c:pt>
                <c:pt idx="62">
                  <c:v>88</c:v>
                </c:pt>
                <c:pt idx="63">
                  <c:v>96</c:v>
                </c:pt>
                <c:pt idx="64">
                  <c:v>78</c:v>
                </c:pt>
                <c:pt idx="65">
                  <c:v>70</c:v>
                </c:pt>
                <c:pt idx="66">
                  <c:v>75</c:v>
                </c:pt>
                <c:pt idx="67">
                  <c:v>80</c:v>
                </c:pt>
                <c:pt idx="68">
                  <c:v>68</c:v>
                </c:pt>
                <c:pt idx="69">
                  <c:v>72</c:v>
                </c:pt>
                <c:pt idx="70">
                  <c:v>76</c:v>
                </c:pt>
                <c:pt idx="71">
                  <c:v>80</c:v>
                </c:pt>
                <c:pt idx="72">
                  <c:v>124</c:v>
                </c:pt>
                <c:pt idx="73">
                  <c:v>123</c:v>
                </c:pt>
                <c:pt idx="74">
                  <c:v>104</c:v>
                </c:pt>
                <c:pt idx="75">
                  <c:v>105</c:v>
                </c:pt>
                <c:pt idx="76">
                  <c:v>84</c:v>
                </c:pt>
                <c:pt idx="77">
                  <c:v>91</c:v>
                </c:pt>
                <c:pt idx="78">
                  <c:v>88</c:v>
                </c:pt>
                <c:pt idx="79">
                  <c:v>90</c:v>
                </c:pt>
                <c:pt idx="80">
                  <c:v>100</c:v>
                </c:pt>
                <c:pt idx="81">
                  <c:v>110</c:v>
                </c:pt>
                <c:pt idx="82">
                  <c:v>96</c:v>
                </c:pt>
                <c:pt idx="83">
                  <c:v>91</c:v>
                </c:pt>
                <c:pt idx="84">
                  <c:v>98</c:v>
                </c:pt>
                <c:pt idx="85">
                  <c:v>105</c:v>
                </c:pt>
                <c:pt idx="86">
                  <c:v>96</c:v>
                </c:pt>
                <c:pt idx="87">
                  <c:v>102</c:v>
                </c:pt>
                <c:pt idx="88">
                  <c:v>108</c:v>
                </c:pt>
                <c:pt idx="89">
                  <c:v>114</c:v>
                </c:pt>
                <c:pt idx="90">
                  <c:v>107</c:v>
                </c:pt>
                <c:pt idx="91">
                  <c:v>118</c:v>
                </c:pt>
                <c:pt idx="92">
                  <c:v>117</c:v>
                </c:pt>
                <c:pt idx="93">
                  <c:v>124</c:v>
                </c:pt>
                <c:pt idx="94">
                  <c:v>105</c:v>
                </c:pt>
                <c:pt idx="95">
                  <c:v>108</c:v>
                </c:pt>
                <c:pt idx="96">
                  <c:v>112</c:v>
                </c:pt>
                <c:pt idx="97">
                  <c:v>112</c:v>
                </c:pt>
                <c:pt idx="98">
                  <c:v>126</c:v>
                </c:pt>
                <c:pt idx="99">
                  <c:v>140</c:v>
                </c:pt>
                <c:pt idx="100">
                  <c:v>132</c:v>
                </c:pt>
                <c:pt idx="101">
                  <c:v>132</c:v>
                </c:pt>
                <c:pt idx="102">
                  <c:v>130</c:v>
                </c:pt>
                <c:pt idx="103">
                  <c:v>140</c:v>
                </c:pt>
                <c:pt idx="104">
                  <c:v>135</c:v>
                </c:pt>
                <c:pt idx="105">
                  <c:v>144</c:v>
                </c:pt>
                <c:pt idx="106">
                  <c:v>153</c:v>
                </c:pt>
                <c:pt idx="107">
                  <c:v>162</c:v>
                </c:pt>
                <c:pt idx="108">
                  <c:v>115</c:v>
                </c:pt>
                <c:pt idx="109">
                  <c:v>148</c:v>
                </c:pt>
                <c:pt idx="110">
                  <c:v>156</c:v>
                </c:pt>
                <c:pt idx="111">
                  <c:v>140</c:v>
                </c:pt>
                <c:pt idx="112">
                  <c:v>145</c:v>
                </c:pt>
                <c:pt idx="113">
                  <c:v>126</c:v>
                </c:pt>
                <c:pt idx="114">
                  <c:v>119</c:v>
                </c:pt>
                <c:pt idx="115">
                  <c:v>136</c:v>
                </c:pt>
                <c:pt idx="116">
                  <c:v>153</c:v>
                </c:pt>
                <c:pt idx="117">
                  <c:v>140</c:v>
                </c:pt>
                <c:pt idx="118">
                  <c:v>143</c:v>
                </c:pt>
                <c:pt idx="119">
                  <c:v>144</c:v>
                </c:pt>
                <c:pt idx="120">
                  <c:v>156</c:v>
                </c:pt>
                <c:pt idx="121">
                  <c:v>154</c:v>
                </c:pt>
                <c:pt idx="122">
                  <c:v>165</c:v>
                </c:pt>
                <c:pt idx="123">
                  <c:v>176</c:v>
                </c:pt>
                <c:pt idx="124">
                  <c:v>170</c:v>
                </c:pt>
                <c:pt idx="125">
                  <c:v>121</c:v>
                </c:pt>
                <c:pt idx="126">
                  <c:v>158</c:v>
                </c:pt>
                <c:pt idx="127">
                  <c:v>135</c:v>
                </c:pt>
                <c:pt idx="128">
                  <c:v>148</c:v>
                </c:pt>
                <c:pt idx="129">
                  <c:v>140</c:v>
                </c:pt>
                <c:pt idx="130">
                  <c:v>138</c:v>
                </c:pt>
                <c:pt idx="131">
                  <c:v>154</c:v>
                </c:pt>
                <c:pt idx="132">
                  <c:v>168</c:v>
                </c:pt>
                <c:pt idx="133">
                  <c:v>162</c:v>
                </c:pt>
                <c:pt idx="134">
                  <c:v>170</c:v>
                </c:pt>
                <c:pt idx="135">
                  <c:v>176</c:v>
                </c:pt>
                <c:pt idx="136">
                  <c:v>168</c:v>
                </c:pt>
                <c:pt idx="137">
                  <c:v>156</c:v>
                </c:pt>
                <c:pt idx="138">
                  <c:v>168</c:v>
                </c:pt>
                <c:pt idx="139">
                  <c:v>180</c:v>
                </c:pt>
                <c:pt idx="140">
                  <c:v>176</c:v>
                </c:pt>
                <c:pt idx="141">
                  <c:v>130</c:v>
                </c:pt>
                <c:pt idx="142">
                  <c:v>144</c:v>
                </c:pt>
                <c:pt idx="143">
                  <c:v>159</c:v>
                </c:pt>
                <c:pt idx="144">
                  <c:v>160</c:v>
                </c:pt>
                <c:pt idx="145">
                  <c:v>145</c:v>
                </c:pt>
                <c:pt idx="146">
                  <c:v>156</c:v>
                </c:pt>
                <c:pt idx="147">
                  <c:v>168</c:v>
                </c:pt>
                <c:pt idx="148">
                  <c:v>160</c:v>
                </c:pt>
                <c:pt idx="149">
                  <c:v>162</c:v>
                </c:pt>
                <c:pt idx="150">
                  <c:v>160</c:v>
                </c:pt>
                <c:pt idx="151">
                  <c:v>154</c:v>
                </c:pt>
                <c:pt idx="152">
                  <c:v>144</c:v>
                </c:pt>
                <c:pt idx="153">
                  <c:v>156</c:v>
                </c:pt>
                <c:pt idx="154">
                  <c:v>168</c:v>
                </c:pt>
                <c:pt idx="155">
                  <c:v>165</c:v>
                </c:pt>
                <c:pt idx="156">
                  <c:v>134</c:v>
                </c:pt>
                <c:pt idx="157">
                  <c:v>198</c:v>
                </c:pt>
                <c:pt idx="158">
                  <c:v>201</c:v>
                </c:pt>
                <c:pt idx="159">
                  <c:v>180</c:v>
                </c:pt>
                <c:pt idx="160">
                  <c:v>185</c:v>
                </c:pt>
                <c:pt idx="161">
                  <c:v>204</c:v>
                </c:pt>
                <c:pt idx="162">
                  <c:v>196</c:v>
                </c:pt>
                <c:pt idx="163">
                  <c:v>200</c:v>
                </c:pt>
                <c:pt idx="164">
                  <c:v>180</c:v>
                </c:pt>
                <c:pt idx="165">
                  <c:v>180</c:v>
                </c:pt>
                <c:pt idx="166">
                  <c:v>165</c:v>
                </c:pt>
                <c:pt idx="167">
                  <c:v>168</c:v>
                </c:pt>
                <c:pt idx="168">
                  <c:v>156</c:v>
                </c:pt>
                <c:pt idx="169">
                  <c:v>154</c:v>
                </c:pt>
                <c:pt idx="170">
                  <c:v>146</c:v>
                </c:pt>
                <c:pt idx="171">
                  <c:v>176</c:v>
                </c:pt>
                <c:pt idx="172">
                  <c:v>165</c:v>
                </c:pt>
                <c:pt idx="173">
                  <c:v>184</c:v>
                </c:pt>
                <c:pt idx="174">
                  <c:v>195</c:v>
                </c:pt>
                <c:pt idx="175">
                  <c:v>192</c:v>
                </c:pt>
                <c:pt idx="176">
                  <c:v>189</c:v>
                </c:pt>
                <c:pt idx="177">
                  <c:v>176</c:v>
                </c:pt>
                <c:pt idx="178">
                  <c:v>180</c:v>
                </c:pt>
                <c:pt idx="179">
                  <c:v>160</c:v>
                </c:pt>
                <c:pt idx="180">
                  <c:v>165</c:v>
                </c:pt>
                <c:pt idx="181">
                  <c:v>156</c:v>
                </c:pt>
                <c:pt idx="182">
                  <c:v>156</c:v>
                </c:pt>
                <c:pt idx="183">
                  <c:v>137</c:v>
                </c:pt>
                <c:pt idx="184">
                  <c:v>154</c:v>
                </c:pt>
                <c:pt idx="185">
                  <c:v>171</c:v>
                </c:pt>
                <c:pt idx="186">
                  <c:v>176</c:v>
                </c:pt>
                <c:pt idx="187">
                  <c:v>185</c:v>
                </c:pt>
                <c:pt idx="188">
                  <c:v>186</c:v>
                </c:pt>
                <c:pt idx="189">
                  <c:v>168</c:v>
                </c:pt>
                <c:pt idx="190">
                  <c:v>176</c:v>
                </c:pt>
                <c:pt idx="191">
                  <c:v>153</c:v>
                </c:pt>
                <c:pt idx="192">
                  <c:v>160</c:v>
                </c:pt>
                <c:pt idx="193">
                  <c:v>154</c:v>
                </c:pt>
                <c:pt idx="194">
                  <c:v>156</c:v>
                </c:pt>
                <c:pt idx="195">
                  <c:v>134</c:v>
                </c:pt>
                <c:pt idx="196">
                  <c:v>170</c:v>
                </c:pt>
                <c:pt idx="197">
                  <c:v>186</c:v>
                </c:pt>
                <c:pt idx="198">
                  <c:v>192</c:v>
                </c:pt>
                <c:pt idx="199">
                  <c:v>185</c:v>
                </c:pt>
                <c:pt idx="200">
                  <c:v>174</c:v>
                </c:pt>
                <c:pt idx="201">
                  <c:v>175</c:v>
                </c:pt>
                <c:pt idx="202">
                  <c:v>144</c:v>
                </c:pt>
                <c:pt idx="203">
                  <c:v>153</c:v>
                </c:pt>
                <c:pt idx="204">
                  <c:v>150</c:v>
                </c:pt>
                <c:pt idx="205">
                  <c:v>154</c:v>
                </c:pt>
                <c:pt idx="206">
                  <c:v>126</c:v>
                </c:pt>
                <c:pt idx="207">
                  <c:v>164</c:v>
                </c:pt>
                <c:pt idx="208">
                  <c:v>189</c:v>
                </c:pt>
                <c:pt idx="209">
                  <c:v>192</c:v>
                </c:pt>
                <c:pt idx="210">
                  <c:v>185</c:v>
                </c:pt>
                <c:pt idx="211">
                  <c:v>180</c:v>
                </c:pt>
                <c:pt idx="212">
                  <c:v>154</c:v>
                </c:pt>
                <c:pt idx="213">
                  <c:v>168</c:v>
                </c:pt>
                <c:pt idx="214">
                  <c:v>162</c:v>
                </c:pt>
                <c:pt idx="215">
                  <c:v>170</c:v>
                </c:pt>
              </c:numCache>
            </c:numRef>
          </c:val>
        </c:ser>
        <c:dLbls>
          <c:showLegendKey val="0"/>
          <c:showVal val="0"/>
          <c:showCatName val="0"/>
          <c:showSerName val="0"/>
          <c:showPercent val="0"/>
          <c:showBubbleSize val="0"/>
        </c:dLbls>
        <c:gapWidth val="219"/>
        <c:overlap val="-27"/>
        <c:axId val="-82178272"/>
        <c:axId val="-82173920"/>
      </c:barChart>
      <c:catAx>
        <c:axId val="-821782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2173920"/>
        <c:crosses val="autoZero"/>
        <c:auto val="1"/>
        <c:lblAlgn val="ctr"/>
        <c:lblOffset val="100"/>
        <c:noMultiLvlLbl val="0"/>
      </c:catAx>
      <c:valAx>
        <c:axId val="-82173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2178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11</xdr:col>
      <xdr:colOff>0</xdr:colOff>
      <xdr:row>3</xdr:row>
      <xdr:rowOff>0</xdr:rowOff>
    </xdr:from>
    <xdr:to>
      <xdr:col>20</xdr:col>
      <xdr:colOff>0</xdr:colOff>
      <xdr:row>5</xdr:row>
      <xdr:rowOff>0</xdr:rowOff>
    </xdr:to>
    <xdr:sp macro="" textlink="">
      <xdr:nvSpPr>
        <xdr:cNvPr id="2" name="Text Box 6"/>
        <xdr:cNvSpPr txBox="1">
          <a:spLocks noChangeArrowheads="1"/>
        </xdr:cNvSpPr>
      </xdr:nvSpPr>
      <xdr:spPr bwMode="auto">
        <a:xfrm>
          <a:off x="1524000" y="400050"/>
          <a:ext cx="1143000" cy="30480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800" b="0" i="0" u="none" strike="noStrike" baseline="0">
              <a:solidFill>
                <a:srgbClr val="FF0000"/>
              </a:solidFill>
              <a:latin typeface="ＭＳ ゴシック"/>
              <a:ea typeface="ＭＳ ゴシック"/>
            </a:rPr>
            <a:t>←集計用エリア</a:t>
          </a:r>
        </a:p>
        <a:p>
          <a:pPr algn="l" rtl="0">
            <a:defRPr sz="1000"/>
          </a:pPr>
          <a:r>
            <a:rPr lang="ja-JP" altLang="en-US" sz="800" b="0" i="0" u="none" strike="noStrike" baseline="0">
              <a:solidFill>
                <a:srgbClr val="FF0000"/>
              </a:solidFill>
              <a:latin typeface="ＭＳ ゴシック"/>
              <a:ea typeface="ＭＳ ゴシック"/>
            </a:rPr>
            <a:t>行、列の挿入禁止</a:t>
          </a:r>
        </a:p>
      </xdr:txBody>
    </xdr:sp>
    <xdr:clientData/>
  </xdr:twoCellAnchor>
  <xdr:twoCellAnchor>
    <xdr:from>
      <xdr:col>11</xdr:col>
      <xdr:colOff>0</xdr:colOff>
      <xdr:row>3</xdr:row>
      <xdr:rowOff>0</xdr:rowOff>
    </xdr:from>
    <xdr:to>
      <xdr:col>20</xdr:col>
      <xdr:colOff>0</xdr:colOff>
      <xdr:row>5</xdr:row>
      <xdr:rowOff>0</xdr:rowOff>
    </xdr:to>
    <xdr:sp macro="" textlink="">
      <xdr:nvSpPr>
        <xdr:cNvPr id="3" name="Text Box 6"/>
        <xdr:cNvSpPr txBox="1">
          <a:spLocks noChangeArrowheads="1"/>
        </xdr:cNvSpPr>
      </xdr:nvSpPr>
      <xdr:spPr bwMode="auto">
        <a:xfrm>
          <a:off x="1524000" y="400050"/>
          <a:ext cx="1143000" cy="30480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800" b="0" i="0" u="none" strike="noStrike" baseline="0">
              <a:solidFill>
                <a:srgbClr val="FF0000"/>
              </a:solidFill>
              <a:latin typeface="ＭＳ ゴシック"/>
              <a:ea typeface="ＭＳ ゴシック"/>
            </a:rPr>
            <a:t>←集計用エリア</a:t>
          </a:r>
        </a:p>
        <a:p>
          <a:pPr algn="l" rtl="0">
            <a:defRPr sz="1000"/>
          </a:pPr>
          <a:r>
            <a:rPr lang="ja-JP" altLang="en-US" sz="800" b="0" i="0" u="none" strike="noStrike" baseline="0">
              <a:solidFill>
                <a:srgbClr val="FF0000"/>
              </a:solidFill>
              <a:latin typeface="ＭＳ ゴシック"/>
              <a:ea typeface="ＭＳ ゴシック"/>
            </a:rPr>
            <a:t>行、列の挿入禁止</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xdr:row>
      <xdr:rowOff>0</xdr:rowOff>
    </xdr:from>
    <xdr:to>
      <xdr:col>12</xdr:col>
      <xdr:colOff>304800</xdr:colOff>
      <xdr:row>20</xdr:row>
      <xdr:rowOff>28575</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238125</xdr:colOff>
      <xdr:row>11</xdr:row>
      <xdr:rowOff>138112</xdr:rowOff>
    </xdr:from>
    <xdr:to>
      <xdr:col>20</xdr:col>
      <xdr:colOff>461962</xdr:colOff>
      <xdr:row>31</xdr:row>
      <xdr:rowOff>23812</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11</xdr:col>
      <xdr:colOff>0</xdr:colOff>
      <xdr:row>3</xdr:row>
      <xdr:rowOff>0</xdr:rowOff>
    </xdr:from>
    <xdr:to>
      <xdr:col>20</xdr:col>
      <xdr:colOff>0</xdr:colOff>
      <xdr:row>5</xdr:row>
      <xdr:rowOff>0</xdr:rowOff>
    </xdr:to>
    <xdr:sp macro="" textlink="">
      <xdr:nvSpPr>
        <xdr:cNvPr id="2" name="Text Box 6"/>
        <xdr:cNvSpPr txBox="1">
          <a:spLocks noChangeArrowheads="1"/>
        </xdr:cNvSpPr>
      </xdr:nvSpPr>
      <xdr:spPr bwMode="auto">
        <a:xfrm>
          <a:off x="1362075" y="400050"/>
          <a:ext cx="1143000" cy="30480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800" b="0" i="0" u="none" strike="noStrike" baseline="0">
              <a:solidFill>
                <a:srgbClr val="FF0000"/>
              </a:solidFill>
              <a:latin typeface="ＭＳ ゴシック"/>
              <a:ea typeface="ＭＳ ゴシック"/>
            </a:rPr>
            <a:t>←集計用エリア</a:t>
          </a:r>
        </a:p>
        <a:p>
          <a:pPr algn="l" rtl="0">
            <a:defRPr sz="1000"/>
          </a:pPr>
          <a:r>
            <a:rPr lang="ja-JP" altLang="en-US" sz="800" b="0" i="0" u="none" strike="noStrike" baseline="0">
              <a:solidFill>
                <a:srgbClr val="FF0000"/>
              </a:solidFill>
              <a:latin typeface="ＭＳ ゴシック"/>
              <a:ea typeface="ＭＳ ゴシック"/>
            </a:rPr>
            <a:t>行、列の挿入禁止</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史 正韵" refreshedDate="43649.782684027778" createdVersion="5" refreshedVersion="5" minRefreshableVersion="3" recordCount="18">
  <cacheSource type="worksheet">
    <worksheetSource ref="B1:B19" sheet="index"/>
  </cacheSource>
  <cacheFields count="1">
    <cacheField name="start" numFmtId="0">
      <sharedItems containsSemiMixedTypes="0" containsString="0" containsNumber="1" containsInteger="1" minValue="7" maxValue="1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8">
  <r>
    <n v="10"/>
  </r>
  <r>
    <n v="8"/>
  </r>
  <r>
    <n v="7"/>
  </r>
  <r>
    <n v="8"/>
  </r>
  <r>
    <n v="15"/>
  </r>
  <r>
    <n v="18"/>
  </r>
  <r>
    <n v="10"/>
  </r>
  <r>
    <n v="8"/>
  </r>
  <r>
    <n v="7"/>
  </r>
  <r>
    <n v="8"/>
  </r>
  <r>
    <n v="15"/>
  </r>
  <r>
    <n v="18"/>
  </r>
  <r>
    <n v="10"/>
  </r>
  <r>
    <n v="8"/>
  </r>
  <r>
    <n v="7"/>
  </r>
  <r>
    <n v="8"/>
  </r>
  <r>
    <n v="9"/>
  </r>
  <r>
    <n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ﾋﾟﾎﾞｯﾄﾃｰﾌﾞﾙ3" cacheId="0" applyNumberFormats="0" applyBorderFormats="0" applyFontFormats="0" applyPatternFormats="0" applyAlignmentFormats="0" applyWidthHeightFormats="1" dataCaption="値" updatedVersion="5" minRefreshableVersion="3" useAutoFormatting="1" itemPrintTitles="1" createdVersion="5" indent="0" outline="1" outlineData="1" multipleFieldFilters="0" chartFormat="1">
  <location ref="A1:C18" firstHeaderRow="1" firstDataRow="1" firstDataCol="0"/>
  <pivotFields count="1">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31750" cap="flat" cmpd="sng" algn="ctr">
          <a:solidFill>
            <a:srgbClr val="FF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31750" cap="flat" cmpd="sng" algn="ctr">
          <a:solidFill>
            <a:srgbClr val="FF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T41"/>
  <sheetViews>
    <sheetView view="pageBreakPreview" zoomScaleNormal="75" zoomScaleSheetLayoutView="100" workbookViewId="0">
      <pane ySplit="4" topLeftCell="A5" activePane="bottomLeft" state="frozen"/>
      <selection activeCell="Z365" sqref="Z365"/>
      <selection pane="bottomLeft" activeCell="D7" sqref="D7:I7"/>
    </sheetView>
  </sheetViews>
  <sheetFormatPr defaultColWidth="4.83203125" defaultRowHeight="13.5" customHeight="1"/>
  <cols>
    <col min="1" max="83" width="2.1640625" style="1" customWidth="1"/>
    <col min="84" max="16384" width="4.83203125" style="1"/>
  </cols>
  <sheetData>
    <row r="1" spans="1:98" ht="13.5" customHeight="1">
      <c r="A1" s="99" t="s">
        <v>0</v>
      </c>
      <c r="B1" s="99"/>
      <c r="C1" s="99"/>
      <c r="D1" s="99"/>
      <c r="E1" s="99"/>
      <c r="F1" s="99"/>
      <c r="G1" s="99"/>
      <c r="H1" s="99"/>
      <c r="I1" s="99"/>
      <c r="J1" s="99"/>
      <c r="K1" s="99"/>
      <c r="L1" s="99"/>
      <c r="M1" s="99"/>
      <c r="N1" s="99"/>
      <c r="O1" s="99" t="s">
        <v>1</v>
      </c>
      <c r="P1" s="99"/>
      <c r="Q1" s="99"/>
      <c r="R1" s="99"/>
      <c r="S1" s="99"/>
      <c r="T1" s="99"/>
      <c r="U1" s="99"/>
      <c r="V1" s="99"/>
      <c r="W1" s="99"/>
      <c r="X1" s="99"/>
      <c r="Y1" s="99"/>
      <c r="Z1" s="99"/>
      <c r="AA1" s="99"/>
      <c r="AB1" s="99"/>
      <c r="AC1" s="99" t="s">
        <v>2</v>
      </c>
      <c r="AD1" s="99"/>
      <c r="AE1" s="99"/>
      <c r="AF1" s="99"/>
      <c r="AG1" s="99"/>
      <c r="AH1" s="99"/>
      <c r="AI1" s="99"/>
      <c r="AJ1" s="99"/>
      <c r="AK1" s="99"/>
      <c r="AL1" s="99"/>
      <c r="AM1" s="99"/>
      <c r="AN1" s="99"/>
      <c r="AO1" s="99"/>
      <c r="AP1" s="99"/>
      <c r="AQ1" s="99"/>
      <c r="AR1" s="99"/>
      <c r="AS1" s="99"/>
      <c r="AT1" s="99"/>
      <c r="AU1" s="99"/>
      <c r="AV1" s="99" t="s">
        <v>3</v>
      </c>
      <c r="AW1" s="99"/>
      <c r="AX1" s="99"/>
      <c r="AY1" s="99"/>
      <c r="AZ1" s="99"/>
      <c r="BA1" s="99"/>
      <c r="BB1" s="99"/>
      <c r="BC1" s="99"/>
      <c r="BD1" s="99"/>
      <c r="BE1" s="99" t="s">
        <v>4</v>
      </c>
      <c r="BF1" s="99"/>
      <c r="BG1" s="99"/>
      <c r="BH1" s="99"/>
      <c r="BI1" s="99"/>
      <c r="BJ1" s="99"/>
      <c r="BK1" s="99"/>
      <c r="BL1" s="99"/>
      <c r="BM1" s="99"/>
      <c r="BN1" s="99" t="s">
        <v>5</v>
      </c>
      <c r="BO1" s="99"/>
      <c r="BP1" s="99"/>
      <c r="BQ1" s="99"/>
      <c r="BR1" s="99"/>
      <c r="BS1" s="99"/>
      <c r="BT1" s="99"/>
      <c r="BU1" s="99"/>
      <c r="BV1" s="99"/>
      <c r="BW1" s="99" t="s">
        <v>6</v>
      </c>
      <c r="BX1" s="99"/>
      <c r="BY1" s="99"/>
      <c r="BZ1" s="99"/>
      <c r="CA1" s="99"/>
      <c r="CB1" s="99"/>
      <c r="CC1" s="99"/>
      <c r="CD1" s="99"/>
      <c r="CE1" s="99"/>
    </row>
    <row r="2" spans="1:98" ht="13.5" customHeight="1">
      <c r="A2" s="114" t="s">
        <v>110</v>
      </c>
      <c r="B2" s="115"/>
      <c r="C2" s="115"/>
      <c r="D2" s="115"/>
      <c r="E2" s="115"/>
      <c r="F2" s="115"/>
      <c r="G2" s="115"/>
      <c r="H2" s="115"/>
      <c r="I2" s="115"/>
      <c r="J2" s="115"/>
      <c r="K2" s="115"/>
      <c r="L2" s="115"/>
      <c r="M2" s="115"/>
      <c r="N2" s="115"/>
      <c r="O2" s="115" t="s">
        <v>159</v>
      </c>
      <c r="P2" s="115"/>
      <c r="Q2" s="115"/>
      <c r="R2" s="115"/>
      <c r="S2" s="115"/>
      <c r="T2" s="115"/>
      <c r="U2" s="115"/>
      <c r="V2" s="115"/>
      <c r="W2" s="115"/>
      <c r="X2" s="115"/>
      <c r="Y2" s="115"/>
      <c r="Z2" s="115"/>
      <c r="AA2" s="115"/>
      <c r="AB2" s="115"/>
      <c r="AC2" s="113" t="s">
        <v>16</v>
      </c>
      <c r="AD2" s="113"/>
      <c r="AE2" s="113"/>
      <c r="AF2" s="113"/>
      <c r="AG2" s="113"/>
      <c r="AH2" s="113"/>
      <c r="AI2" s="113"/>
      <c r="AJ2" s="113"/>
      <c r="AK2" s="113"/>
      <c r="AL2" s="113"/>
      <c r="AM2" s="113"/>
      <c r="AN2" s="113"/>
      <c r="AO2" s="113"/>
      <c r="AP2" s="113"/>
      <c r="AQ2" s="113"/>
      <c r="AR2" s="113"/>
      <c r="AS2" s="113"/>
      <c r="AT2" s="113"/>
      <c r="AU2" s="113"/>
      <c r="AV2" s="112" t="str">
        <f>R5</f>
        <v>NSSOL 史</v>
      </c>
      <c r="AW2" s="112"/>
      <c r="AX2" s="112"/>
      <c r="AY2" s="112"/>
      <c r="AZ2" s="112"/>
      <c r="BA2" s="112"/>
      <c r="BB2" s="112"/>
      <c r="BC2" s="112"/>
      <c r="BD2" s="112"/>
      <c r="BE2" s="122">
        <f>D5</f>
        <v>43641</v>
      </c>
      <c r="BF2" s="122"/>
      <c r="BG2" s="122"/>
      <c r="BH2" s="122"/>
      <c r="BI2" s="122"/>
      <c r="BJ2" s="122"/>
      <c r="BK2" s="122"/>
      <c r="BL2" s="122"/>
      <c r="BM2" s="122"/>
      <c r="BN2" s="112" t="str">
        <f>IF(MATCH(" ",R:R, -1) &gt; 5,INDEX(R:R,MATCH(" ",R:R, -1)),"")</f>
        <v/>
      </c>
      <c r="BO2" s="112"/>
      <c r="BP2" s="112"/>
      <c r="BQ2" s="112"/>
      <c r="BR2" s="112"/>
      <c r="BS2" s="112"/>
      <c r="BT2" s="112"/>
      <c r="BU2" s="112"/>
      <c r="BV2" s="112"/>
      <c r="BW2" s="122" t="str">
        <f>IF(MATCH(0,D:D, -1) &gt; 5,INDEX(D:D,MATCH(MAX(D:D)+1,D:D,1)),"")</f>
        <v/>
      </c>
      <c r="BX2" s="122"/>
      <c r="BY2" s="122"/>
      <c r="BZ2" s="122"/>
      <c r="CA2" s="122"/>
      <c r="CB2" s="122"/>
      <c r="CC2" s="122"/>
      <c r="CD2" s="122"/>
      <c r="CE2" s="122"/>
    </row>
    <row r="3" spans="1:98" ht="5.0999999999999996" customHeight="1">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row>
    <row r="4" spans="1:98" ht="13.5" customHeight="1">
      <c r="A4" s="99" t="s">
        <v>7</v>
      </c>
      <c r="B4" s="99"/>
      <c r="C4" s="99"/>
      <c r="D4" s="105" t="s">
        <v>8</v>
      </c>
      <c r="E4" s="106"/>
      <c r="F4" s="106"/>
      <c r="G4" s="106"/>
      <c r="H4" s="106"/>
      <c r="I4" s="107"/>
      <c r="J4" s="105" t="s">
        <v>9</v>
      </c>
      <c r="K4" s="106"/>
      <c r="L4" s="106"/>
      <c r="M4" s="106"/>
      <c r="N4" s="106"/>
      <c r="O4" s="106"/>
      <c r="P4" s="106"/>
      <c r="Q4" s="107"/>
      <c r="R4" s="105" t="s">
        <v>10</v>
      </c>
      <c r="S4" s="106"/>
      <c r="T4" s="106"/>
      <c r="U4" s="106"/>
      <c r="V4" s="106"/>
      <c r="W4" s="106"/>
      <c r="X4" s="106"/>
      <c r="Y4" s="107"/>
      <c r="Z4" s="105" t="s">
        <v>11</v>
      </c>
      <c r="AA4" s="106"/>
      <c r="AB4" s="106"/>
      <c r="AC4" s="106"/>
      <c r="AD4" s="106"/>
      <c r="AE4" s="107"/>
      <c r="AF4" s="105" t="s">
        <v>12</v>
      </c>
      <c r="AG4" s="106"/>
      <c r="AH4" s="106"/>
      <c r="AI4" s="106"/>
      <c r="AJ4" s="106"/>
      <c r="AK4" s="106"/>
      <c r="AL4" s="106"/>
      <c r="AM4" s="106"/>
      <c r="AN4" s="106"/>
      <c r="AO4" s="106"/>
      <c r="AP4" s="106"/>
      <c r="AQ4" s="106"/>
      <c r="AR4" s="106"/>
      <c r="AS4" s="106"/>
      <c r="AT4" s="106"/>
      <c r="AU4" s="106"/>
      <c r="AV4" s="106"/>
      <c r="AW4" s="106"/>
      <c r="AX4" s="106"/>
      <c r="AY4" s="106"/>
      <c r="AZ4" s="106"/>
      <c r="BA4" s="106"/>
      <c r="BB4" s="106"/>
      <c r="BC4" s="106"/>
      <c r="BD4" s="106"/>
      <c r="BE4" s="106"/>
      <c r="BF4" s="106"/>
      <c r="BG4" s="106"/>
      <c r="BH4" s="106"/>
      <c r="BI4" s="106"/>
      <c r="BJ4" s="106"/>
      <c r="BK4" s="106"/>
      <c r="BL4" s="106"/>
      <c r="BM4" s="106"/>
      <c r="BN4" s="106"/>
      <c r="BO4" s="106"/>
      <c r="BP4" s="106"/>
      <c r="BQ4" s="106"/>
      <c r="BR4" s="106"/>
      <c r="BS4" s="106"/>
      <c r="BT4" s="106"/>
      <c r="BU4" s="106"/>
      <c r="BV4" s="106"/>
      <c r="BW4" s="106"/>
      <c r="BX4" s="106"/>
      <c r="BY4" s="106"/>
      <c r="BZ4" s="106"/>
      <c r="CA4" s="106"/>
      <c r="CB4" s="106"/>
      <c r="CC4" s="106"/>
      <c r="CD4" s="106"/>
      <c r="CE4" s="107"/>
      <c r="CH4" s="111"/>
      <c r="CI4" s="111"/>
      <c r="CJ4" s="111"/>
      <c r="CK4" s="111"/>
      <c r="CL4" s="111"/>
      <c r="CM4" s="111"/>
      <c r="CN4" s="111"/>
      <c r="CO4" s="111"/>
      <c r="CP4" s="111"/>
      <c r="CQ4" s="111"/>
      <c r="CR4" s="111"/>
      <c r="CS4" s="111"/>
      <c r="CT4" s="111"/>
    </row>
    <row r="5" spans="1:98" ht="13.5" customHeight="1">
      <c r="A5" s="123" t="s">
        <v>103</v>
      </c>
      <c r="B5" s="124"/>
      <c r="C5" s="125"/>
      <c r="D5" s="126">
        <v>43641</v>
      </c>
      <c r="E5" s="127"/>
      <c r="F5" s="127"/>
      <c r="G5" s="127"/>
      <c r="H5" s="127"/>
      <c r="I5" s="128"/>
      <c r="J5" s="108"/>
      <c r="K5" s="109"/>
      <c r="L5" s="109"/>
      <c r="M5" s="109"/>
      <c r="N5" s="109"/>
      <c r="O5" s="109"/>
      <c r="P5" s="109"/>
      <c r="Q5" s="110"/>
      <c r="R5" s="108" t="s">
        <v>160</v>
      </c>
      <c r="S5" s="109"/>
      <c r="T5" s="109"/>
      <c r="U5" s="109"/>
      <c r="V5" s="109"/>
      <c r="W5" s="109"/>
      <c r="X5" s="109"/>
      <c r="Y5" s="110"/>
      <c r="Z5" s="100" t="s">
        <v>142</v>
      </c>
      <c r="AA5" s="101"/>
      <c r="AB5" s="101"/>
      <c r="AC5" s="101"/>
      <c r="AD5" s="101"/>
      <c r="AE5" s="102"/>
      <c r="AF5" s="119" t="s">
        <v>143</v>
      </c>
      <c r="AG5" s="120"/>
      <c r="AH5" s="120"/>
      <c r="AI5" s="120"/>
      <c r="AJ5" s="120"/>
      <c r="AK5" s="120"/>
      <c r="AL5" s="120"/>
      <c r="AM5" s="120"/>
      <c r="AN5" s="120"/>
      <c r="AO5" s="120"/>
      <c r="AP5" s="120"/>
      <c r="AQ5" s="120"/>
      <c r="AR5" s="120"/>
      <c r="AS5" s="120"/>
      <c r="AT5" s="120"/>
      <c r="AU5" s="120"/>
      <c r="AV5" s="120"/>
      <c r="AW5" s="120"/>
      <c r="AX5" s="120"/>
      <c r="AY5" s="120"/>
      <c r="AZ5" s="120"/>
      <c r="BA5" s="120"/>
      <c r="BB5" s="120"/>
      <c r="BC5" s="120"/>
      <c r="BD5" s="120"/>
      <c r="BE5" s="120"/>
      <c r="BF5" s="120"/>
      <c r="BG5" s="120"/>
      <c r="BH5" s="120"/>
      <c r="BI5" s="120"/>
      <c r="BJ5" s="120"/>
      <c r="BK5" s="120"/>
      <c r="BL5" s="120"/>
      <c r="BM5" s="120"/>
      <c r="BN5" s="120"/>
      <c r="BO5" s="120"/>
      <c r="BP5" s="120"/>
      <c r="BQ5" s="120"/>
      <c r="BR5" s="120"/>
      <c r="BS5" s="120"/>
      <c r="BT5" s="120"/>
      <c r="BU5" s="120"/>
      <c r="BV5" s="120"/>
      <c r="BW5" s="120"/>
      <c r="BX5" s="120"/>
      <c r="BY5" s="120"/>
      <c r="BZ5" s="120"/>
      <c r="CA5" s="120"/>
      <c r="CB5" s="120"/>
      <c r="CC5" s="120"/>
      <c r="CD5" s="120"/>
      <c r="CE5" s="121"/>
    </row>
    <row r="6" spans="1:98" ht="13.5" customHeight="1">
      <c r="A6" s="104"/>
      <c r="B6" s="104"/>
      <c r="C6" s="104"/>
      <c r="D6" s="103"/>
      <c r="E6" s="103"/>
      <c r="F6" s="103"/>
      <c r="G6" s="103"/>
      <c r="H6" s="103"/>
      <c r="I6" s="103"/>
      <c r="J6" s="108"/>
      <c r="K6" s="109"/>
      <c r="L6" s="109"/>
      <c r="M6" s="109"/>
      <c r="N6" s="109"/>
      <c r="O6" s="109"/>
      <c r="P6" s="109"/>
      <c r="Q6" s="110"/>
      <c r="R6" s="108"/>
      <c r="S6" s="109"/>
      <c r="T6" s="109"/>
      <c r="U6" s="109"/>
      <c r="V6" s="109"/>
      <c r="W6" s="109"/>
      <c r="X6" s="109"/>
      <c r="Y6" s="110"/>
      <c r="Z6" s="100"/>
      <c r="AA6" s="101"/>
      <c r="AB6" s="101"/>
      <c r="AC6" s="101"/>
      <c r="AD6" s="101"/>
      <c r="AE6" s="102"/>
      <c r="AF6" s="119"/>
      <c r="AG6" s="120"/>
      <c r="AH6" s="120"/>
      <c r="AI6" s="120"/>
      <c r="AJ6" s="120"/>
      <c r="AK6" s="120"/>
      <c r="AL6" s="120"/>
      <c r="AM6" s="120"/>
      <c r="AN6" s="120"/>
      <c r="AO6" s="120"/>
      <c r="AP6" s="120"/>
      <c r="AQ6" s="120"/>
      <c r="AR6" s="120"/>
      <c r="AS6" s="120"/>
      <c r="AT6" s="120"/>
      <c r="AU6" s="120"/>
      <c r="AV6" s="120"/>
      <c r="AW6" s="120"/>
      <c r="AX6" s="120"/>
      <c r="AY6" s="120"/>
      <c r="AZ6" s="120"/>
      <c r="BA6" s="120"/>
      <c r="BB6" s="120"/>
      <c r="BC6" s="120"/>
      <c r="BD6" s="120"/>
      <c r="BE6" s="120"/>
      <c r="BF6" s="120"/>
      <c r="BG6" s="120"/>
      <c r="BH6" s="120"/>
      <c r="BI6" s="120"/>
      <c r="BJ6" s="120"/>
      <c r="BK6" s="120"/>
      <c r="BL6" s="120"/>
      <c r="BM6" s="120"/>
      <c r="BN6" s="120"/>
      <c r="BO6" s="120"/>
      <c r="BP6" s="120"/>
      <c r="BQ6" s="120"/>
      <c r="BR6" s="120"/>
      <c r="BS6" s="120"/>
      <c r="BT6" s="120"/>
      <c r="BU6" s="120"/>
      <c r="BV6" s="120"/>
      <c r="BW6" s="120"/>
      <c r="BX6" s="120"/>
      <c r="BY6" s="120"/>
      <c r="BZ6" s="120"/>
      <c r="CA6" s="120"/>
      <c r="CB6" s="120"/>
      <c r="CC6" s="120"/>
      <c r="CD6" s="120"/>
      <c r="CE6" s="121"/>
    </row>
    <row r="7" spans="1:98" ht="13.5" customHeight="1">
      <c r="A7" s="104"/>
      <c r="B7" s="104"/>
      <c r="C7" s="104"/>
      <c r="D7" s="103"/>
      <c r="E7" s="103"/>
      <c r="F7" s="103"/>
      <c r="G7" s="103"/>
      <c r="H7" s="103"/>
      <c r="I7" s="103"/>
      <c r="J7" s="100"/>
      <c r="K7" s="101"/>
      <c r="L7" s="101"/>
      <c r="M7" s="101"/>
      <c r="N7" s="101"/>
      <c r="O7" s="101"/>
      <c r="P7" s="101"/>
      <c r="Q7" s="102"/>
      <c r="R7" s="100"/>
      <c r="S7" s="101"/>
      <c r="T7" s="101"/>
      <c r="U7" s="101"/>
      <c r="V7" s="101"/>
      <c r="W7" s="101"/>
      <c r="X7" s="101"/>
      <c r="Y7" s="102"/>
      <c r="Z7" s="100"/>
      <c r="AA7" s="101"/>
      <c r="AB7" s="101"/>
      <c r="AC7" s="101"/>
      <c r="AD7" s="101"/>
      <c r="AE7" s="102"/>
      <c r="AF7" s="129"/>
      <c r="AG7" s="117"/>
      <c r="AH7" s="117"/>
      <c r="AI7" s="117"/>
      <c r="AJ7" s="117"/>
      <c r="AK7" s="117"/>
      <c r="AL7" s="117"/>
      <c r="AM7" s="117"/>
      <c r="AN7" s="117"/>
      <c r="AO7" s="117"/>
      <c r="AP7" s="117"/>
      <c r="AQ7" s="117"/>
      <c r="AR7" s="117"/>
      <c r="AS7" s="117"/>
      <c r="AT7" s="117"/>
      <c r="AU7" s="117"/>
      <c r="AV7" s="117"/>
      <c r="AW7" s="117"/>
      <c r="AX7" s="117"/>
      <c r="AY7" s="117"/>
      <c r="AZ7" s="117"/>
      <c r="BA7" s="117"/>
      <c r="BB7" s="117"/>
      <c r="BC7" s="117"/>
      <c r="BD7" s="117"/>
      <c r="BE7" s="117"/>
      <c r="BF7" s="117"/>
      <c r="BG7" s="117"/>
      <c r="BH7" s="117"/>
      <c r="BI7" s="117"/>
      <c r="BJ7" s="117"/>
      <c r="BK7" s="117"/>
      <c r="BL7" s="117"/>
      <c r="BM7" s="117"/>
      <c r="BN7" s="117"/>
      <c r="BO7" s="117"/>
      <c r="BP7" s="117"/>
      <c r="BQ7" s="117"/>
      <c r="BR7" s="117"/>
      <c r="BS7" s="117"/>
      <c r="BT7" s="117"/>
      <c r="BU7" s="117"/>
      <c r="BV7" s="117"/>
      <c r="BW7" s="117"/>
      <c r="BX7" s="117"/>
      <c r="BY7" s="117"/>
      <c r="BZ7" s="117"/>
      <c r="CA7" s="117"/>
      <c r="CB7" s="117"/>
      <c r="CC7" s="117"/>
      <c r="CD7" s="117"/>
      <c r="CE7" s="118"/>
    </row>
    <row r="8" spans="1:98" ht="13.5" customHeight="1">
      <c r="A8" s="104"/>
      <c r="B8" s="104"/>
      <c r="C8" s="104"/>
      <c r="D8" s="103"/>
      <c r="E8" s="103"/>
      <c r="F8" s="103"/>
      <c r="G8" s="103"/>
      <c r="H8" s="103"/>
      <c r="I8" s="103"/>
      <c r="J8" s="100"/>
      <c r="K8" s="101"/>
      <c r="L8" s="101"/>
      <c r="M8" s="101"/>
      <c r="N8" s="101"/>
      <c r="O8" s="101"/>
      <c r="P8" s="101"/>
      <c r="Q8" s="102"/>
      <c r="R8" s="100"/>
      <c r="S8" s="101"/>
      <c r="T8" s="101"/>
      <c r="U8" s="101"/>
      <c r="V8" s="101"/>
      <c r="W8" s="101"/>
      <c r="X8" s="101"/>
      <c r="Y8" s="102"/>
      <c r="Z8" s="100"/>
      <c r="AA8" s="101"/>
      <c r="AB8" s="101"/>
      <c r="AC8" s="101"/>
      <c r="AD8" s="101"/>
      <c r="AE8" s="102"/>
      <c r="AF8" s="129"/>
      <c r="AG8" s="117"/>
      <c r="AH8" s="117"/>
      <c r="AI8" s="117"/>
      <c r="AJ8" s="117"/>
      <c r="AK8" s="117"/>
      <c r="AL8" s="117"/>
      <c r="AM8" s="117"/>
      <c r="AN8" s="117"/>
      <c r="AO8" s="117"/>
      <c r="AP8" s="117"/>
      <c r="AQ8" s="117"/>
      <c r="AR8" s="117"/>
      <c r="AS8" s="117"/>
      <c r="AT8" s="117"/>
      <c r="AU8" s="117"/>
      <c r="AV8" s="117"/>
      <c r="AW8" s="117"/>
      <c r="AX8" s="117"/>
      <c r="AY8" s="117"/>
      <c r="AZ8" s="117"/>
      <c r="BA8" s="117"/>
      <c r="BB8" s="117"/>
      <c r="BC8" s="117"/>
      <c r="BD8" s="117"/>
      <c r="BE8" s="117"/>
      <c r="BF8" s="117"/>
      <c r="BG8" s="117"/>
      <c r="BH8" s="117"/>
      <c r="BI8" s="117"/>
      <c r="BJ8" s="117"/>
      <c r="BK8" s="117"/>
      <c r="BL8" s="117"/>
      <c r="BM8" s="117"/>
      <c r="BN8" s="117"/>
      <c r="BO8" s="117"/>
      <c r="BP8" s="117"/>
      <c r="BQ8" s="117"/>
      <c r="BR8" s="117"/>
      <c r="BS8" s="117"/>
      <c r="BT8" s="117"/>
      <c r="BU8" s="117"/>
      <c r="BV8" s="117"/>
      <c r="BW8" s="117"/>
      <c r="BX8" s="117"/>
      <c r="BY8" s="117"/>
      <c r="BZ8" s="117"/>
      <c r="CA8" s="117"/>
      <c r="CB8" s="117"/>
      <c r="CC8" s="117"/>
      <c r="CD8" s="117"/>
      <c r="CE8" s="118"/>
    </row>
    <row r="9" spans="1:98" ht="13.5" customHeight="1">
      <c r="A9" s="104"/>
      <c r="B9" s="104"/>
      <c r="C9" s="104"/>
      <c r="D9" s="103"/>
      <c r="E9" s="103"/>
      <c r="F9" s="103"/>
      <c r="G9" s="103"/>
      <c r="H9" s="103"/>
      <c r="I9" s="103"/>
      <c r="J9" s="100"/>
      <c r="K9" s="101"/>
      <c r="L9" s="101"/>
      <c r="M9" s="101"/>
      <c r="N9" s="101"/>
      <c r="O9" s="101"/>
      <c r="P9" s="101"/>
      <c r="Q9" s="102"/>
      <c r="R9" s="100"/>
      <c r="S9" s="101"/>
      <c r="T9" s="101"/>
      <c r="U9" s="101"/>
      <c r="V9" s="101"/>
      <c r="W9" s="101"/>
      <c r="X9" s="101"/>
      <c r="Y9" s="102"/>
      <c r="Z9" s="100"/>
      <c r="AA9" s="101"/>
      <c r="AB9" s="101"/>
      <c r="AC9" s="101"/>
      <c r="AD9" s="101"/>
      <c r="AE9" s="102"/>
      <c r="AF9" s="116"/>
      <c r="AG9" s="117"/>
      <c r="AH9" s="117"/>
      <c r="AI9" s="117"/>
      <c r="AJ9" s="117"/>
      <c r="AK9" s="117"/>
      <c r="AL9" s="117"/>
      <c r="AM9" s="117"/>
      <c r="AN9" s="117"/>
      <c r="AO9" s="117"/>
      <c r="AP9" s="117"/>
      <c r="AQ9" s="117"/>
      <c r="AR9" s="117"/>
      <c r="AS9" s="117"/>
      <c r="AT9" s="117"/>
      <c r="AU9" s="117"/>
      <c r="AV9" s="117"/>
      <c r="AW9" s="117"/>
      <c r="AX9" s="117"/>
      <c r="AY9" s="117"/>
      <c r="AZ9" s="117"/>
      <c r="BA9" s="117"/>
      <c r="BB9" s="117"/>
      <c r="BC9" s="117"/>
      <c r="BD9" s="117"/>
      <c r="BE9" s="117"/>
      <c r="BF9" s="117"/>
      <c r="BG9" s="117"/>
      <c r="BH9" s="117"/>
      <c r="BI9" s="117"/>
      <c r="BJ9" s="117"/>
      <c r="BK9" s="117"/>
      <c r="BL9" s="117"/>
      <c r="BM9" s="117"/>
      <c r="BN9" s="117"/>
      <c r="BO9" s="117"/>
      <c r="BP9" s="117"/>
      <c r="BQ9" s="117"/>
      <c r="BR9" s="117"/>
      <c r="BS9" s="117"/>
      <c r="BT9" s="117"/>
      <c r="BU9" s="117"/>
      <c r="BV9" s="117"/>
      <c r="BW9" s="117"/>
      <c r="BX9" s="117"/>
      <c r="BY9" s="117"/>
      <c r="BZ9" s="117"/>
      <c r="CA9" s="117"/>
      <c r="CB9" s="117"/>
      <c r="CC9" s="117"/>
      <c r="CD9" s="117"/>
      <c r="CE9" s="118"/>
    </row>
    <row r="10" spans="1:98" ht="13.5" customHeight="1">
      <c r="A10" s="104"/>
      <c r="B10" s="104"/>
      <c r="C10" s="104"/>
      <c r="D10" s="103"/>
      <c r="E10" s="103"/>
      <c r="F10" s="103"/>
      <c r="G10" s="103"/>
      <c r="H10" s="103"/>
      <c r="I10" s="103"/>
      <c r="J10" s="100"/>
      <c r="K10" s="101"/>
      <c r="L10" s="101"/>
      <c r="M10" s="101"/>
      <c r="N10" s="101"/>
      <c r="O10" s="101"/>
      <c r="P10" s="101"/>
      <c r="Q10" s="102"/>
      <c r="R10" s="100"/>
      <c r="S10" s="101"/>
      <c r="T10" s="101"/>
      <c r="U10" s="101"/>
      <c r="V10" s="101"/>
      <c r="W10" s="101"/>
      <c r="X10" s="101"/>
      <c r="Y10" s="102"/>
      <c r="Z10" s="100"/>
      <c r="AA10" s="101"/>
      <c r="AB10" s="101"/>
      <c r="AC10" s="101"/>
      <c r="AD10" s="101"/>
      <c r="AE10" s="102"/>
      <c r="AF10" s="116"/>
      <c r="AG10" s="117"/>
      <c r="AH10" s="117"/>
      <c r="AI10" s="117"/>
      <c r="AJ10" s="117"/>
      <c r="AK10" s="117"/>
      <c r="AL10" s="117"/>
      <c r="AM10" s="117"/>
      <c r="AN10" s="117"/>
      <c r="AO10" s="117"/>
      <c r="AP10" s="117"/>
      <c r="AQ10" s="117"/>
      <c r="AR10" s="117"/>
      <c r="AS10" s="117"/>
      <c r="AT10" s="117"/>
      <c r="AU10" s="117"/>
      <c r="AV10" s="117"/>
      <c r="AW10" s="117"/>
      <c r="AX10" s="117"/>
      <c r="AY10" s="117"/>
      <c r="AZ10" s="117"/>
      <c r="BA10" s="117"/>
      <c r="BB10" s="117"/>
      <c r="BC10" s="117"/>
      <c r="BD10" s="117"/>
      <c r="BE10" s="117"/>
      <c r="BF10" s="117"/>
      <c r="BG10" s="117"/>
      <c r="BH10" s="117"/>
      <c r="BI10" s="117"/>
      <c r="BJ10" s="117"/>
      <c r="BK10" s="117"/>
      <c r="BL10" s="117"/>
      <c r="BM10" s="117"/>
      <c r="BN10" s="117"/>
      <c r="BO10" s="117"/>
      <c r="BP10" s="117"/>
      <c r="BQ10" s="117"/>
      <c r="BR10" s="117"/>
      <c r="BS10" s="117"/>
      <c r="BT10" s="117"/>
      <c r="BU10" s="117"/>
      <c r="BV10" s="117"/>
      <c r="BW10" s="117"/>
      <c r="BX10" s="117"/>
      <c r="BY10" s="117"/>
      <c r="BZ10" s="117"/>
      <c r="CA10" s="117"/>
      <c r="CB10" s="117"/>
      <c r="CC10" s="117"/>
      <c r="CD10" s="117"/>
      <c r="CE10" s="118"/>
    </row>
    <row r="11" spans="1:98" ht="13.5" customHeight="1">
      <c r="A11" s="104"/>
      <c r="B11" s="104"/>
      <c r="C11" s="104"/>
      <c r="D11" s="103"/>
      <c r="E11" s="103"/>
      <c r="F11" s="103"/>
      <c r="G11" s="103"/>
      <c r="H11" s="103"/>
      <c r="I11" s="103"/>
      <c r="J11" s="100"/>
      <c r="K11" s="101"/>
      <c r="L11" s="101"/>
      <c r="M11" s="101"/>
      <c r="N11" s="101"/>
      <c r="O11" s="101"/>
      <c r="P11" s="101"/>
      <c r="Q11" s="102"/>
      <c r="R11" s="100"/>
      <c r="S11" s="101"/>
      <c r="T11" s="101"/>
      <c r="U11" s="101"/>
      <c r="V11" s="101"/>
      <c r="W11" s="101"/>
      <c r="X11" s="101"/>
      <c r="Y11" s="102"/>
      <c r="Z11" s="100"/>
      <c r="AA11" s="101"/>
      <c r="AB11" s="101"/>
      <c r="AC11" s="101"/>
      <c r="AD11" s="101"/>
      <c r="AE11" s="102"/>
      <c r="AF11" s="116"/>
      <c r="AG11" s="117"/>
      <c r="AH11" s="117"/>
      <c r="AI11" s="117"/>
      <c r="AJ11" s="117"/>
      <c r="AK11" s="117"/>
      <c r="AL11" s="117"/>
      <c r="AM11" s="117"/>
      <c r="AN11" s="117"/>
      <c r="AO11" s="117"/>
      <c r="AP11" s="117"/>
      <c r="AQ11" s="117"/>
      <c r="AR11" s="117"/>
      <c r="AS11" s="117"/>
      <c r="AT11" s="117"/>
      <c r="AU11" s="117"/>
      <c r="AV11" s="117"/>
      <c r="AW11" s="117"/>
      <c r="AX11" s="117"/>
      <c r="AY11" s="117"/>
      <c r="AZ11" s="117"/>
      <c r="BA11" s="117"/>
      <c r="BB11" s="117"/>
      <c r="BC11" s="117"/>
      <c r="BD11" s="117"/>
      <c r="BE11" s="117"/>
      <c r="BF11" s="117"/>
      <c r="BG11" s="117"/>
      <c r="BH11" s="117"/>
      <c r="BI11" s="117"/>
      <c r="BJ11" s="117"/>
      <c r="BK11" s="117"/>
      <c r="BL11" s="117"/>
      <c r="BM11" s="117"/>
      <c r="BN11" s="117"/>
      <c r="BO11" s="117"/>
      <c r="BP11" s="117"/>
      <c r="BQ11" s="117"/>
      <c r="BR11" s="117"/>
      <c r="BS11" s="117"/>
      <c r="BT11" s="117"/>
      <c r="BU11" s="117"/>
      <c r="BV11" s="117"/>
      <c r="BW11" s="117"/>
      <c r="BX11" s="117"/>
      <c r="BY11" s="117"/>
      <c r="BZ11" s="117"/>
      <c r="CA11" s="117"/>
      <c r="CB11" s="117"/>
      <c r="CC11" s="117"/>
      <c r="CD11" s="117"/>
      <c r="CE11" s="118"/>
    </row>
    <row r="12" spans="1:98" ht="13.5" customHeight="1">
      <c r="A12" s="104"/>
      <c r="B12" s="104"/>
      <c r="C12" s="104"/>
      <c r="D12" s="103"/>
      <c r="E12" s="103"/>
      <c r="F12" s="103"/>
      <c r="G12" s="103"/>
      <c r="H12" s="103"/>
      <c r="I12" s="103"/>
      <c r="J12" s="100"/>
      <c r="K12" s="101"/>
      <c r="L12" s="101"/>
      <c r="M12" s="101"/>
      <c r="N12" s="101"/>
      <c r="O12" s="101"/>
      <c r="P12" s="101"/>
      <c r="Q12" s="102"/>
      <c r="R12" s="100"/>
      <c r="S12" s="101"/>
      <c r="T12" s="101"/>
      <c r="U12" s="101"/>
      <c r="V12" s="101"/>
      <c r="W12" s="101"/>
      <c r="X12" s="101"/>
      <c r="Y12" s="102"/>
      <c r="Z12" s="100"/>
      <c r="AA12" s="101"/>
      <c r="AB12" s="101"/>
      <c r="AC12" s="101"/>
      <c r="AD12" s="101"/>
      <c r="AE12" s="102"/>
      <c r="AF12" s="116"/>
      <c r="AG12" s="117"/>
      <c r="AH12" s="117"/>
      <c r="AI12" s="117"/>
      <c r="AJ12" s="117"/>
      <c r="AK12" s="117"/>
      <c r="AL12" s="117"/>
      <c r="AM12" s="117"/>
      <c r="AN12" s="117"/>
      <c r="AO12" s="117"/>
      <c r="AP12" s="117"/>
      <c r="AQ12" s="117"/>
      <c r="AR12" s="117"/>
      <c r="AS12" s="117"/>
      <c r="AT12" s="117"/>
      <c r="AU12" s="117"/>
      <c r="AV12" s="117"/>
      <c r="AW12" s="117"/>
      <c r="AX12" s="117"/>
      <c r="AY12" s="117"/>
      <c r="AZ12" s="117"/>
      <c r="BA12" s="117"/>
      <c r="BB12" s="117"/>
      <c r="BC12" s="117"/>
      <c r="BD12" s="117"/>
      <c r="BE12" s="117"/>
      <c r="BF12" s="117"/>
      <c r="BG12" s="117"/>
      <c r="BH12" s="117"/>
      <c r="BI12" s="117"/>
      <c r="BJ12" s="117"/>
      <c r="BK12" s="117"/>
      <c r="BL12" s="117"/>
      <c r="BM12" s="117"/>
      <c r="BN12" s="117"/>
      <c r="BO12" s="117"/>
      <c r="BP12" s="117"/>
      <c r="BQ12" s="117"/>
      <c r="BR12" s="117"/>
      <c r="BS12" s="117"/>
      <c r="BT12" s="117"/>
      <c r="BU12" s="117"/>
      <c r="BV12" s="117"/>
      <c r="BW12" s="117"/>
      <c r="BX12" s="117"/>
      <c r="BY12" s="117"/>
      <c r="BZ12" s="117"/>
      <c r="CA12" s="117"/>
      <c r="CB12" s="117"/>
      <c r="CC12" s="117"/>
      <c r="CD12" s="117"/>
      <c r="CE12" s="118"/>
    </row>
    <row r="13" spans="1:98" ht="13.5" customHeight="1">
      <c r="A13" s="104"/>
      <c r="B13" s="104"/>
      <c r="C13" s="104"/>
      <c r="D13" s="103"/>
      <c r="E13" s="103"/>
      <c r="F13" s="103"/>
      <c r="G13" s="103"/>
      <c r="H13" s="103"/>
      <c r="I13" s="103"/>
      <c r="J13" s="100"/>
      <c r="K13" s="101"/>
      <c r="L13" s="101"/>
      <c r="M13" s="101"/>
      <c r="N13" s="101"/>
      <c r="O13" s="101"/>
      <c r="P13" s="101"/>
      <c r="Q13" s="102"/>
      <c r="R13" s="100"/>
      <c r="S13" s="101"/>
      <c r="T13" s="101"/>
      <c r="U13" s="101"/>
      <c r="V13" s="101"/>
      <c r="W13" s="101"/>
      <c r="X13" s="101"/>
      <c r="Y13" s="102"/>
      <c r="Z13" s="100"/>
      <c r="AA13" s="101"/>
      <c r="AB13" s="101"/>
      <c r="AC13" s="101"/>
      <c r="AD13" s="101"/>
      <c r="AE13" s="102"/>
      <c r="AF13" s="116"/>
      <c r="AG13" s="117"/>
      <c r="AH13" s="117"/>
      <c r="AI13" s="117"/>
      <c r="AJ13" s="117"/>
      <c r="AK13" s="117"/>
      <c r="AL13" s="117"/>
      <c r="AM13" s="117"/>
      <c r="AN13" s="117"/>
      <c r="AO13" s="117"/>
      <c r="AP13" s="117"/>
      <c r="AQ13" s="117"/>
      <c r="AR13" s="117"/>
      <c r="AS13" s="117"/>
      <c r="AT13" s="117"/>
      <c r="AU13" s="117"/>
      <c r="AV13" s="117"/>
      <c r="AW13" s="117"/>
      <c r="AX13" s="117"/>
      <c r="AY13" s="117"/>
      <c r="AZ13" s="117"/>
      <c r="BA13" s="117"/>
      <c r="BB13" s="117"/>
      <c r="BC13" s="117"/>
      <c r="BD13" s="117"/>
      <c r="BE13" s="117"/>
      <c r="BF13" s="117"/>
      <c r="BG13" s="117"/>
      <c r="BH13" s="117"/>
      <c r="BI13" s="117"/>
      <c r="BJ13" s="117"/>
      <c r="BK13" s="117"/>
      <c r="BL13" s="117"/>
      <c r="BM13" s="117"/>
      <c r="BN13" s="117"/>
      <c r="BO13" s="117"/>
      <c r="BP13" s="117"/>
      <c r="BQ13" s="117"/>
      <c r="BR13" s="117"/>
      <c r="BS13" s="117"/>
      <c r="BT13" s="117"/>
      <c r="BU13" s="117"/>
      <c r="BV13" s="117"/>
      <c r="BW13" s="117"/>
      <c r="BX13" s="117"/>
      <c r="BY13" s="117"/>
      <c r="BZ13" s="117"/>
      <c r="CA13" s="117"/>
      <c r="CB13" s="117"/>
      <c r="CC13" s="117"/>
      <c r="CD13" s="117"/>
      <c r="CE13" s="118"/>
    </row>
    <row r="14" spans="1:98" ht="13.5" customHeight="1">
      <c r="A14" s="104"/>
      <c r="B14" s="104"/>
      <c r="C14" s="104"/>
      <c r="D14" s="103"/>
      <c r="E14" s="103"/>
      <c r="F14" s="103"/>
      <c r="G14" s="103"/>
      <c r="H14" s="103"/>
      <c r="I14" s="103"/>
      <c r="J14" s="100"/>
      <c r="K14" s="101"/>
      <c r="L14" s="101"/>
      <c r="M14" s="101"/>
      <c r="N14" s="101"/>
      <c r="O14" s="101"/>
      <c r="P14" s="101"/>
      <c r="Q14" s="102"/>
      <c r="R14" s="100"/>
      <c r="S14" s="101"/>
      <c r="T14" s="101"/>
      <c r="U14" s="101"/>
      <c r="V14" s="101"/>
      <c r="W14" s="101"/>
      <c r="X14" s="101"/>
      <c r="Y14" s="102"/>
      <c r="Z14" s="100"/>
      <c r="AA14" s="101"/>
      <c r="AB14" s="101"/>
      <c r="AC14" s="101"/>
      <c r="AD14" s="101"/>
      <c r="AE14" s="102"/>
      <c r="AF14" s="116"/>
      <c r="AG14" s="117"/>
      <c r="AH14" s="117"/>
      <c r="AI14" s="117"/>
      <c r="AJ14" s="117"/>
      <c r="AK14" s="117"/>
      <c r="AL14" s="117"/>
      <c r="AM14" s="117"/>
      <c r="AN14" s="117"/>
      <c r="AO14" s="117"/>
      <c r="AP14" s="117"/>
      <c r="AQ14" s="117"/>
      <c r="AR14" s="117"/>
      <c r="AS14" s="117"/>
      <c r="AT14" s="117"/>
      <c r="AU14" s="117"/>
      <c r="AV14" s="117"/>
      <c r="AW14" s="117"/>
      <c r="AX14" s="117"/>
      <c r="AY14" s="117"/>
      <c r="AZ14" s="117"/>
      <c r="BA14" s="117"/>
      <c r="BB14" s="117"/>
      <c r="BC14" s="117"/>
      <c r="BD14" s="117"/>
      <c r="BE14" s="117"/>
      <c r="BF14" s="117"/>
      <c r="BG14" s="117"/>
      <c r="BH14" s="117"/>
      <c r="BI14" s="117"/>
      <c r="BJ14" s="117"/>
      <c r="BK14" s="117"/>
      <c r="BL14" s="117"/>
      <c r="BM14" s="117"/>
      <c r="BN14" s="117"/>
      <c r="BO14" s="117"/>
      <c r="BP14" s="117"/>
      <c r="BQ14" s="117"/>
      <c r="BR14" s="117"/>
      <c r="BS14" s="117"/>
      <c r="BT14" s="117"/>
      <c r="BU14" s="117"/>
      <c r="BV14" s="117"/>
      <c r="BW14" s="117"/>
      <c r="BX14" s="117"/>
      <c r="BY14" s="117"/>
      <c r="BZ14" s="117"/>
      <c r="CA14" s="117"/>
      <c r="CB14" s="117"/>
      <c r="CC14" s="117"/>
      <c r="CD14" s="117"/>
      <c r="CE14" s="118"/>
    </row>
    <row r="15" spans="1:98" ht="13.5" customHeight="1">
      <c r="A15" s="104"/>
      <c r="B15" s="104"/>
      <c r="C15" s="104"/>
      <c r="D15" s="103"/>
      <c r="E15" s="103"/>
      <c r="F15" s="103"/>
      <c r="G15" s="103"/>
      <c r="H15" s="103"/>
      <c r="I15" s="103"/>
      <c r="J15" s="100"/>
      <c r="K15" s="101"/>
      <c r="L15" s="101"/>
      <c r="M15" s="101"/>
      <c r="N15" s="101"/>
      <c r="O15" s="101"/>
      <c r="P15" s="101"/>
      <c r="Q15" s="102"/>
      <c r="R15" s="100"/>
      <c r="S15" s="101"/>
      <c r="T15" s="101"/>
      <c r="U15" s="101"/>
      <c r="V15" s="101"/>
      <c r="W15" s="101"/>
      <c r="X15" s="101"/>
      <c r="Y15" s="102"/>
      <c r="Z15" s="100"/>
      <c r="AA15" s="101"/>
      <c r="AB15" s="101"/>
      <c r="AC15" s="101"/>
      <c r="AD15" s="101"/>
      <c r="AE15" s="102"/>
      <c r="AF15" s="116"/>
      <c r="AG15" s="117"/>
      <c r="AH15" s="117"/>
      <c r="AI15" s="117"/>
      <c r="AJ15" s="117"/>
      <c r="AK15" s="117"/>
      <c r="AL15" s="117"/>
      <c r="AM15" s="117"/>
      <c r="AN15" s="117"/>
      <c r="AO15" s="117"/>
      <c r="AP15" s="117"/>
      <c r="AQ15" s="117"/>
      <c r="AR15" s="117"/>
      <c r="AS15" s="117"/>
      <c r="AT15" s="117"/>
      <c r="AU15" s="117"/>
      <c r="AV15" s="117"/>
      <c r="AW15" s="117"/>
      <c r="AX15" s="117"/>
      <c r="AY15" s="117"/>
      <c r="AZ15" s="117"/>
      <c r="BA15" s="117"/>
      <c r="BB15" s="117"/>
      <c r="BC15" s="117"/>
      <c r="BD15" s="117"/>
      <c r="BE15" s="117"/>
      <c r="BF15" s="117"/>
      <c r="BG15" s="117"/>
      <c r="BH15" s="117"/>
      <c r="BI15" s="117"/>
      <c r="BJ15" s="117"/>
      <c r="BK15" s="117"/>
      <c r="BL15" s="117"/>
      <c r="BM15" s="117"/>
      <c r="BN15" s="117"/>
      <c r="BO15" s="117"/>
      <c r="BP15" s="117"/>
      <c r="BQ15" s="117"/>
      <c r="BR15" s="117"/>
      <c r="BS15" s="117"/>
      <c r="BT15" s="117"/>
      <c r="BU15" s="117"/>
      <c r="BV15" s="117"/>
      <c r="BW15" s="117"/>
      <c r="BX15" s="117"/>
      <c r="BY15" s="117"/>
      <c r="BZ15" s="117"/>
      <c r="CA15" s="117"/>
      <c r="CB15" s="117"/>
      <c r="CC15" s="117"/>
      <c r="CD15" s="117"/>
      <c r="CE15" s="118"/>
    </row>
    <row r="16" spans="1:98" ht="13.5" customHeight="1">
      <c r="A16" s="104"/>
      <c r="B16" s="104"/>
      <c r="C16" s="104"/>
      <c r="D16" s="103"/>
      <c r="E16" s="103"/>
      <c r="F16" s="103"/>
      <c r="G16" s="103"/>
      <c r="H16" s="103"/>
      <c r="I16" s="103"/>
      <c r="J16" s="100"/>
      <c r="K16" s="101"/>
      <c r="L16" s="101"/>
      <c r="M16" s="101"/>
      <c r="N16" s="101"/>
      <c r="O16" s="101"/>
      <c r="P16" s="101"/>
      <c r="Q16" s="102"/>
      <c r="R16" s="100"/>
      <c r="S16" s="101"/>
      <c r="T16" s="101"/>
      <c r="U16" s="101"/>
      <c r="V16" s="101"/>
      <c r="W16" s="101"/>
      <c r="X16" s="101"/>
      <c r="Y16" s="102"/>
      <c r="Z16" s="100"/>
      <c r="AA16" s="101"/>
      <c r="AB16" s="101"/>
      <c r="AC16" s="101"/>
      <c r="AD16" s="101"/>
      <c r="AE16" s="102"/>
      <c r="AF16" s="116"/>
      <c r="AG16" s="117"/>
      <c r="AH16" s="117"/>
      <c r="AI16" s="117"/>
      <c r="AJ16" s="117"/>
      <c r="AK16" s="117"/>
      <c r="AL16" s="117"/>
      <c r="AM16" s="117"/>
      <c r="AN16" s="117"/>
      <c r="AO16" s="117"/>
      <c r="AP16" s="117"/>
      <c r="AQ16" s="117"/>
      <c r="AR16" s="117"/>
      <c r="AS16" s="117"/>
      <c r="AT16" s="117"/>
      <c r="AU16" s="117"/>
      <c r="AV16" s="117"/>
      <c r="AW16" s="117"/>
      <c r="AX16" s="117"/>
      <c r="AY16" s="117"/>
      <c r="AZ16" s="117"/>
      <c r="BA16" s="117"/>
      <c r="BB16" s="117"/>
      <c r="BC16" s="117"/>
      <c r="BD16" s="117"/>
      <c r="BE16" s="117"/>
      <c r="BF16" s="117"/>
      <c r="BG16" s="117"/>
      <c r="BH16" s="117"/>
      <c r="BI16" s="117"/>
      <c r="BJ16" s="117"/>
      <c r="BK16" s="117"/>
      <c r="BL16" s="117"/>
      <c r="BM16" s="117"/>
      <c r="BN16" s="117"/>
      <c r="BO16" s="117"/>
      <c r="BP16" s="117"/>
      <c r="BQ16" s="117"/>
      <c r="BR16" s="117"/>
      <c r="BS16" s="117"/>
      <c r="BT16" s="117"/>
      <c r="BU16" s="117"/>
      <c r="BV16" s="117"/>
      <c r="BW16" s="117"/>
      <c r="BX16" s="117"/>
      <c r="BY16" s="117"/>
      <c r="BZ16" s="117"/>
      <c r="CA16" s="117"/>
      <c r="CB16" s="117"/>
      <c r="CC16" s="117"/>
      <c r="CD16" s="117"/>
      <c r="CE16" s="118"/>
    </row>
    <row r="17" spans="1:83" ht="13.5" customHeight="1">
      <c r="A17" s="104"/>
      <c r="B17" s="104"/>
      <c r="C17" s="104"/>
      <c r="D17" s="103"/>
      <c r="E17" s="103"/>
      <c r="F17" s="103"/>
      <c r="G17" s="103"/>
      <c r="H17" s="103"/>
      <c r="I17" s="103"/>
      <c r="J17" s="100"/>
      <c r="K17" s="101"/>
      <c r="L17" s="101"/>
      <c r="M17" s="101"/>
      <c r="N17" s="101"/>
      <c r="O17" s="101"/>
      <c r="P17" s="101"/>
      <c r="Q17" s="102"/>
      <c r="R17" s="100"/>
      <c r="S17" s="101"/>
      <c r="T17" s="101"/>
      <c r="U17" s="101"/>
      <c r="V17" s="101"/>
      <c r="W17" s="101"/>
      <c r="X17" s="101"/>
      <c r="Y17" s="102"/>
      <c r="Z17" s="100"/>
      <c r="AA17" s="101"/>
      <c r="AB17" s="101"/>
      <c r="AC17" s="101"/>
      <c r="AD17" s="101"/>
      <c r="AE17" s="102"/>
      <c r="AF17" s="116"/>
      <c r="AG17" s="117"/>
      <c r="AH17" s="117"/>
      <c r="AI17" s="117"/>
      <c r="AJ17" s="117"/>
      <c r="AK17" s="117"/>
      <c r="AL17" s="117"/>
      <c r="AM17" s="117"/>
      <c r="AN17" s="117"/>
      <c r="AO17" s="117"/>
      <c r="AP17" s="117"/>
      <c r="AQ17" s="117"/>
      <c r="AR17" s="117"/>
      <c r="AS17" s="117"/>
      <c r="AT17" s="117"/>
      <c r="AU17" s="117"/>
      <c r="AV17" s="117"/>
      <c r="AW17" s="117"/>
      <c r="AX17" s="117"/>
      <c r="AY17" s="117"/>
      <c r="AZ17" s="117"/>
      <c r="BA17" s="117"/>
      <c r="BB17" s="117"/>
      <c r="BC17" s="117"/>
      <c r="BD17" s="117"/>
      <c r="BE17" s="117"/>
      <c r="BF17" s="117"/>
      <c r="BG17" s="117"/>
      <c r="BH17" s="117"/>
      <c r="BI17" s="117"/>
      <c r="BJ17" s="117"/>
      <c r="BK17" s="117"/>
      <c r="BL17" s="117"/>
      <c r="BM17" s="117"/>
      <c r="BN17" s="117"/>
      <c r="BO17" s="117"/>
      <c r="BP17" s="117"/>
      <c r="BQ17" s="117"/>
      <c r="BR17" s="117"/>
      <c r="BS17" s="117"/>
      <c r="BT17" s="117"/>
      <c r="BU17" s="117"/>
      <c r="BV17" s="117"/>
      <c r="BW17" s="117"/>
      <c r="BX17" s="117"/>
      <c r="BY17" s="117"/>
      <c r="BZ17" s="117"/>
      <c r="CA17" s="117"/>
      <c r="CB17" s="117"/>
      <c r="CC17" s="117"/>
      <c r="CD17" s="117"/>
      <c r="CE17" s="118"/>
    </row>
    <row r="18" spans="1:83" ht="13.5" customHeight="1">
      <c r="A18" s="104"/>
      <c r="B18" s="104"/>
      <c r="C18" s="104"/>
      <c r="D18" s="103"/>
      <c r="E18" s="103"/>
      <c r="F18" s="103"/>
      <c r="G18" s="103"/>
      <c r="H18" s="103"/>
      <c r="I18" s="103"/>
      <c r="J18" s="100"/>
      <c r="K18" s="101"/>
      <c r="L18" s="101"/>
      <c r="M18" s="101"/>
      <c r="N18" s="101"/>
      <c r="O18" s="101"/>
      <c r="P18" s="101"/>
      <c r="Q18" s="102"/>
      <c r="R18" s="100"/>
      <c r="S18" s="101"/>
      <c r="T18" s="101"/>
      <c r="U18" s="101"/>
      <c r="V18" s="101"/>
      <c r="W18" s="101"/>
      <c r="X18" s="101"/>
      <c r="Y18" s="102"/>
      <c r="Z18" s="100"/>
      <c r="AA18" s="101"/>
      <c r="AB18" s="101"/>
      <c r="AC18" s="101"/>
      <c r="AD18" s="101"/>
      <c r="AE18" s="102"/>
      <c r="AF18" s="116"/>
      <c r="AG18" s="117"/>
      <c r="AH18" s="117"/>
      <c r="AI18" s="117"/>
      <c r="AJ18" s="117"/>
      <c r="AK18" s="117"/>
      <c r="AL18" s="117"/>
      <c r="AM18" s="117"/>
      <c r="AN18" s="117"/>
      <c r="AO18" s="117"/>
      <c r="AP18" s="117"/>
      <c r="AQ18" s="117"/>
      <c r="AR18" s="117"/>
      <c r="AS18" s="117"/>
      <c r="AT18" s="117"/>
      <c r="AU18" s="117"/>
      <c r="AV18" s="117"/>
      <c r="AW18" s="117"/>
      <c r="AX18" s="117"/>
      <c r="AY18" s="117"/>
      <c r="AZ18" s="117"/>
      <c r="BA18" s="117"/>
      <c r="BB18" s="117"/>
      <c r="BC18" s="117"/>
      <c r="BD18" s="117"/>
      <c r="BE18" s="117"/>
      <c r="BF18" s="117"/>
      <c r="BG18" s="117"/>
      <c r="BH18" s="117"/>
      <c r="BI18" s="117"/>
      <c r="BJ18" s="117"/>
      <c r="BK18" s="117"/>
      <c r="BL18" s="117"/>
      <c r="BM18" s="117"/>
      <c r="BN18" s="117"/>
      <c r="BO18" s="117"/>
      <c r="BP18" s="117"/>
      <c r="BQ18" s="117"/>
      <c r="BR18" s="117"/>
      <c r="BS18" s="117"/>
      <c r="BT18" s="117"/>
      <c r="BU18" s="117"/>
      <c r="BV18" s="117"/>
      <c r="BW18" s="117"/>
      <c r="BX18" s="117"/>
      <c r="BY18" s="117"/>
      <c r="BZ18" s="117"/>
      <c r="CA18" s="117"/>
      <c r="CB18" s="117"/>
      <c r="CC18" s="117"/>
      <c r="CD18" s="117"/>
      <c r="CE18" s="118"/>
    </row>
    <row r="19" spans="1:83" ht="13.5" customHeight="1">
      <c r="A19" s="104"/>
      <c r="B19" s="104"/>
      <c r="C19" s="104"/>
      <c r="D19" s="103"/>
      <c r="E19" s="103"/>
      <c r="F19" s="103"/>
      <c r="G19" s="103"/>
      <c r="H19" s="103"/>
      <c r="I19" s="103"/>
      <c r="J19" s="100"/>
      <c r="K19" s="101"/>
      <c r="L19" s="101"/>
      <c r="M19" s="101"/>
      <c r="N19" s="101"/>
      <c r="O19" s="101"/>
      <c r="P19" s="101"/>
      <c r="Q19" s="102"/>
      <c r="R19" s="100"/>
      <c r="S19" s="101"/>
      <c r="T19" s="101"/>
      <c r="U19" s="101"/>
      <c r="V19" s="101"/>
      <c r="W19" s="101"/>
      <c r="X19" s="101"/>
      <c r="Y19" s="102"/>
      <c r="Z19" s="100"/>
      <c r="AA19" s="101"/>
      <c r="AB19" s="101"/>
      <c r="AC19" s="101"/>
      <c r="AD19" s="101"/>
      <c r="AE19" s="102"/>
      <c r="AF19" s="116"/>
      <c r="AG19" s="117"/>
      <c r="AH19" s="117"/>
      <c r="AI19" s="117"/>
      <c r="AJ19" s="117"/>
      <c r="AK19" s="117"/>
      <c r="AL19" s="117"/>
      <c r="AM19" s="117"/>
      <c r="AN19" s="117"/>
      <c r="AO19" s="117"/>
      <c r="AP19" s="117"/>
      <c r="AQ19" s="117"/>
      <c r="AR19" s="117"/>
      <c r="AS19" s="117"/>
      <c r="AT19" s="117"/>
      <c r="AU19" s="117"/>
      <c r="AV19" s="117"/>
      <c r="AW19" s="117"/>
      <c r="AX19" s="117"/>
      <c r="AY19" s="117"/>
      <c r="AZ19" s="117"/>
      <c r="BA19" s="117"/>
      <c r="BB19" s="117"/>
      <c r="BC19" s="117"/>
      <c r="BD19" s="117"/>
      <c r="BE19" s="117"/>
      <c r="BF19" s="117"/>
      <c r="BG19" s="117"/>
      <c r="BH19" s="117"/>
      <c r="BI19" s="117"/>
      <c r="BJ19" s="117"/>
      <c r="BK19" s="117"/>
      <c r="BL19" s="117"/>
      <c r="BM19" s="117"/>
      <c r="BN19" s="117"/>
      <c r="BO19" s="117"/>
      <c r="BP19" s="117"/>
      <c r="BQ19" s="117"/>
      <c r="BR19" s="117"/>
      <c r="BS19" s="117"/>
      <c r="BT19" s="117"/>
      <c r="BU19" s="117"/>
      <c r="BV19" s="117"/>
      <c r="BW19" s="117"/>
      <c r="BX19" s="117"/>
      <c r="BY19" s="117"/>
      <c r="BZ19" s="117"/>
      <c r="CA19" s="117"/>
      <c r="CB19" s="117"/>
      <c r="CC19" s="117"/>
      <c r="CD19" s="117"/>
      <c r="CE19" s="118"/>
    </row>
    <row r="20" spans="1:83" ht="13.5" customHeight="1">
      <c r="A20" s="104"/>
      <c r="B20" s="104"/>
      <c r="C20" s="104"/>
      <c r="D20" s="103"/>
      <c r="E20" s="103"/>
      <c r="F20" s="103"/>
      <c r="G20" s="103"/>
      <c r="H20" s="103"/>
      <c r="I20" s="103"/>
      <c r="J20" s="100"/>
      <c r="K20" s="101"/>
      <c r="L20" s="101"/>
      <c r="M20" s="101"/>
      <c r="N20" s="101"/>
      <c r="O20" s="101"/>
      <c r="P20" s="101"/>
      <c r="Q20" s="102"/>
      <c r="R20" s="100"/>
      <c r="S20" s="101"/>
      <c r="T20" s="101"/>
      <c r="U20" s="101"/>
      <c r="V20" s="101"/>
      <c r="W20" s="101"/>
      <c r="X20" s="101"/>
      <c r="Y20" s="102"/>
      <c r="Z20" s="100"/>
      <c r="AA20" s="101"/>
      <c r="AB20" s="101"/>
      <c r="AC20" s="101"/>
      <c r="AD20" s="101"/>
      <c r="AE20" s="102"/>
      <c r="AF20" s="116"/>
      <c r="AG20" s="117"/>
      <c r="AH20" s="117"/>
      <c r="AI20" s="117"/>
      <c r="AJ20" s="117"/>
      <c r="AK20" s="117"/>
      <c r="AL20" s="117"/>
      <c r="AM20" s="117"/>
      <c r="AN20" s="117"/>
      <c r="AO20" s="117"/>
      <c r="AP20" s="117"/>
      <c r="AQ20" s="117"/>
      <c r="AR20" s="117"/>
      <c r="AS20" s="117"/>
      <c r="AT20" s="117"/>
      <c r="AU20" s="117"/>
      <c r="AV20" s="117"/>
      <c r="AW20" s="117"/>
      <c r="AX20" s="117"/>
      <c r="AY20" s="117"/>
      <c r="AZ20" s="117"/>
      <c r="BA20" s="117"/>
      <c r="BB20" s="117"/>
      <c r="BC20" s="117"/>
      <c r="BD20" s="117"/>
      <c r="BE20" s="117"/>
      <c r="BF20" s="117"/>
      <c r="BG20" s="117"/>
      <c r="BH20" s="117"/>
      <c r="BI20" s="117"/>
      <c r="BJ20" s="117"/>
      <c r="BK20" s="117"/>
      <c r="BL20" s="117"/>
      <c r="BM20" s="117"/>
      <c r="BN20" s="117"/>
      <c r="BO20" s="117"/>
      <c r="BP20" s="117"/>
      <c r="BQ20" s="117"/>
      <c r="BR20" s="117"/>
      <c r="BS20" s="117"/>
      <c r="BT20" s="117"/>
      <c r="BU20" s="117"/>
      <c r="BV20" s="117"/>
      <c r="BW20" s="117"/>
      <c r="BX20" s="117"/>
      <c r="BY20" s="117"/>
      <c r="BZ20" s="117"/>
      <c r="CA20" s="117"/>
      <c r="CB20" s="117"/>
      <c r="CC20" s="117"/>
      <c r="CD20" s="117"/>
      <c r="CE20" s="118"/>
    </row>
    <row r="21" spans="1:83" ht="13.5" customHeight="1">
      <c r="A21" s="104"/>
      <c r="B21" s="104"/>
      <c r="C21" s="104"/>
      <c r="D21" s="103"/>
      <c r="E21" s="103"/>
      <c r="F21" s="103"/>
      <c r="G21" s="103"/>
      <c r="H21" s="103"/>
      <c r="I21" s="103"/>
      <c r="J21" s="100"/>
      <c r="K21" s="101"/>
      <c r="L21" s="101"/>
      <c r="M21" s="101"/>
      <c r="N21" s="101"/>
      <c r="O21" s="101"/>
      <c r="P21" s="101"/>
      <c r="Q21" s="102"/>
      <c r="R21" s="100"/>
      <c r="S21" s="101"/>
      <c r="T21" s="101"/>
      <c r="U21" s="101"/>
      <c r="V21" s="101"/>
      <c r="W21" s="101"/>
      <c r="X21" s="101"/>
      <c r="Y21" s="102"/>
      <c r="Z21" s="100"/>
      <c r="AA21" s="101"/>
      <c r="AB21" s="101"/>
      <c r="AC21" s="101"/>
      <c r="AD21" s="101"/>
      <c r="AE21" s="102"/>
      <c r="AF21" s="116"/>
      <c r="AG21" s="117"/>
      <c r="AH21" s="117"/>
      <c r="AI21" s="117"/>
      <c r="AJ21" s="117"/>
      <c r="AK21" s="117"/>
      <c r="AL21" s="117"/>
      <c r="AM21" s="117"/>
      <c r="AN21" s="117"/>
      <c r="AO21" s="117"/>
      <c r="AP21" s="117"/>
      <c r="AQ21" s="117"/>
      <c r="AR21" s="117"/>
      <c r="AS21" s="117"/>
      <c r="AT21" s="117"/>
      <c r="AU21" s="117"/>
      <c r="AV21" s="117"/>
      <c r="AW21" s="117"/>
      <c r="AX21" s="117"/>
      <c r="AY21" s="117"/>
      <c r="AZ21" s="117"/>
      <c r="BA21" s="117"/>
      <c r="BB21" s="117"/>
      <c r="BC21" s="117"/>
      <c r="BD21" s="117"/>
      <c r="BE21" s="117"/>
      <c r="BF21" s="117"/>
      <c r="BG21" s="117"/>
      <c r="BH21" s="117"/>
      <c r="BI21" s="117"/>
      <c r="BJ21" s="117"/>
      <c r="BK21" s="117"/>
      <c r="BL21" s="117"/>
      <c r="BM21" s="117"/>
      <c r="BN21" s="117"/>
      <c r="BO21" s="117"/>
      <c r="BP21" s="117"/>
      <c r="BQ21" s="117"/>
      <c r="BR21" s="117"/>
      <c r="BS21" s="117"/>
      <c r="BT21" s="117"/>
      <c r="BU21" s="117"/>
      <c r="BV21" s="117"/>
      <c r="BW21" s="117"/>
      <c r="BX21" s="117"/>
      <c r="BY21" s="117"/>
      <c r="BZ21" s="117"/>
      <c r="CA21" s="117"/>
      <c r="CB21" s="117"/>
      <c r="CC21" s="117"/>
      <c r="CD21" s="117"/>
      <c r="CE21" s="118"/>
    </row>
    <row r="22" spans="1:83" ht="13.5" customHeight="1">
      <c r="A22" s="104"/>
      <c r="B22" s="104"/>
      <c r="C22" s="104"/>
      <c r="D22" s="103"/>
      <c r="E22" s="103"/>
      <c r="F22" s="103"/>
      <c r="G22" s="103"/>
      <c r="H22" s="103"/>
      <c r="I22" s="103"/>
      <c r="J22" s="100"/>
      <c r="K22" s="101"/>
      <c r="L22" s="101"/>
      <c r="M22" s="101"/>
      <c r="N22" s="101"/>
      <c r="O22" s="101"/>
      <c r="P22" s="101"/>
      <c r="Q22" s="102"/>
      <c r="R22" s="100"/>
      <c r="S22" s="101"/>
      <c r="T22" s="101"/>
      <c r="U22" s="101"/>
      <c r="V22" s="101"/>
      <c r="W22" s="101"/>
      <c r="X22" s="101"/>
      <c r="Y22" s="102"/>
      <c r="Z22" s="100"/>
      <c r="AA22" s="101"/>
      <c r="AB22" s="101"/>
      <c r="AC22" s="101"/>
      <c r="AD22" s="101"/>
      <c r="AE22" s="102"/>
      <c r="AF22" s="116"/>
      <c r="AG22" s="117"/>
      <c r="AH22" s="117"/>
      <c r="AI22" s="117"/>
      <c r="AJ22" s="117"/>
      <c r="AK22" s="117"/>
      <c r="AL22" s="117"/>
      <c r="AM22" s="117"/>
      <c r="AN22" s="117"/>
      <c r="AO22" s="117"/>
      <c r="AP22" s="117"/>
      <c r="AQ22" s="117"/>
      <c r="AR22" s="117"/>
      <c r="AS22" s="117"/>
      <c r="AT22" s="117"/>
      <c r="AU22" s="117"/>
      <c r="AV22" s="117"/>
      <c r="AW22" s="117"/>
      <c r="AX22" s="117"/>
      <c r="AY22" s="117"/>
      <c r="AZ22" s="117"/>
      <c r="BA22" s="117"/>
      <c r="BB22" s="117"/>
      <c r="BC22" s="117"/>
      <c r="BD22" s="117"/>
      <c r="BE22" s="117"/>
      <c r="BF22" s="117"/>
      <c r="BG22" s="117"/>
      <c r="BH22" s="117"/>
      <c r="BI22" s="117"/>
      <c r="BJ22" s="117"/>
      <c r="BK22" s="117"/>
      <c r="BL22" s="117"/>
      <c r="BM22" s="117"/>
      <c r="BN22" s="117"/>
      <c r="BO22" s="117"/>
      <c r="BP22" s="117"/>
      <c r="BQ22" s="117"/>
      <c r="BR22" s="117"/>
      <c r="BS22" s="117"/>
      <c r="BT22" s="117"/>
      <c r="BU22" s="117"/>
      <c r="BV22" s="117"/>
      <c r="BW22" s="117"/>
      <c r="BX22" s="117"/>
      <c r="BY22" s="117"/>
      <c r="BZ22" s="117"/>
      <c r="CA22" s="117"/>
      <c r="CB22" s="117"/>
      <c r="CC22" s="117"/>
      <c r="CD22" s="117"/>
      <c r="CE22" s="118"/>
    </row>
    <row r="23" spans="1:83" ht="13.5" customHeight="1">
      <c r="A23" s="104"/>
      <c r="B23" s="104"/>
      <c r="C23" s="104"/>
      <c r="D23" s="103"/>
      <c r="E23" s="103"/>
      <c r="F23" s="103"/>
      <c r="G23" s="103"/>
      <c r="H23" s="103"/>
      <c r="I23" s="103"/>
      <c r="J23" s="100"/>
      <c r="K23" s="101"/>
      <c r="L23" s="101"/>
      <c r="M23" s="101"/>
      <c r="N23" s="101"/>
      <c r="O23" s="101"/>
      <c r="P23" s="101"/>
      <c r="Q23" s="102"/>
      <c r="R23" s="100"/>
      <c r="S23" s="101"/>
      <c r="T23" s="101"/>
      <c r="U23" s="101"/>
      <c r="V23" s="101"/>
      <c r="W23" s="101"/>
      <c r="X23" s="101"/>
      <c r="Y23" s="102"/>
      <c r="Z23" s="100"/>
      <c r="AA23" s="101"/>
      <c r="AB23" s="101"/>
      <c r="AC23" s="101"/>
      <c r="AD23" s="101"/>
      <c r="AE23" s="102"/>
      <c r="AF23" s="116"/>
      <c r="AG23" s="117"/>
      <c r="AH23" s="117"/>
      <c r="AI23" s="117"/>
      <c r="AJ23" s="117"/>
      <c r="AK23" s="117"/>
      <c r="AL23" s="117"/>
      <c r="AM23" s="117"/>
      <c r="AN23" s="117"/>
      <c r="AO23" s="117"/>
      <c r="AP23" s="117"/>
      <c r="AQ23" s="117"/>
      <c r="AR23" s="117"/>
      <c r="AS23" s="117"/>
      <c r="AT23" s="117"/>
      <c r="AU23" s="117"/>
      <c r="AV23" s="117"/>
      <c r="AW23" s="117"/>
      <c r="AX23" s="117"/>
      <c r="AY23" s="117"/>
      <c r="AZ23" s="117"/>
      <c r="BA23" s="117"/>
      <c r="BB23" s="117"/>
      <c r="BC23" s="117"/>
      <c r="BD23" s="117"/>
      <c r="BE23" s="117"/>
      <c r="BF23" s="117"/>
      <c r="BG23" s="117"/>
      <c r="BH23" s="117"/>
      <c r="BI23" s="117"/>
      <c r="BJ23" s="117"/>
      <c r="BK23" s="117"/>
      <c r="BL23" s="117"/>
      <c r="BM23" s="117"/>
      <c r="BN23" s="117"/>
      <c r="BO23" s="117"/>
      <c r="BP23" s="117"/>
      <c r="BQ23" s="117"/>
      <c r="BR23" s="117"/>
      <c r="BS23" s="117"/>
      <c r="BT23" s="117"/>
      <c r="BU23" s="117"/>
      <c r="BV23" s="117"/>
      <c r="BW23" s="117"/>
      <c r="BX23" s="117"/>
      <c r="BY23" s="117"/>
      <c r="BZ23" s="117"/>
      <c r="CA23" s="117"/>
      <c r="CB23" s="117"/>
      <c r="CC23" s="117"/>
      <c r="CD23" s="117"/>
      <c r="CE23" s="118"/>
    </row>
    <row r="24" spans="1:83" ht="13.5" customHeight="1">
      <c r="A24" s="104"/>
      <c r="B24" s="104"/>
      <c r="C24" s="104"/>
      <c r="D24" s="103"/>
      <c r="E24" s="103"/>
      <c r="F24" s="103"/>
      <c r="G24" s="103"/>
      <c r="H24" s="103"/>
      <c r="I24" s="103"/>
      <c r="J24" s="100"/>
      <c r="K24" s="101"/>
      <c r="L24" s="101"/>
      <c r="M24" s="101"/>
      <c r="N24" s="101"/>
      <c r="O24" s="101"/>
      <c r="P24" s="101"/>
      <c r="Q24" s="102"/>
      <c r="R24" s="100"/>
      <c r="S24" s="101"/>
      <c r="T24" s="101"/>
      <c r="U24" s="101"/>
      <c r="V24" s="101"/>
      <c r="W24" s="101"/>
      <c r="X24" s="101"/>
      <c r="Y24" s="102"/>
      <c r="Z24" s="100"/>
      <c r="AA24" s="101"/>
      <c r="AB24" s="101"/>
      <c r="AC24" s="101"/>
      <c r="AD24" s="101"/>
      <c r="AE24" s="102"/>
      <c r="AF24" s="116"/>
      <c r="AG24" s="117"/>
      <c r="AH24" s="117"/>
      <c r="AI24" s="117"/>
      <c r="AJ24" s="117"/>
      <c r="AK24" s="117"/>
      <c r="AL24" s="117"/>
      <c r="AM24" s="117"/>
      <c r="AN24" s="117"/>
      <c r="AO24" s="117"/>
      <c r="AP24" s="117"/>
      <c r="AQ24" s="117"/>
      <c r="AR24" s="117"/>
      <c r="AS24" s="117"/>
      <c r="AT24" s="117"/>
      <c r="AU24" s="117"/>
      <c r="AV24" s="117"/>
      <c r="AW24" s="117"/>
      <c r="AX24" s="117"/>
      <c r="AY24" s="117"/>
      <c r="AZ24" s="117"/>
      <c r="BA24" s="117"/>
      <c r="BB24" s="117"/>
      <c r="BC24" s="117"/>
      <c r="BD24" s="117"/>
      <c r="BE24" s="117"/>
      <c r="BF24" s="117"/>
      <c r="BG24" s="117"/>
      <c r="BH24" s="117"/>
      <c r="BI24" s="117"/>
      <c r="BJ24" s="117"/>
      <c r="BK24" s="117"/>
      <c r="BL24" s="117"/>
      <c r="BM24" s="117"/>
      <c r="BN24" s="117"/>
      <c r="BO24" s="117"/>
      <c r="BP24" s="117"/>
      <c r="BQ24" s="117"/>
      <c r="BR24" s="117"/>
      <c r="BS24" s="117"/>
      <c r="BT24" s="117"/>
      <c r="BU24" s="117"/>
      <c r="BV24" s="117"/>
      <c r="BW24" s="117"/>
      <c r="BX24" s="117"/>
      <c r="BY24" s="117"/>
      <c r="BZ24" s="117"/>
      <c r="CA24" s="117"/>
      <c r="CB24" s="117"/>
      <c r="CC24" s="117"/>
      <c r="CD24" s="117"/>
      <c r="CE24" s="118"/>
    </row>
    <row r="25" spans="1:83" ht="13.5" customHeight="1">
      <c r="A25" s="104"/>
      <c r="B25" s="104"/>
      <c r="C25" s="104"/>
      <c r="D25" s="103"/>
      <c r="E25" s="103"/>
      <c r="F25" s="103"/>
      <c r="G25" s="103"/>
      <c r="H25" s="103"/>
      <c r="I25" s="103"/>
      <c r="J25" s="100"/>
      <c r="K25" s="101"/>
      <c r="L25" s="101"/>
      <c r="M25" s="101"/>
      <c r="N25" s="101"/>
      <c r="O25" s="101"/>
      <c r="P25" s="101"/>
      <c r="Q25" s="102"/>
      <c r="R25" s="100"/>
      <c r="S25" s="101"/>
      <c r="T25" s="101"/>
      <c r="U25" s="101"/>
      <c r="V25" s="101"/>
      <c r="W25" s="101"/>
      <c r="X25" s="101"/>
      <c r="Y25" s="102"/>
      <c r="Z25" s="100"/>
      <c r="AA25" s="101"/>
      <c r="AB25" s="101"/>
      <c r="AC25" s="101"/>
      <c r="AD25" s="101"/>
      <c r="AE25" s="102"/>
      <c r="AF25" s="116"/>
      <c r="AG25" s="117"/>
      <c r="AH25" s="117"/>
      <c r="AI25" s="117"/>
      <c r="AJ25" s="117"/>
      <c r="AK25" s="117"/>
      <c r="AL25" s="117"/>
      <c r="AM25" s="117"/>
      <c r="AN25" s="117"/>
      <c r="AO25" s="117"/>
      <c r="AP25" s="117"/>
      <c r="AQ25" s="117"/>
      <c r="AR25" s="117"/>
      <c r="AS25" s="117"/>
      <c r="AT25" s="117"/>
      <c r="AU25" s="117"/>
      <c r="AV25" s="117"/>
      <c r="AW25" s="117"/>
      <c r="AX25" s="117"/>
      <c r="AY25" s="117"/>
      <c r="AZ25" s="117"/>
      <c r="BA25" s="117"/>
      <c r="BB25" s="117"/>
      <c r="BC25" s="117"/>
      <c r="BD25" s="117"/>
      <c r="BE25" s="117"/>
      <c r="BF25" s="117"/>
      <c r="BG25" s="117"/>
      <c r="BH25" s="117"/>
      <c r="BI25" s="117"/>
      <c r="BJ25" s="117"/>
      <c r="BK25" s="117"/>
      <c r="BL25" s="117"/>
      <c r="BM25" s="117"/>
      <c r="BN25" s="117"/>
      <c r="BO25" s="117"/>
      <c r="BP25" s="117"/>
      <c r="BQ25" s="117"/>
      <c r="BR25" s="117"/>
      <c r="BS25" s="117"/>
      <c r="BT25" s="117"/>
      <c r="BU25" s="117"/>
      <c r="BV25" s="117"/>
      <c r="BW25" s="117"/>
      <c r="BX25" s="117"/>
      <c r="BY25" s="117"/>
      <c r="BZ25" s="117"/>
      <c r="CA25" s="117"/>
      <c r="CB25" s="117"/>
      <c r="CC25" s="117"/>
      <c r="CD25" s="117"/>
      <c r="CE25" s="118"/>
    </row>
    <row r="26" spans="1:83" ht="13.5" customHeight="1">
      <c r="A26" s="104"/>
      <c r="B26" s="104"/>
      <c r="C26" s="104"/>
      <c r="D26" s="103"/>
      <c r="E26" s="103"/>
      <c r="F26" s="103"/>
      <c r="G26" s="103"/>
      <c r="H26" s="103"/>
      <c r="I26" s="103"/>
      <c r="J26" s="100"/>
      <c r="K26" s="101"/>
      <c r="L26" s="101"/>
      <c r="M26" s="101"/>
      <c r="N26" s="101"/>
      <c r="O26" s="101"/>
      <c r="P26" s="101"/>
      <c r="Q26" s="102"/>
      <c r="R26" s="100"/>
      <c r="S26" s="101"/>
      <c r="T26" s="101"/>
      <c r="U26" s="101"/>
      <c r="V26" s="101"/>
      <c r="W26" s="101"/>
      <c r="X26" s="101"/>
      <c r="Y26" s="102"/>
      <c r="Z26" s="100"/>
      <c r="AA26" s="101"/>
      <c r="AB26" s="101"/>
      <c r="AC26" s="101"/>
      <c r="AD26" s="101"/>
      <c r="AE26" s="102"/>
      <c r="AF26" s="116"/>
      <c r="AG26" s="117"/>
      <c r="AH26" s="117"/>
      <c r="AI26" s="117"/>
      <c r="AJ26" s="117"/>
      <c r="AK26" s="117"/>
      <c r="AL26" s="117"/>
      <c r="AM26" s="117"/>
      <c r="AN26" s="117"/>
      <c r="AO26" s="117"/>
      <c r="AP26" s="117"/>
      <c r="AQ26" s="117"/>
      <c r="AR26" s="117"/>
      <c r="AS26" s="117"/>
      <c r="AT26" s="117"/>
      <c r="AU26" s="117"/>
      <c r="AV26" s="117"/>
      <c r="AW26" s="117"/>
      <c r="AX26" s="117"/>
      <c r="AY26" s="117"/>
      <c r="AZ26" s="117"/>
      <c r="BA26" s="117"/>
      <c r="BB26" s="117"/>
      <c r="BC26" s="117"/>
      <c r="BD26" s="117"/>
      <c r="BE26" s="117"/>
      <c r="BF26" s="117"/>
      <c r="BG26" s="117"/>
      <c r="BH26" s="117"/>
      <c r="BI26" s="117"/>
      <c r="BJ26" s="117"/>
      <c r="BK26" s="117"/>
      <c r="BL26" s="117"/>
      <c r="BM26" s="117"/>
      <c r="BN26" s="117"/>
      <c r="BO26" s="117"/>
      <c r="BP26" s="117"/>
      <c r="BQ26" s="117"/>
      <c r="BR26" s="117"/>
      <c r="BS26" s="117"/>
      <c r="BT26" s="117"/>
      <c r="BU26" s="117"/>
      <c r="BV26" s="117"/>
      <c r="BW26" s="117"/>
      <c r="BX26" s="117"/>
      <c r="BY26" s="117"/>
      <c r="BZ26" s="117"/>
      <c r="CA26" s="117"/>
      <c r="CB26" s="117"/>
      <c r="CC26" s="117"/>
      <c r="CD26" s="117"/>
      <c r="CE26" s="118"/>
    </row>
    <row r="27" spans="1:83" ht="13.5" customHeight="1">
      <c r="A27" s="104"/>
      <c r="B27" s="104"/>
      <c r="C27" s="104"/>
      <c r="D27" s="103"/>
      <c r="E27" s="103"/>
      <c r="F27" s="103"/>
      <c r="G27" s="103"/>
      <c r="H27" s="103"/>
      <c r="I27" s="103"/>
      <c r="J27" s="100"/>
      <c r="K27" s="101"/>
      <c r="L27" s="101"/>
      <c r="M27" s="101"/>
      <c r="N27" s="101"/>
      <c r="O27" s="101"/>
      <c r="P27" s="101"/>
      <c r="Q27" s="102"/>
      <c r="R27" s="100"/>
      <c r="S27" s="101"/>
      <c r="T27" s="101"/>
      <c r="U27" s="101"/>
      <c r="V27" s="101"/>
      <c r="W27" s="101"/>
      <c r="X27" s="101"/>
      <c r="Y27" s="102"/>
      <c r="Z27" s="100"/>
      <c r="AA27" s="101"/>
      <c r="AB27" s="101"/>
      <c r="AC27" s="101"/>
      <c r="AD27" s="101"/>
      <c r="AE27" s="102"/>
      <c r="AF27" s="116"/>
      <c r="AG27" s="117"/>
      <c r="AH27" s="117"/>
      <c r="AI27" s="117"/>
      <c r="AJ27" s="117"/>
      <c r="AK27" s="117"/>
      <c r="AL27" s="117"/>
      <c r="AM27" s="117"/>
      <c r="AN27" s="117"/>
      <c r="AO27" s="117"/>
      <c r="AP27" s="117"/>
      <c r="AQ27" s="117"/>
      <c r="AR27" s="117"/>
      <c r="AS27" s="117"/>
      <c r="AT27" s="117"/>
      <c r="AU27" s="117"/>
      <c r="AV27" s="117"/>
      <c r="AW27" s="117"/>
      <c r="AX27" s="117"/>
      <c r="AY27" s="117"/>
      <c r="AZ27" s="117"/>
      <c r="BA27" s="117"/>
      <c r="BB27" s="117"/>
      <c r="BC27" s="117"/>
      <c r="BD27" s="117"/>
      <c r="BE27" s="117"/>
      <c r="BF27" s="117"/>
      <c r="BG27" s="117"/>
      <c r="BH27" s="117"/>
      <c r="BI27" s="117"/>
      <c r="BJ27" s="117"/>
      <c r="BK27" s="117"/>
      <c r="BL27" s="117"/>
      <c r="BM27" s="117"/>
      <c r="BN27" s="117"/>
      <c r="BO27" s="117"/>
      <c r="BP27" s="117"/>
      <c r="BQ27" s="117"/>
      <c r="BR27" s="117"/>
      <c r="BS27" s="117"/>
      <c r="BT27" s="117"/>
      <c r="BU27" s="117"/>
      <c r="BV27" s="117"/>
      <c r="BW27" s="117"/>
      <c r="BX27" s="117"/>
      <c r="BY27" s="117"/>
      <c r="BZ27" s="117"/>
      <c r="CA27" s="117"/>
      <c r="CB27" s="117"/>
      <c r="CC27" s="117"/>
      <c r="CD27" s="117"/>
      <c r="CE27" s="118"/>
    </row>
    <row r="28" spans="1:83" ht="13.5" customHeight="1">
      <c r="A28" s="104"/>
      <c r="B28" s="104"/>
      <c r="C28" s="104"/>
      <c r="D28" s="103"/>
      <c r="E28" s="103"/>
      <c r="F28" s="103"/>
      <c r="G28" s="103"/>
      <c r="H28" s="103"/>
      <c r="I28" s="103"/>
      <c r="J28" s="100"/>
      <c r="K28" s="101"/>
      <c r="L28" s="101"/>
      <c r="M28" s="101"/>
      <c r="N28" s="101"/>
      <c r="O28" s="101"/>
      <c r="P28" s="101"/>
      <c r="Q28" s="102"/>
      <c r="R28" s="100"/>
      <c r="S28" s="101"/>
      <c r="T28" s="101"/>
      <c r="U28" s="101"/>
      <c r="V28" s="101"/>
      <c r="W28" s="101"/>
      <c r="X28" s="101"/>
      <c r="Y28" s="102"/>
      <c r="Z28" s="100"/>
      <c r="AA28" s="101"/>
      <c r="AB28" s="101"/>
      <c r="AC28" s="101"/>
      <c r="AD28" s="101"/>
      <c r="AE28" s="102"/>
      <c r="AF28" s="116"/>
      <c r="AG28" s="117"/>
      <c r="AH28" s="117"/>
      <c r="AI28" s="117"/>
      <c r="AJ28" s="117"/>
      <c r="AK28" s="117"/>
      <c r="AL28" s="117"/>
      <c r="AM28" s="117"/>
      <c r="AN28" s="117"/>
      <c r="AO28" s="117"/>
      <c r="AP28" s="117"/>
      <c r="AQ28" s="117"/>
      <c r="AR28" s="117"/>
      <c r="AS28" s="117"/>
      <c r="AT28" s="117"/>
      <c r="AU28" s="117"/>
      <c r="AV28" s="117"/>
      <c r="AW28" s="117"/>
      <c r="AX28" s="117"/>
      <c r="AY28" s="117"/>
      <c r="AZ28" s="117"/>
      <c r="BA28" s="117"/>
      <c r="BB28" s="117"/>
      <c r="BC28" s="117"/>
      <c r="BD28" s="117"/>
      <c r="BE28" s="117"/>
      <c r="BF28" s="117"/>
      <c r="BG28" s="117"/>
      <c r="BH28" s="117"/>
      <c r="BI28" s="117"/>
      <c r="BJ28" s="117"/>
      <c r="BK28" s="117"/>
      <c r="BL28" s="117"/>
      <c r="BM28" s="117"/>
      <c r="BN28" s="117"/>
      <c r="BO28" s="117"/>
      <c r="BP28" s="117"/>
      <c r="BQ28" s="117"/>
      <c r="BR28" s="117"/>
      <c r="BS28" s="117"/>
      <c r="BT28" s="117"/>
      <c r="BU28" s="117"/>
      <c r="BV28" s="117"/>
      <c r="BW28" s="117"/>
      <c r="BX28" s="117"/>
      <c r="BY28" s="117"/>
      <c r="BZ28" s="117"/>
      <c r="CA28" s="117"/>
      <c r="CB28" s="117"/>
      <c r="CC28" s="117"/>
      <c r="CD28" s="117"/>
      <c r="CE28" s="118"/>
    </row>
    <row r="29" spans="1:83" ht="13.5" customHeight="1">
      <c r="A29" s="104"/>
      <c r="B29" s="104"/>
      <c r="C29" s="104"/>
      <c r="D29" s="103"/>
      <c r="E29" s="103"/>
      <c r="F29" s="103"/>
      <c r="G29" s="103"/>
      <c r="H29" s="103"/>
      <c r="I29" s="103"/>
      <c r="J29" s="100"/>
      <c r="K29" s="101"/>
      <c r="L29" s="101"/>
      <c r="M29" s="101"/>
      <c r="N29" s="101"/>
      <c r="O29" s="101"/>
      <c r="P29" s="101"/>
      <c r="Q29" s="102"/>
      <c r="R29" s="100"/>
      <c r="S29" s="101"/>
      <c r="T29" s="101"/>
      <c r="U29" s="101"/>
      <c r="V29" s="101"/>
      <c r="W29" s="101"/>
      <c r="X29" s="101"/>
      <c r="Y29" s="102"/>
      <c r="Z29" s="100"/>
      <c r="AA29" s="101"/>
      <c r="AB29" s="101"/>
      <c r="AC29" s="101"/>
      <c r="AD29" s="101"/>
      <c r="AE29" s="102"/>
      <c r="AF29" s="116"/>
      <c r="AG29" s="117"/>
      <c r="AH29" s="117"/>
      <c r="AI29" s="117"/>
      <c r="AJ29" s="117"/>
      <c r="AK29" s="117"/>
      <c r="AL29" s="117"/>
      <c r="AM29" s="117"/>
      <c r="AN29" s="117"/>
      <c r="AO29" s="117"/>
      <c r="AP29" s="117"/>
      <c r="AQ29" s="117"/>
      <c r="AR29" s="117"/>
      <c r="AS29" s="117"/>
      <c r="AT29" s="117"/>
      <c r="AU29" s="117"/>
      <c r="AV29" s="117"/>
      <c r="AW29" s="117"/>
      <c r="AX29" s="117"/>
      <c r="AY29" s="117"/>
      <c r="AZ29" s="117"/>
      <c r="BA29" s="117"/>
      <c r="BB29" s="117"/>
      <c r="BC29" s="117"/>
      <c r="BD29" s="117"/>
      <c r="BE29" s="117"/>
      <c r="BF29" s="117"/>
      <c r="BG29" s="117"/>
      <c r="BH29" s="117"/>
      <c r="BI29" s="117"/>
      <c r="BJ29" s="117"/>
      <c r="BK29" s="117"/>
      <c r="BL29" s="117"/>
      <c r="BM29" s="117"/>
      <c r="BN29" s="117"/>
      <c r="BO29" s="117"/>
      <c r="BP29" s="117"/>
      <c r="BQ29" s="117"/>
      <c r="BR29" s="117"/>
      <c r="BS29" s="117"/>
      <c r="BT29" s="117"/>
      <c r="BU29" s="117"/>
      <c r="BV29" s="117"/>
      <c r="BW29" s="117"/>
      <c r="BX29" s="117"/>
      <c r="BY29" s="117"/>
      <c r="BZ29" s="117"/>
      <c r="CA29" s="117"/>
      <c r="CB29" s="117"/>
      <c r="CC29" s="117"/>
      <c r="CD29" s="117"/>
      <c r="CE29" s="118"/>
    </row>
    <row r="30" spans="1:83" ht="13.5" customHeight="1">
      <c r="A30" s="104"/>
      <c r="B30" s="104"/>
      <c r="C30" s="104"/>
      <c r="D30" s="103"/>
      <c r="E30" s="103"/>
      <c r="F30" s="103"/>
      <c r="G30" s="103"/>
      <c r="H30" s="103"/>
      <c r="I30" s="103"/>
      <c r="J30" s="100"/>
      <c r="K30" s="101"/>
      <c r="L30" s="101"/>
      <c r="M30" s="101"/>
      <c r="N30" s="101"/>
      <c r="O30" s="101"/>
      <c r="P30" s="101"/>
      <c r="Q30" s="102"/>
      <c r="R30" s="100"/>
      <c r="S30" s="101"/>
      <c r="T30" s="101"/>
      <c r="U30" s="101"/>
      <c r="V30" s="101"/>
      <c r="W30" s="101"/>
      <c r="X30" s="101"/>
      <c r="Y30" s="102"/>
      <c r="Z30" s="100"/>
      <c r="AA30" s="101"/>
      <c r="AB30" s="101"/>
      <c r="AC30" s="101"/>
      <c r="AD30" s="101"/>
      <c r="AE30" s="102"/>
      <c r="AF30" s="116"/>
      <c r="AG30" s="117"/>
      <c r="AH30" s="117"/>
      <c r="AI30" s="117"/>
      <c r="AJ30" s="117"/>
      <c r="AK30" s="117"/>
      <c r="AL30" s="117"/>
      <c r="AM30" s="117"/>
      <c r="AN30" s="117"/>
      <c r="AO30" s="117"/>
      <c r="AP30" s="117"/>
      <c r="AQ30" s="117"/>
      <c r="AR30" s="117"/>
      <c r="AS30" s="117"/>
      <c r="AT30" s="117"/>
      <c r="AU30" s="117"/>
      <c r="AV30" s="117"/>
      <c r="AW30" s="117"/>
      <c r="AX30" s="117"/>
      <c r="AY30" s="117"/>
      <c r="AZ30" s="117"/>
      <c r="BA30" s="117"/>
      <c r="BB30" s="117"/>
      <c r="BC30" s="117"/>
      <c r="BD30" s="117"/>
      <c r="BE30" s="117"/>
      <c r="BF30" s="117"/>
      <c r="BG30" s="117"/>
      <c r="BH30" s="117"/>
      <c r="BI30" s="117"/>
      <c r="BJ30" s="117"/>
      <c r="BK30" s="117"/>
      <c r="BL30" s="117"/>
      <c r="BM30" s="117"/>
      <c r="BN30" s="117"/>
      <c r="BO30" s="117"/>
      <c r="BP30" s="117"/>
      <c r="BQ30" s="117"/>
      <c r="BR30" s="117"/>
      <c r="BS30" s="117"/>
      <c r="BT30" s="117"/>
      <c r="BU30" s="117"/>
      <c r="BV30" s="117"/>
      <c r="BW30" s="117"/>
      <c r="BX30" s="117"/>
      <c r="BY30" s="117"/>
      <c r="BZ30" s="117"/>
      <c r="CA30" s="117"/>
      <c r="CB30" s="117"/>
      <c r="CC30" s="117"/>
      <c r="CD30" s="117"/>
      <c r="CE30" s="118"/>
    </row>
    <row r="31" spans="1:83" ht="13.5" customHeight="1">
      <c r="A31" s="104"/>
      <c r="B31" s="104"/>
      <c r="C31" s="104"/>
      <c r="D31" s="103"/>
      <c r="E31" s="103"/>
      <c r="F31" s="103"/>
      <c r="G31" s="103"/>
      <c r="H31" s="103"/>
      <c r="I31" s="103"/>
      <c r="J31" s="100"/>
      <c r="K31" s="101"/>
      <c r="L31" s="101"/>
      <c r="M31" s="101"/>
      <c r="N31" s="101"/>
      <c r="O31" s="101"/>
      <c r="P31" s="101"/>
      <c r="Q31" s="102"/>
      <c r="R31" s="100"/>
      <c r="S31" s="101"/>
      <c r="T31" s="101"/>
      <c r="U31" s="101"/>
      <c r="V31" s="101"/>
      <c r="W31" s="101"/>
      <c r="X31" s="101"/>
      <c r="Y31" s="102"/>
      <c r="Z31" s="100"/>
      <c r="AA31" s="101"/>
      <c r="AB31" s="101"/>
      <c r="AC31" s="101"/>
      <c r="AD31" s="101"/>
      <c r="AE31" s="102"/>
      <c r="AF31" s="116"/>
      <c r="AG31" s="117"/>
      <c r="AH31" s="117"/>
      <c r="AI31" s="117"/>
      <c r="AJ31" s="117"/>
      <c r="AK31" s="117"/>
      <c r="AL31" s="117"/>
      <c r="AM31" s="117"/>
      <c r="AN31" s="117"/>
      <c r="AO31" s="117"/>
      <c r="AP31" s="117"/>
      <c r="AQ31" s="117"/>
      <c r="AR31" s="117"/>
      <c r="AS31" s="117"/>
      <c r="AT31" s="117"/>
      <c r="AU31" s="117"/>
      <c r="AV31" s="117"/>
      <c r="AW31" s="117"/>
      <c r="AX31" s="117"/>
      <c r="AY31" s="117"/>
      <c r="AZ31" s="117"/>
      <c r="BA31" s="117"/>
      <c r="BB31" s="117"/>
      <c r="BC31" s="117"/>
      <c r="BD31" s="117"/>
      <c r="BE31" s="117"/>
      <c r="BF31" s="117"/>
      <c r="BG31" s="117"/>
      <c r="BH31" s="117"/>
      <c r="BI31" s="117"/>
      <c r="BJ31" s="117"/>
      <c r="BK31" s="117"/>
      <c r="BL31" s="117"/>
      <c r="BM31" s="117"/>
      <c r="BN31" s="117"/>
      <c r="BO31" s="117"/>
      <c r="BP31" s="117"/>
      <c r="BQ31" s="117"/>
      <c r="BR31" s="117"/>
      <c r="BS31" s="117"/>
      <c r="BT31" s="117"/>
      <c r="BU31" s="117"/>
      <c r="BV31" s="117"/>
      <c r="BW31" s="117"/>
      <c r="BX31" s="117"/>
      <c r="BY31" s="117"/>
      <c r="BZ31" s="117"/>
      <c r="CA31" s="117"/>
      <c r="CB31" s="117"/>
      <c r="CC31" s="117"/>
      <c r="CD31" s="117"/>
      <c r="CE31" s="118"/>
    </row>
    <row r="32" spans="1:83" ht="13.5" customHeight="1">
      <c r="A32" s="104"/>
      <c r="B32" s="104"/>
      <c r="C32" s="104"/>
      <c r="D32" s="103"/>
      <c r="E32" s="103"/>
      <c r="F32" s="103"/>
      <c r="G32" s="103"/>
      <c r="H32" s="103"/>
      <c r="I32" s="103"/>
      <c r="J32" s="100"/>
      <c r="K32" s="101"/>
      <c r="L32" s="101"/>
      <c r="M32" s="101"/>
      <c r="N32" s="101"/>
      <c r="O32" s="101"/>
      <c r="P32" s="101"/>
      <c r="Q32" s="102"/>
      <c r="R32" s="100"/>
      <c r="S32" s="101"/>
      <c r="T32" s="101"/>
      <c r="U32" s="101"/>
      <c r="V32" s="101"/>
      <c r="W32" s="101"/>
      <c r="X32" s="101"/>
      <c r="Y32" s="102"/>
      <c r="Z32" s="100"/>
      <c r="AA32" s="101"/>
      <c r="AB32" s="101"/>
      <c r="AC32" s="101"/>
      <c r="AD32" s="101"/>
      <c r="AE32" s="102"/>
      <c r="AF32" s="116"/>
      <c r="AG32" s="117"/>
      <c r="AH32" s="117"/>
      <c r="AI32" s="117"/>
      <c r="AJ32" s="117"/>
      <c r="AK32" s="117"/>
      <c r="AL32" s="117"/>
      <c r="AM32" s="117"/>
      <c r="AN32" s="117"/>
      <c r="AO32" s="117"/>
      <c r="AP32" s="117"/>
      <c r="AQ32" s="117"/>
      <c r="AR32" s="117"/>
      <c r="AS32" s="117"/>
      <c r="AT32" s="117"/>
      <c r="AU32" s="117"/>
      <c r="AV32" s="117"/>
      <c r="AW32" s="117"/>
      <c r="AX32" s="117"/>
      <c r="AY32" s="117"/>
      <c r="AZ32" s="117"/>
      <c r="BA32" s="117"/>
      <c r="BB32" s="117"/>
      <c r="BC32" s="117"/>
      <c r="BD32" s="117"/>
      <c r="BE32" s="117"/>
      <c r="BF32" s="117"/>
      <c r="BG32" s="117"/>
      <c r="BH32" s="117"/>
      <c r="BI32" s="117"/>
      <c r="BJ32" s="117"/>
      <c r="BK32" s="117"/>
      <c r="BL32" s="117"/>
      <c r="BM32" s="117"/>
      <c r="BN32" s="117"/>
      <c r="BO32" s="117"/>
      <c r="BP32" s="117"/>
      <c r="BQ32" s="117"/>
      <c r="BR32" s="117"/>
      <c r="BS32" s="117"/>
      <c r="BT32" s="117"/>
      <c r="BU32" s="117"/>
      <c r="BV32" s="117"/>
      <c r="BW32" s="117"/>
      <c r="BX32" s="117"/>
      <c r="BY32" s="117"/>
      <c r="BZ32" s="117"/>
      <c r="CA32" s="117"/>
      <c r="CB32" s="117"/>
      <c r="CC32" s="117"/>
      <c r="CD32" s="117"/>
      <c r="CE32" s="118"/>
    </row>
    <row r="33" spans="1:83" ht="13.5" customHeight="1">
      <c r="A33" s="104"/>
      <c r="B33" s="104"/>
      <c r="C33" s="104"/>
      <c r="D33" s="103"/>
      <c r="E33" s="103"/>
      <c r="F33" s="103"/>
      <c r="G33" s="103"/>
      <c r="H33" s="103"/>
      <c r="I33" s="103"/>
      <c r="J33" s="100"/>
      <c r="K33" s="101"/>
      <c r="L33" s="101"/>
      <c r="M33" s="101"/>
      <c r="N33" s="101"/>
      <c r="O33" s="101"/>
      <c r="P33" s="101"/>
      <c r="Q33" s="102"/>
      <c r="R33" s="100"/>
      <c r="S33" s="101"/>
      <c r="T33" s="101"/>
      <c r="U33" s="101"/>
      <c r="V33" s="101"/>
      <c r="W33" s="101"/>
      <c r="X33" s="101"/>
      <c r="Y33" s="102"/>
      <c r="Z33" s="100"/>
      <c r="AA33" s="101"/>
      <c r="AB33" s="101"/>
      <c r="AC33" s="101"/>
      <c r="AD33" s="101"/>
      <c r="AE33" s="102"/>
      <c r="AF33" s="116"/>
      <c r="AG33" s="117"/>
      <c r="AH33" s="117"/>
      <c r="AI33" s="117"/>
      <c r="AJ33" s="117"/>
      <c r="AK33" s="117"/>
      <c r="AL33" s="117"/>
      <c r="AM33" s="117"/>
      <c r="AN33" s="117"/>
      <c r="AO33" s="117"/>
      <c r="AP33" s="117"/>
      <c r="AQ33" s="117"/>
      <c r="AR33" s="117"/>
      <c r="AS33" s="117"/>
      <c r="AT33" s="117"/>
      <c r="AU33" s="117"/>
      <c r="AV33" s="117"/>
      <c r="AW33" s="117"/>
      <c r="AX33" s="117"/>
      <c r="AY33" s="117"/>
      <c r="AZ33" s="117"/>
      <c r="BA33" s="117"/>
      <c r="BB33" s="117"/>
      <c r="BC33" s="117"/>
      <c r="BD33" s="117"/>
      <c r="BE33" s="117"/>
      <c r="BF33" s="117"/>
      <c r="BG33" s="117"/>
      <c r="BH33" s="117"/>
      <c r="BI33" s="117"/>
      <c r="BJ33" s="117"/>
      <c r="BK33" s="117"/>
      <c r="BL33" s="117"/>
      <c r="BM33" s="117"/>
      <c r="BN33" s="117"/>
      <c r="BO33" s="117"/>
      <c r="BP33" s="117"/>
      <c r="BQ33" s="117"/>
      <c r="BR33" s="117"/>
      <c r="BS33" s="117"/>
      <c r="BT33" s="117"/>
      <c r="BU33" s="117"/>
      <c r="BV33" s="117"/>
      <c r="BW33" s="117"/>
      <c r="BX33" s="117"/>
      <c r="BY33" s="117"/>
      <c r="BZ33" s="117"/>
      <c r="CA33" s="117"/>
      <c r="CB33" s="117"/>
      <c r="CC33" s="117"/>
      <c r="CD33" s="117"/>
      <c r="CE33" s="118"/>
    </row>
    <row r="34" spans="1:83" ht="13.5" customHeight="1">
      <c r="A34" s="104"/>
      <c r="B34" s="104"/>
      <c r="C34" s="104"/>
      <c r="D34" s="103"/>
      <c r="E34" s="103"/>
      <c r="F34" s="103"/>
      <c r="G34" s="103"/>
      <c r="H34" s="103"/>
      <c r="I34" s="103"/>
      <c r="J34" s="100"/>
      <c r="K34" s="101"/>
      <c r="L34" s="101"/>
      <c r="M34" s="101"/>
      <c r="N34" s="101"/>
      <c r="O34" s="101"/>
      <c r="P34" s="101"/>
      <c r="Q34" s="102"/>
      <c r="R34" s="100"/>
      <c r="S34" s="101"/>
      <c r="T34" s="101"/>
      <c r="U34" s="101"/>
      <c r="V34" s="101"/>
      <c r="W34" s="101"/>
      <c r="X34" s="101"/>
      <c r="Y34" s="102"/>
      <c r="Z34" s="100"/>
      <c r="AA34" s="101"/>
      <c r="AB34" s="101"/>
      <c r="AC34" s="101"/>
      <c r="AD34" s="101"/>
      <c r="AE34" s="102"/>
      <c r="AF34" s="116"/>
      <c r="AG34" s="117"/>
      <c r="AH34" s="117"/>
      <c r="AI34" s="117"/>
      <c r="AJ34" s="117"/>
      <c r="AK34" s="117"/>
      <c r="AL34" s="117"/>
      <c r="AM34" s="117"/>
      <c r="AN34" s="117"/>
      <c r="AO34" s="117"/>
      <c r="AP34" s="117"/>
      <c r="AQ34" s="117"/>
      <c r="AR34" s="117"/>
      <c r="AS34" s="117"/>
      <c r="AT34" s="117"/>
      <c r="AU34" s="117"/>
      <c r="AV34" s="117"/>
      <c r="AW34" s="117"/>
      <c r="AX34" s="117"/>
      <c r="AY34" s="117"/>
      <c r="AZ34" s="117"/>
      <c r="BA34" s="117"/>
      <c r="BB34" s="117"/>
      <c r="BC34" s="117"/>
      <c r="BD34" s="117"/>
      <c r="BE34" s="117"/>
      <c r="BF34" s="117"/>
      <c r="BG34" s="117"/>
      <c r="BH34" s="117"/>
      <c r="BI34" s="117"/>
      <c r="BJ34" s="117"/>
      <c r="BK34" s="117"/>
      <c r="BL34" s="117"/>
      <c r="BM34" s="117"/>
      <c r="BN34" s="117"/>
      <c r="BO34" s="117"/>
      <c r="BP34" s="117"/>
      <c r="BQ34" s="117"/>
      <c r="BR34" s="117"/>
      <c r="BS34" s="117"/>
      <c r="BT34" s="117"/>
      <c r="BU34" s="117"/>
      <c r="BV34" s="117"/>
      <c r="BW34" s="117"/>
      <c r="BX34" s="117"/>
      <c r="BY34" s="117"/>
      <c r="BZ34" s="117"/>
      <c r="CA34" s="117"/>
      <c r="CB34" s="117"/>
      <c r="CC34" s="117"/>
      <c r="CD34" s="117"/>
      <c r="CE34" s="118"/>
    </row>
    <row r="35" spans="1:83" ht="13.5" customHeight="1">
      <c r="A35" s="104"/>
      <c r="B35" s="104"/>
      <c r="C35" s="104"/>
      <c r="D35" s="103"/>
      <c r="E35" s="103"/>
      <c r="F35" s="103"/>
      <c r="G35" s="103"/>
      <c r="H35" s="103"/>
      <c r="I35" s="103"/>
      <c r="J35" s="100"/>
      <c r="K35" s="101"/>
      <c r="L35" s="101"/>
      <c r="M35" s="101"/>
      <c r="N35" s="101"/>
      <c r="O35" s="101"/>
      <c r="P35" s="101"/>
      <c r="Q35" s="102"/>
      <c r="R35" s="100"/>
      <c r="S35" s="101"/>
      <c r="T35" s="101"/>
      <c r="U35" s="101"/>
      <c r="V35" s="101"/>
      <c r="W35" s="101"/>
      <c r="X35" s="101"/>
      <c r="Y35" s="102"/>
      <c r="Z35" s="100"/>
      <c r="AA35" s="101"/>
      <c r="AB35" s="101"/>
      <c r="AC35" s="101"/>
      <c r="AD35" s="101"/>
      <c r="AE35" s="102"/>
      <c r="AF35" s="116"/>
      <c r="AG35" s="117"/>
      <c r="AH35" s="117"/>
      <c r="AI35" s="117"/>
      <c r="AJ35" s="117"/>
      <c r="AK35" s="117"/>
      <c r="AL35" s="117"/>
      <c r="AM35" s="117"/>
      <c r="AN35" s="117"/>
      <c r="AO35" s="117"/>
      <c r="AP35" s="117"/>
      <c r="AQ35" s="117"/>
      <c r="AR35" s="117"/>
      <c r="AS35" s="117"/>
      <c r="AT35" s="117"/>
      <c r="AU35" s="117"/>
      <c r="AV35" s="117"/>
      <c r="AW35" s="117"/>
      <c r="AX35" s="117"/>
      <c r="AY35" s="117"/>
      <c r="AZ35" s="117"/>
      <c r="BA35" s="117"/>
      <c r="BB35" s="117"/>
      <c r="BC35" s="117"/>
      <c r="BD35" s="117"/>
      <c r="BE35" s="117"/>
      <c r="BF35" s="117"/>
      <c r="BG35" s="117"/>
      <c r="BH35" s="117"/>
      <c r="BI35" s="117"/>
      <c r="BJ35" s="117"/>
      <c r="BK35" s="117"/>
      <c r="BL35" s="117"/>
      <c r="BM35" s="117"/>
      <c r="BN35" s="117"/>
      <c r="BO35" s="117"/>
      <c r="BP35" s="117"/>
      <c r="BQ35" s="117"/>
      <c r="BR35" s="117"/>
      <c r="BS35" s="117"/>
      <c r="BT35" s="117"/>
      <c r="BU35" s="117"/>
      <c r="BV35" s="117"/>
      <c r="BW35" s="117"/>
      <c r="BX35" s="117"/>
      <c r="BY35" s="117"/>
      <c r="BZ35" s="117"/>
      <c r="CA35" s="117"/>
      <c r="CB35" s="117"/>
      <c r="CC35" s="117"/>
      <c r="CD35" s="117"/>
      <c r="CE35" s="118"/>
    </row>
    <row r="36" spans="1:83" ht="13.5" customHeight="1">
      <c r="A36" s="104"/>
      <c r="B36" s="104"/>
      <c r="C36" s="104"/>
      <c r="D36" s="103"/>
      <c r="E36" s="103"/>
      <c r="F36" s="103"/>
      <c r="G36" s="103"/>
      <c r="H36" s="103"/>
      <c r="I36" s="103"/>
      <c r="J36" s="100"/>
      <c r="K36" s="101"/>
      <c r="L36" s="101"/>
      <c r="M36" s="101"/>
      <c r="N36" s="101"/>
      <c r="O36" s="101"/>
      <c r="P36" s="101"/>
      <c r="Q36" s="102"/>
      <c r="R36" s="100"/>
      <c r="S36" s="101"/>
      <c r="T36" s="101"/>
      <c r="U36" s="101"/>
      <c r="V36" s="101"/>
      <c r="W36" s="101"/>
      <c r="X36" s="101"/>
      <c r="Y36" s="102"/>
      <c r="Z36" s="100"/>
      <c r="AA36" s="101"/>
      <c r="AB36" s="101"/>
      <c r="AC36" s="101"/>
      <c r="AD36" s="101"/>
      <c r="AE36" s="102"/>
      <c r="AF36" s="116"/>
      <c r="AG36" s="117"/>
      <c r="AH36" s="117"/>
      <c r="AI36" s="117"/>
      <c r="AJ36" s="117"/>
      <c r="AK36" s="117"/>
      <c r="AL36" s="117"/>
      <c r="AM36" s="117"/>
      <c r="AN36" s="117"/>
      <c r="AO36" s="117"/>
      <c r="AP36" s="117"/>
      <c r="AQ36" s="117"/>
      <c r="AR36" s="117"/>
      <c r="AS36" s="117"/>
      <c r="AT36" s="117"/>
      <c r="AU36" s="117"/>
      <c r="AV36" s="117"/>
      <c r="AW36" s="117"/>
      <c r="AX36" s="117"/>
      <c r="AY36" s="117"/>
      <c r="AZ36" s="117"/>
      <c r="BA36" s="117"/>
      <c r="BB36" s="117"/>
      <c r="BC36" s="117"/>
      <c r="BD36" s="117"/>
      <c r="BE36" s="117"/>
      <c r="BF36" s="117"/>
      <c r="BG36" s="117"/>
      <c r="BH36" s="117"/>
      <c r="BI36" s="117"/>
      <c r="BJ36" s="117"/>
      <c r="BK36" s="117"/>
      <c r="BL36" s="117"/>
      <c r="BM36" s="117"/>
      <c r="BN36" s="117"/>
      <c r="BO36" s="117"/>
      <c r="BP36" s="117"/>
      <c r="BQ36" s="117"/>
      <c r="BR36" s="117"/>
      <c r="BS36" s="117"/>
      <c r="BT36" s="117"/>
      <c r="BU36" s="117"/>
      <c r="BV36" s="117"/>
      <c r="BW36" s="117"/>
      <c r="BX36" s="117"/>
      <c r="BY36" s="117"/>
      <c r="BZ36" s="117"/>
      <c r="CA36" s="117"/>
      <c r="CB36" s="117"/>
      <c r="CC36" s="117"/>
      <c r="CD36" s="117"/>
      <c r="CE36" s="118"/>
    </row>
    <row r="37" spans="1:83" ht="13.5" customHeight="1">
      <c r="A37" s="104"/>
      <c r="B37" s="104"/>
      <c r="C37" s="104"/>
      <c r="D37" s="103"/>
      <c r="E37" s="103"/>
      <c r="F37" s="103"/>
      <c r="G37" s="103"/>
      <c r="H37" s="103"/>
      <c r="I37" s="103"/>
      <c r="J37" s="100"/>
      <c r="K37" s="101"/>
      <c r="L37" s="101"/>
      <c r="M37" s="101"/>
      <c r="N37" s="101"/>
      <c r="O37" s="101"/>
      <c r="P37" s="101"/>
      <c r="Q37" s="102"/>
      <c r="R37" s="100"/>
      <c r="S37" s="101"/>
      <c r="T37" s="101"/>
      <c r="U37" s="101"/>
      <c r="V37" s="101"/>
      <c r="W37" s="101"/>
      <c r="X37" s="101"/>
      <c r="Y37" s="102"/>
      <c r="Z37" s="100"/>
      <c r="AA37" s="101"/>
      <c r="AB37" s="101"/>
      <c r="AC37" s="101"/>
      <c r="AD37" s="101"/>
      <c r="AE37" s="102"/>
      <c r="AF37" s="116"/>
      <c r="AG37" s="117"/>
      <c r="AH37" s="117"/>
      <c r="AI37" s="117"/>
      <c r="AJ37" s="117"/>
      <c r="AK37" s="117"/>
      <c r="AL37" s="117"/>
      <c r="AM37" s="117"/>
      <c r="AN37" s="117"/>
      <c r="AO37" s="117"/>
      <c r="AP37" s="117"/>
      <c r="AQ37" s="117"/>
      <c r="AR37" s="117"/>
      <c r="AS37" s="117"/>
      <c r="AT37" s="117"/>
      <c r="AU37" s="117"/>
      <c r="AV37" s="117"/>
      <c r="AW37" s="117"/>
      <c r="AX37" s="117"/>
      <c r="AY37" s="117"/>
      <c r="AZ37" s="117"/>
      <c r="BA37" s="117"/>
      <c r="BB37" s="117"/>
      <c r="BC37" s="117"/>
      <c r="BD37" s="117"/>
      <c r="BE37" s="117"/>
      <c r="BF37" s="117"/>
      <c r="BG37" s="117"/>
      <c r="BH37" s="117"/>
      <c r="BI37" s="117"/>
      <c r="BJ37" s="117"/>
      <c r="BK37" s="117"/>
      <c r="BL37" s="117"/>
      <c r="BM37" s="117"/>
      <c r="BN37" s="117"/>
      <c r="BO37" s="117"/>
      <c r="BP37" s="117"/>
      <c r="BQ37" s="117"/>
      <c r="BR37" s="117"/>
      <c r="BS37" s="117"/>
      <c r="BT37" s="117"/>
      <c r="BU37" s="117"/>
      <c r="BV37" s="117"/>
      <c r="BW37" s="117"/>
      <c r="BX37" s="117"/>
      <c r="BY37" s="117"/>
      <c r="BZ37" s="117"/>
      <c r="CA37" s="117"/>
      <c r="CB37" s="117"/>
      <c r="CC37" s="117"/>
      <c r="CD37" s="117"/>
      <c r="CE37" s="118"/>
    </row>
    <row r="38" spans="1:83" ht="13.5" customHeight="1">
      <c r="A38" s="104"/>
      <c r="B38" s="104"/>
      <c r="C38" s="104"/>
      <c r="D38" s="103"/>
      <c r="E38" s="103"/>
      <c r="F38" s="103"/>
      <c r="G38" s="103"/>
      <c r="H38" s="103"/>
      <c r="I38" s="103"/>
      <c r="J38" s="100"/>
      <c r="K38" s="101"/>
      <c r="L38" s="101"/>
      <c r="M38" s="101"/>
      <c r="N38" s="101"/>
      <c r="O38" s="101"/>
      <c r="P38" s="101"/>
      <c r="Q38" s="102"/>
      <c r="R38" s="100"/>
      <c r="S38" s="101"/>
      <c r="T38" s="101"/>
      <c r="U38" s="101"/>
      <c r="V38" s="101"/>
      <c r="W38" s="101"/>
      <c r="X38" s="101"/>
      <c r="Y38" s="102"/>
      <c r="Z38" s="100"/>
      <c r="AA38" s="101"/>
      <c r="AB38" s="101"/>
      <c r="AC38" s="101"/>
      <c r="AD38" s="101"/>
      <c r="AE38" s="102"/>
      <c r="AF38" s="116"/>
      <c r="AG38" s="117"/>
      <c r="AH38" s="117"/>
      <c r="AI38" s="117"/>
      <c r="AJ38" s="117"/>
      <c r="AK38" s="117"/>
      <c r="AL38" s="117"/>
      <c r="AM38" s="117"/>
      <c r="AN38" s="117"/>
      <c r="AO38" s="117"/>
      <c r="AP38" s="117"/>
      <c r="AQ38" s="117"/>
      <c r="AR38" s="117"/>
      <c r="AS38" s="117"/>
      <c r="AT38" s="117"/>
      <c r="AU38" s="117"/>
      <c r="AV38" s="117"/>
      <c r="AW38" s="117"/>
      <c r="AX38" s="117"/>
      <c r="AY38" s="117"/>
      <c r="AZ38" s="117"/>
      <c r="BA38" s="117"/>
      <c r="BB38" s="117"/>
      <c r="BC38" s="117"/>
      <c r="BD38" s="117"/>
      <c r="BE38" s="117"/>
      <c r="BF38" s="117"/>
      <c r="BG38" s="117"/>
      <c r="BH38" s="117"/>
      <c r="BI38" s="117"/>
      <c r="BJ38" s="117"/>
      <c r="BK38" s="117"/>
      <c r="BL38" s="117"/>
      <c r="BM38" s="117"/>
      <c r="BN38" s="117"/>
      <c r="BO38" s="117"/>
      <c r="BP38" s="117"/>
      <c r="BQ38" s="117"/>
      <c r="BR38" s="117"/>
      <c r="BS38" s="117"/>
      <c r="BT38" s="117"/>
      <c r="BU38" s="117"/>
      <c r="BV38" s="117"/>
      <c r="BW38" s="117"/>
      <c r="BX38" s="117"/>
      <c r="BY38" s="117"/>
      <c r="BZ38" s="117"/>
      <c r="CA38" s="117"/>
      <c r="CB38" s="117"/>
      <c r="CC38" s="117"/>
      <c r="CD38" s="117"/>
      <c r="CE38" s="118"/>
    </row>
    <row r="39" spans="1:83" ht="13.5" customHeight="1">
      <c r="A39" s="104"/>
      <c r="B39" s="104"/>
      <c r="C39" s="104"/>
      <c r="D39" s="103"/>
      <c r="E39" s="103"/>
      <c r="F39" s="103"/>
      <c r="G39" s="103"/>
      <c r="H39" s="103"/>
      <c r="I39" s="103"/>
      <c r="J39" s="100"/>
      <c r="K39" s="101"/>
      <c r="L39" s="101"/>
      <c r="M39" s="101"/>
      <c r="N39" s="101"/>
      <c r="O39" s="101"/>
      <c r="P39" s="101"/>
      <c r="Q39" s="102"/>
      <c r="R39" s="100"/>
      <c r="S39" s="101"/>
      <c r="T39" s="101"/>
      <c r="U39" s="101"/>
      <c r="V39" s="101"/>
      <c r="W39" s="101"/>
      <c r="X39" s="101"/>
      <c r="Y39" s="102"/>
      <c r="Z39" s="100"/>
      <c r="AA39" s="101"/>
      <c r="AB39" s="101"/>
      <c r="AC39" s="101"/>
      <c r="AD39" s="101"/>
      <c r="AE39" s="102"/>
      <c r="AF39" s="116"/>
      <c r="AG39" s="117"/>
      <c r="AH39" s="117"/>
      <c r="AI39" s="117"/>
      <c r="AJ39" s="117"/>
      <c r="AK39" s="117"/>
      <c r="AL39" s="117"/>
      <c r="AM39" s="117"/>
      <c r="AN39" s="117"/>
      <c r="AO39" s="117"/>
      <c r="AP39" s="117"/>
      <c r="AQ39" s="117"/>
      <c r="AR39" s="117"/>
      <c r="AS39" s="117"/>
      <c r="AT39" s="117"/>
      <c r="AU39" s="117"/>
      <c r="AV39" s="117"/>
      <c r="AW39" s="117"/>
      <c r="AX39" s="117"/>
      <c r="AY39" s="117"/>
      <c r="AZ39" s="117"/>
      <c r="BA39" s="117"/>
      <c r="BB39" s="117"/>
      <c r="BC39" s="117"/>
      <c r="BD39" s="117"/>
      <c r="BE39" s="117"/>
      <c r="BF39" s="117"/>
      <c r="BG39" s="117"/>
      <c r="BH39" s="117"/>
      <c r="BI39" s="117"/>
      <c r="BJ39" s="117"/>
      <c r="BK39" s="117"/>
      <c r="BL39" s="117"/>
      <c r="BM39" s="117"/>
      <c r="BN39" s="117"/>
      <c r="BO39" s="117"/>
      <c r="BP39" s="117"/>
      <c r="BQ39" s="117"/>
      <c r="BR39" s="117"/>
      <c r="BS39" s="117"/>
      <c r="BT39" s="117"/>
      <c r="BU39" s="117"/>
      <c r="BV39" s="117"/>
      <c r="BW39" s="117"/>
      <c r="BX39" s="117"/>
      <c r="BY39" s="117"/>
      <c r="BZ39" s="117"/>
      <c r="CA39" s="117"/>
      <c r="CB39" s="117"/>
      <c r="CC39" s="117"/>
      <c r="CD39" s="117"/>
      <c r="CE39" s="118"/>
    </row>
    <row r="40" spans="1:83" ht="13.5" customHeight="1">
      <c r="A40" s="104"/>
      <c r="B40" s="104"/>
      <c r="C40" s="104"/>
      <c r="D40" s="103"/>
      <c r="E40" s="103"/>
      <c r="F40" s="103"/>
      <c r="G40" s="103"/>
      <c r="H40" s="103"/>
      <c r="I40" s="103"/>
      <c r="J40" s="100"/>
      <c r="K40" s="101"/>
      <c r="L40" s="101"/>
      <c r="M40" s="101"/>
      <c r="N40" s="101"/>
      <c r="O40" s="101"/>
      <c r="P40" s="101"/>
      <c r="Q40" s="102"/>
      <c r="R40" s="100"/>
      <c r="S40" s="101"/>
      <c r="T40" s="101"/>
      <c r="U40" s="101"/>
      <c r="V40" s="101"/>
      <c r="W40" s="101"/>
      <c r="X40" s="101"/>
      <c r="Y40" s="102"/>
      <c r="Z40" s="100"/>
      <c r="AA40" s="101"/>
      <c r="AB40" s="101"/>
      <c r="AC40" s="101"/>
      <c r="AD40" s="101"/>
      <c r="AE40" s="102"/>
      <c r="AF40" s="116"/>
      <c r="AG40" s="117"/>
      <c r="AH40" s="117"/>
      <c r="AI40" s="117"/>
      <c r="AJ40" s="117"/>
      <c r="AK40" s="117"/>
      <c r="AL40" s="117"/>
      <c r="AM40" s="117"/>
      <c r="AN40" s="117"/>
      <c r="AO40" s="117"/>
      <c r="AP40" s="117"/>
      <c r="AQ40" s="117"/>
      <c r="AR40" s="117"/>
      <c r="AS40" s="117"/>
      <c r="AT40" s="117"/>
      <c r="AU40" s="117"/>
      <c r="AV40" s="117"/>
      <c r="AW40" s="117"/>
      <c r="AX40" s="117"/>
      <c r="AY40" s="117"/>
      <c r="AZ40" s="117"/>
      <c r="BA40" s="117"/>
      <c r="BB40" s="117"/>
      <c r="BC40" s="117"/>
      <c r="BD40" s="117"/>
      <c r="BE40" s="117"/>
      <c r="BF40" s="117"/>
      <c r="BG40" s="117"/>
      <c r="BH40" s="117"/>
      <c r="BI40" s="117"/>
      <c r="BJ40" s="117"/>
      <c r="BK40" s="117"/>
      <c r="BL40" s="117"/>
      <c r="BM40" s="117"/>
      <c r="BN40" s="117"/>
      <c r="BO40" s="117"/>
      <c r="BP40" s="117"/>
      <c r="BQ40" s="117"/>
      <c r="BR40" s="117"/>
      <c r="BS40" s="117"/>
      <c r="BT40" s="117"/>
      <c r="BU40" s="117"/>
      <c r="BV40" s="117"/>
      <c r="BW40" s="117"/>
      <c r="BX40" s="117"/>
      <c r="BY40" s="117"/>
      <c r="BZ40" s="117"/>
      <c r="CA40" s="117"/>
      <c r="CB40" s="117"/>
      <c r="CC40" s="117"/>
      <c r="CD40" s="117"/>
      <c r="CE40" s="118"/>
    </row>
    <row r="41" spans="1:83" ht="13.5" customHeight="1">
      <c r="A41" s="104"/>
      <c r="B41" s="104"/>
      <c r="C41" s="104"/>
      <c r="D41" s="103"/>
      <c r="E41" s="103"/>
      <c r="F41" s="103"/>
      <c r="G41" s="103"/>
      <c r="H41" s="103"/>
      <c r="I41" s="103"/>
      <c r="J41" s="100"/>
      <c r="K41" s="101"/>
      <c r="L41" s="101"/>
      <c r="M41" s="101"/>
      <c r="N41" s="101"/>
      <c r="O41" s="101"/>
      <c r="P41" s="101"/>
      <c r="Q41" s="102"/>
      <c r="R41" s="100"/>
      <c r="S41" s="101"/>
      <c r="T41" s="101"/>
      <c r="U41" s="101"/>
      <c r="V41" s="101"/>
      <c r="W41" s="101"/>
      <c r="X41" s="101"/>
      <c r="Y41" s="102"/>
      <c r="Z41" s="100"/>
      <c r="AA41" s="101"/>
      <c r="AB41" s="101"/>
      <c r="AC41" s="101"/>
      <c r="AD41" s="101"/>
      <c r="AE41" s="102"/>
      <c r="AF41" s="116"/>
      <c r="AG41" s="117"/>
      <c r="AH41" s="117"/>
      <c r="AI41" s="117"/>
      <c r="AJ41" s="117"/>
      <c r="AK41" s="117"/>
      <c r="AL41" s="117"/>
      <c r="AM41" s="117"/>
      <c r="AN41" s="117"/>
      <c r="AO41" s="117"/>
      <c r="AP41" s="117"/>
      <c r="AQ41" s="117"/>
      <c r="AR41" s="117"/>
      <c r="AS41" s="117"/>
      <c r="AT41" s="117"/>
      <c r="AU41" s="117"/>
      <c r="AV41" s="117"/>
      <c r="AW41" s="117"/>
      <c r="AX41" s="117"/>
      <c r="AY41" s="117"/>
      <c r="AZ41" s="117"/>
      <c r="BA41" s="117"/>
      <c r="BB41" s="117"/>
      <c r="BC41" s="117"/>
      <c r="BD41" s="117"/>
      <c r="BE41" s="117"/>
      <c r="BF41" s="117"/>
      <c r="BG41" s="117"/>
      <c r="BH41" s="117"/>
      <c r="BI41" s="117"/>
      <c r="BJ41" s="117"/>
      <c r="BK41" s="117"/>
      <c r="BL41" s="117"/>
      <c r="BM41" s="117"/>
      <c r="BN41" s="117"/>
      <c r="BO41" s="117"/>
      <c r="BP41" s="117"/>
      <c r="BQ41" s="117"/>
      <c r="BR41" s="117"/>
      <c r="BS41" s="117"/>
      <c r="BT41" s="117"/>
      <c r="BU41" s="117"/>
      <c r="BV41" s="117"/>
      <c r="BW41" s="117"/>
      <c r="BX41" s="117"/>
      <c r="BY41" s="117"/>
      <c r="BZ41" s="117"/>
      <c r="CA41" s="117"/>
      <c r="CB41" s="117"/>
      <c r="CC41" s="117"/>
      <c r="CD41" s="117"/>
      <c r="CE41" s="118"/>
    </row>
  </sheetData>
  <mergeCells count="243">
    <mergeCell ref="AF22:CE22"/>
    <mergeCell ref="A23:C23"/>
    <mergeCell ref="AF28:CE28"/>
    <mergeCell ref="Z28:AE28"/>
    <mergeCell ref="Z25:AE25"/>
    <mergeCell ref="Z27:AE27"/>
    <mergeCell ref="A27:C27"/>
    <mergeCell ref="D27:I27"/>
    <mergeCell ref="A22:C22"/>
    <mergeCell ref="D22:I22"/>
    <mergeCell ref="R27:Y27"/>
    <mergeCell ref="AF27:CE27"/>
    <mergeCell ref="AF23:CE23"/>
    <mergeCell ref="Z24:AE24"/>
    <mergeCell ref="AF24:CE24"/>
    <mergeCell ref="D23:I23"/>
    <mergeCell ref="J23:Q23"/>
    <mergeCell ref="R23:Y23"/>
    <mergeCell ref="D24:I24"/>
    <mergeCell ref="J24:Q24"/>
    <mergeCell ref="AF25:CE25"/>
    <mergeCell ref="A26:C26"/>
    <mergeCell ref="D26:I26"/>
    <mergeCell ref="J26:Q26"/>
    <mergeCell ref="R26:Y26"/>
    <mergeCell ref="Z26:AE26"/>
    <mergeCell ref="AF26:CE26"/>
    <mergeCell ref="A25:C25"/>
    <mergeCell ref="AF29:CE29"/>
    <mergeCell ref="AF30:CE30"/>
    <mergeCell ref="D29:I29"/>
    <mergeCell ref="A28:C28"/>
    <mergeCell ref="D28:I28"/>
    <mergeCell ref="J28:Q28"/>
    <mergeCell ref="R28:Y28"/>
    <mergeCell ref="J29:Q29"/>
    <mergeCell ref="R29:Y29"/>
    <mergeCell ref="Z29:AE29"/>
    <mergeCell ref="D30:I30"/>
    <mergeCell ref="A29:C29"/>
    <mergeCell ref="Z37:AE37"/>
    <mergeCell ref="AF37:CE37"/>
    <mergeCell ref="A36:C36"/>
    <mergeCell ref="D36:I36"/>
    <mergeCell ref="A37:C37"/>
    <mergeCell ref="D37:I37"/>
    <mergeCell ref="J37:Q37"/>
    <mergeCell ref="R37:Y37"/>
    <mergeCell ref="J36:Q36"/>
    <mergeCell ref="R36:Y36"/>
    <mergeCell ref="D34:I34"/>
    <mergeCell ref="J34:Q34"/>
    <mergeCell ref="R34:Y34"/>
    <mergeCell ref="Z36:AE36"/>
    <mergeCell ref="AF36:CE36"/>
    <mergeCell ref="A35:C35"/>
    <mergeCell ref="D35:I35"/>
    <mergeCell ref="J35:Q35"/>
    <mergeCell ref="R35:Y35"/>
    <mergeCell ref="Z34:AE34"/>
    <mergeCell ref="AF34:CE34"/>
    <mergeCell ref="Z35:AE35"/>
    <mergeCell ref="AF35:CE35"/>
    <mergeCell ref="AF16:CE16"/>
    <mergeCell ref="J15:Q15"/>
    <mergeCell ref="R15:Y15"/>
    <mergeCell ref="Z17:AE17"/>
    <mergeCell ref="AF17:CE17"/>
    <mergeCell ref="J18:Q18"/>
    <mergeCell ref="R18:Y18"/>
    <mergeCell ref="Z18:AE18"/>
    <mergeCell ref="AF18:CE18"/>
    <mergeCell ref="J17:Q17"/>
    <mergeCell ref="R17:Y17"/>
    <mergeCell ref="Z14:AE14"/>
    <mergeCell ref="AF14:CE14"/>
    <mergeCell ref="Z15:AE15"/>
    <mergeCell ref="AF15:CE15"/>
    <mergeCell ref="A41:C41"/>
    <mergeCell ref="D41:I41"/>
    <mergeCell ref="A40:C40"/>
    <mergeCell ref="D40:I40"/>
    <mergeCell ref="A39:C39"/>
    <mergeCell ref="D39:I39"/>
    <mergeCell ref="A38:C38"/>
    <mergeCell ref="J14:Q14"/>
    <mergeCell ref="R14:Y14"/>
    <mergeCell ref="J38:Q38"/>
    <mergeCell ref="R38:Y38"/>
    <mergeCell ref="Z38:AE38"/>
    <mergeCell ref="AF38:CE38"/>
    <mergeCell ref="J40:Q40"/>
    <mergeCell ref="R40:Y40"/>
    <mergeCell ref="Z40:AE40"/>
    <mergeCell ref="AF40:CE40"/>
    <mergeCell ref="J16:Q16"/>
    <mergeCell ref="R16:Y16"/>
    <mergeCell ref="Z16:AE16"/>
    <mergeCell ref="A17:C17"/>
    <mergeCell ref="D17:I17"/>
    <mergeCell ref="A16:C16"/>
    <mergeCell ref="D16:I16"/>
    <mergeCell ref="A15:C15"/>
    <mergeCell ref="D15:I15"/>
    <mergeCell ref="R5:Y5"/>
    <mergeCell ref="Z5:AE5"/>
    <mergeCell ref="A10:C10"/>
    <mergeCell ref="D10:I10"/>
    <mergeCell ref="A9:C9"/>
    <mergeCell ref="D9:I9"/>
    <mergeCell ref="J7:Q7"/>
    <mergeCell ref="R7:Y7"/>
    <mergeCell ref="A6:C6"/>
    <mergeCell ref="D6:I6"/>
    <mergeCell ref="A12:C12"/>
    <mergeCell ref="D12:I12"/>
    <mergeCell ref="A11:C11"/>
    <mergeCell ref="D11:I11"/>
    <mergeCell ref="A14:C14"/>
    <mergeCell ref="D14:I14"/>
    <mergeCell ref="A13:C13"/>
    <mergeCell ref="D13:I13"/>
    <mergeCell ref="A18:C18"/>
    <mergeCell ref="D18:I18"/>
    <mergeCell ref="A19:C19"/>
    <mergeCell ref="D19:I19"/>
    <mergeCell ref="R25:Y25"/>
    <mergeCell ref="D25:I25"/>
    <mergeCell ref="J25:Q25"/>
    <mergeCell ref="A24:C24"/>
    <mergeCell ref="R24:Y24"/>
    <mergeCell ref="J21:Q21"/>
    <mergeCell ref="J20:Q20"/>
    <mergeCell ref="R20:Y20"/>
    <mergeCell ref="A20:C20"/>
    <mergeCell ref="D20:I20"/>
    <mergeCell ref="D31:I31"/>
    <mergeCell ref="A21:C21"/>
    <mergeCell ref="D21:I21"/>
    <mergeCell ref="D38:I38"/>
    <mergeCell ref="A33:C33"/>
    <mergeCell ref="Z22:AE22"/>
    <mergeCell ref="J22:Q22"/>
    <mergeCell ref="R22:Y22"/>
    <mergeCell ref="Z23:AE23"/>
    <mergeCell ref="J31:Q31"/>
    <mergeCell ref="R31:Y31"/>
    <mergeCell ref="Z30:AE30"/>
    <mergeCell ref="J30:Q30"/>
    <mergeCell ref="R30:Y30"/>
    <mergeCell ref="J27:Q27"/>
    <mergeCell ref="A30:C30"/>
    <mergeCell ref="D33:I33"/>
    <mergeCell ref="A32:C32"/>
    <mergeCell ref="D32:I32"/>
    <mergeCell ref="A31:C31"/>
    <mergeCell ref="Z31:AE31"/>
    <mergeCell ref="J32:Q32"/>
    <mergeCell ref="R32:Y32"/>
    <mergeCell ref="A34:C34"/>
    <mergeCell ref="Z20:AE20"/>
    <mergeCell ref="J33:Q33"/>
    <mergeCell ref="Z41:AE41"/>
    <mergeCell ref="AF41:CE41"/>
    <mergeCell ref="J19:Q19"/>
    <mergeCell ref="R19:Y19"/>
    <mergeCell ref="J39:Q39"/>
    <mergeCell ref="R39:Y39"/>
    <mergeCell ref="Z39:AE39"/>
    <mergeCell ref="AF39:CE39"/>
    <mergeCell ref="Z21:AE21"/>
    <mergeCell ref="AF21:CE21"/>
    <mergeCell ref="J41:Q41"/>
    <mergeCell ref="R41:Y41"/>
    <mergeCell ref="R21:Y21"/>
    <mergeCell ref="AF19:CE19"/>
    <mergeCell ref="AF20:CE20"/>
    <mergeCell ref="Z19:AE19"/>
    <mergeCell ref="AF31:CE31"/>
    <mergeCell ref="R33:Y33"/>
    <mergeCell ref="Z33:AE33"/>
    <mergeCell ref="AF33:CE33"/>
    <mergeCell ref="AF32:CE32"/>
    <mergeCell ref="Z32:AE32"/>
    <mergeCell ref="J12:Q12"/>
    <mergeCell ref="R12:Y12"/>
    <mergeCell ref="Z12:AE12"/>
    <mergeCell ref="AF12:CE12"/>
    <mergeCell ref="J13:Q13"/>
    <mergeCell ref="R13:Y13"/>
    <mergeCell ref="Z13:AE13"/>
    <mergeCell ref="AF13:CE13"/>
    <mergeCell ref="AF9:CE9"/>
    <mergeCell ref="Z11:AE11"/>
    <mergeCell ref="AF11:CE11"/>
    <mergeCell ref="J11:Q11"/>
    <mergeCell ref="R11:Y11"/>
    <mergeCell ref="J10:Q10"/>
    <mergeCell ref="R10:Y10"/>
    <mergeCell ref="Z9:AE9"/>
    <mergeCell ref="A1:N1"/>
    <mergeCell ref="A2:N2"/>
    <mergeCell ref="O1:AB1"/>
    <mergeCell ref="O2:AB2"/>
    <mergeCell ref="Z10:AE10"/>
    <mergeCell ref="AF10:CE10"/>
    <mergeCell ref="AF5:CE5"/>
    <mergeCell ref="BE1:BM1"/>
    <mergeCell ref="BE2:BM2"/>
    <mergeCell ref="AV1:BD1"/>
    <mergeCell ref="BW2:CE2"/>
    <mergeCell ref="A5:C5"/>
    <mergeCell ref="D5:I5"/>
    <mergeCell ref="A8:C8"/>
    <mergeCell ref="J6:Q6"/>
    <mergeCell ref="R6:Y6"/>
    <mergeCell ref="Z6:AE6"/>
    <mergeCell ref="AF6:CE6"/>
    <mergeCell ref="Z7:AE7"/>
    <mergeCell ref="AF7:CE7"/>
    <mergeCell ref="J8:Q8"/>
    <mergeCell ref="R8:Y8"/>
    <mergeCell ref="Z8:AE8"/>
    <mergeCell ref="AF8:CE8"/>
    <mergeCell ref="CH4:CT4"/>
    <mergeCell ref="R4:Y4"/>
    <mergeCell ref="Z4:AE4"/>
    <mergeCell ref="AF4:CE4"/>
    <mergeCell ref="BN2:BV2"/>
    <mergeCell ref="AC1:AU1"/>
    <mergeCell ref="AC2:AU2"/>
    <mergeCell ref="AV2:BD2"/>
    <mergeCell ref="BW1:CE1"/>
    <mergeCell ref="BN1:BV1"/>
    <mergeCell ref="A4:C4"/>
    <mergeCell ref="J9:Q9"/>
    <mergeCell ref="R9:Y9"/>
    <mergeCell ref="D8:I8"/>
    <mergeCell ref="A7:C7"/>
    <mergeCell ref="D7:I7"/>
    <mergeCell ref="J4:Q4"/>
    <mergeCell ref="J5:Q5"/>
    <mergeCell ref="D4:I4"/>
  </mergeCells>
  <phoneticPr fontId="7"/>
  <printOptions horizontalCentered="1"/>
  <pageMargins left="0.39370078740157483" right="0.19685039370078741" top="0.59055118110236227" bottom="0.39370078740157483" header="0.78740157480314965" footer="0.19685039370078741"/>
  <pageSetup paperSize="9" scale="98" fitToHeight="0" orientation="landscape" r:id="rId1"/>
  <headerFooter alignWithMargins="0">
    <oddFooter>&amp;C&amp;P / &amp;N&amp;RInternal Use Only</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8"/>
  <sheetViews>
    <sheetView workbookViewId="0"/>
  </sheetViews>
  <sheetFormatPr defaultRowHeight="11.25"/>
  <cols>
    <col min="1" max="1" width="16.6640625" customWidth="1"/>
    <col min="2" max="2" width="40" customWidth="1"/>
    <col min="3" max="3" width="3.33203125" customWidth="1"/>
  </cols>
  <sheetData>
    <row r="1" spans="1:4">
      <c r="A1" s="15" t="s">
        <v>33</v>
      </c>
      <c r="B1" s="15" t="s">
        <v>36</v>
      </c>
      <c r="D1" s="15" t="s">
        <v>42</v>
      </c>
    </row>
    <row r="2" spans="1:4" ht="22.5">
      <c r="A2" s="16" t="s">
        <v>31</v>
      </c>
      <c r="B2" s="17" t="s">
        <v>35</v>
      </c>
      <c r="D2" s="16" t="s">
        <v>43</v>
      </c>
    </row>
    <row r="3" spans="1:4" ht="22.5">
      <c r="A3" s="16" t="s">
        <v>14</v>
      </c>
      <c r="B3" s="17" t="s">
        <v>37</v>
      </c>
      <c r="D3" s="16" t="s">
        <v>44</v>
      </c>
    </row>
    <row r="4" spans="1:4">
      <c r="A4" s="16" t="s">
        <v>29</v>
      </c>
      <c r="B4" s="17" t="s">
        <v>41</v>
      </c>
      <c r="D4" s="16" t="s">
        <v>45</v>
      </c>
    </row>
    <row r="5" spans="1:4">
      <c r="A5" s="16" t="s">
        <v>32</v>
      </c>
      <c r="B5" s="17" t="s">
        <v>34</v>
      </c>
    </row>
    <row r="6" spans="1:4" ht="22.5">
      <c r="A6" s="16" t="s">
        <v>13</v>
      </c>
      <c r="B6" s="17" t="s">
        <v>38</v>
      </c>
    </row>
    <row r="7" spans="1:4" ht="22.5">
      <c r="A7" s="16" t="s">
        <v>15</v>
      </c>
      <c r="B7" s="17" t="s">
        <v>39</v>
      </c>
    </row>
    <row r="8" spans="1:4">
      <c r="A8" s="16" t="s">
        <v>30</v>
      </c>
      <c r="B8" s="17" t="s">
        <v>40</v>
      </c>
    </row>
  </sheetData>
  <phoneticPr fontId="12"/>
  <pageMargins left="0.78700000000000003" right="0.78700000000000003" top="0.98399999999999999" bottom="0.98399999999999999" header="0.51200000000000001" footer="0.5120000000000000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pageSetUpPr fitToPage="1"/>
  </sheetPr>
  <dimension ref="A1:E43"/>
  <sheetViews>
    <sheetView showGridLines="0" zoomScaleNormal="100" workbookViewId="0">
      <pane ySplit="7" topLeftCell="A8" activePane="bottomLeft" state="frozen"/>
      <selection activeCell="Z365" sqref="Z365"/>
      <selection pane="bottomLeft" activeCell="B7" sqref="B7"/>
    </sheetView>
  </sheetViews>
  <sheetFormatPr defaultColWidth="12" defaultRowHeight="15.95" customHeight="1"/>
  <cols>
    <col min="1" max="1" width="15.6640625" style="23" bestFit="1" customWidth="1"/>
    <col min="2" max="2" width="27.1640625" style="23" bestFit="1" customWidth="1"/>
    <col min="3" max="3" width="94.1640625" style="23" bestFit="1" customWidth="1"/>
    <col min="4" max="4" width="10.1640625" style="22" bestFit="1" customWidth="1"/>
    <col min="5" max="5" width="25" style="23" customWidth="1"/>
    <col min="6" max="16384" width="12" style="23"/>
  </cols>
  <sheetData>
    <row r="1" spans="1:5" ht="15.95" customHeight="1">
      <c r="A1" s="21" t="s">
        <v>61</v>
      </c>
      <c r="B1" s="130" t="s">
        <v>196</v>
      </c>
      <c r="C1" s="131"/>
    </row>
    <row r="2" spans="1:5" ht="51.75" customHeight="1">
      <c r="A2" s="21" t="s">
        <v>62</v>
      </c>
      <c r="B2" s="130" t="s">
        <v>188</v>
      </c>
      <c r="C2" s="131"/>
      <c r="D2" s="24"/>
    </row>
    <row r="3" spans="1:5" ht="11.25">
      <c r="A3" s="21" t="s">
        <v>63</v>
      </c>
      <c r="B3" s="130" t="s">
        <v>121</v>
      </c>
      <c r="C3" s="131"/>
      <c r="D3" s="24"/>
    </row>
    <row r="4" spans="1:5" ht="15.95" customHeight="1">
      <c r="A4" s="21" t="s">
        <v>64</v>
      </c>
      <c r="B4" s="25" t="s">
        <v>160</v>
      </c>
      <c r="D4" s="24"/>
    </row>
    <row r="5" spans="1:5" ht="15.95" customHeight="1">
      <c r="A5" s="21" t="s">
        <v>65</v>
      </c>
      <c r="B5" s="26">
        <v>43641</v>
      </c>
      <c r="D5" s="24"/>
    </row>
    <row r="6" spans="1:5" s="27" customFormat="1" ht="4.5" customHeight="1">
      <c r="B6" s="53"/>
    </row>
    <row r="7" spans="1:5" ht="15.95" customHeight="1">
      <c r="A7" s="28" t="s">
        <v>66</v>
      </c>
      <c r="B7" s="28" t="s">
        <v>67</v>
      </c>
      <c r="C7" s="28" t="s">
        <v>68</v>
      </c>
      <c r="D7" s="29" t="s">
        <v>69</v>
      </c>
      <c r="E7" s="28" t="s">
        <v>23</v>
      </c>
    </row>
    <row r="8" spans="1:5" ht="15.75" customHeight="1">
      <c r="A8" s="32" t="s">
        <v>70</v>
      </c>
      <c r="B8" s="36" t="s">
        <v>71</v>
      </c>
      <c r="C8" s="36" t="s">
        <v>72</v>
      </c>
      <c r="D8" s="60" t="s">
        <v>157</v>
      </c>
      <c r="E8" s="36"/>
    </row>
    <row r="9" spans="1:5" ht="15.95" customHeight="1">
      <c r="A9" s="32"/>
      <c r="B9" s="49" t="s">
        <v>106</v>
      </c>
      <c r="C9" s="49" t="s">
        <v>107</v>
      </c>
      <c r="D9" s="60" t="s">
        <v>158</v>
      </c>
      <c r="E9" s="36"/>
    </row>
    <row r="10" spans="1:5" ht="15.95" customHeight="1">
      <c r="A10" s="32"/>
      <c r="B10" s="32" t="s">
        <v>57</v>
      </c>
      <c r="C10" s="37" t="s">
        <v>73</v>
      </c>
      <c r="D10" s="57" t="s">
        <v>157</v>
      </c>
      <c r="E10" s="37"/>
    </row>
    <row r="11" spans="1:5" ht="15.95" customHeight="1">
      <c r="A11" s="32"/>
      <c r="B11" s="32"/>
      <c r="C11" s="33" t="s">
        <v>74</v>
      </c>
      <c r="D11" s="58" t="s">
        <v>157</v>
      </c>
      <c r="E11" s="33"/>
    </row>
    <row r="12" spans="1:5" ht="15.95" customHeight="1">
      <c r="A12" s="32"/>
      <c r="B12" s="32"/>
      <c r="C12" s="33" t="s">
        <v>75</v>
      </c>
      <c r="D12" s="58" t="s">
        <v>157</v>
      </c>
      <c r="E12" s="33"/>
    </row>
    <row r="13" spans="1:5" ht="15.95" customHeight="1">
      <c r="A13" s="32"/>
      <c r="B13" s="32"/>
      <c r="C13" s="33" t="s">
        <v>169</v>
      </c>
      <c r="D13" s="58" t="s">
        <v>157</v>
      </c>
      <c r="E13" s="33"/>
    </row>
    <row r="14" spans="1:5" ht="15.95" customHeight="1">
      <c r="A14" s="32"/>
      <c r="B14" s="32"/>
      <c r="C14" s="33" t="s">
        <v>76</v>
      </c>
      <c r="D14" s="58" t="s">
        <v>157</v>
      </c>
      <c r="E14" s="33"/>
    </row>
    <row r="15" spans="1:5" ht="15.95" customHeight="1">
      <c r="A15" s="32"/>
      <c r="B15" s="34"/>
      <c r="C15" s="35" t="s">
        <v>77</v>
      </c>
      <c r="D15" s="59" t="s">
        <v>157</v>
      </c>
      <c r="E15" s="35"/>
    </row>
    <row r="16" spans="1:5" ht="15.95" customHeight="1">
      <c r="A16" s="32"/>
      <c r="B16" s="36" t="s">
        <v>58</v>
      </c>
      <c r="C16" s="36" t="s">
        <v>78</v>
      </c>
      <c r="D16" s="60" t="s">
        <v>157</v>
      </c>
      <c r="E16" s="36"/>
    </row>
    <row r="17" spans="1:5" ht="15.75" customHeight="1">
      <c r="A17" s="32"/>
      <c r="B17" s="36" t="s">
        <v>59</v>
      </c>
      <c r="C17" s="36" t="s">
        <v>79</v>
      </c>
      <c r="D17" s="60" t="s">
        <v>157</v>
      </c>
      <c r="E17" s="36"/>
    </row>
    <row r="18" spans="1:5" ht="15.75" customHeight="1">
      <c r="A18" s="32"/>
      <c r="B18" s="30" t="s">
        <v>60</v>
      </c>
      <c r="C18" s="31" t="s">
        <v>80</v>
      </c>
      <c r="D18" s="57" t="s">
        <v>157</v>
      </c>
      <c r="E18" s="31"/>
    </row>
    <row r="19" spans="1:5" ht="15.95" customHeight="1">
      <c r="A19" s="34"/>
      <c r="B19" s="34"/>
      <c r="C19" s="35" t="s">
        <v>81</v>
      </c>
      <c r="D19" s="59" t="s">
        <v>157</v>
      </c>
      <c r="E19" s="35"/>
    </row>
    <row r="20" spans="1:5" ht="15.95" customHeight="1">
      <c r="A20" s="32" t="s">
        <v>108</v>
      </c>
      <c r="B20" s="32" t="s">
        <v>109</v>
      </c>
      <c r="C20" s="37" t="s">
        <v>82</v>
      </c>
      <c r="D20" s="57" t="s">
        <v>158</v>
      </c>
      <c r="E20" s="37"/>
    </row>
    <row r="21" spans="1:5" ht="15.95" customHeight="1">
      <c r="A21" s="32"/>
      <c r="B21" s="32"/>
      <c r="C21" s="33" t="s">
        <v>83</v>
      </c>
      <c r="D21" s="58" t="s">
        <v>158</v>
      </c>
      <c r="E21" s="33"/>
    </row>
    <row r="22" spans="1:5" ht="15.95" customHeight="1">
      <c r="A22" s="32"/>
      <c r="B22" s="32"/>
      <c r="C22" s="33" t="s">
        <v>84</v>
      </c>
      <c r="D22" s="58" t="s">
        <v>158</v>
      </c>
      <c r="E22" s="33"/>
    </row>
    <row r="23" spans="1:5" ht="15.95" customHeight="1">
      <c r="A23" s="32"/>
      <c r="B23" s="32"/>
      <c r="C23" s="33" t="s">
        <v>85</v>
      </c>
      <c r="D23" s="58" t="s">
        <v>158</v>
      </c>
      <c r="E23" s="33"/>
    </row>
    <row r="24" spans="1:5" ht="22.5">
      <c r="A24" s="32"/>
      <c r="B24" s="32"/>
      <c r="C24" s="33" t="s">
        <v>86</v>
      </c>
      <c r="D24" s="58" t="s">
        <v>158</v>
      </c>
      <c r="E24" s="33"/>
    </row>
    <row r="25" spans="1:5" ht="15.95" customHeight="1">
      <c r="A25" s="32"/>
      <c r="B25" s="32"/>
      <c r="C25" s="33" t="s">
        <v>111</v>
      </c>
      <c r="D25" s="58" t="s">
        <v>158</v>
      </c>
      <c r="E25" s="33"/>
    </row>
    <row r="26" spans="1:5" ht="15.95" customHeight="1">
      <c r="A26" s="32"/>
      <c r="B26" s="32"/>
      <c r="C26" s="33" t="s">
        <v>87</v>
      </c>
      <c r="D26" s="58" t="s">
        <v>158</v>
      </c>
      <c r="E26" s="33"/>
    </row>
    <row r="27" spans="1:5" ht="15.95" customHeight="1">
      <c r="A27" s="32"/>
      <c r="B27" s="32"/>
      <c r="C27" s="33" t="s">
        <v>88</v>
      </c>
      <c r="D27" s="58" t="s">
        <v>158</v>
      </c>
      <c r="E27" s="33"/>
    </row>
    <row r="28" spans="1:5" ht="15.95" customHeight="1">
      <c r="A28" s="32"/>
      <c r="B28" s="32"/>
      <c r="C28" s="33" t="s">
        <v>89</v>
      </c>
      <c r="D28" s="58" t="s">
        <v>157</v>
      </c>
      <c r="E28" s="33"/>
    </row>
    <row r="29" spans="1:5" ht="15.95" customHeight="1">
      <c r="A29" s="32"/>
      <c r="B29" s="32"/>
      <c r="C29" s="38" t="s">
        <v>90</v>
      </c>
      <c r="D29" s="58" t="s">
        <v>158</v>
      </c>
      <c r="E29" s="38"/>
    </row>
    <row r="30" spans="1:5" ht="15.95" customHeight="1">
      <c r="A30" s="32"/>
      <c r="B30" s="32"/>
      <c r="C30" s="38" t="s">
        <v>91</v>
      </c>
      <c r="D30" s="58" t="s">
        <v>158</v>
      </c>
      <c r="E30" s="38"/>
    </row>
    <row r="31" spans="1:5" ht="15.95" customHeight="1">
      <c r="A31" s="32"/>
      <c r="B31" s="32"/>
      <c r="C31" s="38" t="s">
        <v>92</v>
      </c>
      <c r="D31" s="58" t="s">
        <v>158</v>
      </c>
      <c r="E31" s="38"/>
    </row>
    <row r="32" spans="1:5" ht="15.95" customHeight="1">
      <c r="A32" s="32"/>
      <c r="B32" s="32"/>
      <c r="C32" s="38" t="s">
        <v>93</v>
      </c>
      <c r="D32" s="58" t="s">
        <v>158</v>
      </c>
      <c r="E32" s="38"/>
    </row>
    <row r="33" spans="1:5" ht="15.95" customHeight="1">
      <c r="A33" s="32"/>
      <c r="B33" s="32"/>
      <c r="C33" s="38" t="s">
        <v>94</v>
      </c>
      <c r="D33" s="58" t="s">
        <v>158</v>
      </c>
      <c r="E33" s="38"/>
    </row>
    <row r="34" spans="1:5" ht="15.95" customHeight="1">
      <c r="A34" s="32"/>
      <c r="B34" s="32"/>
      <c r="C34" s="38" t="s">
        <v>95</v>
      </c>
      <c r="D34" s="58" t="s">
        <v>158</v>
      </c>
      <c r="E34" s="38"/>
    </row>
    <row r="35" spans="1:5" ht="15.95" customHeight="1">
      <c r="A35" s="32"/>
      <c r="B35" s="32"/>
      <c r="C35" s="38" t="s">
        <v>102</v>
      </c>
      <c r="D35" s="58" t="s">
        <v>158</v>
      </c>
      <c r="E35" s="38"/>
    </row>
    <row r="36" spans="1:5" ht="15.95" customHeight="1">
      <c r="A36" s="32"/>
      <c r="B36" s="34"/>
      <c r="C36" s="35" t="s">
        <v>104</v>
      </c>
      <c r="D36" s="59" t="s">
        <v>157</v>
      </c>
      <c r="E36" s="35"/>
    </row>
    <row r="37" spans="1:5" ht="15.95" customHeight="1">
      <c r="A37" s="32"/>
      <c r="B37" s="32" t="s">
        <v>96</v>
      </c>
      <c r="C37" s="32" t="s">
        <v>97</v>
      </c>
      <c r="D37" s="61" t="s">
        <v>157</v>
      </c>
      <c r="E37" s="32"/>
    </row>
    <row r="38" spans="1:5" ht="15.95" customHeight="1">
      <c r="A38" s="32"/>
      <c r="B38" s="34"/>
      <c r="C38" s="35" t="s">
        <v>98</v>
      </c>
      <c r="D38" s="59" t="s">
        <v>158</v>
      </c>
      <c r="E38" s="35"/>
    </row>
    <row r="39" spans="1:5" ht="15.95" customHeight="1">
      <c r="A39" s="34"/>
      <c r="B39" s="34" t="s">
        <v>99</v>
      </c>
      <c r="C39" s="34" t="s">
        <v>100</v>
      </c>
      <c r="D39" s="62" t="s">
        <v>157</v>
      </c>
      <c r="E39" s="34"/>
    </row>
    <row r="40" spans="1:5" ht="15.95" customHeight="1">
      <c r="A40" s="39"/>
      <c r="B40" s="40"/>
      <c r="C40" s="40"/>
      <c r="D40" s="39"/>
      <c r="E40" s="39"/>
    </row>
    <row r="42" spans="1:5" ht="15.95" customHeight="1">
      <c r="B42" s="23" t="s">
        <v>101</v>
      </c>
      <c r="C42" s="39"/>
    </row>
    <row r="43" spans="1:5" ht="15.95" customHeight="1">
      <c r="C43" s="39"/>
    </row>
  </sheetData>
  <mergeCells count="3">
    <mergeCell ref="B1:C1"/>
    <mergeCell ref="B2:C2"/>
    <mergeCell ref="B3:C3"/>
  </mergeCells>
  <phoneticPr fontId="7"/>
  <conditionalFormatting sqref="B2:C3 B4:B5">
    <cfRule type="expression" dxfId="5" priority="2" stopIfTrue="1">
      <formula>$B2=""</formula>
    </cfRule>
  </conditionalFormatting>
  <conditionalFormatting sqref="B40:C40">
    <cfRule type="expression" dxfId="4" priority="3" stopIfTrue="1">
      <formula>#REF!="対象外"</formula>
    </cfRule>
  </conditionalFormatting>
  <conditionalFormatting sqref="E8:E39 A8:C39">
    <cfRule type="expression" dxfId="3" priority="4" stopIfTrue="1">
      <formula>$D8="対象外"</formula>
    </cfRule>
  </conditionalFormatting>
  <conditionalFormatting sqref="D8:D39">
    <cfRule type="expression" dxfId="2" priority="5" stopIfTrue="1">
      <formula>$D8="対象外"</formula>
    </cfRule>
    <cfRule type="expression" dxfId="1" priority="6" stopIfTrue="1">
      <formula>$D8&lt;&gt;"OK"</formula>
    </cfRule>
  </conditionalFormatting>
  <conditionalFormatting sqref="B1:C1">
    <cfRule type="expression" dxfId="0" priority="1" stopIfTrue="1">
      <formula>$B1=""</formula>
    </cfRule>
  </conditionalFormatting>
  <dataValidations count="1">
    <dataValidation type="list" allowBlank="1" showInputMessage="1" showErrorMessage="1" sqref="D8:D39">
      <formula1>"OK,NG,対象外"</formula1>
    </dataValidation>
  </dataValidations>
  <pageMargins left="0.39370078740157483" right="0.39370078740157483" top="0.59055118110236227" bottom="0.98425196850393704" header="0.51181102362204722" footer="0.51181102362204722"/>
  <pageSetup paperSize="9" scale="75" fitToHeight="0" orientation="portrait" horizontalDpi="360" verticalDpi="360" r:id="rId1"/>
  <headerFooter alignWithMargins="0">
    <oddFooter>&amp;C&amp;P/&amp;N&amp;RInternal Use Only</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CE39"/>
  <sheetViews>
    <sheetView view="pageBreakPreview" zoomScaleNormal="75" zoomScaleSheetLayoutView="100" workbookViewId="0">
      <selection activeCell="AZ15" sqref="AZ15:BC15"/>
    </sheetView>
  </sheetViews>
  <sheetFormatPr defaultColWidth="4.83203125" defaultRowHeight="13.5" customHeight="1"/>
  <cols>
    <col min="1" max="83" width="2.1640625" style="3" customWidth="1"/>
    <col min="84" max="16384" width="4.83203125" style="3"/>
  </cols>
  <sheetData>
    <row r="1" spans="1:83" ht="13.5" customHeight="1">
      <c r="A1" s="132" t="s">
        <v>0</v>
      </c>
      <c r="B1" s="132"/>
      <c r="C1" s="132"/>
      <c r="D1" s="132"/>
      <c r="E1" s="132"/>
      <c r="F1" s="132"/>
      <c r="G1" s="132"/>
      <c r="H1" s="132"/>
      <c r="I1" s="132"/>
      <c r="J1" s="132"/>
      <c r="K1" s="132"/>
      <c r="L1" s="132"/>
      <c r="M1" s="132"/>
      <c r="N1" s="132"/>
      <c r="O1" s="132" t="s">
        <v>1</v>
      </c>
      <c r="P1" s="132"/>
      <c r="Q1" s="132"/>
      <c r="R1" s="132"/>
      <c r="S1" s="132"/>
      <c r="T1" s="132"/>
      <c r="U1" s="132"/>
      <c r="V1" s="132"/>
      <c r="W1" s="132"/>
      <c r="X1" s="132"/>
      <c r="Y1" s="132"/>
      <c r="Z1" s="132"/>
      <c r="AA1" s="132"/>
      <c r="AB1" s="132"/>
      <c r="AC1" s="132" t="s">
        <v>2</v>
      </c>
      <c r="AD1" s="132"/>
      <c r="AE1" s="132"/>
      <c r="AF1" s="132"/>
      <c r="AG1" s="132"/>
      <c r="AH1" s="132"/>
      <c r="AI1" s="132"/>
      <c r="AJ1" s="132"/>
      <c r="AK1" s="132"/>
      <c r="AL1" s="132"/>
      <c r="AM1" s="132"/>
      <c r="AN1" s="132"/>
      <c r="AO1" s="132"/>
      <c r="AP1" s="132"/>
      <c r="AQ1" s="132"/>
      <c r="AR1" s="132"/>
      <c r="AS1" s="132"/>
      <c r="AT1" s="132"/>
      <c r="AU1" s="132"/>
      <c r="AV1" s="132" t="s">
        <v>3</v>
      </c>
      <c r="AW1" s="132"/>
      <c r="AX1" s="132"/>
      <c r="AY1" s="132"/>
      <c r="AZ1" s="132"/>
      <c r="BA1" s="132"/>
      <c r="BB1" s="132"/>
      <c r="BC1" s="132"/>
      <c r="BD1" s="132"/>
      <c r="BE1" s="132" t="s">
        <v>4</v>
      </c>
      <c r="BF1" s="132"/>
      <c r="BG1" s="132"/>
      <c r="BH1" s="132"/>
      <c r="BI1" s="132"/>
      <c r="BJ1" s="132"/>
      <c r="BK1" s="132"/>
      <c r="BL1" s="132"/>
      <c r="BM1" s="132"/>
      <c r="BN1" s="132" t="s">
        <v>5</v>
      </c>
      <c r="BO1" s="132"/>
      <c r="BP1" s="132"/>
      <c r="BQ1" s="132"/>
      <c r="BR1" s="132"/>
      <c r="BS1" s="132"/>
      <c r="BT1" s="132"/>
      <c r="BU1" s="132"/>
      <c r="BV1" s="132"/>
      <c r="BW1" s="132" t="s">
        <v>6</v>
      </c>
      <c r="BX1" s="132"/>
      <c r="BY1" s="132"/>
      <c r="BZ1" s="132"/>
      <c r="CA1" s="132"/>
      <c r="CB1" s="132"/>
      <c r="CC1" s="132"/>
      <c r="CD1" s="132"/>
      <c r="CE1" s="132"/>
    </row>
    <row r="2" spans="1:83" ht="13.5" customHeight="1">
      <c r="A2" s="114" t="s">
        <v>110</v>
      </c>
      <c r="B2" s="115"/>
      <c r="C2" s="115"/>
      <c r="D2" s="115"/>
      <c r="E2" s="115"/>
      <c r="F2" s="115"/>
      <c r="G2" s="115"/>
      <c r="H2" s="115"/>
      <c r="I2" s="115"/>
      <c r="J2" s="115"/>
      <c r="K2" s="115"/>
      <c r="L2" s="115"/>
      <c r="M2" s="115"/>
      <c r="N2" s="115"/>
      <c r="O2" s="113" t="str">
        <f>変更履歴!O2</f>
        <v>バイヤ1</v>
      </c>
      <c r="P2" s="113"/>
      <c r="Q2" s="113"/>
      <c r="R2" s="113"/>
      <c r="S2" s="113"/>
      <c r="T2" s="113"/>
      <c r="U2" s="113"/>
      <c r="V2" s="113"/>
      <c r="W2" s="113"/>
      <c r="X2" s="113"/>
      <c r="Y2" s="113"/>
      <c r="Z2" s="113"/>
      <c r="AA2" s="113"/>
      <c r="AB2" s="113"/>
      <c r="AC2" s="113" t="s">
        <v>16</v>
      </c>
      <c r="AD2" s="113"/>
      <c r="AE2" s="113"/>
      <c r="AF2" s="113"/>
      <c r="AG2" s="113"/>
      <c r="AH2" s="113"/>
      <c r="AI2" s="113"/>
      <c r="AJ2" s="113"/>
      <c r="AK2" s="113"/>
      <c r="AL2" s="113"/>
      <c r="AM2" s="113"/>
      <c r="AN2" s="113"/>
      <c r="AO2" s="113"/>
      <c r="AP2" s="113"/>
      <c r="AQ2" s="113"/>
      <c r="AR2" s="113"/>
      <c r="AS2" s="113"/>
      <c r="AT2" s="113"/>
      <c r="AU2" s="113"/>
      <c r="AV2" s="133" t="str">
        <f>変更履歴!AV2</f>
        <v>NSSOL 史</v>
      </c>
      <c r="AW2" s="133"/>
      <c r="AX2" s="133"/>
      <c r="AY2" s="133"/>
      <c r="AZ2" s="133"/>
      <c r="BA2" s="133"/>
      <c r="BB2" s="133"/>
      <c r="BC2" s="133"/>
      <c r="BD2" s="133"/>
      <c r="BE2" s="134">
        <f>変更履歴!D5</f>
        <v>43641</v>
      </c>
      <c r="BF2" s="134"/>
      <c r="BG2" s="134"/>
      <c r="BH2" s="134"/>
      <c r="BI2" s="134"/>
      <c r="BJ2" s="134"/>
      <c r="BK2" s="134"/>
      <c r="BL2" s="134"/>
      <c r="BM2" s="134"/>
      <c r="BN2" s="133" t="str">
        <f>変更履歴!BN2</f>
        <v/>
      </c>
      <c r="BO2" s="133"/>
      <c r="BP2" s="133"/>
      <c r="BQ2" s="133"/>
      <c r="BR2" s="133"/>
      <c r="BS2" s="133"/>
      <c r="BT2" s="133"/>
      <c r="BU2" s="133"/>
      <c r="BV2" s="133"/>
      <c r="BW2" s="134" t="str">
        <f>変更履歴!BW2</f>
        <v/>
      </c>
      <c r="BX2" s="133"/>
      <c r="BY2" s="133"/>
      <c r="BZ2" s="133"/>
      <c r="CA2" s="133"/>
      <c r="CB2" s="133"/>
      <c r="CC2" s="133"/>
      <c r="CD2" s="133"/>
      <c r="CE2" s="133"/>
    </row>
    <row r="3" spans="1:83" ht="5.0999999999999996"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row>
    <row r="4" spans="1:83" ht="180.75" customHeight="1">
      <c r="A4" s="135" t="s">
        <v>17</v>
      </c>
      <c r="B4" s="136"/>
      <c r="C4" s="136"/>
      <c r="D4" s="136"/>
      <c r="E4" s="136"/>
      <c r="F4" s="136"/>
      <c r="G4" s="136"/>
      <c r="H4" s="136"/>
      <c r="I4" s="137"/>
      <c r="J4" s="138" t="s">
        <v>170</v>
      </c>
      <c r="K4" s="139"/>
      <c r="L4" s="139"/>
      <c r="M4" s="139"/>
      <c r="N4" s="139"/>
      <c r="O4" s="139"/>
      <c r="P4" s="139"/>
      <c r="Q4" s="139"/>
      <c r="R4" s="139"/>
      <c r="S4" s="139"/>
      <c r="T4" s="139"/>
      <c r="U4" s="139"/>
      <c r="V4" s="139"/>
      <c r="W4" s="139"/>
      <c r="X4" s="140"/>
      <c r="Y4" s="135" t="s">
        <v>18</v>
      </c>
      <c r="Z4" s="136"/>
      <c r="AA4" s="136"/>
      <c r="AB4" s="136"/>
      <c r="AC4" s="136"/>
      <c r="AD4" s="136"/>
      <c r="AE4" s="136"/>
      <c r="AF4" s="136"/>
      <c r="AG4" s="137"/>
      <c r="AH4" s="138" t="s">
        <v>186</v>
      </c>
      <c r="AI4" s="139"/>
      <c r="AJ4" s="139"/>
      <c r="AK4" s="139"/>
      <c r="AL4" s="139"/>
      <c r="AM4" s="139"/>
      <c r="AN4" s="139"/>
      <c r="AO4" s="139"/>
      <c r="AP4" s="139"/>
      <c r="AQ4" s="139"/>
      <c r="AR4" s="139"/>
      <c r="AS4" s="139"/>
      <c r="AT4" s="139"/>
      <c r="AU4" s="139"/>
      <c r="AV4" s="139"/>
      <c r="AW4" s="139"/>
      <c r="AX4" s="139"/>
      <c r="AY4" s="139"/>
      <c r="AZ4" s="139"/>
      <c r="BA4" s="139"/>
      <c r="BB4" s="139"/>
      <c r="BC4" s="139"/>
      <c r="BD4" s="139"/>
      <c r="BE4" s="139"/>
      <c r="BF4" s="139"/>
      <c r="BG4" s="140"/>
      <c r="BH4" s="5"/>
      <c r="BI4" s="5"/>
      <c r="BJ4" s="5"/>
      <c r="BK4" s="5"/>
      <c r="BL4" s="5"/>
      <c r="BM4" s="5"/>
      <c r="BN4" s="5"/>
      <c r="BO4" s="5"/>
      <c r="BP4" s="5"/>
      <c r="BQ4" s="5"/>
      <c r="BR4" s="5"/>
      <c r="BS4" s="5"/>
      <c r="BT4" s="5"/>
      <c r="BU4" s="5"/>
      <c r="BV4" s="5"/>
      <c r="BW4" s="5"/>
      <c r="BX4" s="5"/>
      <c r="BY4" s="5"/>
      <c r="BZ4" s="5"/>
      <c r="CA4" s="5"/>
      <c r="CB4" s="5"/>
      <c r="CC4" s="5"/>
      <c r="CD4" s="5"/>
      <c r="CE4" s="5"/>
    </row>
    <row r="5" spans="1:83" ht="13.5" customHeight="1">
      <c r="A5" s="11"/>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12"/>
    </row>
    <row r="6" spans="1:83" ht="13.5" customHeight="1">
      <c r="A6" s="6"/>
      <c r="C6" s="3" t="s">
        <v>26</v>
      </c>
      <c r="CE6" s="7"/>
    </row>
    <row r="7" spans="1:83" ht="13.5" customHeight="1">
      <c r="A7" s="6"/>
      <c r="D7" s="8" t="s">
        <v>28</v>
      </c>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18"/>
      <c r="AJ7" s="19" t="s">
        <v>24</v>
      </c>
      <c r="AK7" s="9"/>
      <c r="AL7" s="9"/>
      <c r="AM7" s="9"/>
      <c r="AN7" s="9"/>
      <c r="AO7" s="9"/>
      <c r="AP7" s="9"/>
      <c r="AQ7" s="9"/>
      <c r="AR7" s="9"/>
      <c r="AS7" s="9"/>
      <c r="AT7" s="9"/>
      <c r="AU7" s="9"/>
      <c r="AV7" s="141" t="s">
        <v>105</v>
      </c>
      <c r="AW7" s="142"/>
      <c r="AX7" s="142"/>
      <c r="AY7" s="143"/>
      <c r="CE7" s="7"/>
    </row>
    <row r="8" spans="1:83" ht="13.5" customHeight="1">
      <c r="A8" s="6"/>
      <c r="D8" s="147" t="s">
        <v>46</v>
      </c>
      <c r="E8" s="148"/>
      <c r="F8" s="148"/>
      <c r="G8" s="149"/>
      <c r="H8" s="147" t="s">
        <v>47</v>
      </c>
      <c r="I8" s="148"/>
      <c r="J8" s="148"/>
      <c r="K8" s="149"/>
      <c r="L8" s="147" t="s">
        <v>48</v>
      </c>
      <c r="M8" s="148"/>
      <c r="N8" s="148"/>
      <c r="O8" s="149"/>
      <c r="P8" s="147" t="s">
        <v>49</v>
      </c>
      <c r="Q8" s="148"/>
      <c r="R8" s="148"/>
      <c r="S8" s="149"/>
      <c r="T8" s="147" t="s">
        <v>50</v>
      </c>
      <c r="U8" s="148"/>
      <c r="V8" s="148"/>
      <c r="W8" s="149"/>
      <c r="X8" s="147" t="s">
        <v>51</v>
      </c>
      <c r="Y8" s="148"/>
      <c r="Z8" s="148"/>
      <c r="AA8" s="149"/>
      <c r="AB8" s="147" t="s">
        <v>25</v>
      </c>
      <c r="AC8" s="148"/>
      <c r="AD8" s="148"/>
      <c r="AE8" s="149"/>
      <c r="AF8" s="147" t="s">
        <v>30</v>
      </c>
      <c r="AG8" s="148"/>
      <c r="AH8" s="148"/>
      <c r="AI8" s="150"/>
      <c r="AJ8" s="151" t="s">
        <v>52</v>
      </c>
      <c r="AK8" s="148"/>
      <c r="AL8" s="148"/>
      <c r="AM8" s="149"/>
      <c r="AN8" s="147" t="s">
        <v>53</v>
      </c>
      <c r="AO8" s="148"/>
      <c r="AP8" s="148"/>
      <c r="AQ8" s="149"/>
      <c r="AR8" s="147" t="s">
        <v>54</v>
      </c>
      <c r="AS8" s="148"/>
      <c r="AT8" s="148"/>
      <c r="AU8" s="148"/>
      <c r="AV8" s="144"/>
      <c r="AW8" s="145"/>
      <c r="AX8" s="145"/>
      <c r="AY8" s="146"/>
      <c r="CE8" s="7"/>
    </row>
    <row r="9" spans="1:83" ht="13.5" customHeight="1">
      <c r="A9" s="6"/>
      <c r="D9" s="152">
        <v>7</v>
      </c>
      <c r="E9" s="153"/>
      <c r="F9" s="153"/>
      <c r="G9" s="154"/>
      <c r="H9" s="152">
        <v>0</v>
      </c>
      <c r="I9" s="153"/>
      <c r="J9" s="153"/>
      <c r="K9" s="154"/>
      <c r="L9" s="152">
        <v>0</v>
      </c>
      <c r="M9" s="153"/>
      <c r="N9" s="153"/>
      <c r="O9" s="154"/>
      <c r="P9" s="152">
        <v>0</v>
      </c>
      <c r="Q9" s="153"/>
      <c r="R9" s="153"/>
      <c r="S9" s="154"/>
      <c r="T9" s="152">
        <v>7</v>
      </c>
      <c r="U9" s="153"/>
      <c r="V9" s="153"/>
      <c r="W9" s="154"/>
      <c r="X9" s="152">
        <v>0</v>
      </c>
      <c r="Y9" s="153"/>
      <c r="Z9" s="153"/>
      <c r="AA9" s="154"/>
      <c r="AB9" s="152">
        <v>0</v>
      </c>
      <c r="AC9" s="153"/>
      <c r="AD9" s="153"/>
      <c r="AE9" s="154"/>
      <c r="AF9" s="152">
        <v>0</v>
      </c>
      <c r="AG9" s="153"/>
      <c r="AH9" s="153"/>
      <c r="AI9" s="166"/>
      <c r="AJ9" s="167">
        <v>0</v>
      </c>
      <c r="AK9" s="153"/>
      <c r="AL9" s="153"/>
      <c r="AM9" s="154"/>
      <c r="AN9" s="152">
        <v>0</v>
      </c>
      <c r="AO9" s="153"/>
      <c r="AP9" s="153"/>
      <c r="AQ9" s="154"/>
      <c r="AR9" s="152">
        <v>0</v>
      </c>
      <c r="AS9" s="153"/>
      <c r="AT9" s="153"/>
      <c r="AU9" s="153"/>
      <c r="AV9" s="155">
        <f>(AJ9+AR9)/D9</f>
        <v>0</v>
      </c>
      <c r="AW9" s="156"/>
      <c r="AX9" s="156"/>
      <c r="AY9" s="157"/>
      <c r="CE9" s="7"/>
    </row>
    <row r="10" spans="1:83" ht="13.5" customHeight="1">
      <c r="A10" s="6"/>
      <c r="CE10" s="7"/>
    </row>
    <row r="11" spans="1:83" ht="13.5" customHeight="1">
      <c r="A11" s="6"/>
      <c r="C11" s="3" t="s">
        <v>27</v>
      </c>
      <c r="CE11" s="7"/>
    </row>
    <row r="12" spans="1:83" ht="13.5" customHeight="1">
      <c r="A12" s="6"/>
      <c r="D12" s="158" t="s">
        <v>55</v>
      </c>
      <c r="E12" s="159"/>
      <c r="F12" s="159"/>
      <c r="G12" s="159"/>
      <c r="H12" s="159"/>
      <c r="I12" s="159"/>
      <c r="J12" s="159"/>
      <c r="K12" s="159"/>
      <c r="L12" s="159"/>
      <c r="M12" s="159"/>
      <c r="N12" s="159"/>
      <c r="O12" s="160"/>
      <c r="P12" s="158" t="s">
        <v>56</v>
      </c>
      <c r="Q12" s="159"/>
      <c r="R12" s="159"/>
      <c r="S12" s="164"/>
      <c r="T12" s="20" t="s">
        <v>28</v>
      </c>
      <c r="U12" s="20"/>
      <c r="V12" s="20"/>
      <c r="W12" s="1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18"/>
      <c r="AZ12" s="19" t="s">
        <v>24</v>
      </c>
      <c r="BA12" s="9"/>
      <c r="BB12" s="9"/>
      <c r="BC12" s="9"/>
      <c r="BD12" s="9"/>
      <c r="BE12" s="9"/>
      <c r="BF12" s="9"/>
      <c r="BG12" s="9"/>
      <c r="BH12" s="9"/>
      <c r="BI12" s="9"/>
      <c r="BJ12" s="9"/>
      <c r="BK12" s="10"/>
      <c r="CE12" s="7"/>
    </row>
    <row r="13" spans="1:83" ht="13.5" customHeight="1">
      <c r="A13" s="6"/>
      <c r="D13" s="161"/>
      <c r="E13" s="162"/>
      <c r="F13" s="162"/>
      <c r="G13" s="162"/>
      <c r="H13" s="162"/>
      <c r="I13" s="162"/>
      <c r="J13" s="162"/>
      <c r="K13" s="162"/>
      <c r="L13" s="162"/>
      <c r="M13" s="162"/>
      <c r="N13" s="162"/>
      <c r="O13" s="163"/>
      <c r="P13" s="161"/>
      <c r="Q13" s="162"/>
      <c r="R13" s="162"/>
      <c r="S13" s="165"/>
      <c r="T13" s="151" t="s">
        <v>46</v>
      </c>
      <c r="U13" s="148"/>
      <c r="V13" s="148"/>
      <c r="W13" s="149"/>
      <c r="X13" s="147" t="s">
        <v>47</v>
      </c>
      <c r="Y13" s="148"/>
      <c r="Z13" s="148"/>
      <c r="AA13" s="149"/>
      <c r="AB13" s="147" t="s">
        <v>48</v>
      </c>
      <c r="AC13" s="148"/>
      <c r="AD13" s="148"/>
      <c r="AE13" s="149"/>
      <c r="AF13" s="147" t="s">
        <v>49</v>
      </c>
      <c r="AG13" s="148"/>
      <c r="AH13" s="148"/>
      <c r="AI13" s="149"/>
      <c r="AJ13" s="147" t="s">
        <v>50</v>
      </c>
      <c r="AK13" s="148"/>
      <c r="AL13" s="148"/>
      <c r="AM13" s="149"/>
      <c r="AN13" s="147" t="s">
        <v>51</v>
      </c>
      <c r="AO13" s="148"/>
      <c r="AP13" s="148"/>
      <c r="AQ13" s="149"/>
      <c r="AR13" s="147" t="s">
        <v>25</v>
      </c>
      <c r="AS13" s="148"/>
      <c r="AT13" s="148"/>
      <c r="AU13" s="149"/>
      <c r="AV13" s="147" t="s">
        <v>30</v>
      </c>
      <c r="AW13" s="148"/>
      <c r="AX13" s="148"/>
      <c r="AY13" s="150"/>
      <c r="AZ13" s="151" t="s">
        <v>52</v>
      </c>
      <c r="BA13" s="148"/>
      <c r="BB13" s="148"/>
      <c r="BC13" s="149"/>
      <c r="BD13" s="147" t="s">
        <v>53</v>
      </c>
      <c r="BE13" s="148"/>
      <c r="BF13" s="148"/>
      <c r="BG13" s="149"/>
      <c r="BH13" s="147" t="s">
        <v>54</v>
      </c>
      <c r="BI13" s="148"/>
      <c r="BJ13" s="148"/>
      <c r="BK13" s="149"/>
      <c r="CE13" s="7"/>
    </row>
    <row r="14" spans="1:83" ht="13.5" customHeight="1">
      <c r="A14" s="6"/>
      <c r="D14" s="168" t="s">
        <v>193</v>
      </c>
      <c r="E14" s="169"/>
      <c r="F14" s="169"/>
      <c r="G14" s="169"/>
      <c r="H14" s="169"/>
      <c r="I14" s="169"/>
      <c r="J14" s="169"/>
      <c r="K14" s="169"/>
      <c r="L14" s="169"/>
      <c r="M14" s="169"/>
      <c r="N14" s="169"/>
      <c r="O14" s="170"/>
      <c r="P14" s="171"/>
      <c r="Q14" s="172"/>
      <c r="R14" s="172"/>
      <c r="S14" s="172"/>
      <c r="T14" s="172">
        <f ca="1">IF(D14&lt;&gt;"",INDIRECT(ADDRESS(5,1,1,TRUE,D14)),"")</f>
        <v>7</v>
      </c>
      <c r="U14" s="172"/>
      <c r="V14" s="172"/>
      <c r="W14" s="173"/>
      <c r="X14" s="152">
        <f ca="1">IF(D14&lt;&gt;"",INDIRECT(ADDRESS(5,2,1,TRUE,D14)),"")</f>
        <v>0</v>
      </c>
      <c r="Y14" s="153"/>
      <c r="Z14" s="153"/>
      <c r="AA14" s="154"/>
      <c r="AB14" s="152">
        <f ca="1">IF(D14&lt;&gt;"",INDIRECT(ADDRESS(5,3,1,TRUE,D14)),"")</f>
        <v>0</v>
      </c>
      <c r="AC14" s="153"/>
      <c r="AD14" s="153"/>
      <c r="AE14" s="154"/>
      <c r="AF14" s="152">
        <f ca="1">IF(D14&lt;&gt;"",INDIRECT(ADDRESS(5,4,1,TRUE,D14)),"")</f>
        <v>0</v>
      </c>
      <c r="AG14" s="153"/>
      <c r="AH14" s="153"/>
      <c r="AI14" s="154"/>
      <c r="AJ14" s="152">
        <f ca="1">IF(D14&lt;&gt;"",INDIRECT(ADDRESS(5,5,1,TRUE,D14)),"")</f>
        <v>7</v>
      </c>
      <c r="AK14" s="153"/>
      <c r="AL14" s="153"/>
      <c r="AM14" s="154"/>
      <c r="AN14" s="152">
        <f ca="1">IF(D14&lt;&gt;"",INDIRECT(ADDRESS(5,6,1,TRUE,D14)),"")</f>
        <v>0</v>
      </c>
      <c r="AO14" s="153"/>
      <c r="AP14" s="153"/>
      <c r="AQ14" s="154"/>
      <c r="AR14" s="152">
        <f ca="1">IF(D14&lt;&gt;"",INDIRECT(ADDRESS(5,7,1,TRUE,D14)),"")</f>
        <v>0</v>
      </c>
      <c r="AS14" s="153"/>
      <c r="AT14" s="153"/>
      <c r="AU14" s="154"/>
      <c r="AV14" s="171">
        <f ca="1">IF(D14&lt;&gt;"",INDIRECT(ADDRESS(5,8,1,TRUE,D14)),"")</f>
        <v>0</v>
      </c>
      <c r="AW14" s="172"/>
      <c r="AX14" s="172"/>
      <c r="AY14" s="172"/>
      <c r="AZ14" s="172">
        <v>0</v>
      </c>
      <c r="BA14" s="172"/>
      <c r="BB14" s="172"/>
      <c r="BC14" s="173"/>
      <c r="BD14" s="152">
        <f ca="1">IF(D14&lt;&gt;"",INDIRECT(ADDRESS(5,10,1,TRUE,D14)),"")</f>
        <v>0</v>
      </c>
      <c r="BE14" s="153"/>
      <c r="BF14" s="153"/>
      <c r="BG14" s="154"/>
      <c r="BH14" s="152">
        <f ca="1">IF(D14&lt;&gt;"",INDIRECT(ADDRESS(5,11,1,TRUE,D14)),"")</f>
        <v>0</v>
      </c>
      <c r="BI14" s="153"/>
      <c r="BJ14" s="153"/>
      <c r="BK14" s="154"/>
      <c r="CE14" s="7"/>
    </row>
    <row r="15" spans="1:83" ht="13.5" customHeight="1">
      <c r="A15" s="6"/>
      <c r="D15" s="168"/>
      <c r="E15" s="169"/>
      <c r="F15" s="169"/>
      <c r="G15" s="169"/>
      <c r="H15" s="169"/>
      <c r="I15" s="169"/>
      <c r="J15" s="169"/>
      <c r="K15" s="169"/>
      <c r="L15" s="169"/>
      <c r="M15" s="169"/>
      <c r="N15" s="169"/>
      <c r="O15" s="170"/>
      <c r="P15" s="171"/>
      <c r="Q15" s="172"/>
      <c r="R15" s="172"/>
      <c r="S15" s="172"/>
      <c r="T15" s="172" t="str">
        <f t="shared" ref="T15:T37" ca="1" si="0">IF(D15&lt;&gt;"",INDIRECT(ADDRESS(5,1,1,TRUE,D15)),"")</f>
        <v/>
      </c>
      <c r="U15" s="172"/>
      <c r="V15" s="172"/>
      <c r="W15" s="173"/>
      <c r="X15" s="152" t="str">
        <f t="shared" ref="X15:X37" ca="1" si="1">IF(D15&lt;&gt;"",INDIRECT(ADDRESS(5,2,1,TRUE,D15)),"")</f>
        <v/>
      </c>
      <c r="Y15" s="153"/>
      <c r="Z15" s="153"/>
      <c r="AA15" s="154"/>
      <c r="AB15" s="152" t="str">
        <f t="shared" ref="AB15:AB37" ca="1" si="2">IF(D15&lt;&gt;"",INDIRECT(ADDRESS(5,3,1,TRUE,D15)),"")</f>
        <v/>
      </c>
      <c r="AC15" s="153"/>
      <c r="AD15" s="153"/>
      <c r="AE15" s="154"/>
      <c r="AF15" s="152" t="str">
        <f t="shared" ref="AF15:AF37" ca="1" si="3">IF(D15&lt;&gt;"",INDIRECT(ADDRESS(5,4,1,TRUE,D15)),"")</f>
        <v/>
      </c>
      <c r="AG15" s="153"/>
      <c r="AH15" s="153"/>
      <c r="AI15" s="154"/>
      <c r="AJ15" s="152" t="str">
        <f t="shared" ref="AJ15:AJ37" ca="1" si="4">IF(D15&lt;&gt;"",INDIRECT(ADDRESS(5,5,1,TRUE,D15)),"")</f>
        <v/>
      </c>
      <c r="AK15" s="153"/>
      <c r="AL15" s="153"/>
      <c r="AM15" s="154"/>
      <c r="AN15" s="152" t="str">
        <f t="shared" ref="AN15:AN37" ca="1" si="5">IF(D15&lt;&gt;"",INDIRECT(ADDRESS(5,6,1,TRUE,D15)),"")</f>
        <v/>
      </c>
      <c r="AO15" s="153"/>
      <c r="AP15" s="153"/>
      <c r="AQ15" s="154"/>
      <c r="AR15" s="152" t="str">
        <f t="shared" ref="AR15:AR37" ca="1" si="6">IF(D15&lt;&gt;"",INDIRECT(ADDRESS(5,7,1,TRUE,D15)),"")</f>
        <v/>
      </c>
      <c r="AS15" s="153"/>
      <c r="AT15" s="153"/>
      <c r="AU15" s="154"/>
      <c r="AV15" s="171" t="str">
        <f t="shared" ref="AV15:AV37" ca="1" si="7">IF(D15&lt;&gt;"",INDIRECT(ADDRESS(5,8,1,TRUE,D15)),"")</f>
        <v/>
      </c>
      <c r="AW15" s="172"/>
      <c r="AX15" s="172"/>
      <c r="AY15" s="172"/>
      <c r="AZ15" s="172" t="str">
        <f t="shared" ref="AZ15:AZ37" ca="1" si="8">IF(D15&lt;&gt;"",INDIRECT(ADDRESS(5,9,1,TRUE,D15)),"")</f>
        <v/>
      </c>
      <c r="BA15" s="172"/>
      <c r="BB15" s="172"/>
      <c r="BC15" s="173"/>
      <c r="BD15" s="152" t="str">
        <f t="shared" ref="BD15:BD37" ca="1" si="9">IF(D15&lt;&gt;"",INDIRECT(ADDRESS(5,10,1,TRUE,D15)),"")</f>
        <v/>
      </c>
      <c r="BE15" s="153"/>
      <c r="BF15" s="153"/>
      <c r="BG15" s="154"/>
      <c r="BH15" s="152" t="str">
        <f t="shared" ref="BH15:BH37" ca="1" si="10">IF(D15&lt;&gt;"",INDIRECT(ADDRESS(5,11,1,TRUE,D15)),"")</f>
        <v/>
      </c>
      <c r="BI15" s="153"/>
      <c r="BJ15" s="153"/>
      <c r="BK15" s="154"/>
      <c r="CE15" s="7"/>
    </row>
    <row r="16" spans="1:83" ht="13.5" customHeight="1">
      <c r="A16" s="6"/>
      <c r="D16" s="168"/>
      <c r="E16" s="169"/>
      <c r="F16" s="169"/>
      <c r="G16" s="169"/>
      <c r="H16" s="169"/>
      <c r="I16" s="169"/>
      <c r="J16" s="169"/>
      <c r="K16" s="169"/>
      <c r="L16" s="169"/>
      <c r="M16" s="169"/>
      <c r="N16" s="169"/>
      <c r="O16" s="170"/>
      <c r="P16" s="171"/>
      <c r="Q16" s="172"/>
      <c r="R16" s="172"/>
      <c r="S16" s="172"/>
      <c r="T16" s="172" t="str">
        <f t="shared" ca="1" si="0"/>
        <v/>
      </c>
      <c r="U16" s="172"/>
      <c r="V16" s="172"/>
      <c r="W16" s="173"/>
      <c r="X16" s="152" t="str">
        <f t="shared" ca="1" si="1"/>
        <v/>
      </c>
      <c r="Y16" s="153"/>
      <c r="Z16" s="153"/>
      <c r="AA16" s="154"/>
      <c r="AB16" s="152" t="str">
        <f t="shared" ca="1" si="2"/>
        <v/>
      </c>
      <c r="AC16" s="153"/>
      <c r="AD16" s="153"/>
      <c r="AE16" s="154"/>
      <c r="AF16" s="152" t="str">
        <f t="shared" ca="1" si="3"/>
        <v/>
      </c>
      <c r="AG16" s="153"/>
      <c r="AH16" s="153"/>
      <c r="AI16" s="154"/>
      <c r="AJ16" s="152" t="str">
        <f t="shared" ca="1" si="4"/>
        <v/>
      </c>
      <c r="AK16" s="153"/>
      <c r="AL16" s="153"/>
      <c r="AM16" s="154"/>
      <c r="AN16" s="152" t="str">
        <f t="shared" ca="1" si="5"/>
        <v/>
      </c>
      <c r="AO16" s="153"/>
      <c r="AP16" s="153"/>
      <c r="AQ16" s="154"/>
      <c r="AR16" s="152" t="str">
        <f t="shared" ca="1" si="6"/>
        <v/>
      </c>
      <c r="AS16" s="153"/>
      <c r="AT16" s="153"/>
      <c r="AU16" s="154"/>
      <c r="AV16" s="171" t="str">
        <f t="shared" ca="1" si="7"/>
        <v/>
      </c>
      <c r="AW16" s="172"/>
      <c r="AX16" s="172"/>
      <c r="AY16" s="172"/>
      <c r="AZ16" s="172" t="str">
        <f t="shared" ca="1" si="8"/>
        <v/>
      </c>
      <c r="BA16" s="172"/>
      <c r="BB16" s="172"/>
      <c r="BC16" s="173"/>
      <c r="BD16" s="152" t="str">
        <f t="shared" ca="1" si="9"/>
        <v/>
      </c>
      <c r="BE16" s="153"/>
      <c r="BF16" s="153"/>
      <c r="BG16" s="154"/>
      <c r="BH16" s="152" t="str">
        <f t="shared" ca="1" si="10"/>
        <v/>
      </c>
      <c r="BI16" s="153"/>
      <c r="BJ16" s="153"/>
      <c r="BK16" s="154"/>
      <c r="CE16" s="7"/>
    </row>
    <row r="17" spans="1:83" ht="13.5" customHeight="1">
      <c r="A17" s="6"/>
      <c r="D17" s="168"/>
      <c r="E17" s="169"/>
      <c r="F17" s="169"/>
      <c r="G17" s="169"/>
      <c r="H17" s="169"/>
      <c r="I17" s="169"/>
      <c r="J17" s="169"/>
      <c r="K17" s="169"/>
      <c r="L17" s="169"/>
      <c r="M17" s="169"/>
      <c r="N17" s="169"/>
      <c r="O17" s="170"/>
      <c r="P17" s="171"/>
      <c r="Q17" s="172"/>
      <c r="R17" s="172"/>
      <c r="S17" s="172"/>
      <c r="T17" s="172" t="str">
        <f t="shared" ca="1" si="0"/>
        <v/>
      </c>
      <c r="U17" s="172"/>
      <c r="V17" s="172"/>
      <c r="W17" s="173"/>
      <c r="X17" s="152" t="str">
        <f t="shared" ca="1" si="1"/>
        <v/>
      </c>
      <c r="Y17" s="153"/>
      <c r="Z17" s="153"/>
      <c r="AA17" s="154"/>
      <c r="AB17" s="152" t="str">
        <f t="shared" ca="1" si="2"/>
        <v/>
      </c>
      <c r="AC17" s="153"/>
      <c r="AD17" s="153"/>
      <c r="AE17" s="154"/>
      <c r="AF17" s="152" t="str">
        <f t="shared" ca="1" si="3"/>
        <v/>
      </c>
      <c r="AG17" s="153"/>
      <c r="AH17" s="153"/>
      <c r="AI17" s="154"/>
      <c r="AJ17" s="152" t="str">
        <f t="shared" ca="1" si="4"/>
        <v/>
      </c>
      <c r="AK17" s="153"/>
      <c r="AL17" s="153"/>
      <c r="AM17" s="154"/>
      <c r="AN17" s="152" t="str">
        <f t="shared" ca="1" si="5"/>
        <v/>
      </c>
      <c r="AO17" s="153"/>
      <c r="AP17" s="153"/>
      <c r="AQ17" s="154"/>
      <c r="AR17" s="152" t="str">
        <f t="shared" ca="1" si="6"/>
        <v/>
      </c>
      <c r="AS17" s="153"/>
      <c r="AT17" s="153"/>
      <c r="AU17" s="154"/>
      <c r="AV17" s="171" t="str">
        <f t="shared" ca="1" si="7"/>
        <v/>
      </c>
      <c r="AW17" s="172"/>
      <c r="AX17" s="172"/>
      <c r="AY17" s="172"/>
      <c r="AZ17" s="172" t="str">
        <f t="shared" ca="1" si="8"/>
        <v/>
      </c>
      <c r="BA17" s="172"/>
      <c r="BB17" s="172"/>
      <c r="BC17" s="173"/>
      <c r="BD17" s="152" t="str">
        <f t="shared" ca="1" si="9"/>
        <v/>
      </c>
      <c r="BE17" s="153"/>
      <c r="BF17" s="153"/>
      <c r="BG17" s="154"/>
      <c r="BH17" s="152" t="str">
        <f t="shared" ca="1" si="10"/>
        <v/>
      </c>
      <c r="BI17" s="153"/>
      <c r="BJ17" s="153"/>
      <c r="BK17" s="154"/>
      <c r="CE17" s="7"/>
    </row>
    <row r="18" spans="1:83" ht="13.5" customHeight="1">
      <c r="A18" s="6"/>
      <c r="D18" s="168"/>
      <c r="E18" s="169"/>
      <c r="F18" s="169"/>
      <c r="G18" s="169"/>
      <c r="H18" s="169"/>
      <c r="I18" s="169"/>
      <c r="J18" s="169"/>
      <c r="K18" s="169"/>
      <c r="L18" s="169"/>
      <c r="M18" s="169"/>
      <c r="N18" s="169"/>
      <c r="O18" s="170"/>
      <c r="P18" s="171"/>
      <c r="Q18" s="172"/>
      <c r="R18" s="172"/>
      <c r="S18" s="172"/>
      <c r="T18" s="172" t="str">
        <f t="shared" ca="1" si="0"/>
        <v/>
      </c>
      <c r="U18" s="172"/>
      <c r="V18" s="172"/>
      <c r="W18" s="173"/>
      <c r="X18" s="152" t="str">
        <f t="shared" ca="1" si="1"/>
        <v/>
      </c>
      <c r="Y18" s="153"/>
      <c r="Z18" s="153"/>
      <c r="AA18" s="154"/>
      <c r="AB18" s="152" t="str">
        <f t="shared" ca="1" si="2"/>
        <v/>
      </c>
      <c r="AC18" s="153"/>
      <c r="AD18" s="153"/>
      <c r="AE18" s="154"/>
      <c r="AF18" s="152" t="str">
        <f t="shared" ca="1" si="3"/>
        <v/>
      </c>
      <c r="AG18" s="153"/>
      <c r="AH18" s="153"/>
      <c r="AI18" s="154"/>
      <c r="AJ18" s="152" t="str">
        <f t="shared" ca="1" si="4"/>
        <v/>
      </c>
      <c r="AK18" s="153"/>
      <c r="AL18" s="153"/>
      <c r="AM18" s="154"/>
      <c r="AN18" s="152" t="str">
        <f t="shared" ca="1" si="5"/>
        <v/>
      </c>
      <c r="AO18" s="153"/>
      <c r="AP18" s="153"/>
      <c r="AQ18" s="154"/>
      <c r="AR18" s="152" t="str">
        <f t="shared" ca="1" si="6"/>
        <v/>
      </c>
      <c r="AS18" s="153"/>
      <c r="AT18" s="153"/>
      <c r="AU18" s="154"/>
      <c r="AV18" s="171" t="str">
        <f t="shared" ca="1" si="7"/>
        <v/>
      </c>
      <c r="AW18" s="172"/>
      <c r="AX18" s="172"/>
      <c r="AY18" s="172"/>
      <c r="AZ18" s="172" t="str">
        <f t="shared" ca="1" si="8"/>
        <v/>
      </c>
      <c r="BA18" s="172"/>
      <c r="BB18" s="172"/>
      <c r="BC18" s="173"/>
      <c r="BD18" s="152" t="str">
        <f t="shared" ca="1" si="9"/>
        <v/>
      </c>
      <c r="BE18" s="153"/>
      <c r="BF18" s="153"/>
      <c r="BG18" s="154"/>
      <c r="BH18" s="152" t="str">
        <f t="shared" ca="1" si="10"/>
        <v/>
      </c>
      <c r="BI18" s="153"/>
      <c r="BJ18" s="153"/>
      <c r="BK18" s="154"/>
      <c r="CE18" s="7"/>
    </row>
    <row r="19" spans="1:83" ht="13.5" customHeight="1">
      <c r="A19" s="6"/>
      <c r="D19" s="168"/>
      <c r="E19" s="169"/>
      <c r="F19" s="169"/>
      <c r="G19" s="169"/>
      <c r="H19" s="169"/>
      <c r="I19" s="169"/>
      <c r="J19" s="169"/>
      <c r="K19" s="169"/>
      <c r="L19" s="169"/>
      <c r="M19" s="169"/>
      <c r="N19" s="169"/>
      <c r="O19" s="170"/>
      <c r="P19" s="171"/>
      <c r="Q19" s="172"/>
      <c r="R19" s="172"/>
      <c r="S19" s="172"/>
      <c r="T19" s="172" t="str">
        <f t="shared" ca="1" si="0"/>
        <v/>
      </c>
      <c r="U19" s="172"/>
      <c r="V19" s="172"/>
      <c r="W19" s="173"/>
      <c r="X19" s="152" t="str">
        <f t="shared" ca="1" si="1"/>
        <v/>
      </c>
      <c r="Y19" s="153"/>
      <c r="Z19" s="153"/>
      <c r="AA19" s="154"/>
      <c r="AB19" s="152" t="str">
        <f t="shared" ca="1" si="2"/>
        <v/>
      </c>
      <c r="AC19" s="153"/>
      <c r="AD19" s="153"/>
      <c r="AE19" s="154"/>
      <c r="AF19" s="152" t="str">
        <f t="shared" ca="1" si="3"/>
        <v/>
      </c>
      <c r="AG19" s="153"/>
      <c r="AH19" s="153"/>
      <c r="AI19" s="154"/>
      <c r="AJ19" s="152" t="str">
        <f t="shared" ca="1" si="4"/>
        <v/>
      </c>
      <c r="AK19" s="153"/>
      <c r="AL19" s="153"/>
      <c r="AM19" s="154"/>
      <c r="AN19" s="152" t="str">
        <f t="shared" ca="1" si="5"/>
        <v/>
      </c>
      <c r="AO19" s="153"/>
      <c r="AP19" s="153"/>
      <c r="AQ19" s="154"/>
      <c r="AR19" s="152" t="str">
        <f t="shared" ca="1" si="6"/>
        <v/>
      </c>
      <c r="AS19" s="153"/>
      <c r="AT19" s="153"/>
      <c r="AU19" s="154"/>
      <c r="AV19" s="171" t="str">
        <f t="shared" ca="1" si="7"/>
        <v/>
      </c>
      <c r="AW19" s="172"/>
      <c r="AX19" s="172"/>
      <c r="AY19" s="172"/>
      <c r="AZ19" s="172" t="str">
        <f t="shared" ca="1" si="8"/>
        <v/>
      </c>
      <c r="BA19" s="172"/>
      <c r="BB19" s="172"/>
      <c r="BC19" s="173"/>
      <c r="BD19" s="152" t="str">
        <f t="shared" ca="1" si="9"/>
        <v/>
      </c>
      <c r="BE19" s="153"/>
      <c r="BF19" s="153"/>
      <c r="BG19" s="154"/>
      <c r="BH19" s="152" t="str">
        <f t="shared" ca="1" si="10"/>
        <v/>
      </c>
      <c r="BI19" s="153"/>
      <c r="BJ19" s="153"/>
      <c r="BK19" s="154"/>
      <c r="CE19" s="7"/>
    </row>
    <row r="20" spans="1:83" ht="13.5" customHeight="1">
      <c r="A20" s="6"/>
      <c r="D20" s="168"/>
      <c r="E20" s="169"/>
      <c r="F20" s="169"/>
      <c r="G20" s="169"/>
      <c r="H20" s="169"/>
      <c r="I20" s="169"/>
      <c r="J20" s="169"/>
      <c r="K20" s="169"/>
      <c r="L20" s="169"/>
      <c r="M20" s="169"/>
      <c r="N20" s="169"/>
      <c r="O20" s="170"/>
      <c r="P20" s="171"/>
      <c r="Q20" s="172"/>
      <c r="R20" s="172"/>
      <c r="S20" s="172"/>
      <c r="T20" s="172" t="str">
        <f t="shared" ca="1" si="0"/>
        <v/>
      </c>
      <c r="U20" s="172"/>
      <c r="V20" s="172"/>
      <c r="W20" s="173"/>
      <c r="X20" s="152" t="str">
        <f t="shared" ca="1" si="1"/>
        <v/>
      </c>
      <c r="Y20" s="153"/>
      <c r="Z20" s="153"/>
      <c r="AA20" s="154"/>
      <c r="AB20" s="152" t="str">
        <f t="shared" ca="1" si="2"/>
        <v/>
      </c>
      <c r="AC20" s="153"/>
      <c r="AD20" s="153"/>
      <c r="AE20" s="154"/>
      <c r="AF20" s="152" t="str">
        <f t="shared" ca="1" si="3"/>
        <v/>
      </c>
      <c r="AG20" s="153"/>
      <c r="AH20" s="153"/>
      <c r="AI20" s="154"/>
      <c r="AJ20" s="152" t="str">
        <f t="shared" ca="1" si="4"/>
        <v/>
      </c>
      <c r="AK20" s="153"/>
      <c r="AL20" s="153"/>
      <c r="AM20" s="154"/>
      <c r="AN20" s="152" t="str">
        <f t="shared" ca="1" si="5"/>
        <v/>
      </c>
      <c r="AO20" s="153"/>
      <c r="AP20" s="153"/>
      <c r="AQ20" s="154"/>
      <c r="AR20" s="152" t="str">
        <f t="shared" ca="1" si="6"/>
        <v/>
      </c>
      <c r="AS20" s="153"/>
      <c r="AT20" s="153"/>
      <c r="AU20" s="154"/>
      <c r="AV20" s="171" t="str">
        <f t="shared" ca="1" si="7"/>
        <v/>
      </c>
      <c r="AW20" s="172"/>
      <c r="AX20" s="172"/>
      <c r="AY20" s="172"/>
      <c r="AZ20" s="172" t="str">
        <f t="shared" ca="1" si="8"/>
        <v/>
      </c>
      <c r="BA20" s="172"/>
      <c r="BB20" s="172"/>
      <c r="BC20" s="173"/>
      <c r="BD20" s="152" t="str">
        <f t="shared" ca="1" si="9"/>
        <v/>
      </c>
      <c r="BE20" s="153"/>
      <c r="BF20" s="153"/>
      <c r="BG20" s="154"/>
      <c r="BH20" s="152" t="str">
        <f t="shared" ca="1" si="10"/>
        <v/>
      </c>
      <c r="BI20" s="153"/>
      <c r="BJ20" s="153"/>
      <c r="BK20" s="154"/>
      <c r="CE20" s="7"/>
    </row>
    <row r="21" spans="1:83" ht="13.5" customHeight="1">
      <c r="A21" s="6"/>
      <c r="D21" s="168"/>
      <c r="E21" s="169"/>
      <c r="F21" s="169"/>
      <c r="G21" s="169"/>
      <c r="H21" s="169"/>
      <c r="I21" s="169"/>
      <c r="J21" s="169"/>
      <c r="K21" s="169"/>
      <c r="L21" s="169"/>
      <c r="M21" s="169"/>
      <c r="N21" s="169"/>
      <c r="O21" s="170"/>
      <c r="P21" s="171"/>
      <c r="Q21" s="172"/>
      <c r="R21" s="172"/>
      <c r="S21" s="172"/>
      <c r="T21" s="172" t="str">
        <f t="shared" ca="1" si="0"/>
        <v/>
      </c>
      <c r="U21" s="172"/>
      <c r="V21" s="172"/>
      <c r="W21" s="173"/>
      <c r="X21" s="152" t="str">
        <f t="shared" ca="1" si="1"/>
        <v/>
      </c>
      <c r="Y21" s="153"/>
      <c r="Z21" s="153"/>
      <c r="AA21" s="154"/>
      <c r="AB21" s="152" t="str">
        <f t="shared" ca="1" si="2"/>
        <v/>
      </c>
      <c r="AC21" s="153"/>
      <c r="AD21" s="153"/>
      <c r="AE21" s="154"/>
      <c r="AF21" s="152" t="str">
        <f t="shared" ca="1" si="3"/>
        <v/>
      </c>
      <c r="AG21" s="153"/>
      <c r="AH21" s="153"/>
      <c r="AI21" s="154"/>
      <c r="AJ21" s="152" t="str">
        <f t="shared" ca="1" si="4"/>
        <v/>
      </c>
      <c r="AK21" s="153"/>
      <c r="AL21" s="153"/>
      <c r="AM21" s="154"/>
      <c r="AN21" s="152" t="str">
        <f t="shared" ca="1" si="5"/>
        <v/>
      </c>
      <c r="AO21" s="153"/>
      <c r="AP21" s="153"/>
      <c r="AQ21" s="154"/>
      <c r="AR21" s="152" t="str">
        <f t="shared" ca="1" si="6"/>
        <v/>
      </c>
      <c r="AS21" s="153"/>
      <c r="AT21" s="153"/>
      <c r="AU21" s="154"/>
      <c r="AV21" s="171" t="str">
        <f t="shared" ca="1" si="7"/>
        <v/>
      </c>
      <c r="AW21" s="172"/>
      <c r="AX21" s="172"/>
      <c r="AY21" s="172"/>
      <c r="AZ21" s="172" t="str">
        <f t="shared" ca="1" si="8"/>
        <v/>
      </c>
      <c r="BA21" s="172"/>
      <c r="BB21" s="172"/>
      <c r="BC21" s="173"/>
      <c r="BD21" s="152" t="str">
        <f t="shared" ca="1" si="9"/>
        <v/>
      </c>
      <c r="BE21" s="153"/>
      <c r="BF21" s="153"/>
      <c r="BG21" s="154"/>
      <c r="BH21" s="152" t="str">
        <f t="shared" ca="1" si="10"/>
        <v/>
      </c>
      <c r="BI21" s="153"/>
      <c r="BJ21" s="153"/>
      <c r="BK21" s="154"/>
      <c r="CE21" s="7"/>
    </row>
    <row r="22" spans="1:83" ht="13.5" customHeight="1">
      <c r="A22" s="6"/>
      <c r="D22" s="168"/>
      <c r="E22" s="169"/>
      <c r="F22" s="169"/>
      <c r="G22" s="169"/>
      <c r="H22" s="169"/>
      <c r="I22" s="169"/>
      <c r="J22" s="169"/>
      <c r="K22" s="169"/>
      <c r="L22" s="169"/>
      <c r="M22" s="169"/>
      <c r="N22" s="169"/>
      <c r="O22" s="170"/>
      <c r="P22" s="171"/>
      <c r="Q22" s="172"/>
      <c r="R22" s="172"/>
      <c r="S22" s="172"/>
      <c r="T22" s="172" t="str">
        <f t="shared" ca="1" si="0"/>
        <v/>
      </c>
      <c r="U22" s="172"/>
      <c r="V22" s="172"/>
      <c r="W22" s="173"/>
      <c r="X22" s="152" t="str">
        <f t="shared" ca="1" si="1"/>
        <v/>
      </c>
      <c r="Y22" s="153"/>
      <c r="Z22" s="153"/>
      <c r="AA22" s="154"/>
      <c r="AB22" s="152" t="str">
        <f t="shared" ca="1" si="2"/>
        <v/>
      </c>
      <c r="AC22" s="153"/>
      <c r="AD22" s="153"/>
      <c r="AE22" s="154"/>
      <c r="AF22" s="152" t="str">
        <f t="shared" ca="1" si="3"/>
        <v/>
      </c>
      <c r="AG22" s="153"/>
      <c r="AH22" s="153"/>
      <c r="AI22" s="154"/>
      <c r="AJ22" s="152" t="str">
        <f t="shared" ca="1" si="4"/>
        <v/>
      </c>
      <c r="AK22" s="153"/>
      <c r="AL22" s="153"/>
      <c r="AM22" s="154"/>
      <c r="AN22" s="152" t="str">
        <f t="shared" ca="1" si="5"/>
        <v/>
      </c>
      <c r="AO22" s="153"/>
      <c r="AP22" s="153"/>
      <c r="AQ22" s="154"/>
      <c r="AR22" s="152" t="str">
        <f t="shared" ca="1" si="6"/>
        <v/>
      </c>
      <c r="AS22" s="153"/>
      <c r="AT22" s="153"/>
      <c r="AU22" s="154"/>
      <c r="AV22" s="171" t="str">
        <f t="shared" ca="1" si="7"/>
        <v/>
      </c>
      <c r="AW22" s="172"/>
      <c r="AX22" s="172"/>
      <c r="AY22" s="172"/>
      <c r="AZ22" s="172" t="str">
        <f t="shared" ca="1" si="8"/>
        <v/>
      </c>
      <c r="BA22" s="172"/>
      <c r="BB22" s="172"/>
      <c r="BC22" s="173"/>
      <c r="BD22" s="152" t="str">
        <f t="shared" ca="1" si="9"/>
        <v/>
      </c>
      <c r="BE22" s="153"/>
      <c r="BF22" s="153"/>
      <c r="BG22" s="154"/>
      <c r="BH22" s="152" t="str">
        <f t="shared" ca="1" si="10"/>
        <v/>
      </c>
      <c r="BI22" s="153"/>
      <c r="BJ22" s="153"/>
      <c r="BK22" s="154"/>
      <c r="CE22" s="7"/>
    </row>
    <row r="23" spans="1:83" ht="13.5" customHeight="1">
      <c r="A23" s="6"/>
      <c r="D23" s="168"/>
      <c r="E23" s="169"/>
      <c r="F23" s="169"/>
      <c r="G23" s="169"/>
      <c r="H23" s="169"/>
      <c r="I23" s="169"/>
      <c r="J23" s="169"/>
      <c r="K23" s="169"/>
      <c r="L23" s="169"/>
      <c r="M23" s="169"/>
      <c r="N23" s="169"/>
      <c r="O23" s="170"/>
      <c r="P23" s="171"/>
      <c r="Q23" s="172"/>
      <c r="R23" s="172"/>
      <c r="S23" s="172"/>
      <c r="T23" s="172" t="str">
        <f t="shared" ca="1" si="0"/>
        <v/>
      </c>
      <c r="U23" s="172"/>
      <c r="V23" s="172"/>
      <c r="W23" s="173"/>
      <c r="X23" s="152" t="str">
        <f t="shared" ca="1" si="1"/>
        <v/>
      </c>
      <c r="Y23" s="153"/>
      <c r="Z23" s="153"/>
      <c r="AA23" s="154"/>
      <c r="AB23" s="152" t="str">
        <f t="shared" ca="1" si="2"/>
        <v/>
      </c>
      <c r="AC23" s="153"/>
      <c r="AD23" s="153"/>
      <c r="AE23" s="154"/>
      <c r="AF23" s="152" t="str">
        <f t="shared" ca="1" si="3"/>
        <v/>
      </c>
      <c r="AG23" s="153"/>
      <c r="AH23" s="153"/>
      <c r="AI23" s="154"/>
      <c r="AJ23" s="152" t="str">
        <f t="shared" ca="1" si="4"/>
        <v/>
      </c>
      <c r="AK23" s="153"/>
      <c r="AL23" s="153"/>
      <c r="AM23" s="154"/>
      <c r="AN23" s="152" t="str">
        <f t="shared" ca="1" si="5"/>
        <v/>
      </c>
      <c r="AO23" s="153"/>
      <c r="AP23" s="153"/>
      <c r="AQ23" s="154"/>
      <c r="AR23" s="152" t="str">
        <f t="shared" ca="1" si="6"/>
        <v/>
      </c>
      <c r="AS23" s="153"/>
      <c r="AT23" s="153"/>
      <c r="AU23" s="154"/>
      <c r="AV23" s="171" t="str">
        <f t="shared" ca="1" si="7"/>
        <v/>
      </c>
      <c r="AW23" s="172"/>
      <c r="AX23" s="172"/>
      <c r="AY23" s="172"/>
      <c r="AZ23" s="172" t="str">
        <f t="shared" ca="1" si="8"/>
        <v/>
      </c>
      <c r="BA23" s="172"/>
      <c r="BB23" s="172"/>
      <c r="BC23" s="173"/>
      <c r="BD23" s="152" t="str">
        <f t="shared" ca="1" si="9"/>
        <v/>
      </c>
      <c r="BE23" s="153"/>
      <c r="BF23" s="153"/>
      <c r="BG23" s="154"/>
      <c r="BH23" s="152" t="str">
        <f t="shared" ca="1" si="10"/>
        <v/>
      </c>
      <c r="BI23" s="153"/>
      <c r="BJ23" s="153"/>
      <c r="BK23" s="154"/>
      <c r="CE23" s="7"/>
    </row>
    <row r="24" spans="1:83" ht="13.5" customHeight="1">
      <c r="A24" s="6"/>
      <c r="D24" s="168"/>
      <c r="E24" s="169"/>
      <c r="F24" s="169"/>
      <c r="G24" s="169"/>
      <c r="H24" s="169"/>
      <c r="I24" s="169"/>
      <c r="J24" s="169"/>
      <c r="K24" s="169"/>
      <c r="L24" s="169"/>
      <c r="M24" s="169"/>
      <c r="N24" s="169"/>
      <c r="O24" s="170"/>
      <c r="P24" s="171"/>
      <c r="Q24" s="172"/>
      <c r="R24" s="172"/>
      <c r="S24" s="172"/>
      <c r="T24" s="172" t="str">
        <f t="shared" ca="1" si="0"/>
        <v/>
      </c>
      <c r="U24" s="172"/>
      <c r="V24" s="172"/>
      <c r="W24" s="173"/>
      <c r="X24" s="152" t="str">
        <f t="shared" ca="1" si="1"/>
        <v/>
      </c>
      <c r="Y24" s="153"/>
      <c r="Z24" s="153"/>
      <c r="AA24" s="154"/>
      <c r="AB24" s="152" t="str">
        <f t="shared" ca="1" si="2"/>
        <v/>
      </c>
      <c r="AC24" s="153"/>
      <c r="AD24" s="153"/>
      <c r="AE24" s="154"/>
      <c r="AF24" s="152" t="str">
        <f t="shared" ca="1" si="3"/>
        <v/>
      </c>
      <c r="AG24" s="153"/>
      <c r="AH24" s="153"/>
      <c r="AI24" s="154"/>
      <c r="AJ24" s="152" t="str">
        <f t="shared" ca="1" si="4"/>
        <v/>
      </c>
      <c r="AK24" s="153"/>
      <c r="AL24" s="153"/>
      <c r="AM24" s="154"/>
      <c r="AN24" s="152" t="str">
        <f t="shared" ca="1" si="5"/>
        <v/>
      </c>
      <c r="AO24" s="153"/>
      <c r="AP24" s="153"/>
      <c r="AQ24" s="154"/>
      <c r="AR24" s="152" t="str">
        <f t="shared" ca="1" si="6"/>
        <v/>
      </c>
      <c r="AS24" s="153"/>
      <c r="AT24" s="153"/>
      <c r="AU24" s="154"/>
      <c r="AV24" s="171" t="str">
        <f t="shared" ca="1" si="7"/>
        <v/>
      </c>
      <c r="AW24" s="172"/>
      <c r="AX24" s="172"/>
      <c r="AY24" s="172"/>
      <c r="AZ24" s="172" t="str">
        <f t="shared" ca="1" si="8"/>
        <v/>
      </c>
      <c r="BA24" s="172"/>
      <c r="BB24" s="172"/>
      <c r="BC24" s="173"/>
      <c r="BD24" s="152" t="str">
        <f t="shared" ca="1" si="9"/>
        <v/>
      </c>
      <c r="BE24" s="153"/>
      <c r="BF24" s="153"/>
      <c r="BG24" s="154"/>
      <c r="BH24" s="152" t="str">
        <f t="shared" ca="1" si="10"/>
        <v/>
      </c>
      <c r="BI24" s="153"/>
      <c r="BJ24" s="153"/>
      <c r="BK24" s="154"/>
      <c r="CE24" s="7"/>
    </row>
    <row r="25" spans="1:83" ht="13.5" customHeight="1">
      <c r="A25" s="6"/>
      <c r="D25" s="168"/>
      <c r="E25" s="169"/>
      <c r="F25" s="169"/>
      <c r="G25" s="169"/>
      <c r="H25" s="169"/>
      <c r="I25" s="169"/>
      <c r="J25" s="169"/>
      <c r="K25" s="169"/>
      <c r="L25" s="169"/>
      <c r="M25" s="169"/>
      <c r="N25" s="169"/>
      <c r="O25" s="170"/>
      <c r="P25" s="171"/>
      <c r="Q25" s="172"/>
      <c r="R25" s="172"/>
      <c r="S25" s="172"/>
      <c r="T25" s="172" t="str">
        <f t="shared" ca="1" si="0"/>
        <v/>
      </c>
      <c r="U25" s="172"/>
      <c r="V25" s="172"/>
      <c r="W25" s="173"/>
      <c r="X25" s="152" t="str">
        <f t="shared" ca="1" si="1"/>
        <v/>
      </c>
      <c r="Y25" s="153"/>
      <c r="Z25" s="153"/>
      <c r="AA25" s="154"/>
      <c r="AB25" s="152" t="str">
        <f t="shared" ca="1" si="2"/>
        <v/>
      </c>
      <c r="AC25" s="153"/>
      <c r="AD25" s="153"/>
      <c r="AE25" s="154"/>
      <c r="AF25" s="152" t="str">
        <f t="shared" ca="1" si="3"/>
        <v/>
      </c>
      <c r="AG25" s="153"/>
      <c r="AH25" s="153"/>
      <c r="AI25" s="154"/>
      <c r="AJ25" s="152" t="str">
        <f t="shared" ca="1" si="4"/>
        <v/>
      </c>
      <c r="AK25" s="153"/>
      <c r="AL25" s="153"/>
      <c r="AM25" s="154"/>
      <c r="AN25" s="152" t="str">
        <f t="shared" ca="1" si="5"/>
        <v/>
      </c>
      <c r="AO25" s="153"/>
      <c r="AP25" s="153"/>
      <c r="AQ25" s="154"/>
      <c r="AR25" s="152" t="str">
        <f t="shared" ca="1" si="6"/>
        <v/>
      </c>
      <c r="AS25" s="153"/>
      <c r="AT25" s="153"/>
      <c r="AU25" s="154"/>
      <c r="AV25" s="171" t="str">
        <f t="shared" ca="1" si="7"/>
        <v/>
      </c>
      <c r="AW25" s="172"/>
      <c r="AX25" s="172"/>
      <c r="AY25" s="172"/>
      <c r="AZ25" s="172" t="str">
        <f t="shared" ca="1" si="8"/>
        <v/>
      </c>
      <c r="BA25" s="172"/>
      <c r="BB25" s="172"/>
      <c r="BC25" s="173"/>
      <c r="BD25" s="152" t="str">
        <f t="shared" ca="1" si="9"/>
        <v/>
      </c>
      <c r="BE25" s="153"/>
      <c r="BF25" s="153"/>
      <c r="BG25" s="154"/>
      <c r="BH25" s="152" t="str">
        <f t="shared" ca="1" si="10"/>
        <v/>
      </c>
      <c r="BI25" s="153"/>
      <c r="BJ25" s="153"/>
      <c r="BK25" s="154"/>
      <c r="CE25" s="7"/>
    </row>
    <row r="26" spans="1:83" ht="13.5" customHeight="1">
      <c r="A26" s="6"/>
      <c r="D26" s="168"/>
      <c r="E26" s="169"/>
      <c r="F26" s="169"/>
      <c r="G26" s="169"/>
      <c r="H26" s="169"/>
      <c r="I26" s="169"/>
      <c r="J26" s="169"/>
      <c r="K26" s="169"/>
      <c r="L26" s="169"/>
      <c r="M26" s="169"/>
      <c r="N26" s="169"/>
      <c r="O26" s="170"/>
      <c r="P26" s="171"/>
      <c r="Q26" s="172"/>
      <c r="R26" s="172"/>
      <c r="S26" s="172"/>
      <c r="T26" s="172" t="str">
        <f t="shared" ca="1" si="0"/>
        <v/>
      </c>
      <c r="U26" s="172"/>
      <c r="V26" s="172"/>
      <c r="W26" s="173"/>
      <c r="X26" s="152" t="str">
        <f t="shared" ca="1" si="1"/>
        <v/>
      </c>
      <c r="Y26" s="153"/>
      <c r="Z26" s="153"/>
      <c r="AA26" s="154"/>
      <c r="AB26" s="152" t="str">
        <f t="shared" ca="1" si="2"/>
        <v/>
      </c>
      <c r="AC26" s="153"/>
      <c r="AD26" s="153"/>
      <c r="AE26" s="154"/>
      <c r="AF26" s="152" t="str">
        <f t="shared" ca="1" si="3"/>
        <v/>
      </c>
      <c r="AG26" s="153"/>
      <c r="AH26" s="153"/>
      <c r="AI26" s="154"/>
      <c r="AJ26" s="152" t="str">
        <f t="shared" ca="1" si="4"/>
        <v/>
      </c>
      <c r="AK26" s="153"/>
      <c r="AL26" s="153"/>
      <c r="AM26" s="154"/>
      <c r="AN26" s="152" t="str">
        <f t="shared" ca="1" si="5"/>
        <v/>
      </c>
      <c r="AO26" s="153"/>
      <c r="AP26" s="153"/>
      <c r="AQ26" s="154"/>
      <c r="AR26" s="152" t="str">
        <f t="shared" ca="1" si="6"/>
        <v/>
      </c>
      <c r="AS26" s="153"/>
      <c r="AT26" s="153"/>
      <c r="AU26" s="154"/>
      <c r="AV26" s="171" t="str">
        <f t="shared" ca="1" si="7"/>
        <v/>
      </c>
      <c r="AW26" s="172"/>
      <c r="AX26" s="172"/>
      <c r="AY26" s="172"/>
      <c r="AZ26" s="172" t="str">
        <f t="shared" ca="1" si="8"/>
        <v/>
      </c>
      <c r="BA26" s="172"/>
      <c r="BB26" s="172"/>
      <c r="BC26" s="173"/>
      <c r="BD26" s="152" t="str">
        <f t="shared" ca="1" si="9"/>
        <v/>
      </c>
      <c r="BE26" s="153"/>
      <c r="BF26" s="153"/>
      <c r="BG26" s="154"/>
      <c r="BH26" s="152" t="str">
        <f t="shared" ca="1" si="10"/>
        <v/>
      </c>
      <c r="BI26" s="153"/>
      <c r="BJ26" s="153"/>
      <c r="BK26" s="154"/>
      <c r="CE26" s="7"/>
    </row>
    <row r="27" spans="1:83" ht="13.5" customHeight="1">
      <c r="A27" s="6"/>
      <c r="D27" s="168"/>
      <c r="E27" s="169"/>
      <c r="F27" s="169"/>
      <c r="G27" s="169"/>
      <c r="H27" s="169"/>
      <c r="I27" s="169"/>
      <c r="J27" s="169"/>
      <c r="K27" s="169"/>
      <c r="L27" s="169"/>
      <c r="M27" s="169"/>
      <c r="N27" s="169"/>
      <c r="O27" s="170"/>
      <c r="P27" s="171"/>
      <c r="Q27" s="172"/>
      <c r="R27" s="172"/>
      <c r="S27" s="172"/>
      <c r="T27" s="172" t="str">
        <f t="shared" ca="1" si="0"/>
        <v/>
      </c>
      <c r="U27" s="172"/>
      <c r="V27" s="172"/>
      <c r="W27" s="173"/>
      <c r="X27" s="152" t="str">
        <f t="shared" ca="1" si="1"/>
        <v/>
      </c>
      <c r="Y27" s="153"/>
      <c r="Z27" s="153"/>
      <c r="AA27" s="154"/>
      <c r="AB27" s="152" t="str">
        <f t="shared" ca="1" si="2"/>
        <v/>
      </c>
      <c r="AC27" s="153"/>
      <c r="AD27" s="153"/>
      <c r="AE27" s="154"/>
      <c r="AF27" s="152" t="str">
        <f t="shared" ca="1" si="3"/>
        <v/>
      </c>
      <c r="AG27" s="153"/>
      <c r="AH27" s="153"/>
      <c r="AI27" s="154"/>
      <c r="AJ27" s="152" t="str">
        <f t="shared" ca="1" si="4"/>
        <v/>
      </c>
      <c r="AK27" s="153"/>
      <c r="AL27" s="153"/>
      <c r="AM27" s="154"/>
      <c r="AN27" s="152" t="str">
        <f t="shared" ca="1" si="5"/>
        <v/>
      </c>
      <c r="AO27" s="153"/>
      <c r="AP27" s="153"/>
      <c r="AQ27" s="154"/>
      <c r="AR27" s="152" t="str">
        <f t="shared" ca="1" si="6"/>
        <v/>
      </c>
      <c r="AS27" s="153"/>
      <c r="AT27" s="153"/>
      <c r="AU27" s="154"/>
      <c r="AV27" s="171" t="str">
        <f t="shared" ca="1" si="7"/>
        <v/>
      </c>
      <c r="AW27" s="172"/>
      <c r="AX27" s="172"/>
      <c r="AY27" s="172"/>
      <c r="AZ27" s="172" t="str">
        <f t="shared" ca="1" si="8"/>
        <v/>
      </c>
      <c r="BA27" s="172"/>
      <c r="BB27" s="172"/>
      <c r="BC27" s="173"/>
      <c r="BD27" s="152" t="str">
        <f t="shared" ca="1" si="9"/>
        <v/>
      </c>
      <c r="BE27" s="153"/>
      <c r="BF27" s="153"/>
      <c r="BG27" s="154"/>
      <c r="BH27" s="152" t="str">
        <f t="shared" ca="1" si="10"/>
        <v/>
      </c>
      <c r="BI27" s="153"/>
      <c r="BJ27" s="153"/>
      <c r="BK27" s="154"/>
      <c r="CE27" s="7"/>
    </row>
    <row r="28" spans="1:83" ht="13.5" customHeight="1">
      <c r="A28" s="6"/>
      <c r="D28" s="168"/>
      <c r="E28" s="169"/>
      <c r="F28" s="169"/>
      <c r="G28" s="169"/>
      <c r="H28" s="169"/>
      <c r="I28" s="169"/>
      <c r="J28" s="169"/>
      <c r="K28" s="169"/>
      <c r="L28" s="169"/>
      <c r="M28" s="169"/>
      <c r="N28" s="169"/>
      <c r="O28" s="170"/>
      <c r="P28" s="171"/>
      <c r="Q28" s="172"/>
      <c r="R28" s="172"/>
      <c r="S28" s="172"/>
      <c r="T28" s="172" t="str">
        <f t="shared" ca="1" si="0"/>
        <v/>
      </c>
      <c r="U28" s="172"/>
      <c r="V28" s="172"/>
      <c r="W28" s="173"/>
      <c r="X28" s="152" t="str">
        <f t="shared" ca="1" si="1"/>
        <v/>
      </c>
      <c r="Y28" s="153"/>
      <c r="Z28" s="153"/>
      <c r="AA28" s="154"/>
      <c r="AB28" s="152" t="str">
        <f t="shared" ca="1" si="2"/>
        <v/>
      </c>
      <c r="AC28" s="153"/>
      <c r="AD28" s="153"/>
      <c r="AE28" s="154"/>
      <c r="AF28" s="152" t="str">
        <f t="shared" ca="1" si="3"/>
        <v/>
      </c>
      <c r="AG28" s="153"/>
      <c r="AH28" s="153"/>
      <c r="AI28" s="154"/>
      <c r="AJ28" s="152" t="str">
        <f t="shared" ca="1" si="4"/>
        <v/>
      </c>
      <c r="AK28" s="153"/>
      <c r="AL28" s="153"/>
      <c r="AM28" s="154"/>
      <c r="AN28" s="152" t="str">
        <f t="shared" ca="1" si="5"/>
        <v/>
      </c>
      <c r="AO28" s="153"/>
      <c r="AP28" s="153"/>
      <c r="AQ28" s="154"/>
      <c r="AR28" s="152" t="str">
        <f t="shared" ca="1" si="6"/>
        <v/>
      </c>
      <c r="AS28" s="153"/>
      <c r="AT28" s="153"/>
      <c r="AU28" s="154"/>
      <c r="AV28" s="171" t="str">
        <f t="shared" ca="1" si="7"/>
        <v/>
      </c>
      <c r="AW28" s="172"/>
      <c r="AX28" s="172"/>
      <c r="AY28" s="172"/>
      <c r="AZ28" s="172" t="str">
        <f t="shared" ca="1" si="8"/>
        <v/>
      </c>
      <c r="BA28" s="172"/>
      <c r="BB28" s="172"/>
      <c r="BC28" s="173"/>
      <c r="BD28" s="152" t="str">
        <f t="shared" ca="1" si="9"/>
        <v/>
      </c>
      <c r="BE28" s="153"/>
      <c r="BF28" s="153"/>
      <c r="BG28" s="154"/>
      <c r="BH28" s="152" t="str">
        <f t="shared" ca="1" si="10"/>
        <v/>
      </c>
      <c r="BI28" s="153"/>
      <c r="BJ28" s="153"/>
      <c r="BK28" s="154"/>
      <c r="CE28" s="7"/>
    </row>
    <row r="29" spans="1:83" ht="13.5" customHeight="1">
      <c r="A29" s="6"/>
      <c r="D29" s="168"/>
      <c r="E29" s="169"/>
      <c r="F29" s="169"/>
      <c r="G29" s="169"/>
      <c r="H29" s="169"/>
      <c r="I29" s="169"/>
      <c r="J29" s="169"/>
      <c r="K29" s="169"/>
      <c r="L29" s="169"/>
      <c r="M29" s="169"/>
      <c r="N29" s="169"/>
      <c r="O29" s="170"/>
      <c r="P29" s="171"/>
      <c r="Q29" s="172"/>
      <c r="R29" s="172"/>
      <c r="S29" s="172"/>
      <c r="T29" s="172" t="str">
        <f t="shared" ca="1" si="0"/>
        <v/>
      </c>
      <c r="U29" s="172"/>
      <c r="V29" s="172"/>
      <c r="W29" s="173"/>
      <c r="X29" s="152" t="str">
        <f t="shared" ca="1" si="1"/>
        <v/>
      </c>
      <c r="Y29" s="153"/>
      <c r="Z29" s="153"/>
      <c r="AA29" s="154"/>
      <c r="AB29" s="152" t="str">
        <f t="shared" ca="1" si="2"/>
        <v/>
      </c>
      <c r="AC29" s="153"/>
      <c r="AD29" s="153"/>
      <c r="AE29" s="154"/>
      <c r="AF29" s="152" t="str">
        <f t="shared" ca="1" si="3"/>
        <v/>
      </c>
      <c r="AG29" s="153"/>
      <c r="AH29" s="153"/>
      <c r="AI29" s="154"/>
      <c r="AJ29" s="152" t="str">
        <f t="shared" ca="1" si="4"/>
        <v/>
      </c>
      <c r="AK29" s="153"/>
      <c r="AL29" s="153"/>
      <c r="AM29" s="154"/>
      <c r="AN29" s="152" t="str">
        <f t="shared" ca="1" si="5"/>
        <v/>
      </c>
      <c r="AO29" s="153"/>
      <c r="AP29" s="153"/>
      <c r="AQ29" s="154"/>
      <c r="AR29" s="152" t="str">
        <f t="shared" ca="1" si="6"/>
        <v/>
      </c>
      <c r="AS29" s="153"/>
      <c r="AT29" s="153"/>
      <c r="AU29" s="154"/>
      <c r="AV29" s="171" t="str">
        <f t="shared" ca="1" si="7"/>
        <v/>
      </c>
      <c r="AW29" s="172"/>
      <c r="AX29" s="172"/>
      <c r="AY29" s="172"/>
      <c r="AZ29" s="172" t="str">
        <f t="shared" ca="1" si="8"/>
        <v/>
      </c>
      <c r="BA29" s="172"/>
      <c r="BB29" s="172"/>
      <c r="BC29" s="173"/>
      <c r="BD29" s="152" t="str">
        <f t="shared" ca="1" si="9"/>
        <v/>
      </c>
      <c r="BE29" s="153"/>
      <c r="BF29" s="153"/>
      <c r="BG29" s="154"/>
      <c r="BH29" s="152" t="str">
        <f t="shared" ca="1" si="10"/>
        <v/>
      </c>
      <c r="BI29" s="153"/>
      <c r="BJ29" s="153"/>
      <c r="BK29" s="154"/>
      <c r="CE29" s="7"/>
    </row>
    <row r="30" spans="1:83" ht="13.5" customHeight="1">
      <c r="A30" s="6"/>
      <c r="D30" s="168"/>
      <c r="E30" s="169"/>
      <c r="F30" s="169"/>
      <c r="G30" s="169"/>
      <c r="H30" s="169"/>
      <c r="I30" s="169"/>
      <c r="J30" s="169"/>
      <c r="K30" s="169"/>
      <c r="L30" s="169"/>
      <c r="M30" s="169"/>
      <c r="N30" s="169"/>
      <c r="O30" s="170"/>
      <c r="P30" s="171"/>
      <c r="Q30" s="172"/>
      <c r="R30" s="172"/>
      <c r="S30" s="172"/>
      <c r="T30" s="172" t="str">
        <f t="shared" ca="1" si="0"/>
        <v/>
      </c>
      <c r="U30" s="172"/>
      <c r="V30" s="172"/>
      <c r="W30" s="173"/>
      <c r="X30" s="152" t="str">
        <f t="shared" ca="1" si="1"/>
        <v/>
      </c>
      <c r="Y30" s="153"/>
      <c r="Z30" s="153"/>
      <c r="AA30" s="154"/>
      <c r="AB30" s="152" t="str">
        <f t="shared" ca="1" si="2"/>
        <v/>
      </c>
      <c r="AC30" s="153"/>
      <c r="AD30" s="153"/>
      <c r="AE30" s="154"/>
      <c r="AF30" s="152" t="str">
        <f t="shared" ca="1" si="3"/>
        <v/>
      </c>
      <c r="AG30" s="153"/>
      <c r="AH30" s="153"/>
      <c r="AI30" s="154"/>
      <c r="AJ30" s="152" t="str">
        <f t="shared" ca="1" si="4"/>
        <v/>
      </c>
      <c r="AK30" s="153"/>
      <c r="AL30" s="153"/>
      <c r="AM30" s="154"/>
      <c r="AN30" s="152" t="str">
        <f t="shared" ca="1" si="5"/>
        <v/>
      </c>
      <c r="AO30" s="153"/>
      <c r="AP30" s="153"/>
      <c r="AQ30" s="154"/>
      <c r="AR30" s="152" t="str">
        <f t="shared" ca="1" si="6"/>
        <v/>
      </c>
      <c r="AS30" s="153"/>
      <c r="AT30" s="153"/>
      <c r="AU30" s="154"/>
      <c r="AV30" s="171" t="str">
        <f t="shared" ca="1" si="7"/>
        <v/>
      </c>
      <c r="AW30" s="172"/>
      <c r="AX30" s="172"/>
      <c r="AY30" s="172"/>
      <c r="AZ30" s="172" t="str">
        <f t="shared" ca="1" si="8"/>
        <v/>
      </c>
      <c r="BA30" s="172"/>
      <c r="BB30" s="172"/>
      <c r="BC30" s="173"/>
      <c r="BD30" s="152" t="str">
        <f t="shared" ca="1" si="9"/>
        <v/>
      </c>
      <c r="BE30" s="153"/>
      <c r="BF30" s="153"/>
      <c r="BG30" s="154"/>
      <c r="BH30" s="152" t="str">
        <f t="shared" ca="1" si="10"/>
        <v/>
      </c>
      <c r="BI30" s="153"/>
      <c r="BJ30" s="153"/>
      <c r="BK30" s="154"/>
      <c r="CE30" s="7"/>
    </row>
    <row r="31" spans="1:83" ht="13.5" customHeight="1">
      <c r="A31" s="6"/>
      <c r="D31" s="168"/>
      <c r="E31" s="169"/>
      <c r="F31" s="169"/>
      <c r="G31" s="169"/>
      <c r="H31" s="169"/>
      <c r="I31" s="169"/>
      <c r="J31" s="169"/>
      <c r="K31" s="169"/>
      <c r="L31" s="169"/>
      <c r="M31" s="169"/>
      <c r="N31" s="169"/>
      <c r="O31" s="170"/>
      <c r="P31" s="171"/>
      <c r="Q31" s="172"/>
      <c r="R31" s="172"/>
      <c r="S31" s="172"/>
      <c r="T31" s="172" t="str">
        <f t="shared" ca="1" si="0"/>
        <v/>
      </c>
      <c r="U31" s="172"/>
      <c r="V31" s="172"/>
      <c r="W31" s="173"/>
      <c r="X31" s="152" t="str">
        <f t="shared" ca="1" si="1"/>
        <v/>
      </c>
      <c r="Y31" s="153"/>
      <c r="Z31" s="153"/>
      <c r="AA31" s="154"/>
      <c r="AB31" s="152" t="str">
        <f t="shared" ca="1" si="2"/>
        <v/>
      </c>
      <c r="AC31" s="153"/>
      <c r="AD31" s="153"/>
      <c r="AE31" s="154"/>
      <c r="AF31" s="152" t="str">
        <f t="shared" ca="1" si="3"/>
        <v/>
      </c>
      <c r="AG31" s="153"/>
      <c r="AH31" s="153"/>
      <c r="AI31" s="154"/>
      <c r="AJ31" s="152" t="str">
        <f t="shared" ca="1" si="4"/>
        <v/>
      </c>
      <c r="AK31" s="153"/>
      <c r="AL31" s="153"/>
      <c r="AM31" s="154"/>
      <c r="AN31" s="152" t="str">
        <f t="shared" ca="1" si="5"/>
        <v/>
      </c>
      <c r="AO31" s="153"/>
      <c r="AP31" s="153"/>
      <c r="AQ31" s="154"/>
      <c r="AR31" s="152" t="str">
        <f t="shared" ca="1" si="6"/>
        <v/>
      </c>
      <c r="AS31" s="153"/>
      <c r="AT31" s="153"/>
      <c r="AU31" s="154"/>
      <c r="AV31" s="171" t="str">
        <f t="shared" ca="1" si="7"/>
        <v/>
      </c>
      <c r="AW31" s="172"/>
      <c r="AX31" s="172"/>
      <c r="AY31" s="172"/>
      <c r="AZ31" s="172" t="str">
        <f t="shared" ca="1" si="8"/>
        <v/>
      </c>
      <c r="BA31" s="172"/>
      <c r="BB31" s="172"/>
      <c r="BC31" s="173"/>
      <c r="BD31" s="152" t="str">
        <f t="shared" ca="1" si="9"/>
        <v/>
      </c>
      <c r="BE31" s="153"/>
      <c r="BF31" s="153"/>
      <c r="BG31" s="154"/>
      <c r="BH31" s="152" t="str">
        <f t="shared" ca="1" si="10"/>
        <v/>
      </c>
      <c r="BI31" s="153"/>
      <c r="BJ31" s="153"/>
      <c r="BK31" s="154"/>
      <c r="CE31" s="7"/>
    </row>
    <row r="32" spans="1:83" ht="13.5" customHeight="1">
      <c r="A32" s="6"/>
      <c r="D32" s="168"/>
      <c r="E32" s="169"/>
      <c r="F32" s="169"/>
      <c r="G32" s="169"/>
      <c r="H32" s="169"/>
      <c r="I32" s="169"/>
      <c r="J32" s="169"/>
      <c r="K32" s="169"/>
      <c r="L32" s="169"/>
      <c r="M32" s="169"/>
      <c r="N32" s="169"/>
      <c r="O32" s="170"/>
      <c r="P32" s="171"/>
      <c r="Q32" s="172"/>
      <c r="R32" s="172"/>
      <c r="S32" s="172"/>
      <c r="T32" s="172" t="str">
        <f t="shared" ca="1" si="0"/>
        <v/>
      </c>
      <c r="U32" s="172"/>
      <c r="V32" s="172"/>
      <c r="W32" s="173"/>
      <c r="X32" s="152" t="str">
        <f t="shared" ca="1" si="1"/>
        <v/>
      </c>
      <c r="Y32" s="153"/>
      <c r="Z32" s="153"/>
      <c r="AA32" s="154"/>
      <c r="AB32" s="152" t="str">
        <f t="shared" ca="1" si="2"/>
        <v/>
      </c>
      <c r="AC32" s="153"/>
      <c r="AD32" s="153"/>
      <c r="AE32" s="154"/>
      <c r="AF32" s="152" t="str">
        <f t="shared" ca="1" si="3"/>
        <v/>
      </c>
      <c r="AG32" s="153"/>
      <c r="AH32" s="153"/>
      <c r="AI32" s="154"/>
      <c r="AJ32" s="152" t="str">
        <f t="shared" ca="1" si="4"/>
        <v/>
      </c>
      <c r="AK32" s="153"/>
      <c r="AL32" s="153"/>
      <c r="AM32" s="154"/>
      <c r="AN32" s="152" t="str">
        <f t="shared" ca="1" si="5"/>
        <v/>
      </c>
      <c r="AO32" s="153"/>
      <c r="AP32" s="153"/>
      <c r="AQ32" s="154"/>
      <c r="AR32" s="152" t="str">
        <f t="shared" ca="1" si="6"/>
        <v/>
      </c>
      <c r="AS32" s="153"/>
      <c r="AT32" s="153"/>
      <c r="AU32" s="154"/>
      <c r="AV32" s="171" t="str">
        <f t="shared" ca="1" si="7"/>
        <v/>
      </c>
      <c r="AW32" s="172"/>
      <c r="AX32" s="172"/>
      <c r="AY32" s="172"/>
      <c r="AZ32" s="172" t="str">
        <f t="shared" ca="1" si="8"/>
        <v/>
      </c>
      <c r="BA32" s="172"/>
      <c r="BB32" s="172"/>
      <c r="BC32" s="173"/>
      <c r="BD32" s="152" t="str">
        <f t="shared" ca="1" si="9"/>
        <v/>
      </c>
      <c r="BE32" s="153"/>
      <c r="BF32" s="153"/>
      <c r="BG32" s="154"/>
      <c r="BH32" s="152" t="str">
        <f t="shared" ca="1" si="10"/>
        <v/>
      </c>
      <c r="BI32" s="153"/>
      <c r="BJ32" s="153"/>
      <c r="BK32" s="154"/>
      <c r="CE32" s="7"/>
    </row>
    <row r="33" spans="1:83" ht="13.5" customHeight="1">
      <c r="A33" s="6"/>
      <c r="D33" s="168"/>
      <c r="E33" s="169"/>
      <c r="F33" s="169"/>
      <c r="G33" s="169"/>
      <c r="H33" s="169"/>
      <c r="I33" s="169"/>
      <c r="J33" s="169"/>
      <c r="K33" s="169"/>
      <c r="L33" s="169"/>
      <c r="M33" s="169"/>
      <c r="N33" s="169"/>
      <c r="O33" s="170"/>
      <c r="P33" s="171"/>
      <c r="Q33" s="172"/>
      <c r="R33" s="172"/>
      <c r="S33" s="172"/>
      <c r="T33" s="172" t="str">
        <f t="shared" ca="1" si="0"/>
        <v/>
      </c>
      <c r="U33" s="172"/>
      <c r="V33" s="172"/>
      <c r="W33" s="173"/>
      <c r="X33" s="152" t="str">
        <f t="shared" ca="1" si="1"/>
        <v/>
      </c>
      <c r="Y33" s="153"/>
      <c r="Z33" s="153"/>
      <c r="AA33" s="154"/>
      <c r="AB33" s="152" t="str">
        <f t="shared" ca="1" si="2"/>
        <v/>
      </c>
      <c r="AC33" s="153"/>
      <c r="AD33" s="153"/>
      <c r="AE33" s="154"/>
      <c r="AF33" s="152" t="str">
        <f t="shared" ca="1" si="3"/>
        <v/>
      </c>
      <c r="AG33" s="153"/>
      <c r="AH33" s="153"/>
      <c r="AI33" s="154"/>
      <c r="AJ33" s="152" t="str">
        <f t="shared" ca="1" si="4"/>
        <v/>
      </c>
      <c r="AK33" s="153"/>
      <c r="AL33" s="153"/>
      <c r="AM33" s="154"/>
      <c r="AN33" s="152" t="str">
        <f t="shared" ca="1" si="5"/>
        <v/>
      </c>
      <c r="AO33" s="153"/>
      <c r="AP33" s="153"/>
      <c r="AQ33" s="154"/>
      <c r="AR33" s="152" t="str">
        <f t="shared" ca="1" si="6"/>
        <v/>
      </c>
      <c r="AS33" s="153"/>
      <c r="AT33" s="153"/>
      <c r="AU33" s="154"/>
      <c r="AV33" s="171" t="str">
        <f t="shared" ca="1" si="7"/>
        <v/>
      </c>
      <c r="AW33" s="172"/>
      <c r="AX33" s="172"/>
      <c r="AY33" s="172"/>
      <c r="AZ33" s="172" t="str">
        <f t="shared" ca="1" si="8"/>
        <v/>
      </c>
      <c r="BA33" s="172"/>
      <c r="BB33" s="172"/>
      <c r="BC33" s="173"/>
      <c r="BD33" s="152" t="str">
        <f t="shared" ca="1" si="9"/>
        <v/>
      </c>
      <c r="BE33" s="153"/>
      <c r="BF33" s="153"/>
      <c r="BG33" s="154"/>
      <c r="BH33" s="152" t="str">
        <f t="shared" ca="1" si="10"/>
        <v/>
      </c>
      <c r="BI33" s="153"/>
      <c r="BJ33" s="153"/>
      <c r="BK33" s="154"/>
      <c r="CE33" s="7"/>
    </row>
    <row r="34" spans="1:83" ht="13.5" customHeight="1">
      <c r="A34" s="6"/>
      <c r="D34" s="168"/>
      <c r="E34" s="169"/>
      <c r="F34" s="169"/>
      <c r="G34" s="169"/>
      <c r="H34" s="169"/>
      <c r="I34" s="169"/>
      <c r="J34" s="169"/>
      <c r="K34" s="169"/>
      <c r="L34" s="169"/>
      <c r="M34" s="169"/>
      <c r="N34" s="169"/>
      <c r="O34" s="170"/>
      <c r="P34" s="171"/>
      <c r="Q34" s="172"/>
      <c r="R34" s="172"/>
      <c r="S34" s="172"/>
      <c r="T34" s="172" t="str">
        <f t="shared" ca="1" si="0"/>
        <v/>
      </c>
      <c r="U34" s="172"/>
      <c r="V34" s="172"/>
      <c r="W34" s="173"/>
      <c r="X34" s="152" t="str">
        <f t="shared" ca="1" si="1"/>
        <v/>
      </c>
      <c r="Y34" s="153"/>
      <c r="Z34" s="153"/>
      <c r="AA34" s="154"/>
      <c r="AB34" s="152" t="str">
        <f t="shared" ca="1" si="2"/>
        <v/>
      </c>
      <c r="AC34" s="153"/>
      <c r="AD34" s="153"/>
      <c r="AE34" s="154"/>
      <c r="AF34" s="152" t="str">
        <f t="shared" ca="1" si="3"/>
        <v/>
      </c>
      <c r="AG34" s="153"/>
      <c r="AH34" s="153"/>
      <c r="AI34" s="154"/>
      <c r="AJ34" s="152" t="str">
        <f t="shared" ca="1" si="4"/>
        <v/>
      </c>
      <c r="AK34" s="153"/>
      <c r="AL34" s="153"/>
      <c r="AM34" s="154"/>
      <c r="AN34" s="152" t="str">
        <f t="shared" ca="1" si="5"/>
        <v/>
      </c>
      <c r="AO34" s="153"/>
      <c r="AP34" s="153"/>
      <c r="AQ34" s="154"/>
      <c r="AR34" s="152" t="str">
        <f t="shared" ca="1" si="6"/>
        <v/>
      </c>
      <c r="AS34" s="153"/>
      <c r="AT34" s="153"/>
      <c r="AU34" s="154"/>
      <c r="AV34" s="171" t="str">
        <f t="shared" ca="1" si="7"/>
        <v/>
      </c>
      <c r="AW34" s="172"/>
      <c r="AX34" s="172"/>
      <c r="AY34" s="172"/>
      <c r="AZ34" s="172" t="str">
        <f t="shared" ca="1" si="8"/>
        <v/>
      </c>
      <c r="BA34" s="172"/>
      <c r="BB34" s="172"/>
      <c r="BC34" s="173"/>
      <c r="BD34" s="152" t="str">
        <f t="shared" ca="1" si="9"/>
        <v/>
      </c>
      <c r="BE34" s="153"/>
      <c r="BF34" s="153"/>
      <c r="BG34" s="154"/>
      <c r="BH34" s="152" t="str">
        <f t="shared" ca="1" si="10"/>
        <v/>
      </c>
      <c r="BI34" s="153"/>
      <c r="BJ34" s="153"/>
      <c r="BK34" s="154"/>
      <c r="CE34" s="7"/>
    </row>
    <row r="35" spans="1:83" ht="13.5" customHeight="1">
      <c r="A35" s="6"/>
      <c r="D35" s="168"/>
      <c r="E35" s="169"/>
      <c r="F35" s="169"/>
      <c r="G35" s="169"/>
      <c r="H35" s="169"/>
      <c r="I35" s="169"/>
      <c r="J35" s="169"/>
      <c r="K35" s="169"/>
      <c r="L35" s="169"/>
      <c r="M35" s="169"/>
      <c r="N35" s="169"/>
      <c r="O35" s="170"/>
      <c r="P35" s="171"/>
      <c r="Q35" s="172"/>
      <c r="R35" s="172"/>
      <c r="S35" s="172"/>
      <c r="T35" s="172" t="str">
        <f t="shared" ca="1" si="0"/>
        <v/>
      </c>
      <c r="U35" s="172"/>
      <c r="V35" s="172"/>
      <c r="W35" s="173"/>
      <c r="X35" s="152" t="str">
        <f t="shared" ca="1" si="1"/>
        <v/>
      </c>
      <c r="Y35" s="153"/>
      <c r="Z35" s="153"/>
      <c r="AA35" s="154"/>
      <c r="AB35" s="152" t="str">
        <f t="shared" ca="1" si="2"/>
        <v/>
      </c>
      <c r="AC35" s="153"/>
      <c r="AD35" s="153"/>
      <c r="AE35" s="154"/>
      <c r="AF35" s="152" t="str">
        <f t="shared" ca="1" si="3"/>
        <v/>
      </c>
      <c r="AG35" s="153"/>
      <c r="AH35" s="153"/>
      <c r="AI35" s="154"/>
      <c r="AJ35" s="152" t="str">
        <f t="shared" ca="1" si="4"/>
        <v/>
      </c>
      <c r="AK35" s="153"/>
      <c r="AL35" s="153"/>
      <c r="AM35" s="154"/>
      <c r="AN35" s="152" t="str">
        <f t="shared" ca="1" si="5"/>
        <v/>
      </c>
      <c r="AO35" s="153"/>
      <c r="AP35" s="153"/>
      <c r="AQ35" s="154"/>
      <c r="AR35" s="152" t="str">
        <f t="shared" ca="1" si="6"/>
        <v/>
      </c>
      <c r="AS35" s="153"/>
      <c r="AT35" s="153"/>
      <c r="AU35" s="154"/>
      <c r="AV35" s="171" t="str">
        <f t="shared" ca="1" si="7"/>
        <v/>
      </c>
      <c r="AW35" s="172"/>
      <c r="AX35" s="172"/>
      <c r="AY35" s="172"/>
      <c r="AZ35" s="172" t="str">
        <f t="shared" ca="1" si="8"/>
        <v/>
      </c>
      <c r="BA35" s="172"/>
      <c r="BB35" s="172"/>
      <c r="BC35" s="173"/>
      <c r="BD35" s="152" t="str">
        <f t="shared" ca="1" si="9"/>
        <v/>
      </c>
      <c r="BE35" s="153"/>
      <c r="BF35" s="153"/>
      <c r="BG35" s="154"/>
      <c r="BH35" s="152" t="str">
        <f t="shared" ca="1" si="10"/>
        <v/>
      </c>
      <c r="BI35" s="153"/>
      <c r="BJ35" s="153"/>
      <c r="BK35" s="154"/>
      <c r="CE35" s="7"/>
    </row>
    <row r="36" spans="1:83" ht="13.5" customHeight="1">
      <c r="A36" s="6"/>
      <c r="D36" s="168"/>
      <c r="E36" s="169"/>
      <c r="F36" s="169"/>
      <c r="G36" s="169"/>
      <c r="H36" s="169"/>
      <c r="I36" s="169"/>
      <c r="J36" s="169"/>
      <c r="K36" s="169"/>
      <c r="L36" s="169"/>
      <c r="M36" s="169"/>
      <c r="N36" s="169"/>
      <c r="O36" s="170"/>
      <c r="P36" s="171"/>
      <c r="Q36" s="172"/>
      <c r="R36" s="172"/>
      <c r="S36" s="172"/>
      <c r="T36" s="172" t="str">
        <f t="shared" ca="1" si="0"/>
        <v/>
      </c>
      <c r="U36" s="172"/>
      <c r="V36" s="172"/>
      <c r="W36" s="173"/>
      <c r="X36" s="152" t="str">
        <f t="shared" ca="1" si="1"/>
        <v/>
      </c>
      <c r="Y36" s="153"/>
      <c r="Z36" s="153"/>
      <c r="AA36" s="154"/>
      <c r="AB36" s="152" t="str">
        <f t="shared" ca="1" si="2"/>
        <v/>
      </c>
      <c r="AC36" s="153"/>
      <c r="AD36" s="153"/>
      <c r="AE36" s="154"/>
      <c r="AF36" s="152" t="str">
        <f t="shared" ca="1" si="3"/>
        <v/>
      </c>
      <c r="AG36" s="153"/>
      <c r="AH36" s="153"/>
      <c r="AI36" s="154"/>
      <c r="AJ36" s="152" t="str">
        <f t="shared" ca="1" si="4"/>
        <v/>
      </c>
      <c r="AK36" s="153"/>
      <c r="AL36" s="153"/>
      <c r="AM36" s="154"/>
      <c r="AN36" s="152" t="str">
        <f t="shared" ca="1" si="5"/>
        <v/>
      </c>
      <c r="AO36" s="153"/>
      <c r="AP36" s="153"/>
      <c r="AQ36" s="154"/>
      <c r="AR36" s="152" t="str">
        <f t="shared" ca="1" si="6"/>
        <v/>
      </c>
      <c r="AS36" s="153"/>
      <c r="AT36" s="153"/>
      <c r="AU36" s="154"/>
      <c r="AV36" s="171" t="str">
        <f t="shared" ca="1" si="7"/>
        <v/>
      </c>
      <c r="AW36" s="172"/>
      <c r="AX36" s="172"/>
      <c r="AY36" s="172"/>
      <c r="AZ36" s="172" t="str">
        <f t="shared" ca="1" si="8"/>
        <v/>
      </c>
      <c r="BA36" s="172"/>
      <c r="BB36" s="172"/>
      <c r="BC36" s="173"/>
      <c r="BD36" s="152" t="str">
        <f t="shared" ca="1" si="9"/>
        <v/>
      </c>
      <c r="BE36" s="153"/>
      <c r="BF36" s="153"/>
      <c r="BG36" s="154"/>
      <c r="BH36" s="152" t="str">
        <f t="shared" ca="1" si="10"/>
        <v/>
      </c>
      <c r="BI36" s="153"/>
      <c r="BJ36" s="153"/>
      <c r="BK36" s="154"/>
      <c r="CE36" s="7"/>
    </row>
    <row r="37" spans="1:83" ht="13.5" customHeight="1">
      <c r="A37" s="6"/>
      <c r="D37" s="168"/>
      <c r="E37" s="169"/>
      <c r="F37" s="169"/>
      <c r="G37" s="169"/>
      <c r="H37" s="169"/>
      <c r="I37" s="169"/>
      <c r="J37" s="169"/>
      <c r="K37" s="169"/>
      <c r="L37" s="169"/>
      <c r="M37" s="169"/>
      <c r="N37" s="169"/>
      <c r="O37" s="170"/>
      <c r="P37" s="171"/>
      <c r="Q37" s="172"/>
      <c r="R37" s="172"/>
      <c r="S37" s="172"/>
      <c r="T37" s="172" t="str">
        <f t="shared" ca="1" si="0"/>
        <v/>
      </c>
      <c r="U37" s="172"/>
      <c r="V37" s="172"/>
      <c r="W37" s="173"/>
      <c r="X37" s="152" t="str">
        <f t="shared" ca="1" si="1"/>
        <v/>
      </c>
      <c r="Y37" s="153"/>
      <c r="Z37" s="153"/>
      <c r="AA37" s="154"/>
      <c r="AB37" s="152" t="str">
        <f t="shared" ca="1" si="2"/>
        <v/>
      </c>
      <c r="AC37" s="153"/>
      <c r="AD37" s="153"/>
      <c r="AE37" s="154"/>
      <c r="AF37" s="152" t="str">
        <f t="shared" ca="1" si="3"/>
        <v/>
      </c>
      <c r="AG37" s="153"/>
      <c r="AH37" s="153"/>
      <c r="AI37" s="154"/>
      <c r="AJ37" s="152" t="str">
        <f t="shared" ca="1" si="4"/>
        <v/>
      </c>
      <c r="AK37" s="153"/>
      <c r="AL37" s="153"/>
      <c r="AM37" s="154"/>
      <c r="AN37" s="152" t="str">
        <f t="shared" ca="1" si="5"/>
        <v/>
      </c>
      <c r="AO37" s="153"/>
      <c r="AP37" s="153"/>
      <c r="AQ37" s="154"/>
      <c r="AR37" s="152" t="str">
        <f t="shared" ca="1" si="6"/>
        <v/>
      </c>
      <c r="AS37" s="153"/>
      <c r="AT37" s="153"/>
      <c r="AU37" s="154"/>
      <c r="AV37" s="171" t="str">
        <f t="shared" ca="1" si="7"/>
        <v/>
      </c>
      <c r="AW37" s="172"/>
      <c r="AX37" s="172"/>
      <c r="AY37" s="172"/>
      <c r="AZ37" s="172" t="str">
        <f t="shared" ca="1" si="8"/>
        <v/>
      </c>
      <c r="BA37" s="172"/>
      <c r="BB37" s="172"/>
      <c r="BC37" s="173"/>
      <c r="BD37" s="152" t="str">
        <f t="shared" ca="1" si="9"/>
        <v/>
      </c>
      <c r="BE37" s="153"/>
      <c r="BF37" s="153"/>
      <c r="BG37" s="154"/>
      <c r="BH37" s="152" t="str">
        <f t="shared" ca="1" si="10"/>
        <v/>
      </c>
      <c r="BI37" s="153"/>
      <c r="BJ37" s="153"/>
      <c r="BK37" s="154"/>
      <c r="CE37" s="7"/>
    </row>
    <row r="38" spans="1:83" ht="13.5" customHeight="1">
      <c r="A38" s="6"/>
      <c r="CE38" s="7"/>
    </row>
    <row r="39" spans="1:83" ht="13.5" customHeight="1">
      <c r="A39" s="6"/>
      <c r="CE39" s="7"/>
    </row>
  </sheetData>
  <mergeCells count="367">
    <mergeCell ref="BD37:BG37"/>
    <mergeCell ref="BH37:BK37"/>
    <mergeCell ref="BH36:BK36"/>
    <mergeCell ref="D37:O37"/>
    <mergeCell ref="P37:S37"/>
    <mergeCell ref="T37:W37"/>
    <mergeCell ref="X37:AA37"/>
    <mergeCell ref="AB37:AE37"/>
    <mergeCell ref="AF37:AI37"/>
    <mergeCell ref="AJ37:AM37"/>
    <mergeCell ref="AN37:AQ37"/>
    <mergeCell ref="AR37:AU37"/>
    <mergeCell ref="AJ36:AM36"/>
    <mergeCell ref="AN36:AQ36"/>
    <mergeCell ref="AR36:AU36"/>
    <mergeCell ref="AV37:AY37"/>
    <mergeCell ref="AZ37:BC37"/>
    <mergeCell ref="BH35:BK35"/>
    <mergeCell ref="D36:O36"/>
    <mergeCell ref="P36:S36"/>
    <mergeCell ref="T36:W36"/>
    <mergeCell ref="X36:AA36"/>
    <mergeCell ref="AB36:AE36"/>
    <mergeCell ref="AF36:AI36"/>
    <mergeCell ref="AV36:AY36"/>
    <mergeCell ref="AZ36:BC36"/>
    <mergeCell ref="BD36:BG36"/>
    <mergeCell ref="AV35:AY35"/>
    <mergeCell ref="AZ35:BC35"/>
    <mergeCell ref="BD35:BG35"/>
    <mergeCell ref="D35:O35"/>
    <mergeCell ref="P35:S35"/>
    <mergeCell ref="T35:W35"/>
    <mergeCell ref="X35:AA35"/>
    <mergeCell ref="AB35:AE35"/>
    <mergeCell ref="AF35:AI35"/>
    <mergeCell ref="AJ35:AM35"/>
    <mergeCell ref="AN35:AQ35"/>
    <mergeCell ref="AR35:AU35"/>
    <mergeCell ref="AV33:AY33"/>
    <mergeCell ref="AZ33:BC33"/>
    <mergeCell ref="BD33:BG33"/>
    <mergeCell ref="BH33:BK33"/>
    <mergeCell ref="D34:O34"/>
    <mergeCell ref="P34:S34"/>
    <mergeCell ref="T34:W34"/>
    <mergeCell ref="X34:AA34"/>
    <mergeCell ref="AB34:AE34"/>
    <mergeCell ref="AF34:AI34"/>
    <mergeCell ref="AJ34:AM34"/>
    <mergeCell ref="AN34:AQ34"/>
    <mergeCell ref="AR34:AU34"/>
    <mergeCell ref="AV34:AY34"/>
    <mergeCell ref="AZ34:BC34"/>
    <mergeCell ref="BD34:BG34"/>
    <mergeCell ref="BH34:BK34"/>
    <mergeCell ref="D33:O33"/>
    <mergeCell ref="P33:S33"/>
    <mergeCell ref="T33:W33"/>
    <mergeCell ref="X33:AA33"/>
    <mergeCell ref="AB33:AE33"/>
    <mergeCell ref="AF33:AI33"/>
    <mergeCell ref="AJ33:AM33"/>
    <mergeCell ref="AN33:AQ33"/>
    <mergeCell ref="AR33:AU33"/>
    <mergeCell ref="AV31:AY31"/>
    <mergeCell ref="AZ31:BC31"/>
    <mergeCell ref="BD31:BG31"/>
    <mergeCell ref="BH31:BK31"/>
    <mergeCell ref="D32:O32"/>
    <mergeCell ref="P32:S32"/>
    <mergeCell ref="T32:W32"/>
    <mergeCell ref="X32:AA32"/>
    <mergeCell ref="AB32:AE32"/>
    <mergeCell ref="AF32:AI32"/>
    <mergeCell ref="AJ32:AM32"/>
    <mergeCell ref="AN32:AQ32"/>
    <mergeCell ref="AR32:AU32"/>
    <mergeCell ref="AV32:AY32"/>
    <mergeCell ref="AZ32:BC32"/>
    <mergeCell ref="BD32:BG32"/>
    <mergeCell ref="BH32:BK32"/>
    <mergeCell ref="D31:O31"/>
    <mergeCell ref="P31:S31"/>
    <mergeCell ref="T31:W31"/>
    <mergeCell ref="X31:AA31"/>
    <mergeCell ref="AB31:AE31"/>
    <mergeCell ref="AF31:AI31"/>
    <mergeCell ref="AJ31:AM31"/>
    <mergeCell ref="AN31:AQ31"/>
    <mergeCell ref="AR31:AU31"/>
    <mergeCell ref="AV29:AY29"/>
    <mergeCell ref="AZ29:BC29"/>
    <mergeCell ref="BD29:BG29"/>
    <mergeCell ref="BH29:BK29"/>
    <mergeCell ref="D30:O30"/>
    <mergeCell ref="P30:S30"/>
    <mergeCell ref="T30:W30"/>
    <mergeCell ref="X30:AA30"/>
    <mergeCell ref="AB30:AE30"/>
    <mergeCell ref="AF30:AI30"/>
    <mergeCell ref="AJ30:AM30"/>
    <mergeCell ref="AN30:AQ30"/>
    <mergeCell ref="AR30:AU30"/>
    <mergeCell ref="AV30:AY30"/>
    <mergeCell ref="AZ30:BC30"/>
    <mergeCell ref="BD30:BG30"/>
    <mergeCell ref="BH30:BK30"/>
    <mergeCell ref="D29:O29"/>
    <mergeCell ref="P29:S29"/>
    <mergeCell ref="T29:W29"/>
    <mergeCell ref="X29:AA29"/>
    <mergeCell ref="AB29:AE29"/>
    <mergeCell ref="AF29:AI29"/>
    <mergeCell ref="AJ29:AM29"/>
    <mergeCell ref="AN29:AQ29"/>
    <mergeCell ref="AR29:AU29"/>
    <mergeCell ref="AV27:AY27"/>
    <mergeCell ref="AZ27:BC27"/>
    <mergeCell ref="BD27:BG27"/>
    <mergeCell ref="BH27:BK27"/>
    <mergeCell ref="D28:O28"/>
    <mergeCell ref="P28:S28"/>
    <mergeCell ref="T28:W28"/>
    <mergeCell ref="X28:AA28"/>
    <mergeCell ref="AB28:AE28"/>
    <mergeCell ref="AF28:AI28"/>
    <mergeCell ref="AJ28:AM28"/>
    <mergeCell ref="AN28:AQ28"/>
    <mergeCell ref="AR28:AU28"/>
    <mergeCell ref="AV28:AY28"/>
    <mergeCell ref="AZ28:BC28"/>
    <mergeCell ref="BD28:BG28"/>
    <mergeCell ref="BH28:BK28"/>
    <mergeCell ref="D27:O27"/>
    <mergeCell ref="P27:S27"/>
    <mergeCell ref="T27:W27"/>
    <mergeCell ref="X27:AA27"/>
    <mergeCell ref="AB27:AE27"/>
    <mergeCell ref="AF27:AI27"/>
    <mergeCell ref="AJ27:AM27"/>
    <mergeCell ref="AN27:AQ27"/>
    <mergeCell ref="AR27:AU27"/>
    <mergeCell ref="AV25:AY25"/>
    <mergeCell ref="AZ25:BC25"/>
    <mergeCell ref="BD25:BG25"/>
    <mergeCell ref="BH25:BK25"/>
    <mergeCell ref="D26:O26"/>
    <mergeCell ref="P26:S26"/>
    <mergeCell ref="T26:W26"/>
    <mergeCell ref="X26:AA26"/>
    <mergeCell ref="AB26:AE26"/>
    <mergeCell ref="AF26:AI26"/>
    <mergeCell ref="AJ26:AM26"/>
    <mergeCell ref="AN26:AQ26"/>
    <mergeCell ref="AR26:AU26"/>
    <mergeCell ref="AV26:AY26"/>
    <mergeCell ref="AZ26:BC26"/>
    <mergeCell ref="BD26:BG26"/>
    <mergeCell ref="BH26:BK26"/>
    <mergeCell ref="D25:O25"/>
    <mergeCell ref="P25:S25"/>
    <mergeCell ref="T25:W25"/>
    <mergeCell ref="X25:AA25"/>
    <mergeCell ref="AB25:AE25"/>
    <mergeCell ref="AF25:AI25"/>
    <mergeCell ref="AJ25:AM25"/>
    <mergeCell ref="AN25:AQ25"/>
    <mergeCell ref="AR25:AU25"/>
    <mergeCell ref="AV23:AY23"/>
    <mergeCell ref="AZ23:BC23"/>
    <mergeCell ref="BD23:BG23"/>
    <mergeCell ref="BH23:BK23"/>
    <mergeCell ref="D24:O24"/>
    <mergeCell ref="P24:S24"/>
    <mergeCell ref="T24:W24"/>
    <mergeCell ref="X24:AA24"/>
    <mergeCell ref="AB24:AE24"/>
    <mergeCell ref="AF24:AI24"/>
    <mergeCell ref="AJ24:AM24"/>
    <mergeCell ref="AN24:AQ24"/>
    <mergeCell ref="AR24:AU24"/>
    <mergeCell ref="AV24:AY24"/>
    <mergeCell ref="AZ24:BC24"/>
    <mergeCell ref="BD24:BG24"/>
    <mergeCell ref="BH24:BK24"/>
    <mergeCell ref="D23:O23"/>
    <mergeCell ref="P23:S23"/>
    <mergeCell ref="T23:W23"/>
    <mergeCell ref="X23:AA23"/>
    <mergeCell ref="AB23:AE23"/>
    <mergeCell ref="AF23:AI23"/>
    <mergeCell ref="AJ23:AM23"/>
    <mergeCell ref="AN23:AQ23"/>
    <mergeCell ref="AR23:AU23"/>
    <mergeCell ref="AV21:AY21"/>
    <mergeCell ref="AZ21:BC21"/>
    <mergeCell ref="BD21:BG21"/>
    <mergeCell ref="BH21:BK21"/>
    <mergeCell ref="D22:O22"/>
    <mergeCell ref="P22:S22"/>
    <mergeCell ref="T22:W22"/>
    <mergeCell ref="X22:AA22"/>
    <mergeCell ref="AB22:AE22"/>
    <mergeCell ref="AF22:AI22"/>
    <mergeCell ref="AJ22:AM22"/>
    <mergeCell ref="AN22:AQ22"/>
    <mergeCell ref="AR22:AU22"/>
    <mergeCell ref="AV22:AY22"/>
    <mergeCell ref="AZ22:BC22"/>
    <mergeCell ref="BD22:BG22"/>
    <mergeCell ref="BH22:BK22"/>
    <mergeCell ref="D21:O21"/>
    <mergeCell ref="P21:S21"/>
    <mergeCell ref="T21:W21"/>
    <mergeCell ref="X21:AA21"/>
    <mergeCell ref="AB21:AE21"/>
    <mergeCell ref="AF21:AI21"/>
    <mergeCell ref="AJ21:AM21"/>
    <mergeCell ref="AN21:AQ21"/>
    <mergeCell ref="AR21:AU21"/>
    <mergeCell ref="AV19:AY19"/>
    <mergeCell ref="AZ19:BC19"/>
    <mergeCell ref="BD19:BG19"/>
    <mergeCell ref="BH19:BK19"/>
    <mergeCell ref="D20:O20"/>
    <mergeCell ref="P20:S20"/>
    <mergeCell ref="T20:W20"/>
    <mergeCell ref="X20:AA20"/>
    <mergeCell ref="AB20:AE20"/>
    <mergeCell ref="AF20:AI20"/>
    <mergeCell ref="AJ20:AM20"/>
    <mergeCell ref="AN20:AQ20"/>
    <mergeCell ref="AR20:AU20"/>
    <mergeCell ref="AV20:AY20"/>
    <mergeCell ref="AZ20:BC20"/>
    <mergeCell ref="BD20:BG20"/>
    <mergeCell ref="BH20:BK20"/>
    <mergeCell ref="D19:O19"/>
    <mergeCell ref="P19:S19"/>
    <mergeCell ref="T19:W19"/>
    <mergeCell ref="X19:AA19"/>
    <mergeCell ref="AB19:AE19"/>
    <mergeCell ref="AF19:AI19"/>
    <mergeCell ref="AJ19:AM19"/>
    <mergeCell ref="AN19:AQ19"/>
    <mergeCell ref="AR19:AU19"/>
    <mergeCell ref="AV17:AY17"/>
    <mergeCell ref="AZ17:BC17"/>
    <mergeCell ref="BD17:BG17"/>
    <mergeCell ref="BH17:BK17"/>
    <mergeCell ref="D18:O18"/>
    <mergeCell ref="P18:S18"/>
    <mergeCell ref="T18:W18"/>
    <mergeCell ref="X18:AA18"/>
    <mergeCell ref="AB18:AE18"/>
    <mergeCell ref="AF18:AI18"/>
    <mergeCell ref="AJ18:AM18"/>
    <mergeCell ref="AN18:AQ18"/>
    <mergeCell ref="AR18:AU18"/>
    <mergeCell ref="AV18:AY18"/>
    <mergeCell ref="AZ18:BC18"/>
    <mergeCell ref="BD18:BG18"/>
    <mergeCell ref="BH18:BK18"/>
    <mergeCell ref="D17:O17"/>
    <mergeCell ref="P17:S17"/>
    <mergeCell ref="T17:W17"/>
    <mergeCell ref="X17:AA17"/>
    <mergeCell ref="AB17:AE17"/>
    <mergeCell ref="AF17:AI17"/>
    <mergeCell ref="AJ17:AM17"/>
    <mergeCell ref="AN17:AQ17"/>
    <mergeCell ref="AR17:AU17"/>
    <mergeCell ref="AV15:AY15"/>
    <mergeCell ref="AZ15:BC15"/>
    <mergeCell ref="BD15:BG15"/>
    <mergeCell ref="BH15:BK15"/>
    <mergeCell ref="D16:O16"/>
    <mergeCell ref="P16:S16"/>
    <mergeCell ref="T16:W16"/>
    <mergeCell ref="X16:AA16"/>
    <mergeCell ref="AB16:AE16"/>
    <mergeCell ref="AF16:AI16"/>
    <mergeCell ref="AJ16:AM16"/>
    <mergeCell ref="AN16:AQ16"/>
    <mergeCell ref="AR16:AU16"/>
    <mergeCell ref="AV16:AY16"/>
    <mergeCell ref="AZ16:BC16"/>
    <mergeCell ref="BD16:BG16"/>
    <mergeCell ref="BH16:BK16"/>
    <mergeCell ref="D15:O15"/>
    <mergeCell ref="P15:S15"/>
    <mergeCell ref="T15:W15"/>
    <mergeCell ref="X15:AA15"/>
    <mergeCell ref="AB15:AE15"/>
    <mergeCell ref="AF15:AI15"/>
    <mergeCell ref="AJ15:AM15"/>
    <mergeCell ref="AN15:AQ15"/>
    <mergeCell ref="AR15:AU15"/>
    <mergeCell ref="AZ13:BC13"/>
    <mergeCell ref="BD13:BG13"/>
    <mergeCell ref="BH13:BK13"/>
    <mergeCell ref="D14:O14"/>
    <mergeCell ref="P14:S14"/>
    <mergeCell ref="T14:W14"/>
    <mergeCell ref="X14:AA14"/>
    <mergeCell ref="AB14:AE14"/>
    <mergeCell ref="AF14:AI14"/>
    <mergeCell ref="AJ14:AM14"/>
    <mergeCell ref="AN14:AQ14"/>
    <mergeCell ref="AR14:AU14"/>
    <mergeCell ref="AV14:AY14"/>
    <mergeCell ref="AZ14:BC14"/>
    <mergeCell ref="BD14:BG14"/>
    <mergeCell ref="BH14:BK14"/>
    <mergeCell ref="AN9:AQ9"/>
    <mergeCell ref="AR9:AU9"/>
    <mergeCell ref="AV9:AY9"/>
    <mergeCell ref="D12:O13"/>
    <mergeCell ref="P12:S13"/>
    <mergeCell ref="T13:W13"/>
    <mergeCell ref="X13:AA13"/>
    <mergeCell ref="AB13:AE13"/>
    <mergeCell ref="AF13:AI13"/>
    <mergeCell ref="AJ13:AM13"/>
    <mergeCell ref="AN13:AQ13"/>
    <mergeCell ref="AR13:AU13"/>
    <mergeCell ref="AV13:AY13"/>
    <mergeCell ref="D9:G9"/>
    <mergeCell ref="H9:K9"/>
    <mergeCell ref="L9:O9"/>
    <mergeCell ref="P9:S9"/>
    <mergeCell ref="T9:W9"/>
    <mergeCell ref="X9:AA9"/>
    <mergeCell ref="AB9:AE9"/>
    <mergeCell ref="AF9:AI9"/>
    <mergeCell ref="AJ9:AM9"/>
    <mergeCell ref="A4:I4"/>
    <mergeCell ref="J4:X4"/>
    <mergeCell ref="Y4:AG4"/>
    <mergeCell ref="AH4:BG4"/>
    <mergeCell ref="AC1:AU1"/>
    <mergeCell ref="AV1:BD1"/>
    <mergeCell ref="BE1:BM1"/>
    <mergeCell ref="AV7:AY8"/>
    <mergeCell ref="D8:G8"/>
    <mergeCell ref="H8:K8"/>
    <mergeCell ref="L8:O8"/>
    <mergeCell ref="P8:S8"/>
    <mergeCell ref="T8:W8"/>
    <mergeCell ref="X8:AA8"/>
    <mergeCell ref="AB8:AE8"/>
    <mergeCell ref="AF8:AI8"/>
    <mergeCell ref="AJ8:AM8"/>
    <mergeCell ref="AN8:AQ8"/>
    <mergeCell ref="AR8:AU8"/>
    <mergeCell ref="BN1:BV1"/>
    <mergeCell ref="BW1:CE1"/>
    <mergeCell ref="A2:N2"/>
    <mergeCell ref="O2:AB2"/>
    <mergeCell ref="AC2:AU2"/>
    <mergeCell ref="AV2:BD2"/>
    <mergeCell ref="BE2:BM2"/>
    <mergeCell ref="BN2:BV2"/>
    <mergeCell ref="BW2:CE2"/>
    <mergeCell ref="A1:N1"/>
    <mergeCell ref="O1:AB1"/>
  </mergeCells>
  <phoneticPr fontId="12"/>
  <dataValidations count="1">
    <dataValidation type="list" allowBlank="1" showInputMessage="1" showErrorMessage="1" sqref="P14:S37">
      <formula1>"○"</formula1>
    </dataValidation>
  </dataValidations>
  <printOptions horizontalCentered="1"/>
  <pageMargins left="0.39370078740157483" right="0.19685039370078741" top="0.59055118110236227" bottom="0.39370078740157483" header="0.78740157480314965" footer="0.19685039370078741"/>
  <pageSetup paperSize="9" scale="98" fitToHeight="0" orientation="landscape" r:id="rId1"/>
  <headerFooter alignWithMargins="0">
    <oddFooter>&amp;C&amp;P / &amp;N&amp;RInternal Use Only</oddFooter>
  </headerFooter>
  <rowBreaks count="1" manualBreakCount="1">
    <brk id="39" max="16383" man="1"/>
  </rowBreak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J41"/>
  <sheetViews>
    <sheetView zoomScaleNormal="100" zoomScaleSheetLayoutView="85" workbookViewId="0">
      <pane xSplit="20" ySplit="9" topLeftCell="U13" activePane="bottomRight" state="frozen"/>
      <selection activeCell="X39" sqref="X39"/>
      <selection pane="topRight" activeCell="X39" sqref="X39"/>
      <selection pane="bottomLeft" activeCell="X39" sqref="X39"/>
      <selection pane="bottomRight" activeCell="J6" sqref="J6:X6"/>
    </sheetView>
  </sheetViews>
  <sheetFormatPr defaultColWidth="2.1640625" defaultRowHeight="13.5" customHeight="1"/>
  <cols>
    <col min="1" max="1" width="5" style="3" customWidth="1"/>
    <col min="2" max="14" width="2.1640625" style="3" customWidth="1"/>
    <col min="15" max="15" width="2.33203125" style="3" customWidth="1"/>
    <col min="16" max="19" width="2.1640625" style="3" customWidth="1"/>
    <col min="20" max="20" width="2.5" style="3" customWidth="1"/>
    <col min="21" max="16384" width="2.1640625" style="3"/>
  </cols>
  <sheetData>
    <row r="1" spans="1:88" ht="13.5" customHeight="1">
      <c r="A1" s="132" t="s">
        <v>0</v>
      </c>
      <c r="B1" s="132"/>
      <c r="C1" s="132"/>
      <c r="D1" s="132"/>
      <c r="E1" s="132"/>
      <c r="F1" s="132"/>
      <c r="G1" s="132"/>
      <c r="H1" s="132"/>
      <c r="I1" s="132"/>
      <c r="J1" s="132"/>
      <c r="K1" s="132"/>
      <c r="L1" s="132"/>
      <c r="M1" s="132"/>
      <c r="N1" s="132"/>
      <c r="O1" s="132" t="s">
        <v>1</v>
      </c>
      <c r="P1" s="132"/>
      <c r="Q1" s="132"/>
      <c r="R1" s="132"/>
      <c r="S1" s="132"/>
      <c r="T1" s="132"/>
      <c r="U1" s="132"/>
      <c r="V1" s="132"/>
      <c r="W1" s="132"/>
      <c r="X1" s="132"/>
      <c r="Y1" s="132"/>
      <c r="Z1" s="132"/>
      <c r="AA1" s="132"/>
      <c r="AB1" s="132"/>
      <c r="AC1" s="132" t="s">
        <v>2</v>
      </c>
      <c r="AD1" s="132"/>
      <c r="AE1" s="132"/>
      <c r="AF1" s="132"/>
      <c r="AG1" s="132"/>
      <c r="AH1" s="132"/>
      <c r="AI1" s="132"/>
      <c r="AJ1" s="132"/>
      <c r="AK1" s="132"/>
      <c r="AL1" s="132"/>
      <c r="AM1" s="132"/>
      <c r="AN1" s="132"/>
      <c r="AO1" s="132"/>
      <c r="AP1" s="132"/>
      <c r="AQ1" s="132"/>
      <c r="AR1" s="132" t="s">
        <v>3</v>
      </c>
      <c r="AS1" s="132"/>
      <c r="AT1" s="132"/>
      <c r="AU1" s="132"/>
      <c r="AV1" s="132"/>
      <c r="AW1" s="132"/>
      <c r="AX1" s="132"/>
      <c r="AY1" s="132"/>
      <c r="AZ1" s="132"/>
      <c r="BA1" s="132" t="s">
        <v>4</v>
      </c>
      <c r="BB1" s="132"/>
      <c r="BC1" s="132"/>
      <c r="BD1" s="132"/>
      <c r="BE1" s="132"/>
      <c r="BF1" s="132"/>
      <c r="BG1" s="132"/>
      <c r="BH1" s="132"/>
      <c r="BI1" s="132"/>
      <c r="BJ1" s="132" t="s">
        <v>5</v>
      </c>
      <c r="BK1" s="132"/>
      <c r="BL1" s="132"/>
      <c r="BM1" s="132"/>
      <c r="BN1" s="132"/>
      <c r="BO1" s="132"/>
      <c r="BP1" s="132"/>
      <c r="BQ1" s="132"/>
      <c r="BR1" s="132"/>
      <c r="BS1" s="132" t="s">
        <v>6</v>
      </c>
      <c r="BT1" s="132"/>
      <c r="BU1" s="132"/>
      <c r="BV1" s="132"/>
      <c r="BW1" s="132"/>
      <c r="BX1" s="132"/>
      <c r="BY1" s="132"/>
      <c r="BZ1" s="132"/>
      <c r="CA1" s="132"/>
    </row>
    <row r="2" spans="1:88" ht="13.5" customHeight="1">
      <c r="A2" s="114" t="s">
        <v>161</v>
      </c>
      <c r="B2" s="115"/>
      <c r="C2" s="115"/>
      <c r="D2" s="115"/>
      <c r="E2" s="115"/>
      <c r="F2" s="115"/>
      <c r="G2" s="115"/>
      <c r="H2" s="115"/>
      <c r="I2" s="115"/>
      <c r="J2" s="115"/>
      <c r="K2" s="115"/>
      <c r="L2" s="115"/>
      <c r="M2" s="115"/>
      <c r="N2" s="115"/>
      <c r="O2" s="113" t="str">
        <f>変更履歴!O2</f>
        <v>バイヤ1</v>
      </c>
      <c r="P2" s="113"/>
      <c r="Q2" s="113"/>
      <c r="R2" s="113"/>
      <c r="S2" s="113"/>
      <c r="T2" s="113"/>
      <c r="U2" s="113"/>
      <c r="V2" s="113"/>
      <c r="W2" s="113"/>
      <c r="X2" s="113"/>
      <c r="Y2" s="113"/>
      <c r="Z2" s="113"/>
      <c r="AA2" s="113"/>
      <c r="AB2" s="113"/>
      <c r="AC2" s="113" t="s">
        <v>16</v>
      </c>
      <c r="AD2" s="113"/>
      <c r="AE2" s="113"/>
      <c r="AF2" s="113"/>
      <c r="AG2" s="113"/>
      <c r="AH2" s="113"/>
      <c r="AI2" s="113"/>
      <c r="AJ2" s="113"/>
      <c r="AK2" s="113"/>
      <c r="AL2" s="113"/>
      <c r="AM2" s="113"/>
      <c r="AN2" s="113"/>
      <c r="AO2" s="113"/>
      <c r="AP2" s="113"/>
      <c r="AQ2" s="113"/>
      <c r="AR2" s="133" t="s">
        <v>168</v>
      </c>
      <c r="AS2" s="133"/>
      <c r="AT2" s="133"/>
      <c r="AU2" s="133"/>
      <c r="AV2" s="133"/>
      <c r="AW2" s="133"/>
      <c r="AX2" s="133"/>
      <c r="AY2" s="133"/>
      <c r="AZ2" s="133"/>
      <c r="BA2" s="134">
        <v>43641</v>
      </c>
      <c r="BB2" s="134"/>
      <c r="BC2" s="134"/>
      <c r="BD2" s="134"/>
      <c r="BE2" s="134"/>
      <c r="BF2" s="134"/>
      <c r="BG2" s="134"/>
      <c r="BH2" s="134"/>
      <c r="BI2" s="134"/>
      <c r="BJ2" s="190"/>
      <c r="BK2" s="191"/>
      <c r="BL2" s="191"/>
      <c r="BM2" s="191"/>
      <c r="BN2" s="191"/>
      <c r="BO2" s="191"/>
      <c r="BP2" s="191"/>
      <c r="BQ2" s="191"/>
      <c r="BR2" s="192"/>
      <c r="BS2" s="134"/>
      <c r="BT2" s="133"/>
      <c r="BU2" s="133"/>
      <c r="BV2" s="133"/>
      <c r="BW2" s="133"/>
      <c r="BX2" s="133"/>
      <c r="BY2" s="133"/>
      <c r="BZ2" s="133"/>
      <c r="CA2" s="133"/>
    </row>
    <row r="3" spans="1:88" ht="5.0999999999999996"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row>
    <row r="4" spans="1:88" ht="12">
      <c r="A4" s="45" t="s">
        <v>46</v>
      </c>
      <c r="B4" s="45" t="s">
        <v>47</v>
      </c>
      <c r="C4" s="45" t="s">
        <v>48</v>
      </c>
      <c r="D4" s="45" t="s">
        <v>49</v>
      </c>
      <c r="E4" s="45" t="s">
        <v>50</v>
      </c>
      <c r="F4" s="45" t="s">
        <v>51</v>
      </c>
      <c r="G4" s="45" t="s">
        <v>25</v>
      </c>
      <c r="H4" s="45" t="s">
        <v>30</v>
      </c>
      <c r="I4" s="46" t="s">
        <v>162</v>
      </c>
      <c r="J4" s="45" t="s">
        <v>163</v>
      </c>
      <c r="K4" s="45" t="s">
        <v>54</v>
      </c>
      <c r="L4" s="6"/>
    </row>
    <row r="5" spans="1:88" ht="12">
      <c r="A5" s="47">
        <f>SUM(B5:H5)</f>
        <v>7</v>
      </c>
      <c r="B5" s="47">
        <v>0</v>
      </c>
      <c r="C5" s="47">
        <v>0</v>
      </c>
      <c r="D5" s="47">
        <v>0</v>
      </c>
      <c r="E5" s="47">
        <v>7</v>
      </c>
      <c r="F5" s="47">
        <v>0</v>
      </c>
      <c r="G5" s="47">
        <v>0</v>
      </c>
      <c r="H5" s="47">
        <v>0</v>
      </c>
      <c r="I5" s="48">
        <v>7</v>
      </c>
      <c r="J5" s="47">
        <v>0</v>
      </c>
      <c r="K5" s="47">
        <v>0</v>
      </c>
      <c r="L5" s="13"/>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row>
    <row r="6" spans="1:88" s="52" customFormat="1" ht="105.75" customHeight="1">
      <c r="A6" s="187" t="s">
        <v>17</v>
      </c>
      <c r="B6" s="188"/>
      <c r="C6" s="188"/>
      <c r="D6" s="188"/>
      <c r="E6" s="188"/>
      <c r="F6" s="188"/>
      <c r="G6" s="188"/>
      <c r="H6" s="188"/>
      <c r="I6" s="189"/>
      <c r="J6" s="138" t="s">
        <v>187</v>
      </c>
      <c r="K6" s="139"/>
      <c r="L6" s="139"/>
      <c r="M6" s="139"/>
      <c r="N6" s="139"/>
      <c r="O6" s="139"/>
      <c r="P6" s="139"/>
      <c r="Q6" s="139"/>
      <c r="R6" s="139"/>
      <c r="S6" s="139"/>
      <c r="T6" s="139"/>
      <c r="U6" s="139"/>
      <c r="V6" s="139"/>
      <c r="W6" s="139"/>
      <c r="X6" s="140"/>
      <c r="Y6" s="187" t="s">
        <v>18</v>
      </c>
      <c r="Z6" s="188"/>
      <c r="AA6" s="188"/>
      <c r="AB6" s="188"/>
      <c r="AC6" s="188"/>
      <c r="AD6" s="188"/>
      <c r="AE6" s="188"/>
      <c r="AF6" s="188"/>
      <c r="AG6" s="189"/>
      <c r="AH6" s="138" t="s">
        <v>170</v>
      </c>
      <c r="AI6" s="139"/>
      <c r="AJ6" s="139"/>
      <c r="AK6" s="139"/>
      <c r="AL6" s="139"/>
      <c r="AM6" s="139"/>
      <c r="AN6" s="139"/>
      <c r="AO6" s="139"/>
      <c r="AP6" s="139"/>
      <c r="AQ6" s="139"/>
      <c r="AR6" s="139"/>
      <c r="AS6" s="139"/>
      <c r="AT6" s="139"/>
      <c r="AU6" s="139"/>
      <c r="AV6" s="139"/>
      <c r="AW6" s="139"/>
      <c r="AX6" s="139"/>
      <c r="AY6" s="139"/>
      <c r="AZ6" s="139"/>
      <c r="BA6" s="139"/>
      <c r="BB6" s="139"/>
      <c r="BC6" s="140"/>
      <c r="BD6" s="50"/>
      <c r="BE6" s="51"/>
      <c r="BF6" s="51"/>
      <c r="BG6" s="51"/>
      <c r="BH6" s="51"/>
      <c r="BI6" s="51"/>
      <c r="BJ6" s="51"/>
      <c r="BK6" s="51"/>
      <c r="BL6" s="51"/>
      <c r="BM6" s="51"/>
      <c r="BN6" s="51"/>
      <c r="BO6" s="51"/>
      <c r="BP6" s="51"/>
      <c r="BQ6" s="51"/>
      <c r="BR6" s="51"/>
      <c r="BS6" s="51"/>
      <c r="BT6" s="51"/>
      <c r="BU6" s="51"/>
      <c r="BV6" s="51"/>
      <c r="BW6" s="51"/>
      <c r="BX6" s="51"/>
      <c r="BY6" s="51"/>
      <c r="BZ6" s="51"/>
      <c r="CA6" s="51"/>
    </row>
    <row r="7" spans="1:88" ht="4.5" customHeight="1"/>
    <row r="8" spans="1:88" s="44" customFormat="1" ht="13.5" customHeight="1">
      <c r="A8" s="193"/>
      <c r="B8" s="194"/>
      <c r="C8" s="194"/>
      <c r="D8" s="194"/>
      <c r="E8" s="194"/>
      <c r="F8" s="194"/>
      <c r="G8" s="194"/>
      <c r="H8" s="194"/>
      <c r="I8" s="194"/>
      <c r="J8" s="194"/>
      <c r="K8" s="194"/>
      <c r="L8" s="194"/>
      <c r="M8" s="194"/>
      <c r="N8" s="194"/>
      <c r="O8" s="194"/>
      <c r="P8" s="194"/>
      <c r="Q8" s="194"/>
      <c r="R8" s="194"/>
      <c r="S8" s="194"/>
      <c r="T8" s="195"/>
      <c r="U8" s="41" t="s">
        <v>164</v>
      </c>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c r="CA8" s="42"/>
      <c r="CB8" s="42"/>
      <c r="CC8" s="42"/>
      <c r="CD8" s="42"/>
      <c r="CE8" s="42"/>
      <c r="CF8" s="42"/>
      <c r="CG8" s="42"/>
      <c r="CH8" s="42"/>
      <c r="CI8" s="42"/>
      <c r="CJ8" s="43"/>
    </row>
    <row r="9" spans="1:88" s="44" customFormat="1" ht="13.5" customHeight="1" thickBot="1">
      <c r="A9" s="196"/>
      <c r="B9" s="197"/>
      <c r="C9" s="197"/>
      <c r="D9" s="197"/>
      <c r="E9" s="197"/>
      <c r="F9" s="197"/>
      <c r="G9" s="197"/>
      <c r="H9" s="197"/>
      <c r="I9" s="197"/>
      <c r="J9" s="197"/>
      <c r="K9" s="197"/>
      <c r="L9" s="197"/>
      <c r="M9" s="197"/>
      <c r="N9" s="197"/>
      <c r="O9" s="197"/>
      <c r="P9" s="197"/>
      <c r="Q9" s="197"/>
      <c r="R9" s="197"/>
      <c r="S9" s="197"/>
      <c r="T9" s="198"/>
      <c r="U9" s="185" t="s">
        <v>165</v>
      </c>
      <c r="V9" s="186"/>
      <c r="W9" s="185" t="s">
        <v>166</v>
      </c>
      <c r="X9" s="186"/>
      <c r="Y9" s="185" t="s">
        <v>167</v>
      </c>
      <c r="Z9" s="186"/>
      <c r="AA9" s="185" t="s">
        <v>119</v>
      </c>
      <c r="AB9" s="186"/>
      <c r="AC9" s="185" t="s">
        <v>120</v>
      </c>
      <c r="AD9" s="186"/>
      <c r="AE9" s="185" t="s">
        <v>122</v>
      </c>
      <c r="AF9" s="186"/>
      <c r="AG9" s="185" t="s">
        <v>123</v>
      </c>
      <c r="AH9" s="186"/>
      <c r="AI9" s="185" t="s">
        <v>124</v>
      </c>
      <c r="AJ9" s="186"/>
      <c r="AK9" s="185" t="s">
        <v>126</v>
      </c>
      <c r="AL9" s="186"/>
      <c r="AM9" s="185" t="s">
        <v>127</v>
      </c>
      <c r="AN9" s="186"/>
      <c r="AO9" s="185" t="s">
        <v>128</v>
      </c>
      <c r="AP9" s="186"/>
      <c r="AQ9" s="185" t="s">
        <v>129</v>
      </c>
      <c r="AR9" s="186"/>
      <c r="AS9" s="185" t="s">
        <v>130</v>
      </c>
      <c r="AT9" s="186"/>
      <c r="AU9" s="185" t="s">
        <v>131</v>
      </c>
      <c r="AV9" s="186"/>
      <c r="AW9" s="185" t="s">
        <v>132</v>
      </c>
      <c r="AX9" s="186"/>
      <c r="AY9" s="185" t="s">
        <v>133</v>
      </c>
      <c r="AZ9" s="186"/>
      <c r="BA9" s="185" t="s">
        <v>134</v>
      </c>
      <c r="BB9" s="186"/>
      <c r="BC9" s="185" t="s">
        <v>135</v>
      </c>
      <c r="BD9" s="186"/>
      <c r="BE9" s="185" t="s">
        <v>136</v>
      </c>
      <c r="BF9" s="186"/>
      <c r="BG9" s="185" t="s">
        <v>137</v>
      </c>
      <c r="BH9" s="186"/>
      <c r="BI9" s="185" t="s">
        <v>138</v>
      </c>
      <c r="BJ9" s="186"/>
      <c r="BK9" s="185" t="s">
        <v>139</v>
      </c>
      <c r="BL9" s="186"/>
      <c r="BM9" s="185" t="s">
        <v>140</v>
      </c>
      <c r="BN9" s="186"/>
      <c r="BO9" s="185" t="s">
        <v>141</v>
      </c>
      <c r="BP9" s="186"/>
      <c r="BQ9" s="185" t="s">
        <v>144</v>
      </c>
      <c r="BR9" s="186"/>
      <c r="BS9" s="185" t="s">
        <v>145</v>
      </c>
      <c r="BT9" s="186"/>
      <c r="BU9" s="185" t="s">
        <v>146</v>
      </c>
      <c r="BV9" s="186"/>
      <c r="BW9" s="185" t="s">
        <v>147</v>
      </c>
      <c r="BX9" s="186"/>
      <c r="BY9" s="185" t="s">
        <v>148</v>
      </c>
      <c r="BZ9" s="186"/>
      <c r="CA9" s="185" t="s">
        <v>149</v>
      </c>
      <c r="CB9" s="186"/>
      <c r="CC9" s="185" t="s">
        <v>150</v>
      </c>
      <c r="CD9" s="186"/>
      <c r="CE9" s="185" t="s">
        <v>151</v>
      </c>
      <c r="CF9" s="186"/>
      <c r="CG9" s="185" t="s">
        <v>152</v>
      </c>
      <c r="CH9" s="186"/>
      <c r="CI9" s="185" t="s">
        <v>153</v>
      </c>
      <c r="CJ9" s="186"/>
    </row>
    <row r="10" spans="1:88" s="44" customFormat="1" ht="13.5" customHeight="1" thickTop="1">
      <c r="A10" s="176" t="s">
        <v>125</v>
      </c>
      <c r="B10" s="73" t="s">
        <v>155</v>
      </c>
      <c r="C10" s="74"/>
      <c r="D10" s="74"/>
      <c r="E10" s="74"/>
      <c r="F10" s="74"/>
      <c r="G10" s="74"/>
      <c r="H10" s="74"/>
      <c r="I10" s="74"/>
      <c r="J10" s="74"/>
      <c r="K10" s="74"/>
      <c r="L10" s="74"/>
      <c r="M10" s="74"/>
      <c r="N10" s="74"/>
      <c r="O10" s="74"/>
      <c r="P10" s="74"/>
      <c r="Q10" s="74"/>
      <c r="R10" s="74"/>
      <c r="S10" s="75"/>
      <c r="T10" s="76"/>
      <c r="U10" s="184"/>
      <c r="V10" s="184"/>
      <c r="W10" s="184"/>
      <c r="X10" s="184"/>
      <c r="Y10" s="184"/>
      <c r="Z10" s="184"/>
      <c r="AA10" s="184"/>
      <c r="AB10" s="184"/>
      <c r="AC10" s="184"/>
      <c r="AD10" s="184"/>
      <c r="AE10" s="184"/>
      <c r="AF10" s="184"/>
      <c r="AG10" s="184"/>
      <c r="AH10" s="184"/>
      <c r="AI10" s="184"/>
      <c r="AJ10" s="184"/>
      <c r="AK10" s="184"/>
      <c r="AL10" s="184"/>
      <c r="AM10" s="184"/>
      <c r="AN10" s="184"/>
      <c r="AO10" s="184"/>
      <c r="AP10" s="184"/>
      <c r="AQ10" s="184"/>
      <c r="AR10" s="184"/>
      <c r="AS10" s="184"/>
      <c r="AT10" s="184"/>
      <c r="AU10" s="184"/>
      <c r="AV10" s="184"/>
      <c r="AW10" s="184"/>
      <c r="AX10" s="184"/>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200"/>
    </row>
    <row r="11" spans="1:88" s="44" customFormat="1" ht="32.25" customHeight="1">
      <c r="A11" s="177"/>
      <c r="B11" s="55"/>
      <c r="C11" s="70" t="s">
        <v>177</v>
      </c>
      <c r="D11" s="71"/>
      <c r="E11" s="71"/>
      <c r="F11" s="71"/>
      <c r="G11" s="71"/>
      <c r="H11" s="71"/>
      <c r="I11" s="71"/>
      <c r="J11" s="71"/>
      <c r="K11" s="71"/>
      <c r="L11" s="71"/>
      <c r="M11" s="71"/>
      <c r="N11" s="71"/>
      <c r="O11" s="71"/>
      <c r="P11" s="71"/>
      <c r="Q11" s="71"/>
      <c r="R11" s="71"/>
      <c r="S11" s="71"/>
      <c r="T11" s="72"/>
      <c r="U11" s="232" t="s">
        <v>194</v>
      </c>
      <c r="V11" s="183"/>
      <c r="W11" s="183" t="s">
        <v>194</v>
      </c>
      <c r="X11" s="183"/>
      <c r="Y11" s="183" t="s">
        <v>195</v>
      </c>
      <c r="Z11" s="183"/>
      <c r="AA11" s="183" t="s">
        <v>195</v>
      </c>
      <c r="AB11" s="183"/>
      <c r="AC11" s="183" t="s">
        <v>156</v>
      </c>
      <c r="AD11" s="183"/>
      <c r="AE11" s="183" t="s">
        <v>194</v>
      </c>
      <c r="AF11" s="183"/>
      <c r="AG11" s="183" t="s">
        <v>194</v>
      </c>
      <c r="AH11" s="183"/>
      <c r="AI11" s="183"/>
      <c r="AJ11" s="183"/>
      <c r="AK11" s="183"/>
      <c r="AL11" s="183"/>
      <c r="AM11" s="183"/>
      <c r="AN11" s="183"/>
      <c r="AO11" s="183"/>
      <c r="AP11" s="183"/>
      <c r="AQ11" s="183"/>
      <c r="AR11" s="183"/>
      <c r="AS11" s="183"/>
      <c r="AT11" s="183"/>
      <c r="AU11" s="183"/>
      <c r="AV11" s="183"/>
      <c r="AW11" s="183"/>
      <c r="AX11" s="183"/>
      <c r="AY11" s="183"/>
      <c r="AZ11" s="183"/>
      <c r="BA11" s="183"/>
      <c r="BB11" s="183"/>
      <c r="BC11" s="183"/>
      <c r="BD11" s="183"/>
      <c r="BE11" s="183"/>
      <c r="BF11" s="183"/>
      <c r="BG11" s="183"/>
      <c r="BH11" s="183"/>
      <c r="BI11" s="183"/>
      <c r="BJ11" s="183"/>
      <c r="BK11" s="183"/>
      <c r="BL11" s="183"/>
      <c r="BM11" s="183"/>
      <c r="BN11" s="183"/>
      <c r="BO11" s="183"/>
      <c r="BP11" s="183"/>
      <c r="BQ11" s="183"/>
      <c r="BR11" s="183"/>
      <c r="BS11" s="183"/>
      <c r="BT11" s="183"/>
      <c r="BU11" s="183"/>
      <c r="BV11" s="183"/>
      <c r="BW11" s="183"/>
      <c r="BX11" s="183"/>
      <c r="BY11" s="183"/>
      <c r="BZ11" s="183"/>
      <c r="CA11" s="183"/>
      <c r="CB11" s="183"/>
      <c r="CC11" s="183"/>
      <c r="CD11" s="183"/>
      <c r="CE11" s="183"/>
      <c r="CF11" s="183"/>
      <c r="CG11" s="183"/>
      <c r="CH11" s="183"/>
      <c r="CI11" s="183"/>
      <c r="CJ11" s="199"/>
    </row>
    <row r="12" spans="1:88" s="44" customFormat="1" ht="13.5" customHeight="1" thickBot="1">
      <c r="A12" s="177"/>
      <c r="B12" s="82"/>
      <c r="C12" s="83"/>
      <c r="D12" s="84"/>
      <c r="E12" s="84"/>
      <c r="F12" s="84"/>
      <c r="G12" s="84"/>
      <c r="H12" s="84"/>
      <c r="I12" s="84"/>
      <c r="J12" s="84"/>
      <c r="K12" s="84"/>
      <c r="L12" s="84"/>
      <c r="M12" s="84"/>
      <c r="N12" s="84"/>
      <c r="O12" s="84"/>
      <c r="P12" s="84"/>
      <c r="Q12" s="84"/>
      <c r="R12" s="84"/>
      <c r="S12" s="84"/>
      <c r="T12" s="85"/>
      <c r="U12" s="228"/>
      <c r="V12" s="229"/>
      <c r="W12" s="230"/>
      <c r="X12" s="229"/>
      <c r="Y12" s="230"/>
      <c r="Z12" s="229"/>
      <c r="AA12" s="230"/>
      <c r="AB12" s="229"/>
      <c r="AC12" s="230"/>
      <c r="AD12" s="229"/>
      <c r="AE12" s="230"/>
      <c r="AF12" s="229"/>
      <c r="AG12" s="230"/>
      <c r="AH12" s="229"/>
      <c r="AI12" s="230"/>
      <c r="AJ12" s="229"/>
      <c r="AK12" s="230"/>
      <c r="AL12" s="229"/>
      <c r="AM12" s="230"/>
      <c r="AN12" s="229"/>
      <c r="AO12" s="230"/>
      <c r="AP12" s="229"/>
      <c r="AQ12" s="230"/>
      <c r="AR12" s="229"/>
      <c r="AS12" s="230"/>
      <c r="AT12" s="229"/>
      <c r="AU12" s="230"/>
      <c r="AV12" s="229"/>
      <c r="AW12" s="230"/>
      <c r="AX12" s="229"/>
      <c r="AY12" s="230"/>
      <c r="AZ12" s="229"/>
      <c r="BA12" s="230"/>
      <c r="BB12" s="229"/>
      <c r="BC12" s="230"/>
      <c r="BD12" s="229"/>
      <c r="BE12" s="230"/>
      <c r="BF12" s="229"/>
      <c r="BG12" s="230"/>
      <c r="BH12" s="229"/>
      <c r="BI12" s="230"/>
      <c r="BJ12" s="229"/>
      <c r="BK12" s="230"/>
      <c r="BL12" s="229"/>
      <c r="BM12" s="230"/>
      <c r="BN12" s="229"/>
      <c r="BO12" s="230"/>
      <c r="BP12" s="229"/>
      <c r="BQ12" s="230"/>
      <c r="BR12" s="229"/>
      <c r="BS12" s="230"/>
      <c r="BT12" s="229"/>
      <c r="BU12" s="230"/>
      <c r="BV12" s="229"/>
      <c r="BW12" s="230"/>
      <c r="BX12" s="229"/>
      <c r="BY12" s="230"/>
      <c r="BZ12" s="229"/>
      <c r="CA12" s="230"/>
      <c r="CB12" s="229"/>
      <c r="CC12" s="230"/>
      <c r="CD12" s="229"/>
      <c r="CE12" s="230"/>
      <c r="CF12" s="229"/>
      <c r="CG12" s="230"/>
      <c r="CH12" s="229"/>
      <c r="CI12" s="230"/>
      <c r="CJ12" s="231"/>
    </row>
    <row r="13" spans="1:88" s="44" customFormat="1" ht="39.75" customHeight="1" thickTop="1">
      <c r="A13" s="176" t="s">
        <v>154</v>
      </c>
      <c r="B13" s="219" t="s">
        <v>205</v>
      </c>
      <c r="C13" s="220"/>
      <c r="D13" s="220"/>
      <c r="E13" s="220"/>
      <c r="F13" s="220"/>
      <c r="G13" s="220"/>
      <c r="H13" s="220"/>
      <c r="I13" s="220"/>
      <c r="J13" s="220"/>
      <c r="K13" s="220"/>
      <c r="L13" s="220"/>
      <c r="M13" s="220"/>
      <c r="N13" s="220"/>
      <c r="O13" s="220"/>
      <c r="P13" s="220"/>
      <c r="Q13" s="220"/>
      <c r="R13" s="220"/>
      <c r="S13" s="220"/>
      <c r="T13" s="221"/>
      <c r="U13" s="201" t="s">
        <v>203</v>
      </c>
      <c r="V13" s="201"/>
      <c r="W13" s="201"/>
      <c r="X13" s="201"/>
      <c r="Y13" s="201"/>
      <c r="Z13" s="201"/>
      <c r="AA13" s="201"/>
      <c r="AB13" s="201"/>
      <c r="AC13" s="201"/>
      <c r="AD13" s="201"/>
      <c r="AE13" s="201"/>
      <c r="AF13" s="201"/>
      <c r="AG13" s="201"/>
      <c r="AH13" s="201"/>
      <c r="AI13" s="201"/>
      <c r="AJ13" s="201"/>
      <c r="AK13" s="201"/>
      <c r="AL13" s="201"/>
      <c r="AM13" s="201"/>
      <c r="AN13" s="201"/>
      <c r="AO13" s="201"/>
      <c r="AP13" s="201"/>
      <c r="AQ13" s="201"/>
      <c r="AR13" s="201"/>
      <c r="AS13" s="201"/>
      <c r="AT13" s="201"/>
      <c r="AU13" s="201"/>
      <c r="AV13" s="201"/>
      <c r="AW13" s="201"/>
      <c r="AX13" s="201"/>
      <c r="AY13" s="201"/>
      <c r="AZ13" s="201"/>
      <c r="BA13" s="201"/>
      <c r="BB13" s="201"/>
      <c r="BC13" s="201"/>
      <c r="BD13" s="201"/>
      <c r="BE13" s="201"/>
      <c r="BF13" s="201"/>
      <c r="BG13" s="201"/>
      <c r="BH13" s="201"/>
      <c r="BI13" s="201"/>
      <c r="BJ13" s="201"/>
      <c r="BK13" s="201"/>
      <c r="BL13" s="201"/>
      <c r="BM13" s="201"/>
      <c r="BN13" s="201"/>
      <c r="BO13" s="201"/>
      <c r="BP13" s="201"/>
      <c r="BQ13" s="201"/>
      <c r="BR13" s="201"/>
      <c r="BS13" s="201"/>
      <c r="BT13" s="201"/>
      <c r="BU13" s="201"/>
      <c r="BV13" s="201"/>
      <c r="BW13" s="201"/>
      <c r="BX13" s="201"/>
      <c r="BY13" s="201"/>
      <c r="BZ13" s="201"/>
      <c r="CA13" s="201"/>
      <c r="CB13" s="201"/>
      <c r="CC13" s="201"/>
      <c r="CD13" s="201"/>
      <c r="CE13" s="201"/>
      <c r="CF13" s="201"/>
      <c r="CG13" s="201"/>
      <c r="CH13" s="201"/>
      <c r="CI13" s="201"/>
      <c r="CJ13" s="202"/>
    </row>
    <row r="14" spans="1:88" s="44" customFormat="1" ht="40.5" customHeight="1">
      <c r="A14" s="177"/>
      <c r="B14" s="178" t="s">
        <v>197</v>
      </c>
      <c r="C14" s="179"/>
      <c r="D14" s="179"/>
      <c r="E14" s="179"/>
      <c r="F14" s="179"/>
      <c r="G14" s="179"/>
      <c r="H14" s="179"/>
      <c r="I14" s="179"/>
      <c r="J14" s="179"/>
      <c r="K14" s="179"/>
      <c r="L14" s="179"/>
      <c r="M14" s="179"/>
      <c r="N14" s="179"/>
      <c r="O14" s="179"/>
      <c r="P14" s="179"/>
      <c r="Q14" s="179"/>
      <c r="R14" s="179"/>
      <c r="S14" s="179"/>
      <c r="T14" s="180"/>
      <c r="U14" s="181"/>
      <c r="V14" s="182"/>
      <c r="W14" s="174" t="s">
        <v>194</v>
      </c>
      <c r="X14" s="174"/>
      <c r="Y14" s="174"/>
      <c r="Z14" s="174"/>
      <c r="AA14" s="174"/>
      <c r="AB14" s="174"/>
      <c r="AC14" s="174"/>
      <c r="AD14" s="174"/>
      <c r="AE14" s="174"/>
      <c r="AF14" s="174"/>
      <c r="AG14" s="174"/>
      <c r="AH14" s="174"/>
      <c r="AI14" s="174"/>
      <c r="AJ14" s="174"/>
      <c r="AK14" s="174"/>
      <c r="AL14" s="174"/>
      <c r="AM14" s="174"/>
      <c r="AN14" s="174"/>
      <c r="AO14" s="174"/>
      <c r="AP14" s="174"/>
      <c r="AQ14" s="174"/>
      <c r="AR14" s="174"/>
      <c r="AS14" s="174"/>
      <c r="AT14" s="174"/>
      <c r="AU14" s="174"/>
      <c r="AV14" s="174"/>
      <c r="AW14" s="174"/>
      <c r="AX14" s="174"/>
      <c r="AY14" s="174"/>
      <c r="AZ14" s="174"/>
      <c r="BA14" s="174"/>
      <c r="BB14" s="174"/>
      <c r="BC14" s="174"/>
      <c r="BD14" s="174"/>
      <c r="BE14" s="174"/>
      <c r="BF14" s="174"/>
      <c r="BG14" s="174"/>
      <c r="BH14" s="174"/>
      <c r="BI14" s="174"/>
      <c r="BJ14" s="174"/>
      <c r="BK14" s="174"/>
      <c r="BL14" s="174"/>
      <c r="BM14" s="174"/>
      <c r="BN14" s="174"/>
      <c r="BO14" s="174"/>
      <c r="BP14" s="174"/>
      <c r="BQ14" s="174"/>
      <c r="BR14" s="174"/>
      <c r="BS14" s="174"/>
      <c r="BT14" s="174"/>
      <c r="BU14" s="174"/>
      <c r="BV14" s="174"/>
      <c r="BW14" s="174"/>
      <c r="BX14" s="174"/>
      <c r="BY14" s="174"/>
      <c r="BZ14" s="174"/>
      <c r="CA14" s="174"/>
      <c r="CB14" s="174"/>
      <c r="CC14" s="174"/>
      <c r="CD14" s="174"/>
      <c r="CE14" s="174"/>
      <c r="CF14" s="174"/>
      <c r="CG14" s="174"/>
      <c r="CH14" s="174"/>
      <c r="CI14" s="174"/>
      <c r="CJ14" s="175"/>
    </row>
    <row r="15" spans="1:88" s="44" customFormat="1" ht="35.1" customHeight="1">
      <c r="A15" s="177"/>
      <c r="B15" s="178" t="s">
        <v>198</v>
      </c>
      <c r="C15" s="179"/>
      <c r="D15" s="179"/>
      <c r="E15" s="179"/>
      <c r="F15" s="179"/>
      <c r="G15" s="179"/>
      <c r="H15" s="179"/>
      <c r="I15" s="179"/>
      <c r="J15" s="179"/>
      <c r="K15" s="179"/>
      <c r="L15" s="179"/>
      <c r="M15" s="179"/>
      <c r="N15" s="179"/>
      <c r="O15" s="179"/>
      <c r="P15" s="179"/>
      <c r="Q15" s="179"/>
      <c r="R15" s="179"/>
      <c r="S15" s="179"/>
      <c r="T15" s="180"/>
      <c r="U15" s="181"/>
      <c r="V15" s="182"/>
      <c r="W15" s="174"/>
      <c r="X15" s="174"/>
      <c r="Y15" s="174" t="s">
        <v>156</v>
      </c>
      <c r="Z15" s="174"/>
      <c r="AA15" s="174"/>
      <c r="AB15" s="174"/>
      <c r="AC15" s="174"/>
      <c r="AD15" s="174"/>
      <c r="AE15" s="174"/>
      <c r="AF15" s="174"/>
      <c r="AG15" s="174"/>
      <c r="AH15" s="174"/>
      <c r="AI15" s="174"/>
      <c r="AJ15" s="174"/>
      <c r="AK15" s="174"/>
      <c r="AL15" s="174"/>
      <c r="AM15" s="174"/>
      <c r="AN15" s="174"/>
      <c r="AO15" s="174"/>
      <c r="AP15" s="174"/>
      <c r="AQ15" s="174"/>
      <c r="AR15" s="174"/>
      <c r="AS15" s="174"/>
      <c r="AT15" s="174"/>
      <c r="AU15" s="174"/>
      <c r="AV15" s="174"/>
      <c r="AW15" s="174"/>
      <c r="AX15" s="174"/>
      <c r="AY15" s="174"/>
      <c r="AZ15" s="174"/>
      <c r="BA15" s="174"/>
      <c r="BB15" s="174"/>
      <c r="BC15" s="174"/>
      <c r="BD15" s="174"/>
      <c r="BE15" s="174"/>
      <c r="BF15" s="174"/>
      <c r="BG15" s="174"/>
      <c r="BH15" s="174"/>
      <c r="BI15" s="174"/>
      <c r="BJ15" s="174"/>
      <c r="BK15" s="174"/>
      <c r="BL15" s="174"/>
      <c r="BM15" s="174"/>
      <c r="BN15" s="174"/>
      <c r="BO15" s="174"/>
      <c r="BP15" s="174"/>
      <c r="BQ15" s="174"/>
      <c r="BR15" s="174"/>
      <c r="BS15" s="174"/>
      <c r="BT15" s="174"/>
      <c r="BU15" s="174"/>
      <c r="BV15" s="174"/>
      <c r="BW15" s="174"/>
      <c r="BX15" s="174"/>
      <c r="BY15" s="174"/>
      <c r="BZ15" s="174"/>
      <c r="CA15" s="174"/>
      <c r="CB15" s="174"/>
      <c r="CC15" s="174"/>
      <c r="CD15" s="174"/>
      <c r="CE15" s="174"/>
      <c r="CF15" s="174"/>
      <c r="CG15" s="174"/>
      <c r="CH15" s="174"/>
      <c r="CI15" s="174"/>
      <c r="CJ15" s="175"/>
    </row>
    <row r="16" spans="1:88" s="44" customFormat="1" ht="35.1" customHeight="1">
      <c r="A16" s="177"/>
      <c r="B16" s="178" t="s">
        <v>199</v>
      </c>
      <c r="C16" s="179"/>
      <c r="D16" s="179"/>
      <c r="E16" s="179"/>
      <c r="F16" s="179"/>
      <c r="G16" s="179"/>
      <c r="H16" s="179"/>
      <c r="I16" s="179"/>
      <c r="J16" s="179"/>
      <c r="K16" s="179"/>
      <c r="L16" s="179"/>
      <c r="M16" s="179"/>
      <c r="N16" s="179"/>
      <c r="O16" s="179"/>
      <c r="P16" s="179"/>
      <c r="Q16" s="179"/>
      <c r="R16" s="179"/>
      <c r="S16" s="179"/>
      <c r="T16" s="180"/>
      <c r="U16" s="181"/>
      <c r="V16" s="182"/>
      <c r="W16" s="174"/>
      <c r="X16" s="174"/>
      <c r="Y16" s="174"/>
      <c r="Z16" s="174"/>
      <c r="AA16" s="174" t="s">
        <v>156</v>
      </c>
      <c r="AB16" s="174"/>
      <c r="AC16" s="174"/>
      <c r="AD16" s="174"/>
      <c r="AE16" s="174"/>
      <c r="AF16" s="174"/>
      <c r="AG16" s="174"/>
      <c r="AH16" s="174"/>
      <c r="AI16" s="174"/>
      <c r="AJ16" s="174"/>
      <c r="AK16" s="174"/>
      <c r="AL16" s="174"/>
      <c r="AM16" s="174"/>
      <c r="AN16" s="174"/>
      <c r="AO16" s="174"/>
      <c r="AP16" s="174"/>
      <c r="AQ16" s="174"/>
      <c r="AR16" s="174"/>
      <c r="AS16" s="174"/>
      <c r="AT16" s="174"/>
      <c r="AU16" s="174"/>
      <c r="AV16" s="174"/>
      <c r="AW16" s="174"/>
      <c r="AX16" s="174"/>
      <c r="AY16" s="174"/>
      <c r="AZ16" s="174"/>
      <c r="BA16" s="174"/>
      <c r="BB16" s="174"/>
      <c r="BC16" s="174"/>
      <c r="BD16" s="174"/>
      <c r="BE16" s="174"/>
      <c r="BF16" s="174"/>
      <c r="BG16" s="174"/>
      <c r="BH16" s="174"/>
      <c r="BI16" s="174"/>
      <c r="BJ16" s="174"/>
      <c r="BK16" s="174"/>
      <c r="BL16" s="174"/>
      <c r="BM16" s="174"/>
      <c r="BN16" s="174"/>
      <c r="BO16" s="174"/>
      <c r="BP16" s="174"/>
      <c r="BQ16" s="174"/>
      <c r="BR16" s="174"/>
      <c r="BS16" s="174"/>
      <c r="BT16" s="174"/>
      <c r="BU16" s="174"/>
      <c r="BV16" s="174"/>
      <c r="BW16" s="174"/>
      <c r="BX16" s="174"/>
      <c r="BY16" s="174"/>
      <c r="BZ16" s="174"/>
      <c r="CA16" s="174"/>
      <c r="CB16" s="174"/>
      <c r="CC16" s="174"/>
      <c r="CD16" s="174"/>
      <c r="CE16" s="174"/>
      <c r="CF16" s="174"/>
      <c r="CG16" s="174"/>
      <c r="CH16" s="174"/>
      <c r="CI16" s="174"/>
      <c r="CJ16" s="175"/>
    </row>
    <row r="17" spans="1:88" s="44" customFormat="1" ht="35.1" customHeight="1">
      <c r="A17" s="177"/>
      <c r="B17" s="178" t="s">
        <v>200</v>
      </c>
      <c r="C17" s="179"/>
      <c r="D17" s="179"/>
      <c r="E17" s="179"/>
      <c r="F17" s="179"/>
      <c r="G17" s="179"/>
      <c r="H17" s="179"/>
      <c r="I17" s="179"/>
      <c r="J17" s="179"/>
      <c r="K17" s="179"/>
      <c r="L17" s="179"/>
      <c r="M17" s="179"/>
      <c r="N17" s="179"/>
      <c r="O17" s="179"/>
      <c r="P17" s="179"/>
      <c r="Q17" s="179"/>
      <c r="R17" s="179"/>
      <c r="S17" s="179"/>
      <c r="T17" s="180"/>
      <c r="U17" s="181"/>
      <c r="V17" s="182"/>
      <c r="W17" s="174"/>
      <c r="X17" s="174"/>
      <c r="Y17" s="174"/>
      <c r="Z17" s="174"/>
      <c r="AA17" s="174"/>
      <c r="AB17" s="174"/>
      <c r="AC17" s="174" t="s">
        <v>204</v>
      </c>
      <c r="AD17" s="174"/>
      <c r="AE17" s="174"/>
      <c r="AF17" s="174"/>
      <c r="AG17" s="174"/>
      <c r="AH17" s="174"/>
      <c r="AI17" s="174"/>
      <c r="AJ17" s="174"/>
      <c r="AK17" s="174"/>
      <c r="AL17" s="174"/>
      <c r="AM17" s="174"/>
      <c r="AN17" s="174"/>
      <c r="AO17" s="174"/>
      <c r="AP17" s="174"/>
      <c r="AQ17" s="174"/>
      <c r="AR17" s="174"/>
      <c r="AS17" s="174"/>
      <c r="AT17" s="174"/>
      <c r="AU17" s="174"/>
      <c r="AV17" s="174"/>
      <c r="AW17" s="174"/>
      <c r="AX17" s="174"/>
      <c r="AY17" s="174"/>
      <c r="AZ17" s="174"/>
      <c r="BA17" s="174"/>
      <c r="BB17" s="174"/>
      <c r="BC17" s="174"/>
      <c r="BD17" s="174"/>
      <c r="BE17" s="174"/>
      <c r="BF17" s="174"/>
      <c r="BG17" s="174"/>
      <c r="BH17" s="174"/>
      <c r="BI17" s="174"/>
      <c r="BJ17" s="174"/>
      <c r="BK17" s="174"/>
      <c r="BL17" s="174"/>
      <c r="BM17" s="174"/>
      <c r="BN17" s="174"/>
      <c r="BO17" s="174"/>
      <c r="BP17" s="174"/>
      <c r="BQ17" s="174"/>
      <c r="BR17" s="174"/>
      <c r="BS17" s="174"/>
      <c r="BT17" s="174"/>
      <c r="BU17" s="174"/>
      <c r="BV17" s="174"/>
      <c r="BW17" s="174"/>
      <c r="BX17" s="174"/>
      <c r="BY17" s="174"/>
      <c r="BZ17" s="174"/>
      <c r="CA17" s="174"/>
      <c r="CB17" s="174"/>
      <c r="CC17" s="174"/>
      <c r="CD17" s="174"/>
      <c r="CE17" s="174"/>
      <c r="CF17" s="174"/>
      <c r="CG17" s="174"/>
      <c r="CH17" s="174"/>
      <c r="CI17" s="174"/>
      <c r="CJ17" s="175"/>
    </row>
    <row r="18" spans="1:88" s="44" customFormat="1" ht="35.1" customHeight="1">
      <c r="A18" s="177"/>
      <c r="B18" s="178" t="s">
        <v>201</v>
      </c>
      <c r="C18" s="179"/>
      <c r="D18" s="179"/>
      <c r="E18" s="179"/>
      <c r="F18" s="179"/>
      <c r="G18" s="179"/>
      <c r="H18" s="179"/>
      <c r="I18" s="179"/>
      <c r="J18" s="179"/>
      <c r="K18" s="179"/>
      <c r="L18" s="179"/>
      <c r="M18" s="179"/>
      <c r="N18" s="179"/>
      <c r="O18" s="179"/>
      <c r="P18" s="179"/>
      <c r="Q18" s="179"/>
      <c r="R18" s="179"/>
      <c r="S18" s="179"/>
      <c r="T18" s="180"/>
      <c r="U18" s="181"/>
      <c r="V18" s="182"/>
      <c r="W18" s="174"/>
      <c r="X18" s="174"/>
      <c r="Y18" s="174"/>
      <c r="Z18" s="174"/>
      <c r="AA18" s="174"/>
      <c r="AB18" s="174"/>
      <c r="AC18" s="174"/>
      <c r="AD18" s="174"/>
      <c r="AE18" s="174" t="s">
        <v>156</v>
      </c>
      <c r="AF18" s="174"/>
      <c r="AG18" s="174"/>
      <c r="AH18" s="174"/>
      <c r="AI18" s="174"/>
      <c r="AJ18" s="174"/>
      <c r="AK18" s="174"/>
      <c r="AL18" s="174"/>
      <c r="AM18" s="174"/>
      <c r="AN18" s="174"/>
      <c r="AO18" s="174"/>
      <c r="AP18" s="174"/>
      <c r="AQ18" s="174"/>
      <c r="AR18" s="174"/>
      <c r="AS18" s="174"/>
      <c r="AT18" s="174"/>
      <c r="AU18" s="174"/>
      <c r="AV18" s="174"/>
      <c r="AW18" s="174"/>
      <c r="AX18" s="174"/>
      <c r="AY18" s="174"/>
      <c r="AZ18" s="174"/>
      <c r="BA18" s="174"/>
      <c r="BB18" s="174"/>
      <c r="BC18" s="174"/>
      <c r="BD18" s="174"/>
      <c r="BE18" s="174"/>
      <c r="BF18" s="174"/>
      <c r="BG18" s="174"/>
      <c r="BH18" s="174"/>
      <c r="BI18" s="174"/>
      <c r="BJ18" s="174"/>
      <c r="BK18" s="174"/>
      <c r="BL18" s="174"/>
      <c r="BM18" s="174"/>
      <c r="BN18" s="174"/>
      <c r="BO18" s="174"/>
      <c r="BP18" s="174"/>
      <c r="BQ18" s="174"/>
      <c r="BR18" s="174"/>
      <c r="BS18" s="174"/>
      <c r="BT18" s="174"/>
      <c r="BU18" s="174"/>
      <c r="BV18" s="174"/>
      <c r="BW18" s="174"/>
      <c r="BX18" s="174"/>
      <c r="BY18" s="174"/>
      <c r="BZ18" s="174"/>
      <c r="CA18" s="174"/>
      <c r="CB18" s="174"/>
      <c r="CC18" s="174"/>
      <c r="CD18" s="174"/>
      <c r="CE18" s="174"/>
      <c r="CF18" s="174"/>
      <c r="CG18" s="174"/>
      <c r="CH18" s="174"/>
      <c r="CI18" s="174"/>
      <c r="CJ18" s="175"/>
    </row>
    <row r="19" spans="1:88" s="44" customFormat="1" ht="35.1" customHeight="1">
      <c r="A19" s="177"/>
      <c r="B19" s="178" t="s">
        <v>206</v>
      </c>
      <c r="C19" s="179"/>
      <c r="D19" s="179"/>
      <c r="E19" s="179"/>
      <c r="F19" s="179"/>
      <c r="G19" s="179"/>
      <c r="H19" s="179"/>
      <c r="I19" s="179"/>
      <c r="J19" s="179"/>
      <c r="K19" s="179"/>
      <c r="L19" s="179"/>
      <c r="M19" s="179"/>
      <c r="N19" s="179"/>
      <c r="O19" s="179"/>
      <c r="P19" s="179"/>
      <c r="Q19" s="179"/>
      <c r="R19" s="179"/>
      <c r="S19" s="179"/>
      <c r="T19" s="180"/>
      <c r="U19" s="181"/>
      <c r="V19" s="182"/>
      <c r="W19" s="174"/>
      <c r="X19" s="174"/>
      <c r="Y19" s="174"/>
      <c r="Z19" s="174"/>
      <c r="AA19" s="174"/>
      <c r="AB19" s="174"/>
      <c r="AC19" s="174"/>
      <c r="AD19" s="174"/>
      <c r="AE19" s="174"/>
      <c r="AF19" s="174"/>
      <c r="AG19" s="174" t="s">
        <v>194</v>
      </c>
      <c r="AH19" s="174"/>
      <c r="AI19" s="174"/>
      <c r="AJ19" s="174"/>
      <c r="AK19" s="174"/>
      <c r="AL19" s="174"/>
      <c r="AM19" s="174"/>
      <c r="AN19" s="174"/>
      <c r="AO19" s="174"/>
      <c r="AP19" s="174"/>
      <c r="AQ19" s="174"/>
      <c r="AR19" s="174"/>
      <c r="AS19" s="174"/>
      <c r="AT19" s="174"/>
      <c r="AU19" s="174"/>
      <c r="AV19" s="174"/>
      <c r="AW19" s="174"/>
      <c r="AX19" s="174"/>
      <c r="AY19" s="174"/>
      <c r="AZ19" s="174"/>
      <c r="BA19" s="174"/>
      <c r="BB19" s="174"/>
      <c r="BC19" s="174"/>
      <c r="BD19" s="174"/>
      <c r="BE19" s="174"/>
      <c r="BF19" s="174"/>
      <c r="BG19" s="174"/>
      <c r="BH19" s="174"/>
      <c r="BI19" s="174"/>
      <c r="BJ19" s="174"/>
      <c r="BK19" s="174"/>
      <c r="BL19" s="174"/>
      <c r="BM19" s="174"/>
      <c r="BN19" s="174"/>
      <c r="BO19" s="174"/>
      <c r="BP19" s="174"/>
      <c r="BQ19" s="174"/>
      <c r="BR19" s="174"/>
      <c r="BS19" s="174"/>
      <c r="BT19" s="174"/>
      <c r="BU19" s="174"/>
      <c r="BV19" s="174"/>
      <c r="BW19" s="174"/>
      <c r="BX19" s="174"/>
      <c r="BY19" s="174"/>
      <c r="BZ19" s="174"/>
      <c r="CA19" s="174"/>
      <c r="CB19" s="174"/>
      <c r="CC19" s="174"/>
      <c r="CD19" s="174"/>
      <c r="CE19" s="174"/>
      <c r="CF19" s="174"/>
      <c r="CG19" s="174"/>
      <c r="CH19" s="174"/>
      <c r="CI19" s="174"/>
      <c r="CJ19" s="175"/>
    </row>
    <row r="20" spans="1:88" s="44" customFormat="1" ht="35.1" customHeight="1" thickBot="1">
      <c r="A20" s="177"/>
      <c r="B20" s="178" t="s">
        <v>202</v>
      </c>
      <c r="C20" s="179"/>
      <c r="D20" s="179"/>
      <c r="E20" s="179"/>
      <c r="F20" s="179"/>
      <c r="G20" s="179"/>
      <c r="H20" s="179"/>
      <c r="I20" s="179"/>
      <c r="J20" s="179"/>
      <c r="K20" s="179"/>
      <c r="L20" s="179"/>
      <c r="M20" s="179"/>
      <c r="N20" s="179"/>
      <c r="O20" s="179"/>
      <c r="P20" s="179"/>
      <c r="Q20" s="179"/>
      <c r="R20" s="179"/>
      <c r="S20" s="179"/>
      <c r="T20" s="180"/>
      <c r="U20" s="181"/>
      <c r="V20" s="182"/>
      <c r="W20" s="174"/>
      <c r="X20" s="174"/>
      <c r="Y20" s="174"/>
      <c r="Z20" s="174"/>
      <c r="AA20" s="174"/>
      <c r="AB20" s="174"/>
      <c r="AC20" s="174"/>
      <c r="AD20" s="174"/>
      <c r="AE20" s="174"/>
      <c r="AF20" s="174"/>
      <c r="AG20" s="174"/>
      <c r="AH20" s="174"/>
      <c r="AI20" s="174" t="s">
        <v>194</v>
      </c>
      <c r="AJ20" s="174"/>
      <c r="AK20" s="174"/>
      <c r="AL20" s="174"/>
      <c r="AM20" s="174"/>
      <c r="AN20" s="174"/>
      <c r="AO20" s="174"/>
      <c r="AP20" s="174"/>
      <c r="AQ20" s="174"/>
      <c r="AR20" s="174"/>
      <c r="AS20" s="174"/>
      <c r="AT20" s="174"/>
      <c r="AU20" s="174"/>
      <c r="AV20" s="174"/>
      <c r="AW20" s="174"/>
      <c r="AX20" s="174"/>
      <c r="AY20" s="174"/>
      <c r="AZ20" s="174"/>
      <c r="BA20" s="174"/>
      <c r="BB20" s="174"/>
      <c r="BC20" s="174"/>
      <c r="BD20" s="174"/>
      <c r="BE20" s="174"/>
      <c r="BF20" s="174"/>
      <c r="BG20" s="174"/>
      <c r="BH20" s="174"/>
      <c r="BI20" s="174"/>
      <c r="BJ20" s="174"/>
      <c r="BK20" s="174"/>
      <c r="BL20" s="174"/>
      <c r="BM20" s="174"/>
      <c r="BN20" s="174"/>
      <c r="BO20" s="174"/>
      <c r="BP20" s="174"/>
      <c r="BQ20" s="174"/>
      <c r="BR20" s="174"/>
      <c r="BS20" s="174"/>
      <c r="BT20" s="174"/>
      <c r="BU20" s="174"/>
      <c r="BV20" s="174"/>
      <c r="BW20" s="174"/>
      <c r="BX20" s="174"/>
      <c r="BY20" s="174"/>
      <c r="BZ20" s="174"/>
      <c r="CA20" s="174"/>
      <c r="CB20" s="174"/>
      <c r="CC20" s="174"/>
      <c r="CD20" s="174"/>
      <c r="CE20" s="174"/>
      <c r="CF20" s="174"/>
      <c r="CG20" s="174"/>
      <c r="CH20" s="174"/>
      <c r="CI20" s="174"/>
      <c r="CJ20" s="175"/>
    </row>
    <row r="21" spans="1:88" s="44" customFormat="1" ht="75" customHeight="1" thickTop="1">
      <c r="A21" s="222" t="s">
        <v>19</v>
      </c>
      <c r="B21" s="223"/>
      <c r="C21" s="223"/>
      <c r="D21" s="223"/>
      <c r="E21" s="223"/>
      <c r="F21" s="223"/>
      <c r="G21" s="223"/>
      <c r="H21" s="223"/>
      <c r="I21" s="223"/>
      <c r="J21" s="223"/>
      <c r="K21" s="223"/>
      <c r="L21" s="223"/>
      <c r="M21" s="223"/>
      <c r="N21" s="223"/>
      <c r="O21" s="223"/>
      <c r="P21" s="223"/>
      <c r="Q21" s="223"/>
      <c r="R21" s="223"/>
      <c r="S21" s="223"/>
      <c r="T21" s="224"/>
      <c r="U21" s="205" t="s">
        <v>32</v>
      </c>
      <c r="V21" s="203"/>
      <c r="W21" s="205" t="s">
        <v>32</v>
      </c>
      <c r="X21" s="203"/>
      <c r="Y21" s="205" t="s">
        <v>32</v>
      </c>
      <c r="Z21" s="203"/>
      <c r="AA21" s="205" t="s">
        <v>32</v>
      </c>
      <c r="AB21" s="203"/>
      <c r="AC21" s="205" t="s">
        <v>32</v>
      </c>
      <c r="AD21" s="203"/>
      <c r="AE21" s="205" t="s">
        <v>32</v>
      </c>
      <c r="AF21" s="203"/>
      <c r="AG21" s="205" t="s">
        <v>32</v>
      </c>
      <c r="AH21" s="203"/>
      <c r="AI21" s="205" t="s">
        <v>32</v>
      </c>
      <c r="AJ21" s="203"/>
      <c r="AK21" s="203"/>
      <c r="AL21" s="203"/>
      <c r="AM21" s="203"/>
      <c r="AN21" s="203"/>
      <c r="AO21" s="203"/>
      <c r="AP21" s="203"/>
      <c r="AQ21" s="203"/>
      <c r="AR21" s="203"/>
      <c r="AS21" s="203"/>
      <c r="AT21" s="203"/>
      <c r="AU21" s="203"/>
      <c r="AV21" s="203"/>
      <c r="AW21" s="203"/>
      <c r="AX21" s="203"/>
      <c r="AY21" s="203"/>
      <c r="AZ21" s="203"/>
      <c r="BA21" s="203"/>
      <c r="BB21" s="203"/>
      <c r="BC21" s="203"/>
      <c r="BD21" s="203"/>
      <c r="BE21" s="203"/>
      <c r="BF21" s="203"/>
      <c r="BG21" s="203"/>
      <c r="BH21" s="203"/>
      <c r="BI21" s="203"/>
      <c r="BJ21" s="203"/>
      <c r="BK21" s="203"/>
      <c r="BL21" s="203"/>
      <c r="BM21" s="203"/>
      <c r="BN21" s="203"/>
      <c r="BO21" s="203"/>
      <c r="BP21" s="203"/>
      <c r="BQ21" s="203"/>
      <c r="BR21" s="203"/>
      <c r="BS21" s="203"/>
      <c r="BT21" s="203"/>
      <c r="BU21" s="203"/>
      <c r="BV21" s="203"/>
      <c r="BW21" s="203"/>
      <c r="BX21" s="203"/>
      <c r="BY21" s="203"/>
      <c r="BZ21" s="203"/>
      <c r="CA21" s="203"/>
      <c r="CB21" s="203"/>
      <c r="CC21" s="203"/>
      <c r="CD21" s="203"/>
      <c r="CE21" s="203"/>
      <c r="CF21" s="203"/>
      <c r="CG21" s="203"/>
      <c r="CH21" s="203"/>
      <c r="CI21" s="203"/>
      <c r="CJ21" s="206"/>
    </row>
    <row r="22" spans="1:88" s="44" customFormat="1" ht="13.5" customHeight="1">
      <c r="A22" s="225" t="s">
        <v>20</v>
      </c>
      <c r="B22" s="226"/>
      <c r="C22" s="226"/>
      <c r="D22" s="226"/>
      <c r="E22" s="226"/>
      <c r="F22" s="226"/>
      <c r="G22" s="226"/>
      <c r="H22" s="226"/>
      <c r="I22" s="226"/>
      <c r="J22" s="226"/>
      <c r="K22" s="226"/>
      <c r="L22" s="226"/>
      <c r="M22" s="226"/>
      <c r="N22" s="226"/>
      <c r="O22" s="226"/>
      <c r="P22" s="226"/>
      <c r="Q22" s="226"/>
      <c r="R22" s="226"/>
      <c r="S22" s="226"/>
      <c r="T22" s="227"/>
      <c r="U22" s="207"/>
      <c r="V22" s="207"/>
      <c r="W22" s="207"/>
      <c r="X22" s="207"/>
      <c r="Y22" s="207"/>
      <c r="Z22" s="207"/>
      <c r="AA22" s="207"/>
      <c r="AB22" s="207"/>
      <c r="AC22" s="207"/>
      <c r="AD22" s="207"/>
      <c r="AE22" s="207"/>
      <c r="AF22" s="207"/>
      <c r="AG22" s="207"/>
      <c r="AH22" s="207"/>
      <c r="AI22" s="207"/>
      <c r="AJ22" s="207"/>
      <c r="AK22" s="207"/>
      <c r="AL22" s="207"/>
      <c r="AM22" s="207"/>
      <c r="AN22" s="207"/>
      <c r="AO22" s="207"/>
      <c r="AP22" s="207"/>
      <c r="AQ22" s="207"/>
      <c r="AR22" s="207"/>
      <c r="AS22" s="207"/>
      <c r="AT22" s="207"/>
      <c r="AU22" s="207"/>
      <c r="AV22" s="207"/>
      <c r="AW22" s="207"/>
      <c r="AX22" s="207"/>
      <c r="AY22" s="207"/>
      <c r="AZ22" s="207"/>
      <c r="BA22" s="207"/>
      <c r="BB22" s="207"/>
      <c r="BC22" s="207"/>
      <c r="BD22" s="207"/>
      <c r="BE22" s="207"/>
      <c r="BF22" s="207"/>
      <c r="BG22" s="207"/>
      <c r="BH22" s="207"/>
      <c r="BI22" s="207"/>
      <c r="BJ22" s="207"/>
      <c r="BK22" s="207"/>
      <c r="BL22" s="207"/>
      <c r="BM22" s="207"/>
      <c r="BN22" s="207"/>
      <c r="BO22" s="207"/>
      <c r="BP22" s="207"/>
      <c r="BQ22" s="207"/>
      <c r="BR22" s="207"/>
      <c r="BS22" s="207"/>
      <c r="BT22" s="207"/>
      <c r="BU22" s="207"/>
      <c r="BV22" s="207"/>
      <c r="BW22" s="207"/>
      <c r="BX22" s="207"/>
      <c r="BY22" s="207"/>
      <c r="BZ22" s="207"/>
      <c r="CA22" s="207"/>
      <c r="CB22" s="207"/>
      <c r="CC22" s="207"/>
      <c r="CD22" s="207"/>
      <c r="CE22" s="207"/>
      <c r="CF22" s="207"/>
      <c r="CG22" s="207"/>
      <c r="CH22" s="207"/>
      <c r="CI22" s="207"/>
      <c r="CJ22" s="208"/>
    </row>
    <row r="23" spans="1:88" s="44" customFormat="1" ht="13.5" customHeight="1">
      <c r="A23" s="225" t="s">
        <v>21</v>
      </c>
      <c r="B23" s="226"/>
      <c r="C23" s="226"/>
      <c r="D23" s="226"/>
      <c r="E23" s="226"/>
      <c r="F23" s="226"/>
      <c r="G23" s="226"/>
      <c r="H23" s="226"/>
      <c r="I23" s="226"/>
      <c r="J23" s="226"/>
      <c r="K23" s="226"/>
      <c r="L23" s="226"/>
      <c r="M23" s="226"/>
      <c r="N23" s="226"/>
      <c r="O23" s="226"/>
      <c r="P23" s="226"/>
      <c r="Q23" s="226"/>
      <c r="R23" s="226"/>
      <c r="S23" s="226"/>
      <c r="T23" s="227"/>
      <c r="U23" s="204"/>
      <c r="V23" s="204"/>
      <c r="W23" s="204"/>
      <c r="X23" s="204"/>
      <c r="Y23" s="204"/>
      <c r="Z23" s="204"/>
      <c r="AA23" s="204"/>
      <c r="AB23" s="204"/>
      <c r="AC23" s="204"/>
      <c r="AD23" s="204"/>
      <c r="AE23" s="204"/>
      <c r="AF23" s="204"/>
      <c r="AG23" s="204"/>
      <c r="AH23" s="204"/>
      <c r="AI23" s="204"/>
      <c r="AJ23" s="204"/>
      <c r="AK23" s="204"/>
      <c r="AL23" s="204"/>
      <c r="AM23" s="204"/>
      <c r="AN23" s="204"/>
      <c r="AO23" s="204"/>
      <c r="AP23" s="204"/>
      <c r="AQ23" s="204"/>
      <c r="AR23" s="204"/>
      <c r="AS23" s="204"/>
      <c r="AT23" s="204"/>
      <c r="AU23" s="204"/>
      <c r="AV23" s="204"/>
      <c r="AW23" s="204"/>
      <c r="AX23" s="204"/>
      <c r="AY23" s="204"/>
      <c r="AZ23" s="204"/>
      <c r="BA23" s="204"/>
      <c r="BB23" s="204"/>
      <c r="BC23" s="204"/>
      <c r="BD23" s="204"/>
      <c r="BE23" s="204"/>
      <c r="BF23" s="204"/>
      <c r="BG23" s="204"/>
      <c r="BH23" s="204"/>
      <c r="BI23" s="204"/>
      <c r="BJ23" s="204"/>
      <c r="BK23" s="204"/>
      <c r="BL23" s="204"/>
      <c r="BM23" s="204"/>
      <c r="BN23" s="204"/>
      <c r="BO23" s="204"/>
      <c r="BP23" s="204"/>
      <c r="BQ23" s="204"/>
      <c r="BR23" s="204"/>
      <c r="BS23" s="204"/>
      <c r="BT23" s="204"/>
      <c r="BU23" s="204"/>
      <c r="BV23" s="204"/>
      <c r="BW23" s="204"/>
      <c r="BX23" s="204"/>
      <c r="BY23" s="204"/>
      <c r="BZ23" s="204"/>
      <c r="CA23" s="204"/>
      <c r="CB23" s="204"/>
      <c r="CC23" s="204"/>
      <c r="CD23" s="204"/>
      <c r="CE23" s="204"/>
      <c r="CF23" s="204"/>
      <c r="CG23" s="204"/>
      <c r="CH23" s="204"/>
      <c r="CI23" s="204"/>
      <c r="CJ23" s="209"/>
    </row>
    <row r="24" spans="1:88" s="44" customFormat="1" ht="13.5" customHeight="1">
      <c r="A24" s="225" t="s">
        <v>22</v>
      </c>
      <c r="B24" s="226"/>
      <c r="C24" s="226"/>
      <c r="D24" s="226"/>
      <c r="E24" s="226"/>
      <c r="F24" s="226"/>
      <c r="G24" s="226"/>
      <c r="H24" s="226"/>
      <c r="I24" s="226"/>
      <c r="J24" s="226"/>
      <c r="K24" s="226"/>
      <c r="L24" s="226"/>
      <c r="M24" s="226"/>
      <c r="N24" s="226"/>
      <c r="O24" s="226"/>
      <c r="P24" s="226"/>
      <c r="Q24" s="226"/>
      <c r="R24" s="226"/>
      <c r="S24" s="226"/>
      <c r="T24" s="227"/>
      <c r="U24" s="207"/>
      <c r="V24" s="207"/>
      <c r="W24" s="207"/>
      <c r="X24" s="207"/>
      <c r="Y24" s="207"/>
      <c r="Z24" s="207"/>
      <c r="AA24" s="207"/>
      <c r="AB24" s="207"/>
      <c r="AC24" s="207"/>
      <c r="AD24" s="207"/>
      <c r="AE24" s="207"/>
      <c r="AF24" s="207"/>
      <c r="AG24" s="207"/>
      <c r="AH24" s="207"/>
      <c r="AI24" s="207"/>
      <c r="AJ24" s="207"/>
      <c r="AK24" s="207"/>
      <c r="AL24" s="207"/>
      <c r="AM24" s="207"/>
      <c r="AN24" s="207"/>
      <c r="AO24" s="207"/>
      <c r="AP24" s="207"/>
      <c r="AQ24" s="207"/>
      <c r="AR24" s="207"/>
      <c r="AS24" s="207"/>
      <c r="AT24" s="207"/>
      <c r="AU24" s="207"/>
      <c r="AV24" s="207"/>
      <c r="AW24" s="207"/>
      <c r="AX24" s="207"/>
      <c r="AY24" s="207"/>
      <c r="AZ24" s="207"/>
      <c r="BA24" s="207"/>
      <c r="BB24" s="207"/>
      <c r="BC24" s="207"/>
      <c r="BD24" s="207"/>
      <c r="BE24" s="207"/>
      <c r="BF24" s="207"/>
      <c r="BG24" s="207"/>
      <c r="BH24" s="207"/>
      <c r="BI24" s="207"/>
      <c r="BJ24" s="207"/>
      <c r="BK24" s="207"/>
      <c r="BL24" s="207"/>
      <c r="BM24" s="207"/>
      <c r="BN24" s="207"/>
      <c r="BO24" s="207"/>
      <c r="BP24" s="207"/>
      <c r="BQ24" s="207"/>
      <c r="BR24" s="207"/>
      <c r="BS24" s="207"/>
      <c r="BT24" s="207"/>
      <c r="BU24" s="207"/>
      <c r="BV24" s="207"/>
      <c r="BW24" s="207"/>
      <c r="BX24" s="207"/>
      <c r="BY24" s="207"/>
      <c r="BZ24" s="207"/>
      <c r="CA24" s="207"/>
      <c r="CB24" s="207"/>
      <c r="CC24" s="207"/>
      <c r="CD24" s="207"/>
      <c r="CE24" s="207"/>
      <c r="CF24" s="207"/>
      <c r="CG24" s="207"/>
      <c r="CH24" s="207"/>
      <c r="CI24" s="207"/>
      <c r="CJ24" s="208"/>
    </row>
    <row r="25" spans="1:88" s="44" customFormat="1" ht="147.75" customHeight="1">
      <c r="A25" s="216" t="s">
        <v>23</v>
      </c>
      <c r="B25" s="217"/>
      <c r="C25" s="217"/>
      <c r="D25" s="217"/>
      <c r="E25" s="217"/>
      <c r="F25" s="217"/>
      <c r="G25" s="217"/>
      <c r="H25" s="217"/>
      <c r="I25" s="217"/>
      <c r="J25" s="217"/>
      <c r="K25" s="217"/>
      <c r="L25" s="217"/>
      <c r="M25" s="217"/>
      <c r="N25" s="217"/>
      <c r="O25" s="217"/>
      <c r="P25" s="217"/>
      <c r="Q25" s="217"/>
      <c r="R25" s="217"/>
      <c r="S25" s="217"/>
      <c r="T25" s="218"/>
      <c r="U25" s="210"/>
      <c r="V25" s="207"/>
      <c r="W25" s="211"/>
      <c r="X25" s="207"/>
      <c r="Y25" s="211"/>
      <c r="Z25" s="207"/>
      <c r="AA25" s="207"/>
      <c r="AB25" s="207"/>
      <c r="AC25" s="207"/>
      <c r="AD25" s="207"/>
      <c r="AE25" s="207"/>
      <c r="AF25" s="207"/>
      <c r="AG25" s="207"/>
      <c r="AH25" s="207"/>
      <c r="AI25" s="211"/>
      <c r="AJ25" s="211"/>
      <c r="AK25" s="207"/>
      <c r="AL25" s="207"/>
      <c r="AM25" s="207"/>
      <c r="AN25" s="207"/>
      <c r="AO25" s="207"/>
      <c r="AP25" s="207"/>
      <c r="AQ25" s="207"/>
      <c r="AR25" s="207"/>
      <c r="AS25" s="212"/>
      <c r="AT25" s="212"/>
      <c r="AU25" s="212"/>
      <c r="AV25" s="212"/>
      <c r="AW25" s="212"/>
      <c r="AX25" s="212"/>
      <c r="AY25" s="212"/>
      <c r="AZ25" s="212"/>
      <c r="BA25" s="212"/>
      <c r="BB25" s="212"/>
      <c r="BC25" s="212"/>
      <c r="BD25" s="212"/>
      <c r="BE25" s="212"/>
      <c r="BF25" s="212"/>
      <c r="BG25" s="211"/>
      <c r="BH25" s="211"/>
      <c r="BI25" s="214"/>
      <c r="BJ25" s="215"/>
      <c r="BK25" s="212"/>
      <c r="BL25" s="212"/>
      <c r="BM25" s="212"/>
      <c r="BN25" s="212"/>
      <c r="BO25" s="212"/>
      <c r="BP25" s="212"/>
      <c r="BQ25" s="212"/>
      <c r="BR25" s="212"/>
      <c r="BS25" s="212"/>
      <c r="BT25" s="212"/>
      <c r="BU25" s="212"/>
      <c r="BV25" s="212"/>
      <c r="BW25" s="212"/>
      <c r="BX25" s="212"/>
      <c r="BY25" s="212"/>
      <c r="BZ25" s="212"/>
      <c r="CA25" s="212"/>
      <c r="CB25" s="212"/>
      <c r="CC25" s="212"/>
      <c r="CD25" s="212"/>
      <c r="CE25" s="212"/>
      <c r="CF25" s="212"/>
      <c r="CG25" s="212"/>
      <c r="CH25" s="212"/>
      <c r="CI25" s="212"/>
      <c r="CJ25" s="213"/>
    </row>
    <row r="41" spans="7:7" ht="13.5" customHeight="1">
      <c r="G41" s="63"/>
    </row>
  </sheetData>
  <mergeCells count="612">
    <mergeCell ref="CA17:CB17"/>
    <mergeCell ref="CC17:CD17"/>
    <mergeCell ref="CE17:CF17"/>
    <mergeCell ref="CG17:CH17"/>
    <mergeCell ref="CI17:CJ17"/>
    <mergeCell ref="AG15:AH15"/>
    <mergeCell ref="AG16:AH16"/>
    <mergeCell ref="AG17:AH17"/>
    <mergeCell ref="BO17:BP17"/>
    <mergeCell ref="BQ17:BR17"/>
    <mergeCell ref="BS17:BT17"/>
    <mergeCell ref="BU17:BV17"/>
    <mergeCell ref="BW17:BX17"/>
    <mergeCell ref="BY17:BZ17"/>
    <mergeCell ref="BC17:BD17"/>
    <mergeCell ref="BE17:BF17"/>
    <mergeCell ref="BG17:BH17"/>
    <mergeCell ref="BI17:BJ17"/>
    <mergeCell ref="BK17:BL17"/>
    <mergeCell ref="BM17:BN17"/>
    <mergeCell ref="BW16:BX16"/>
    <mergeCell ref="BY16:BZ16"/>
    <mergeCell ref="CA16:CB16"/>
    <mergeCell ref="CC16:CD16"/>
    <mergeCell ref="CE16:CF16"/>
    <mergeCell ref="CG16:CH16"/>
    <mergeCell ref="CI16:CJ16"/>
    <mergeCell ref="B17:T17"/>
    <mergeCell ref="U17:V17"/>
    <mergeCell ref="W17:X17"/>
    <mergeCell ref="Y17:Z17"/>
    <mergeCell ref="AA17:AB17"/>
    <mergeCell ref="AC17:AD17"/>
    <mergeCell ref="AE17:AF17"/>
    <mergeCell ref="AI17:AJ17"/>
    <mergeCell ref="AK17:AL17"/>
    <mergeCell ref="AM17:AN17"/>
    <mergeCell ref="AO17:AP17"/>
    <mergeCell ref="AQ17:AR17"/>
    <mergeCell ref="AS17:AT17"/>
    <mergeCell ref="AU17:AV17"/>
    <mergeCell ref="AW17:AX17"/>
    <mergeCell ref="AY17:AZ17"/>
    <mergeCell ref="BA17:BB17"/>
    <mergeCell ref="BE16:BF16"/>
    <mergeCell ref="BG16:BH16"/>
    <mergeCell ref="BI16:BJ16"/>
    <mergeCell ref="BK16:BL16"/>
    <mergeCell ref="BM16:BN16"/>
    <mergeCell ref="BO16:BP16"/>
    <mergeCell ref="BQ16:BR16"/>
    <mergeCell ref="BS16:BT16"/>
    <mergeCell ref="BU16:BV16"/>
    <mergeCell ref="AM16:AN16"/>
    <mergeCell ref="AO16:AP16"/>
    <mergeCell ref="AQ16:AR16"/>
    <mergeCell ref="AS16:AT16"/>
    <mergeCell ref="AU16:AV16"/>
    <mergeCell ref="AW16:AX16"/>
    <mergeCell ref="AY16:AZ16"/>
    <mergeCell ref="BA16:BB16"/>
    <mergeCell ref="BC16:BD16"/>
    <mergeCell ref="BG19:BH19"/>
    <mergeCell ref="BI19:BJ19"/>
    <mergeCell ref="BK19:BL19"/>
    <mergeCell ref="BM19:BN19"/>
    <mergeCell ref="AQ19:AR19"/>
    <mergeCell ref="AS19:AT19"/>
    <mergeCell ref="AU19:AV19"/>
    <mergeCell ref="AW19:AX19"/>
    <mergeCell ref="AY19:AZ19"/>
    <mergeCell ref="BA19:BB19"/>
    <mergeCell ref="CA18:CB18"/>
    <mergeCell ref="CC18:CD18"/>
    <mergeCell ref="CE18:CF18"/>
    <mergeCell ref="CG18:CH18"/>
    <mergeCell ref="CI18:CJ18"/>
    <mergeCell ref="BO19:BP19"/>
    <mergeCell ref="BQ19:BR19"/>
    <mergeCell ref="BS19:BT19"/>
    <mergeCell ref="BU19:BV19"/>
    <mergeCell ref="BW19:BX19"/>
    <mergeCell ref="BS18:BT18"/>
    <mergeCell ref="BU18:BV18"/>
    <mergeCell ref="BW18:BX18"/>
    <mergeCell ref="BY18:BZ18"/>
    <mergeCell ref="CI19:CJ19"/>
    <mergeCell ref="BY19:BZ19"/>
    <mergeCell ref="CA19:CB19"/>
    <mergeCell ref="AC10:AD10"/>
    <mergeCell ref="AC11:AD11"/>
    <mergeCell ref="U11:V11"/>
    <mergeCell ref="W11:X11"/>
    <mergeCell ref="Y11:Z11"/>
    <mergeCell ref="B15:T15"/>
    <mergeCell ref="U15:V15"/>
    <mergeCell ref="W15:X15"/>
    <mergeCell ref="Y15:Z15"/>
    <mergeCell ref="AA15:AB15"/>
    <mergeCell ref="Y13:Z13"/>
    <mergeCell ref="AA13:AB13"/>
    <mergeCell ref="AC13:AD13"/>
    <mergeCell ref="AC14:AD14"/>
    <mergeCell ref="AU12:AV12"/>
    <mergeCell ref="AW12:AX12"/>
    <mergeCell ref="AY12:AZ12"/>
    <mergeCell ref="BA12:BB12"/>
    <mergeCell ref="AE12:AF12"/>
    <mergeCell ref="AG12:AH12"/>
    <mergeCell ref="AI12:AJ12"/>
    <mergeCell ref="AK12:AL12"/>
    <mergeCell ref="AM12:AN12"/>
    <mergeCell ref="AO12:AP12"/>
    <mergeCell ref="AY15:AZ15"/>
    <mergeCell ref="CA12:CB12"/>
    <mergeCell ref="CC12:CD12"/>
    <mergeCell ref="CE12:CF12"/>
    <mergeCell ref="CG12:CH12"/>
    <mergeCell ref="CI12:CJ12"/>
    <mergeCell ref="AC15:AD15"/>
    <mergeCell ref="AE15:AF15"/>
    <mergeCell ref="AI15:AJ15"/>
    <mergeCell ref="AK15:AL15"/>
    <mergeCell ref="AM15:AN15"/>
    <mergeCell ref="BO12:BP12"/>
    <mergeCell ref="BQ12:BR12"/>
    <mergeCell ref="BS12:BT12"/>
    <mergeCell ref="BU12:BV12"/>
    <mergeCell ref="BW12:BX12"/>
    <mergeCell ref="BY12:BZ12"/>
    <mergeCell ref="BC12:BD12"/>
    <mergeCell ref="BE12:BF12"/>
    <mergeCell ref="BG12:BH12"/>
    <mergeCell ref="BI12:BJ12"/>
    <mergeCell ref="BK12:BL12"/>
    <mergeCell ref="BM12:BN12"/>
    <mergeCell ref="AQ12:AR12"/>
    <mergeCell ref="AK16:AL16"/>
    <mergeCell ref="BY15:BZ15"/>
    <mergeCell ref="CA15:CB15"/>
    <mergeCell ref="CC15:CD15"/>
    <mergeCell ref="CE15:CF15"/>
    <mergeCell ref="CG15:CH15"/>
    <mergeCell ref="CI15:CJ15"/>
    <mergeCell ref="BM15:BN15"/>
    <mergeCell ref="BO15:BP15"/>
    <mergeCell ref="BQ15:BR15"/>
    <mergeCell ref="BS15:BT15"/>
    <mergeCell ref="BU15:BV15"/>
    <mergeCell ref="BW15:BX15"/>
    <mergeCell ref="BA15:BB15"/>
    <mergeCell ref="BC15:BD15"/>
    <mergeCell ref="BE15:BF15"/>
    <mergeCell ref="BG15:BH15"/>
    <mergeCell ref="BI15:BJ15"/>
    <mergeCell ref="BK15:BL15"/>
    <mergeCell ref="AO15:AP15"/>
    <mergeCell ref="AQ15:AR15"/>
    <mergeCell ref="AS15:AT15"/>
    <mergeCell ref="AU15:AV15"/>
    <mergeCell ref="AW15:AX15"/>
    <mergeCell ref="U12:V12"/>
    <mergeCell ref="W12:X12"/>
    <mergeCell ref="Y12:Z12"/>
    <mergeCell ref="AA12:AB12"/>
    <mergeCell ref="AC12:AD12"/>
    <mergeCell ref="U18:V18"/>
    <mergeCell ref="W18:X18"/>
    <mergeCell ref="Y18:Z18"/>
    <mergeCell ref="AA18:AB18"/>
    <mergeCell ref="U16:V16"/>
    <mergeCell ref="W16:X16"/>
    <mergeCell ref="Y16:Z16"/>
    <mergeCell ref="AA16:AB16"/>
    <mergeCell ref="AC18:AD18"/>
    <mergeCell ref="AC16:AD16"/>
    <mergeCell ref="BG18:BH18"/>
    <mergeCell ref="BI18:BJ18"/>
    <mergeCell ref="BK18:BL18"/>
    <mergeCell ref="AI18:AJ18"/>
    <mergeCell ref="AK18:AL18"/>
    <mergeCell ref="BE20:BF20"/>
    <mergeCell ref="BG20:BH20"/>
    <mergeCell ref="BE24:BF24"/>
    <mergeCell ref="BI23:BJ23"/>
    <mergeCell ref="BK23:BL23"/>
    <mergeCell ref="AK23:AL23"/>
    <mergeCell ref="AM23:AN23"/>
    <mergeCell ref="AO23:AP23"/>
    <mergeCell ref="BA22:BB22"/>
    <mergeCell ref="BC22:BD22"/>
    <mergeCell ref="BE22:BF22"/>
    <mergeCell ref="BG22:BH22"/>
    <mergeCell ref="BI22:BJ22"/>
    <mergeCell ref="AM18:AN18"/>
    <mergeCell ref="AO18:AP18"/>
    <mergeCell ref="AQ18:AR18"/>
    <mergeCell ref="AS18:AT18"/>
    <mergeCell ref="BC19:BD19"/>
    <mergeCell ref="BE19:BF19"/>
    <mergeCell ref="AU18:AV18"/>
    <mergeCell ref="AW18:AX18"/>
    <mergeCell ref="AY18:AZ18"/>
    <mergeCell ref="BA18:BB18"/>
    <mergeCell ref="BC18:BD18"/>
    <mergeCell ref="BE18:BF18"/>
    <mergeCell ref="A23:T23"/>
    <mergeCell ref="A24:T24"/>
    <mergeCell ref="AC20:AD20"/>
    <mergeCell ref="AE20:AF20"/>
    <mergeCell ref="AG20:AH20"/>
    <mergeCell ref="AK20:AL20"/>
    <mergeCell ref="AG18:AH18"/>
    <mergeCell ref="AE18:AF18"/>
    <mergeCell ref="AK19:AL19"/>
    <mergeCell ref="AM19:AN19"/>
    <mergeCell ref="AO19:AP19"/>
    <mergeCell ref="B19:T19"/>
    <mergeCell ref="U19:V19"/>
    <mergeCell ref="W19:X19"/>
    <mergeCell ref="Y19:Z19"/>
    <mergeCell ref="AA19:AB19"/>
    <mergeCell ref="AC19:AD19"/>
    <mergeCell ref="U23:V23"/>
    <mergeCell ref="AA23:AB23"/>
    <mergeCell ref="AC23:AD23"/>
    <mergeCell ref="AE23:AF23"/>
    <mergeCell ref="AG23:AH23"/>
    <mergeCell ref="AI23:AJ23"/>
    <mergeCell ref="AE21:AF21"/>
    <mergeCell ref="U13:V13"/>
    <mergeCell ref="W13:X13"/>
    <mergeCell ref="AE16:AF16"/>
    <mergeCell ref="AI16:AJ16"/>
    <mergeCell ref="AI20:AJ20"/>
    <mergeCell ref="A13:A20"/>
    <mergeCell ref="B13:T13"/>
    <mergeCell ref="A21:T21"/>
    <mergeCell ref="A22:T22"/>
    <mergeCell ref="B20:T20"/>
    <mergeCell ref="W20:X20"/>
    <mergeCell ref="Y20:Z20"/>
    <mergeCell ref="AA20:AB20"/>
    <mergeCell ref="B18:T18"/>
    <mergeCell ref="AE19:AF19"/>
    <mergeCell ref="AG19:AH19"/>
    <mergeCell ref="AI19:AJ19"/>
    <mergeCell ref="B16:T16"/>
    <mergeCell ref="BY24:BZ24"/>
    <mergeCell ref="BI24:BJ24"/>
    <mergeCell ref="BK24:BL24"/>
    <mergeCell ref="BM24:BN24"/>
    <mergeCell ref="BO24:BP24"/>
    <mergeCell ref="BQ24:BR24"/>
    <mergeCell ref="BS24:BT24"/>
    <mergeCell ref="BU24:BV24"/>
    <mergeCell ref="A25:T25"/>
    <mergeCell ref="BW25:BX25"/>
    <mergeCell ref="BY25:BZ25"/>
    <mergeCell ref="BI25:BJ25"/>
    <mergeCell ref="BK25:BL25"/>
    <mergeCell ref="BM25:BN25"/>
    <mergeCell ref="BO25:BP25"/>
    <mergeCell ref="BQ25:BR25"/>
    <mergeCell ref="BS25:BT25"/>
    <mergeCell ref="BU25:BV25"/>
    <mergeCell ref="U20:V20"/>
    <mergeCell ref="CA25:CB25"/>
    <mergeCell ref="CC25:CD25"/>
    <mergeCell ref="CE25:CF25"/>
    <mergeCell ref="CG25:CH25"/>
    <mergeCell ref="CI25:CJ25"/>
    <mergeCell ref="BU20:BV20"/>
    <mergeCell ref="BW20:BX20"/>
    <mergeCell ref="CA20:CB20"/>
    <mergeCell ref="CC20:CD20"/>
    <mergeCell ref="CE20:CF20"/>
    <mergeCell ref="BI20:BJ20"/>
    <mergeCell ref="BK20:BL20"/>
    <mergeCell ref="BM20:BN20"/>
    <mergeCell ref="BO20:BP20"/>
    <mergeCell ref="BQ20:BR20"/>
    <mergeCell ref="BS20:BT20"/>
    <mergeCell ref="AY20:AZ20"/>
    <mergeCell ref="BA20:BB20"/>
    <mergeCell ref="BC20:BD20"/>
    <mergeCell ref="BE25:BF25"/>
    <mergeCell ref="BG25:BH25"/>
    <mergeCell ref="BY20:BZ20"/>
    <mergeCell ref="AM20:AN20"/>
    <mergeCell ref="CA24:CB24"/>
    <mergeCell ref="CC24:CD24"/>
    <mergeCell ref="CE24:CF24"/>
    <mergeCell ref="CG24:CH24"/>
    <mergeCell ref="CI24:CJ24"/>
    <mergeCell ref="U25:V25"/>
    <mergeCell ref="W25:X25"/>
    <mergeCell ref="Y25:Z25"/>
    <mergeCell ref="AA25:AB25"/>
    <mergeCell ref="AC25:AD25"/>
    <mergeCell ref="AE25:AF25"/>
    <mergeCell ref="AG25:AH25"/>
    <mergeCell ref="AI25:AJ25"/>
    <mergeCell ref="AK25:AL25"/>
    <mergeCell ref="AM25:AN25"/>
    <mergeCell ref="AO25:AP25"/>
    <mergeCell ref="AQ25:AR25"/>
    <mergeCell ref="AS25:AT25"/>
    <mergeCell ref="AU25:AV25"/>
    <mergeCell ref="AW25:AX25"/>
    <mergeCell ref="AY25:AZ25"/>
    <mergeCell ref="BA25:BB25"/>
    <mergeCell ref="BC25:BD25"/>
    <mergeCell ref="BG24:BH24"/>
    <mergeCell ref="BW24:BX24"/>
    <mergeCell ref="CA23:CB23"/>
    <mergeCell ref="CC23:CD23"/>
    <mergeCell ref="CE23:CF23"/>
    <mergeCell ref="CG23:CH23"/>
    <mergeCell ref="CI23:CJ23"/>
    <mergeCell ref="U24:V24"/>
    <mergeCell ref="W24:X24"/>
    <mergeCell ref="Y24:Z24"/>
    <mergeCell ref="AA24:AB24"/>
    <mergeCell ref="AC24:AD24"/>
    <mergeCell ref="AE24:AF24"/>
    <mergeCell ref="AG24:AH24"/>
    <mergeCell ref="AI24:AJ24"/>
    <mergeCell ref="AK24:AL24"/>
    <mergeCell ref="AM24:AN24"/>
    <mergeCell ref="AO24:AP24"/>
    <mergeCell ref="AQ24:AR24"/>
    <mergeCell ref="AS24:AT24"/>
    <mergeCell ref="AU24:AV24"/>
    <mergeCell ref="AW24:AX24"/>
    <mergeCell ref="AY24:AZ24"/>
    <mergeCell ref="BA24:BB24"/>
    <mergeCell ref="BC24:BD24"/>
    <mergeCell ref="AQ23:AR23"/>
    <mergeCell ref="AS23:AT23"/>
    <mergeCell ref="AU23:AV23"/>
    <mergeCell ref="AW23:AX23"/>
    <mergeCell ref="AY23:AZ23"/>
    <mergeCell ref="BA23:BB23"/>
    <mergeCell ref="BC23:BD23"/>
    <mergeCell ref="BE23:BF23"/>
    <mergeCell ref="BG23:BH23"/>
    <mergeCell ref="CE22:CF22"/>
    <mergeCell ref="CG22:CH22"/>
    <mergeCell ref="CI22:CJ22"/>
    <mergeCell ref="BM23:BN23"/>
    <mergeCell ref="BO23:BP23"/>
    <mergeCell ref="BQ23:BR23"/>
    <mergeCell ref="BS23:BT23"/>
    <mergeCell ref="BU23:BV23"/>
    <mergeCell ref="BW23:BX23"/>
    <mergeCell ref="BY23:BZ23"/>
    <mergeCell ref="BK22:BL22"/>
    <mergeCell ref="BM22:BN22"/>
    <mergeCell ref="BO22:BP22"/>
    <mergeCell ref="BQ22:BR22"/>
    <mergeCell ref="BU21:BV21"/>
    <mergeCell ref="BW21:BX21"/>
    <mergeCell ref="BY21:BZ21"/>
    <mergeCell ref="CA21:CB21"/>
    <mergeCell ref="CC21:CD21"/>
    <mergeCell ref="BO21:BP21"/>
    <mergeCell ref="BQ21:BR21"/>
    <mergeCell ref="BS21:BT21"/>
    <mergeCell ref="BS22:BT22"/>
    <mergeCell ref="BU22:BV22"/>
    <mergeCell ref="BW22:BX22"/>
    <mergeCell ref="BY22:BZ22"/>
    <mergeCell ref="CA22:CB22"/>
    <mergeCell ref="CC22:CD22"/>
    <mergeCell ref="AS22:AT22"/>
    <mergeCell ref="AU22:AV22"/>
    <mergeCell ref="AW22:AX22"/>
    <mergeCell ref="AY22:AZ22"/>
    <mergeCell ref="U21:V21"/>
    <mergeCell ref="W21:X21"/>
    <mergeCell ref="Y21:Z21"/>
    <mergeCell ref="AA21:AB21"/>
    <mergeCell ref="AC21:AD21"/>
    <mergeCell ref="U22:V22"/>
    <mergeCell ref="W22:X22"/>
    <mergeCell ref="Y22:Z22"/>
    <mergeCell ref="AA22:AB22"/>
    <mergeCell ref="AC22:AD22"/>
    <mergeCell ref="AE22:AF22"/>
    <mergeCell ref="AG22:AH22"/>
    <mergeCell ref="AI22:AJ22"/>
    <mergeCell ref="AK22:AL22"/>
    <mergeCell ref="W23:X23"/>
    <mergeCell ref="Y23:Z23"/>
    <mergeCell ref="CC13:CD13"/>
    <mergeCell ref="BE13:BF13"/>
    <mergeCell ref="BG13:BH13"/>
    <mergeCell ref="BI13:BJ13"/>
    <mergeCell ref="BK13:BL13"/>
    <mergeCell ref="AG21:AH21"/>
    <mergeCell ref="AI21:AJ21"/>
    <mergeCell ref="AK21:AL21"/>
    <mergeCell ref="AS21:AT21"/>
    <mergeCell ref="AU21:AV21"/>
    <mergeCell ref="AW21:AX21"/>
    <mergeCell ref="AY21:AZ21"/>
    <mergeCell ref="BA21:BB21"/>
    <mergeCell ref="BC21:BD21"/>
    <mergeCell ref="BE21:BF21"/>
    <mergeCell ref="BG21:BH21"/>
    <mergeCell ref="BI21:BJ21"/>
    <mergeCell ref="BK21:BL21"/>
    <mergeCell ref="BM21:BN21"/>
    <mergeCell ref="AM22:AN22"/>
    <mergeCell ref="AO22:AP22"/>
    <mergeCell ref="AQ22:AR22"/>
    <mergeCell ref="CG13:CH13"/>
    <mergeCell ref="CI13:CJ13"/>
    <mergeCell ref="BQ13:BR13"/>
    <mergeCell ref="BS13:BT13"/>
    <mergeCell ref="BU13:BV13"/>
    <mergeCell ref="BW13:BX13"/>
    <mergeCell ref="BY13:BZ13"/>
    <mergeCell ref="CA13:CB13"/>
    <mergeCell ref="AM21:AN21"/>
    <mergeCell ref="AO21:AP21"/>
    <mergeCell ref="AQ21:AR21"/>
    <mergeCell ref="CE21:CF21"/>
    <mergeCell ref="CG21:CH21"/>
    <mergeCell ref="CI21:CJ21"/>
    <mergeCell ref="CG20:CH20"/>
    <mergeCell ref="CI20:CJ20"/>
    <mergeCell ref="AO20:AP20"/>
    <mergeCell ref="AQ20:AR20"/>
    <mergeCell ref="AS20:AT20"/>
    <mergeCell ref="AU20:AV20"/>
    <mergeCell ref="AW20:AX20"/>
    <mergeCell ref="BM18:BN18"/>
    <mergeCell ref="BO18:BP18"/>
    <mergeCell ref="BQ18:BR18"/>
    <mergeCell ref="BM13:BN13"/>
    <mergeCell ref="BO13:BP13"/>
    <mergeCell ref="AS13:AT13"/>
    <mergeCell ref="AU13:AV13"/>
    <mergeCell ref="AW13:AX13"/>
    <mergeCell ref="AY13:AZ13"/>
    <mergeCell ref="BA13:BB13"/>
    <mergeCell ref="BC13:BD13"/>
    <mergeCell ref="CE13:CF13"/>
    <mergeCell ref="CC11:CD11"/>
    <mergeCell ref="CE11:CF11"/>
    <mergeCell ref="CG11:CH11"/>
    <mergeCell ref="CI11:CJ11"/>
    <mergeCell ref="CI10:CJ10"/>
    <mergeCell ref="BM10:BN10"/>
    <mergeCell ref="BO10:BP10"/>
    <mergeCell ref="BQ10:BR10"/>
    <mergeCell ref="BS10:BT10"/>
    <mergeCell ref="BU10:BV10"/>
    <mergeCell ref="BY10:BZ10"/>
    <mergeCell ref="BW10:BX10"/>
    <mergeCell ref="BS11:BT11"/>
    <mergeCell ref="BU11:BV11"/>
    <mergeCell ref="BW11:BX11"/>
    <mergeCell ref="BY11:BZ11"/>
    <mergeCell ref="CA11:CB11"/>
    <mergeCell ref="BM9:BN9"/>
    <mergeCell ref="CC9:CD9"/>
    <mergeCell ref="CE9:CF9"/>
    <mergeCell ref="CG9:CH9"/>
    <mergeCell ref="CI9:CJ9"/>
    <mergeCell ref="U10:V10"/>
    <mergeCell ref="W10:X10"/>
    <mergeCell ref="Y10:Z10"/>
    <mergeCell ref="AA10:AB10"/>
    <mergeCell ref="BO9:BP9"/>
    <mergeCell ref="BQ9:BR9"/>
    <mergeCell ref="AE10:AF10"/>
    <mergeCell ref="AG10:AH10"/>
    <mergeCell ref="AI10:AJ10"/>
    <mergeCell ref="AK10:AL10"/>
    <mergeCell ref="AM10:AN10"/>
    <mergeCell ref="CA9:CB9"/>
    <mergeCell ref="BS9:BT9"/>
    <mergeCell ref="BU9:BV9"/>
    <mergeCell ref="BW9:BX9"/>
    <mergeCell ref="BY9:BZ9"/>
    <mergeCell ref="BG10:BH10"/>
    <mergeCell ref="BI10:BJ10"/>
    <mergeCell ref="BK10:BL10"/>
    <mergeCell ref="A8:T9"/>
    <mergeCell ref="U9:V9"/>
    <mergeCell ref="W9:X9"/>
    <mergeCell ref="Y9:Z9"/>
    <mergeCell ref="AA9:AB9"/>
    <mergeCell ref="AC9:AD9"/>
    <mergeCell ref="AE9:AF9"/>
    <mergeCell ref="AG9:AH9"/>
    <mergeCell ref="AI9:AJ9"/>
    <mergeCell ref="BA1:BI1"/>
    <mergeCell ref="BJ1:BR1"/>
    <mergeCell ref="BS2:CA2"/>
    <mergeCell ref="A1:N1"/>
    <mergeCell ref="O1:AB1"/>
    <mergeCell ref="BS1:CA1"/>
    <mergeCell ref="A6:I6"/>
    <mergeCell ref="J6:X6"/>
    <mergeCell ref="Y6:AG6"/>
    <mergeCell ref="AH6:BC6"/>
    <mergeCell ref="A2:N2"/>
    <mergeCell ref="O2:AB2"/>
    <mergeCell ref="AC2:AQ2"/>
    <mergeCell ref="AR2:AZ2"/>
    <mergeCell ref="BA2:BI2"/>
    <mergeCell ref="BJ2:BR2"/>
    <mergeCell ref="AU14:AV14"/>
    <mergeCell ref="AK9:AL9"/>
    <mergeCell ref="AM9:AN9"/>
    <mergeCell ref="AO9:AP9"/>
    <mergeCell ref="AQ9:AR9"/>
    <mergeCell ref="AS9:AT9"/>
    <mergeCell ref="AU9:AV9"/>
    <mergeCell ref="AU11:AV11"/>
    <mergeCell ref="AC1:AQ1"/>
    <mergeCell ref="AR1:AZ1"/>
    <mergeCell ref="AY11:AZ11"/>
    <mergeCell ref="AE13:AF13"/>
    <mergeCell ref="AG13:AH13"/>
    <mergeCell ref="AI13:AJ13"/>
    <mergeCell ref="AK13:AL13"/>
    <mergeCell ref="AE11:AF11"/>
    <mergeCell ref="AG11:AH11"/>
    <mergeCell ref="AI11:AJ11"/>
    <mergeCell ref="AK11:AL11"/>
    <mergeCell ref="AM11:AN11"/>
    <mergeCell ref="AM13:AN13"/>
    <mergeCell ref="AO13:AP13"/>
    <mergeCell ref="AQ13:AR13"/>
    <mergeCell ref="AS12:AT12"/>
    <mergeCell ref="AW9:AX9"/>
    <mergeCell ref="AW14:AX14"/>
    <mergeCell ref="AY14:AZ14"/>
    <mergeCell ref="BA14:BB14"/>
    <mergeCell ref="AY9:AZ9"/>
    <mergeCell ref="BA9:BB9"/>
    <mergeCell ref="BC9:BD9"/>
    <mergeCell ref="BE9:BF9"/>
    <mergeCell ref="BG9:BH9"/>
    <mergeCell ref="AW11:AX11"/>
    <mergeCell ref="BC14:BD14"/>
    <mergeCell ref="BE14:BF14"/>
    <mergeCell ref="BG14:BH14"/>
    <mergeCell ref="BA11:BB11"/>
    <mergeCell ref="BC11:BD11"/>
    <mergeCell ref="BI9:BJ9"/>
    <mergeCell ref="BK9:BL9"/>
    <mergeCell ref="CC19:CD19"/>
    <mergeCell ref="CE19:CF19"/>
    <mergeCell ref="CG19:CH19"/>
    <mergeCell ref="AS10:AT10"/>
    <mergeCell ref="AU10:AV10"/>
    <mergeCell ref="AW10:AX10"/>
    <mergeCell ref="AY10:AZ10"/>
    <mergeCell ref="CA10:CB10"/>
    <mergeCell ref="CC10:CD10"/>
    <mergeCell ref="CE10:CF10"/>
    <mergeCell ref="CG10:CH10"/>
    <mergeCell ref="BE11:BF11"/>
    <mergeCell ref="BG11:BH11"/>
    <mergeCell ref="BI11:BJ11"/>
    <mergeCell ref="BK11:BL11"/>
    <mergeCell ref="BM11:BN11"/>
    <mergeCell ref="BO11:BP11"/>
    <mergeCell ref="BQ11:BR11"/>
    <mergeCell ref="BA10:BB10"/>
    <mergeCell ref="BC10:BD10"/>
    <mergeCell ref="BE10:BF10"/>
    <mergeCell ref="AS11:AT11"/>
    <mergeCell ref="BI14:BJ14"/>
    <mergeCell ref="BK14:BL14"/>
    <mergeCell ref="BM14:BN14"/>
    <mergeCell ref="CA14:CB14"/>
    <mergeCell ref="CC14:CD14"/>
    <mergeCell ref="A10:A12"/>
    <mergeCell ref="B14:T14"/>
    <mergeCell ref="U14:V14"/>
    <mergeCell ref="W14:X14"/>
    <mergeCell ref="Y14:Z14"/>
    <mergeCell ref="AA14:AB14"/>
    <mergeCell ref="AE14:AF14"/>
    <mergeCell ref="AG14:AH14"/>
    <mergeCell ref="AI14:AJ14"/>
    <mergeCell ref="AK14:AL14"/>
    <mergeCell ref="AM14:AN14"/>
    <mergeCell ref="AA11:AB11"/>
    <mergeCell ref="AO10:AP10"/>
    <mergeCell ref="AQ10:AR10"/>
    <mergeCell ref="AO11:AP11"/>
    <mergeCell ref="AQ11:AR11"/>
    <mergeCell ref="AO14:AP14"/>
    <mergeCell ref="AQ14:AR14"/>
    <mergeCell ref="AS14:AT14"/>
    <mergeCell ref="CE14:CF14"/>
    <mergeCell ref="CG14:CH14"/>
    <mergeCell ref="CI14:CJ14"/>
    <mergeCell ref="BO14:BP14"/>
    <mergeCell ref="BQ14:BR14"/>
    <mergeCell ref="BS14:BT14"/>
    <mergeCell ref="BU14:BV14"/>
    <mergeCell ref="BW14:BX14"/>
    <mergeCell ref="BY14:BZ14"/>
  </mergeCells>
  <phoneticPr fontId="12"/>
  <dataValidations count="1">
    <dataValidation type="list" allowBlank="1" showInputMessage="1" showErrorMessage="1" sqref="U21:BP21">
      <formula1>テスト分類</formula1>
    </dataValidation>
  </dataValidations>
  <pageMargins left="0.39370078740157483" right="0.19685039370078741" top="0.59055118110236227" bottom="0.39370078740157483" header="0.78740157480314965" footer="0.19685039370078741"/>
  <pageSetup paperSize="9" scale="98" fitToHeight="0" orientation="landscape" r:id="rId1"/>
  <headerFooter alignWithMargins="0">
    <oddFooter>&amp;C&amp;P / &amp;N&amp;RInternal Use Only</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18"/>
  <sheetViews>
    <sheetView workbookViewId="0"/>
  </sheetViews>
  <sheetFormatPr defaultRowHeight="11.25"/>
  <sheetData>
    <row r="1" spans="1:3">
      <c r="A1" s="86"/>
      <c r="B1" s="87"/>
      <c r="C1" s="88"/>
    </row>
    <row r="2" spans="1:3">
      <c r="A2" s="89"/>
      <c r="B2" s="90"/>
      <c r="C2" s="91"/>
    </row>
    <row r="3" spans="1:3">
      <c r="A3" s="89"/>
      <c r="B3" s="90"/>
      <c r="C3" s="91"/>
    </row>
    <row r="4" spans="1:3">
      <c r="A4" s="89"/>
      <c r="B4" s="90"/>
      <c r="C4" s="91"/>
    </row>
    <row r="5" spans="1:3">
      <c r="A5" s="89"/>
      <c r="B5" s="90"/>
      <c r="C5" s="91"/>
    </row>
    <row r="6" spans="1:3">
      <c r="A6" s="89"/>
      <c r="B6" s="90"/>
      <c r="C6" s="91"/>
    </row>
    <row r="7" spans="1:3">
      <c r="A7" s="89"/>
      <c r="B7" s="90"/>
      <c r="C7" s="91"/>
    </row>
    <row r="8" spans="1:3">
      <c r="A8" s="89"/>
      <c r="B8" s="90"/>
      <c r="C8" s="91"/>
    </row>
    <row r="9" spans="1:3">
      <c r="A9" s="89"/>
      <c r="B9" s="90"/>
      <c r="C9" s="91"/>
    </row>
    <row r="10" spans="1:3">
      <c r="A10" s="89"/>
      <c r="B10" s="90"/>
      <c r="C10" s="91"/>
    </row>
    <row r="11" spans="1:3">
      <c r="A11" s="89"/>
      <c r="B11" s="90"/>
      <c r="C11" s="91"/>
    </row>
    <row r="12" spans="1:3">
      <c r="A12" s="89"/>
      <c r="B12" s="90"/>
      <c r="C12" s="91"/>
    </row>
    <row r="13" spans="1:3">
      <c r="A13" s="89"/>
      <c r="B13" s="90"/>
      <c r="C13" s="91"/>
    </row>
    <row r="14" spans="1:3">
      <c r="A14" s="89"/>
      <c r="B14" s="90"/>
      <c r="C14" s="91"/>
    </row>
    <row r="15" spans="1:3">
      <c r="A15" s="89"/>
      <c r="B15" s="90"/>
      <c r="C15" s="91"/>
    </row>
    <row r="16" spans="1:3">
      <c r="A16" s="89"/>
      <c r="B16" s="90"/>
      <c r="C16" s="91"/>
    </row>
    <row r="17" spans="1:3">
      <c r="A17" s="89"/>
      <c r="B17" s="90"/>
      <c r="C17" s="91"/>
    </row>
    <row r="18" spans="1:3">
      <c r="A18" s="92"/>
      <c r="B18" s="93"/>
      <c r="C18" s="94"/>
    </row>
  </sheetData>
  <phoneticPr fontId="12"/>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U5001"/>
  <sheetViews>
    <sheetView tabSelected="1" workbookViewId="0">
      <selection activeCell="U38" sqref="U38:U54"/>
    </sheetView>
  </sheetViews>
  <sheetFormatPr defaultRowHeight="11.25"/>
  <sheetData>
    <row r="1" spans="1:21">
      <c r="B1" t="s">
        <v>207</v>
      </c>
      <c r="C1" t="s">
        <v>208</v>
      </c>
      <c r="D1" t="s">
        <v>209</v>
      </c>
      <c r="I1" t="s">
        <v>210</v>
      </c>
      <c r="J1" t="s">
        <v>211</v>
      </c>
      <c r="L1" t="s">
        <v>212</v>
      </c>
      <c r="M1" s="95" t="s">
        <v>219</v>
      </c>
      <c r="N1" t="s">
        <v>220</v>
      </c>
    </row>
    <row r="2" spans="1:21">
      <c r="A2">
        <v>1</v>
      </c>
      <c r="B2">
        <v>10</v>
      </c>
      <c r="C2">
        <v>12.87</v>
      </c>
      <c r="D2">
        <v>11.81</v>
      </c>
      <c r="F2">
        <v>15</v>
      </c>
      <c r="G2">
        <v>20</v>
      </c>
      <c r="I2">
        <v>1</v>
      </c>
      <c r="J2">
        <v>965</v>
      </c>
      <c r="L2">
        <v>1</v>
      </c>
      <c r="M2">
        <f t="array" ref="M2:M81">FREQUENCY(C2:C5001,L2:L80)</f>
        <v>0</v>
      </c>
      <c r="N2">
        <f t="array" ref="N2:N81">FREQUENCY(D2:D5001,L2:L80)</f>
        <v>0</v>
      </c>
      <c r="O2">
        <f>M2/5000</f>
        <v>0</v>
      </c>
      <c r="P2">
        <f>N2/5000</f>
        <v>0</v>
      </c>
      <c r="S2">
        <v>12</v>
      </c>
      <c r="T2">
        <v>18</v>
      </c>
      <c r="U2">
        <v>60</v>
      </c>
    </row>
    <row r="3" spans="1:21">
      <c r="A3">
        <v>2</v>
      </c>
      <c r="B3">
        <v>8</v>
      </c>
      <c r="C3">
        <v>11.47</v>
      </c>
      <c r="D3">
        <v>10.37</v>
      </c>
      <c r="I3">
        <v>989</v>
      </c>
      <c r="J3">
        <v>1169</v>
      </c>
      <c r="L3">
        <v>2</v>
      </c>
      <c r="M3">
        <v>0</v>
      </c>
      <c r="N3">
        <v>0</v>
      </c>
      <c r="O3">
        <f>M3/5000+O2</f>
        <v>0</v>
      </c>
      <c r="P3">
        <f>N3/5000+P2</f>
        <v>0</v>
      </c>
      <c r="S3">
        <v>12</v>
      </c>
      <c r="T3">
        <v>19</v>
      </c>
      <c r="U3">
        <v>63</v>
      </c>
    </row>
    <row r="4" spans="1:21">
      <c r="A4">
        <v>3</v>
      </c>
      <c r="B4">
        <v>7</v>
      </c>
      <c r="C4">
        <v>11.74</v>
      </c>
      <c r="D4">
        <v>10.34</v>
      </c>
      <c r="I4">
        <v>1233</v>
      </c>
      <c r="J4">
        <v>1820</v>
      </c>
      <c r="L4">
        <v>3</v>
      </c>
      <c r="M4">
        <v>0</v>
      </c>
      <c r="N4">
        <v>0</v>
      </c>
      <c r="O4">
        <f t="shared" ref="O4:O67" si="0">M4/5000+O3</f>
        <v>0</v>
      </c>
      <c r="P4">
        <f t="shared" ref="P4:P67" si="1">N4/5000+P3</f>
        <v>0</v>
      </c>
      <c r="S4">
        <v>12</v>
      </c>
      <c r="T4">
        <v>20</v>
      </c>
      <c r="U4">
        <v>64</v>
      </c>
    </row>
    <row r="5" spans="1:21">
      <c r="A5">
        <v>4</v>
      </c>
      <c r="B5">
        <v>8</v>
      </c>
      <c r="C5">
        <v>12.14</v>
      </c>
      <c r="D5">
        <v>10</v>
      </c>
      <c r="I5">
        <v>1838</v>
      </c>
      <c r="J5">
        <v>1939</v>
      </c>
      <c r="L5">
        <v>4</v>
      </c>
      <c r="M5">
        <v>0</v>
      </c>
      <c r="N5">
        <v>0</v>
      </c>
      <c r="O5">
        <f t="shared" si="0"/>
        <v>0</v>
      </c>
      <c r="P5">
        <f t="shared" si="1"/>
        <v>0</v>
      </c>
      <c r="S5">
        <v>12</v>
      </c>
      <c r="T5">
        <v>21</v>
      </c>
      <c r="U5">
        <v>72</v>
      </c>
    </row>
    <row r="6" spans="1:21">
      <c r="A6">
        <v>5</v>
      </c>
      <c r="B6">
        <v>15</v>
      </c>
      <c r="C6">
        <v>11.3</v>
      </c>
      <c r="D6">
        <v>10.28</v>
      </c>
      <c r="I6">
        <v>1984</v>
      </c>
      <c r="J6">
        <v>2144</v>
      </c>
      <c r="L6">
        <v>5</v>
      </c>
      <c r="M6">
        <v>0</v>
      </c>
      <c r="N6">
        <v>0</v>
      </c>
      <c r="O6">
        <f t="shared" si="0"/>
        <v>0</v>
      </c>
      <c r="P6">
        <f t="shared" si="1"/>
        <v>0</v>
      </c>
      <c r="S6">
        <v>12</v>
      </c>
      <c r="T6">
        <v>22</v>
      </c>
      <c r="U6">
        <v>50</v>
      </c>
    </row>
    <row r="7" spans="1:21">
      <c r="A7">
        <v>6</v>
      </c>
      <c r="B7">
        <v>18</v>
      </c>
      <c r="C7">
        <v>12.08</v>
      </c>
      <c r="D7">
        <v>11.26</v>
      </c>
      <c r="I7">
        <v>2238</v>
      </c>
      <c r="J7">
        <v>2281</v>
      </c>
      <c r="L7">
        <v>6</v>
      </c>
      <c r="M7">
        <v>0</v>
      </c>
      <c r="N7">
        <v>0</v>
      </c>
      <c r="O7">
        <f t="shared" si="0"/>
        <v>0</v>
      </c>
      <c r="P7">
        <f t="shared" si="1"/>
        <v>0</v>
      </c>
      <c r="S7">
        <v>12</v>
      </c>
      <c r="T7">
        <v>23</v>
      </c>
      <c r="U7">
        <v>55</v>
      </c>
    </row>
    <row r="8" spans="1:21">
      <c r="A8">
        <v>7</v>
      </c>
      <c r="B8">
        <v>10</v>
      </c>
      <c r="C8">
        <v>12.41</v>
      </c>
      <c r="D8">
        <v>11.56</v>
      </c>
      <c r="I8">
        <v>2334</v>
      </c>
      <c r="J8">
        <v>3428</v>
      </c>
      <c r="L8">
        <v>7</v>
      </c>
      <c r="M8">
        <v>0</v>
      </c>
      <c r="N8">
        <v>0</v>
      </c>
      <c r="O8">
        <f t="shared" si="0"/>
        <v>0</v>
      </c>
      <c r="P8">
        <f t="shared" si="1"/>
        <v>0</v>
      </c>
      <c r="S8">
        <v>12</v>
      </c>
      <c r="T8">
        <v>24</v>
      </c>
      <c r="U8">
        <v>48</v>
      </c>
    </row>
    <row r="9" spans="1:21">
      <c r="A9">
        <v>8</v>
      </c>
      <c r="B9">
        <v>8</v>
      </c>
      <c r="C9">
        <v>12.84</v>
      </c>
      <c r="D9">
        <v>12.05</v>
      </c>
      <c r="I9">
        <v>3431</v>
      </c>
      <c r="J9">
        <v>3536</v>
      </c>
      <c r="L9">
        <v>8</v>
      </c>
      <c r="M9">
        <v>0</v>
      </c>
      <c r="N9">
        <v>0</v>
      </c>
      <c r="O9">
        <f t="shared" si="0"/>
        <v>0</v>
      </c>
      <c r="P9">
        <f t="shared" si="1"/>
        <v>0</v>
      </c>
      <c r="S9">
        <v>12</v>
      </c>
      <c r="T9">
        <v>25</v>
      </c>
      <c r="U9">
        <v>52</v>
      </c>
    </row>
    <row r="10" spans="1:21">
      <c r="A10">
        <v>9</v>
      </c>
      <c r="B10">
        <v>7</v>
      </c>
      <c r="C10">
        <v>11.22</v>
      </c>
      <c r="D10">
        <v>11</v>
      </c>
      <c r="I10">
        <v>3542</v>
      </c>
      <c r="J10">
        <v>3574</v>
      </c>
      <c r="L10">
        <v>9</v>
      </c>
      <c r="M10">
        <v>0</v>
      </c>
      <c r="N10">
        <v>0</v>
      </c>
      <c r="O10">
        <f t="shared" si="0"/>
        <v>0</v>
      </c>
      <c r="P10">
        <f t="shared" si="1"/>
        <v>0</v>
      </c>
      <c r="S10">
        <v>12</v>
      </c>
      <c r="T10">
        <v>26</v>
      </c>
      <c r="U10">
        <v>56</v>
      </c>
    </row>
    <row r="11" spans="1:21">
      <c r="A11">
        <v>10</v>
      </c>
      <c r="B11">
        <v>8</v>
      </c>
      <c r="C11">
        <v>12.07</v>
      </c>
      <c r="D11">
        <v>11.72</v>
      </c>
      <c r="I11">
        <v>3578</v>
      </c>
      <c r="J11">
        <v>3702</v>
      </c>
      <c r="L11">
        <v>10</v>
      </c>
      <c r="M11">
        <v>0</v>
      </c>
      <c r="N11">
        <v>13</v>
      </c>
      <c r="O11">
        <f t="shared" si="0"/>
        <v>0</v>
      </c>
      <c r="P11">
        <f t="shared" si="1"/>
        <v>2.5999999999999999E-3</v>
      </c>
      <c r="S11">
        <v>12</v>
      </c>
      <c r="T11">
        <v>27</v>
      </c>
      <c r="U11">
        <v>60</v>
      </c>
    </row>
    <row r="12" spans="1:21">
      <c r="A12">
        <v>11</v>
      </c>
      <c r="B12">
        <v>15</v>
      </c>
      <c r="C12">
        <v>11.72</v>
      </c>
      <c r="D12">
        <v>11.31</v>
      </c>
      <c r="I12">
        <v>3900</v>
      </c>
      <c r="J12">
        <v>4113</v>
      </c>
      <c r="L12">
        <v>11</v>
      </c>
      <c r="M12">
        <v>45</v>
      </c>
      <c r="N12">
        <v>175</v>
      </c>
      <c r="O12">
        <f t="shared" si="0"/>
        <v>8.9999999999999993E-3</v>
      </c>
      <c r="P12">
        <f t="shared" si="1"/>
        <v>3.7600000000000001E-2</v>
      </c>
      <c r="S12">
        <v>12</v>
      </c>
      <c r="T12">
        <v>28</v>
      </c>
      <c r="U12">
        <v>64</v>
      </c>
    </row>
    <row r="13" spans="1:21">
      <c r="A13">
        <v>12</v>
      </c>
      <c r="B13">
        <v>18</v>
      </c>
      <c r="C13">
        <v>12.15</v>
      </c>
      <c r="D13">
        <v>11.62</v>
      </c>
      <c r="I13">
        <v>4117</v>
      </c>
      <c r="J13">
        <v>4120</v>
      </c>
      <c r="L13">
        <v>12</v>
      </c>
      <c r="M13">
        <v>221</v>
      </c>
      <c r="N13">
        <v>343</v>
      </c>
      <c r="O13">
        <f t="shared" si="0"/>
        <v>5.3200000000000004E-2</v>
      </c>
      <c r="P13">
        <f t="shared" si="1"/>
        <v>0.10619999999999999</v>
      </c>
      <c r="S13">
        <v>12</v>
      </c>
      <c r="T13">
        <v>29</v>
      </c>
      <c r="U13">
        <v>51</v>
      </c>
    </row>
    <row r="14" spans="1:21">
      <c r="A14">
        <v>13</v>
      </c>
      <c r="B14">
        <v>10</v>
      </c>
      <c r="C14">
        <v>11.83</v>
      </c>
      <c r="D14">
        <v>11.16</v>
      </c>
      <c r="I14">
        <v>4127</v>
      </c>
      <c r="J14">
        <v>4130</v>
      </c>
      <c r="L14">
        <v>13</v>
      </c>
      <c r="M14">
        <v>321</v>
      </c>
      <c r="N14">
        <v>358</v>
      </c>
      <c r="O14">
        <f t="shared" si="0"/>
        <v>0.1174</v>
      </c>
      <c r="P14">
        <f t="shared" si="1"/>
        <v>0.17779999999999999</v>
      </c>
      <c r="S14">
        <v>12</v>
      </c>
      <c r="T14">
        <v>30</v>
      </c>
      <c r="U14">
        <v>54</v>
      </c>
    </row>
    <row r="15" spans="1:21">
      <c r="A15">
        <v>14</v>
      </c>
      <c r="B15">
        <v>8</v>
      </c>
      <c r="C15">
        <v>11.21</v>
      </c>
      <c r="D15">
        <v>10.9</v>
      </c>
      <c r="I15">
        <v>4143</v>
      </c>
      <c r="J15">
        <v>4150</v>
      </c>
      <c r="L15">
        <v>14</v>
      </c>
      <c r="M15">
        <v>329</v>
      </c>
      <c r="N15">
        <v>286</v>
      </c>
      <c r="O15">
        <f t="shared" si="0"/>
        <v>0.1832</v>
      </c>
      <c r="P15">
        <f t="shared" si="1"/>
        <v>0.23499999999999999</v>
      </c>
      <c r="S15">
        <v>12</v>
      </c>
      <c r="T15">
        <v>31</v>
      </c>
      <c r="U15">
        <v>57</v>
      </c>
    </row>
    <row r="16" spans="1:21">
      <c r="A16">
        <v>15</v>
      </c>
      <c r="B16">
        <v>7</v>
      </c>
      <c r="C16">
        <v>11.93</v>
      </c>
      <c r="D16">
        <v>11.23</v>
      </c>
      <c r="I16">
        <v>4157</v>
      </c>
      <c r="J16">
        <v>4429</v>
      </c>
      <c r="L16">
        <v>15</v>
      </c>
      <c r="M16">
        <v>243</v>
      </c>
      <c r="N16">
        <v>287</v>
      </c>
      <c r="O16">
        <f t="shared" si="0"/>
        <v>0.23180000000000001</v>
      </c>
      <c r="P16">
        <f t="shared" si="1"/>
        <v>0.29239999999999999</v>
      </c>
      <c r="S16">
        <v>12</v>
      </c>
      <c r="T16">
        <v>32</v>
      </c>
      <c r="U16">
        <v>60</v>
      </c>
    </row>
    <row r="17" spans="1:21">
      <c r="A17">
        <v>16</v>
      </c>
      <c r="B17">
        <v>8</v>
      </c>
      <c r="C17">
        <v>11.96</v>
      </c>
      <c r="D17">
        <v>10.94</v>
      </c>
      <c r="I17">
        <v>4487</v>
      </c>
      <c r="J17">
        <v>4490</v>
      </c>
      <c r="L17">
        <v>16</v>
      </c>
      <c r="M17">
        <v>244</v>
      </c>
      <c r="N17">
        <v>284</v>
      </c>
      <c r="O17">
        <f t="shared" si="0"/>
        <v>0.28060000000000002</v>
      </c>
      <c r="P17">
        <f t="shared" si="1"/>
        <v>0.34920000000000001</v>
      </c>
      <c r="S17">
        <v>12</v>
      </c>
      <c r="T17">
        <v>33</v>
      </c>
      <c r="U17">
        <v>63</v>
      </c>
    </row>
    <row r="18" spans="1:21">
      <c r="A18">
        <v>17</v>
      </c>
      <c r="B18">
        <v>9</v>
      </c>
      <c r="C18">
        <v>11.87</v>
      </c>
      <c r="D18">
        <v>11.07</v>
      </c>
      <c r="I18">
        <v>4519</v>
      </c>
      <c r="L18">
        <v>17</v>
      </c>
      <c r="M18">
        <v>308</v>
      </c>
      <c r="N18">
        <v>292</v>
      </c>
      <c r="O18">
        <f t="shared" si="0"/>
        <v>0.3422</v>
      </c>
      <c r="P18">
        <f t="shared" si="1"/>
        <v>0.40760000000000002</v>
      </c>
      <c r="S18">
        <v>12</v>
      </c>
      <c r="T18">
        <v>34</v>
      </c>
      <c r="U18">
        <v>66</v>
      </c>
    </row>
    <row r="19" spans="1:21">
      <c r="A19">
        <v>18</v>
      </c>
      <c r="B19">
        <v>9</v>
      </c>
      <c r="C19">
        <v>11.28</v>
      </c>
      <c r="D19">
        <v>10.210000000000001</v>
      </c>
      <c r="L19">
        <v>18</v>
      </c>
      <c r="M19">
        <v>277</v>
      </c>
      <c r="N19">
        <v>252</v>
      </c>
      <c r="O19">
        <f t="shared" si="0"/>
        <v>0.39760000000000001</v>
      </c>
      <c r="P19">
        <f t="shared" si="1"/>
        <v>0.45800000000000002</v>
      </c>
      <c r="S19">
        <v>12</v>
      </c>
      <c r="T19">
        <v>35</v>
      </c>
      <c r="U19">
        <v>69</v>
      </c>
    </row>
    <row r="20" spans="1:21">
      <c r="A20">
        <v>19</v>
      </c>
      <c r="C20">
        <v>10.31</v>
      </c>
      <c r="D20">
        <v>9.59</v>
      </c>
      <c r="L20">
        <v>19</v>
      </c>
      <c r="M20">
        <v>252</v>
      </c>
      <c r="N20">
        <v>251</v>
      </c>
      <c r="O20">
        <f t="shared" si="0"/>
        <v>0.44800000000000001</v>
      </c>
      <c r="P20">
        <f t="shared" si="1"/>
        <v>0.50819999999999999</v>
      </c>
      <c r="S20">
        <v>13</v>
      </c>
      <c r="T20">
        <v>18</v>
      </c>
      <c r="U20">
        <v>65</v>
      </c>
    </row>
    <row r="21" spans="1:21">
      <c r="A21">
        <v>20</v>
      </c>
      <c r="C21">
        <v>11.2</v>
      </c>
      <c r="D21">
        <v>10.01</v>
      </c>
      <c r="L21">
        <v>20</v>
      </c>
      <c r="M21">
        <v>261</v>
      </c>
      <c r="N21">
        <v>303</v>
      </c>
      <c r="O21">
        <f t="shared" si="0"/>
        <v>0.50019999999999998</v>
      </c>
      <c r="P21">
        <f t="shared" si="1"/>
        <v>0.56879999999999997</v>
      </c>
      <c r="S21">
        <v>13</v>
      </c>
      <c r="T21">
        <v>19</v>
      </c>
      <c r="U21">
        <v>66</v>
      </c>
    </row>
    <row r="22" spans="1:21">
      <c r="A22">
        <v>21</v>
      </c>
      <c r="C22">
        <v>11.21</v>
      </c>
      <c r="D22">
        <v>10.51</v>
      </c>
      <c r="L22">
        <v>21</v>
      </c>
      <c r="M22">
        <v>275</v>
      </c>
      <c r="N22">
        <v>290</v>
      </c>
      <c r="O22">
        <f t="shared" si="0"/>
        <v>0.55520000000000003</v>
      </c>
      <c r="P22">
        <f t="shared" si="1"/>
        <v>0.62680000000000002</v>
      </c>
      <c r="S22">
        <v>13</v>
      </c>
      <c r="T22">
        <v>20</v>
      </c>
      <c r="U22">
        <v>56</v>
      </c>
    </row>
    <row r="23" spans="1:21">
      <c r="A23">
        <v>22</v>
      </c>
      <c r="C23">
        <v>10.86</v>
      </c>
      <c r="D23">
        <v>10.37</v>
      </c>
      <c r="L23">
        <v>22</v>
      </c>
      <c r="M23">
        <v>258</v>
      </c>
      <c r="N23">
        <v>236</v>
      </c>
      <c r="O23">
        <f t="shared" si="0"/>
        <v>0.60680000000000001</v>
      </c>
      <c r="P23">
        <f t="shared" si="1"/>
        <v>0.67400000000000004</v>
      </c>
      <c r="S23">
        <v>13</v>
      </c>
      <c r="T23">
        <v>21</v>
      </c>
      <c r="U23">
        <v>64</v>
      </c>
    </row>
    <row r="24" spans="1:21">
      <c r="A24">
        <v>23</v>
      </c>
      <c r="C24">
        <v>11.26</v>
      </c>
      <c r="D24">
        <v>10.63</v>
      </c>
      <c r="L24">
        <v>23</v>
      </c>
      <c r="M24">
        <v>224</v>
      </c>
      <c r="N24">
        <v>253</v>
      </c>
      <c r="O24">
        <f t="shared" si="0"/>
        <v>0.65159999999999996</v>
      </c>
      <c r="P24">
        <f t="shared" si="1"/>
        <v>0.72460000000000002</v>
      </c>
      <c r="S24">
        <v>13</v>
      </c>
      <c r="T24">
        <v>22</v>
      </c>
      <c r="U24">
        <v>45</v>
      </c>
    </row>
    <row r="25" spans="1:21">
      <c r="A25">
        <v>24</v>
      </c>
      <c r="C25">
        <v>15.63</v>
      </c>
      <c r="D25">
        <v>10.210000000000001</v>
      </c>
      <c r="L25">
        <v>24</v>
      </c>
      <c r="M25">
        <v>243</v>
      </c>
      <c r="N25">
        <v>200</v>
      </c>
      <c r="O25">
        <f t="shared" si="0"/>
        <v>0.70019999999999993</v>
      </c>
      <c r="P25">
        <f t="shared" si="1"/>
        <v>0.76460000000000006</v>
      </c>
      <c r="S25">
        <v>13</v>
      </c>
      <c r="T25">
        <v>23</v>
      </c>
      <c r="U25">
        <v>50</v>
      </c>
    </row>
    <row r="26" spans="1:21">
      <c r="A26">
        <v>25</v>
      </c>
      <c r="C26">
        <v>15.37</v>
      </c>
      <c r="D26">
        <v>13.86</v>
      </c>
      <c r="L26">
        <v>25</v>
      </c>
      <c r="M26">
        <v>207</v>
      </c>
      <c r="N26">
        <v>201</v>
      </c>
      <c r="O26">
        <f t="shared" si="0"/>
        <v>0.74159999999999993</v>
      </c>
      <c r="P26">
        <f t="shared" si="1"/>
        <v>0.80480000000000007</v>
      </c>
      <c r="S26">
        <v>13</v>
      </c>
      <c r="T26">
        <v>24</v>
      </c>
      <c r="U26">
        <v>44</v>
      </c>
    </row>
    <row r="27" spans="1:21">
      <c r="A27">
        <v>26</v>
      </c>
      <c r="C27">
        <v>14.44</v>
      </c>
      <c r="D27">
        <v>12.49</v>
      </c>
      <c r="L27">
        <v>26</v>
      </c>
      <c r="M27">
        <v>189</v>
      </c>
      <c r="N27">
        <v>154</v>
      </c>
      <c r="O27">
        <f t="shared" si="0"/>
        <v>0.77939999999999987</v>
      </c>
      <c r="P27">
        <f t="shared" si="1"/>
        <v>0.83560000000000012</v>
      </c>
      <c r="S27">
        <v>13</v>
      </c>
      <c r="T27">
        <v>25</v>
      </c>
      <c r="U27">
        <v>48</v>
      </c>
    </row>
    <row r="28" spans="1:21">
      <c r="A28">
        <v>27</v>
      </c>
      <c r="C28">
        <v>13.89</v>
      </c>
      <c r="D28">
        <v>12.75</v>
      </c>
      <c r="L28">
        <v>27</v>
      </c>
      <c r="M28">
        <v>151</v>
      </c>
      <c r="N28">
        <v>91</v>
      </c>
      <c r="O28">
        <f t="shared" si="0"/>
        <v>0.80959999999999988</v>
      </c>
      <c r="P28">
        <f t="shared" si="1"/>
        <v>0.85380000000000011</v>
      </c>
      <c r="S28">
        <v>13</v>
      </c>
      <c r="T28">
        <v>26</v>
      </c>
      <c r="U28">
        <v>52</v>
      </c>
    </row>
    <row r="29" spans="1:21">
      <c r="A29">
        <v>28</v>
      </c>
      <c r="C29">
        <v>14.96</v>
      </c>
      <c r="D29">
        <v>12.69</v>
      </c>
      <c r="L29">
        <v>28</v>
      </c>
      <c r="M29">
        <v>111</v>
      </c>
      <c r="N29">
        <v>97</v>
      </c>
      <c r="O29">
        <f t="shared" si="0"/>
        <v>0.83179999999999987</v>
      </c>
      <c r="P29">
        <f t="shared" si="1"/>
        <v>0.87320000000000009</v>
      </c>
      <c r="S29">
        <v>13</v>
      </c>
      <c r="T29">
        <v>27</v>
      </c>
      <c r="U29">
        <v>56</v>
      </c>
    </row>
    <row r="30" spans="1:21">
      <c r="A30">
        <v>29</v>
      </c>
      <c r="C30">
        <v>15.18</v>
      </c>
      <c r="D30">
        <v>14.2</v>
      </c>
      <c r="L30">
        <v>29</v>
      </c>
      <c r="M30">
        <v>110</v>
      </c>
      <c r="N30">
        <v>84</v>
      </c>
      <c r="O30">
        <f t="shared" si="0"/>
        <v>0.85379999999999989</v>
      </c>
      <c r="P30">
        <f t="shared" si="1"/>
        <v>0.89000000000000012</v>
      </c>
      <c r="S30">
        <v>13</v>
      </c>
      <c r="T30">
        <v>28</v>
      </c>
      <c r="U30">
        <v>60</v>
      </c>
    </row>
    <row r="31" spans="1:21">
      <c r="A31">
        <v>30</v>
      </c>
      <c r="C31">
        <v>14.62</v>
      </c>
      <c r="D31">
        <v>13.88</v>
      </c>
      <c r="L31">
        <v>30</v>
      </c>
      <c r="M31">
        <v>98</v>
      </c>
      <c r="N31">
        <v>65</v>
      </c>
      <c r="O31">
        <f t="shared" si="0"/>
        <v>0.87339999999999984</v>
      </c>
      <c r="P31">
        <f t="shared" si="1"/>
        <v>0.90300000000000014</v>
      </c>
      <c r="S31">
        <v>13</v>
      </c>
      <c r="T31">
        <v>29</v>
      </c>
      <c r="U31">
        <v>48</v>
      </c>
    </row>
    <row r="32" spans="1:21">
      <c r="A32">
        <v>31</v>
      </c>
      <c r="C32">
        <v>14.15</v>
      </c>
      <c r="D32">
        <v>13.4</v>
      </c>
      <c r="L32">
        <v>31</v>
      </c>
      <c r="M32">
        <v>68</v>
      </c>
      <c r="N32">
        <v>69</v>
      </c>
      <c r="O32">
        <f t="shared" si="0"/>
        <v>0.88699999999999979</v>
      </c>
      <c r="P32">
        <f t="shared" si="1"/>
        <v>0.91680000000000017</v>
      </c>
      <c r="S32">
        <v>13</v>
      </c>
      <c r="T32">
        <v>30</v>
      </c>
      <c r="U32">
        <v>51</v>
      </c>
    </row>
    <row r="33" spans="1:21">
      <c r="A33">
        <v>32</v>
      </c>
      <c r="C33">
        <v>13.39</v>
      </c>
      <c r="D33">
        <v>12.98</v>
      </c>
      <c r="L33">
        <v>32</v>
      </c>
      <c r="M33">
        <v>68</v>
      </c>
      <c r="N33">
        <v>57</v>
      </c>
      <c r="O33">
        <f t="shared" si="0"/>
        <v>0.90059999999999973</v>
      </c>
      <c r="P33">
        <f t="shared" si="1"/>
        <v>0.92820000000000014</v>
      </c>
      <c r="S33">
        <v>13</v>
      </c>
      <c r="T33">
        <v>31</v>
      </c>
      <c r="U33">
        <v>54</v>
      </c>
    </row>
    <row r="34" spans="1:21">
      <c r="A34">
        <v>33</v>
      </c>
      <c r="C34">
        <v>14.33</v>
      </c>
      <c r="D34">
        <v>12.59</v>
      </c>
      <c r="L34">
        <v>33</v>
      </c>
      <c r="M34">
        <v>64</v>
      </c>
      <c r="N34">
        <v>46</v>
      </c>
      <c r="O34">
        <f t="shared" si="0"/>
        <v>0.91339999999999977</v>
      </c>
      <c r="P34">
        <f t="shared" si="1"/>
        <v>0.93740000000000012</v>
      </c>
      <c r="S34">
        <v>13</v>
      </c>
      <c r="T34">
        <v>32</v>
      </c>
      <c r="U34">
        <v>57</v>
      </c>
    </row>
    <row r="35" spans="1:21">
      <c r="A35">
        <v>34</v>
      </c>
      <c r="C35">
        <v>15.4</v>
      </c>
      <c r="D35">
        <v>13.8</v>
      </c>
      <c r="L35">
        <v>34</v>
      </c>
      <c r="M35">
        <v>49</v>
      </c>
      <c r="N35">
        <v>38</v>
      </c>
      <c r="O35">
        <f t="shared" si="0"/>
        <v>0.9231999999999998</v>
      </c>
      <c r="P35">
        <f t="shared" si="1"/>
        <v>0.94500000000000017</v>
      </c>
      <c r="S35">
        <v>13</v>
      </c>
      <c r="T35">
        <v>33</v>
      </c>
      <c r="U35">
        <v>60</v>
      </c>
    </row>
    <row r="36" spans="1:21">
      <c r="A36">
        <v>35</v>
      </c>
      <c r="C36">
        <v>15.17</v>
      </c>
      <c r="D36">
        <v>13.52</v>
      </c>
      <c r="L36">
        <v>35</v>
      </c>
      <c r="M36">
        <v>45</v>
      </c>
      <c r="N36">
        <v>25</v>
      </c>
      <c r="O36">
        <f t="shared" si="0"/>
        <v>0.93219999999999981</v>
      </c>
      <c r="P36">
        <f t="shared" si="1"/>
        <v>0.95000000000000018</v>
      </c>
      <c r="S36">
        <v>13</v>
      </c>
      <c r="T36">
        <v>34</v>
      </c>
      <c r="U36">
        <v>63</v>
      </c>
    </row>
    <row r="37" spans="1:21">
      <c r="A37">
        <v>36</v>
      </c>
      <c r="C37">
        <v>14.14</v>
      </c>
      <c r="D37">
        <v>11.81</v>
      </c>
      <c r="L37">
        <v>36</v>
      </c>
      <c r="M37">
        <v>35</v>
      </c>
      <c r="N37">
        <v>23</v>
      </c>
      <c r="O37">
        <f t="shared" si="0"/>
        <v>0.93919999999999981</v>
      </c>
      <c r="P37">
        <f t="shared" si="1"/>
        <v>0.95460000000000023</v>
      </c>
      <c r="S37">
        <v>13</v>
      </c>
      <c r="T37">
        <v>35</v>
      </c>
      <c r="U37">
        <v>66</v>
      </c>
    </row>
    <row r="38" spans="1:21">
      <c r="A38">
        <v>37</v>
      </c>
      <c r="C38">
        <v>16.309999999999999</v>
      </c>
      <c r="D38">
        <v>14.78</v>
      </c>
      <c r="L38">
        <v>37</v>
      </c>
      <c r="M38">
        <v>32</v>
      </c>
      <c r="N38">
        <v>28</v>
      </c>
      <c r="O38">
        <f t="shared" si="0"/>
        <v>0.94559999999999977</v>
      </c>
      <c r="P38">
        <f t="shared" si="1"/>
        <v>0.96020000000000028</v>
      </c>
      <c r="S38">
        <v>14</v>
      </c>
      <c r="T38">
        <v>18</v>
      </c>
      <c r="U38">
        <v>100</v>
      </c>
    </row>
    <row r="39" spans="1:21">
      <c r="A39">
        <v>38</v>
      </c>
      <c r="C39">
        <v>15.19</v>
      </c>
      <c r="D39">
        <v>14.58</v>
      </c>
      <c r="L39">
        <v>38</v>
      </c>
      <c r="M39">
        <v>26</v>
      </c>
      <c r="N39">
        <v>18</v>
      </c>
      <c r="O39">
        <f t="shared" si="0"/>
        <v>0.95079999999999976</v>
      </c>
      <c r="P39">
        <f t="shared" si="1"/>
        <v>0.96380000000000032</v>
      </c>
      <c r="S39">
        <v>14</v>
      </c>
      <c r="T39">
        <v>19</v>
      </c>
      <c r="U39">
        <v>105</v>
      </c>
    </row>
    <row r="40" spans="1:21">
      <c r="A40">
        <v>39</v>
      </c>
      <c r="C40">
        <v>15.21</v>
      </c>
      <c r="D40">
        <v>13.86</v>
      </c>
      <c r="L40">
        <v>39</v>
      </c>
      <c r="M40">
        <v>20</v>
      </c>
      <c r="N40">
        <v>25</v>
      </c>
      <c r="O40">
        <f t="shared" si="0"/>
        <v>0.95479999999999976</v>
      </c>
      <c r="P40">
        <f t="shared" si="1"/>
        <v>0.96880000000000033</v>
      </c>
      <c r="S40">
        <v>14</v>
      </c>
      <c r="T40">
        <v>20</v>
      </c>
      <c r="U40">
        <v>96</v>
      </c>
    </row>
    <row r="41" spans="1:21">
      <c r="A41">
        <v>40</v>
      </c>
      <c r="C41">
        <v>17.04</v>
      </c>
      <c r="D41">
        <v>12.54</v>
      </c>
      <c r="L41">
        <v>40</v>
      </c>
      <c r="M41">
        <v>19</v>
      </c>
      <c r="N41">
        <v>15</v>
      </c>
      <c r="O41">
        <f t="shared" si="0"/>
        <v>0.95859999999999979</v>
      </c>
      <c r="P41">
        <f t="shared" si="1"/>
        <v>0.97180000000000033</v>
      </c>
      <c r="S41">
        <v>14</v>
      </c>
      <c r="T41">
        <v>21</v>
      </c>
      <c r="U41">
        <v>91</v>
      </c>
    </row>
    <row r="42" spans="1:21">
      <c r="A42">
        <v>41</v>
      </c>
      <c r="C42">
        <v>17.940000000000001</v>
      </c>
      <c r="D42">
        <v>16.079999999999998</v>
      </c>
      <c r="L42">
        <v>41</v>
      </c>
      <c r="M42">
        <v>15</v>
      </c>
      <c r="N42">
        <v>19</v>
      </c>
      <c r="O42">
        <f t="shared" si="0"/>
        <v>0.96159999999999979</v>
      </c>
      <c r="P42">
        <f t="shared" si="1"/>
        <v>0.97560000000000036</v>
      </c>
      <c r="S42">
        <v>14</v>
      </c>
      <c r="T42">
        <v>22</v>
      </c>
      <c r="U42">
        <v>72</v>
      </c>
    </row>
    <row r="43" spans="1:21">
      <c r="A43">
        <v>42</v>
      </c>
      <c r="C43">
        <v>16.670000000000002</v>
      </c>
      <c r="D43">
        <v>15.82</v>
      </c>
      <c r="L43">
        <v>42</v>
      </c>
      <c r="M43">
        <v>12</v>
      </c>
      <c r="N43">
        <v>20</v>
      </c>
      <c r="O43">
        <f t="shared" si="0"/>
        <v>0.96399999999999975</v>
      </c>
      <c r="P43">
        <f t="shared" si="1"/>
        <v>0.97960000000000036</v>
      </c>
      <c r="S43">
        <v>14</v>
      </c>
      <c r="T43">
        <v>23</v>
      </c>
      <c r="U43">
        <v>72</v>
      </c>
    </row>
    <row r="44" spans="1:21">
      <c r="A44">
        <v>43</v>
      </c>
      <c r="C44">
        <v>16.63</v>
      </c>
      <c r="D44">
        <v>15.63</v>
      </c>
      <c r="L44">
        <v>43</v>
      </c>
      <c r="M44">
        <v>23</v>
      </c>
      <c r="N44">
        <v>16</v>
      </c>
      <c r="O44">
        <f t="shared" si="0"/>
        <v>0.96859999999999979</v>
      </c>
      <c r="P44">
        <f t="shared" si="1"/>
        <v>0.98280000000000034</v>
      </c>
      <c r="S44">
        <v>14</v>
      </c>
      <c r="T44">
        <v>24</v>
      </c>
      <c r="U44">
        <v>60</v>
      </c>
    </row>
    <row r="45" spans="1:21">
      <c r="A45">
        <v>44</v>
      </c>
      <c r="C45">
        <v>14.96</v>
      </c>
      <c r="D45">
        <v>12.2</v>
      </c>
      <c r="L45">
        <v>44</v>
      </c>
      <c r="M45">
        <v>22</v>
      </c>
      <c r="N45">
        <v>6</v>
      </c>
      <c r="O45">
        <f t="shared" si="0"/>
        <v>0.97299999999999975</v>
      </c>
      <c r="P45">
        <f t="shared" si="1"/>
        <v>0.98400000000000032</v>
      </c>
      <c r="S45">
        <v>14</v>
      </c>
      <c r="T45">
        <v>25</v>
      </c>
      <c r="U45">
        <v>66</v>
      </c>
    </row>
    <row r="46" spans="1:21">
      <c r="A46">
        <v>45</v>
      </c>
      <c r="C46">
        <v>16.39</v>
      </c>
      <c r="D46">
        <v>16.07</v>
      </c>
      <c r="L46">
        <v>45</v>
      </c>
      <c r="M46">
        <v>15</v>
      </c>
      <c r="N46">
        <v>10</v>
      </c>
      <c r="O46">
        <f t="shared" si="0"/>
        <v>0.97599999999999976</v>
      </c>
      <c r="P46">
        <f t="shared" si="1"/>
        <v>0.98600000000000032</v>
      </c>
      <c r="S46">
        <v>14</v>
      </c>
      <c r="T46">
        <v>26</v>
      </c>
      <c r="U46">
        <v>72</v>
      </c>
    </row>
    <row r="47" spans="1:21">
      <c r="A47">
        <v>46</v>
      </c>
      <c r="C47">
        <v>15</v>
      </c>
      <c r="D47">
        <v>14.35</v>
      </c>
      <c r="L47">
        <v>46</v>
      </c>
      <c r="M47">
        <v>18</v>
      </c>
      <c r="N47">
        <v>6</v>
      </c>
      <c r="O47">
        <f t="shared" si="0"/>
        <v>0.9795999999999998</v>
      </c>
      <c r="P47">
        <f t="shared" si="1"/>
        <v>0.9872000000000003</v>
      </c>
      <c r="S47">
        <v>14</v>
      </c>
      <c r="T47">
        <v>27</v>
      </c>
      <c r="U47">
        <v>78</v>
      </c>
    </row>
    <row r="48" spans="1:21">
      <c r="A48">
        <v>47</v>
      </c>
      <c r="C48">
        <v>16.93</v>
      </c>
      <c r="D48">
        <v>16.079999999999998</v>
      </c>
      <c r="L48">
        <v>47</v>
      </c>
      <c r="M48">
        <v>12</v>
      </c>
      <c r="N48">
        <v>8</v>
      </c>
      <c r="O48">
        <f t="shared" si="0"/>
        <v>0.98199999999999976</v>
      </c>
      <c r="P48">
        <f t="shared" si="1"/>
        <v>0.98880000000000035</v>
      </c>
      <c r="S48">
        <v>14</v>
      </c>
      <c r="T48">
        <v>28</v>
      </c>
      <c r="U48">
        <v>56</v>
      </c>
    </row>
    <row r="49" spans="1:21">
      <c r="A49">
        <v>48</v>
      </c>
      <c r="C49">
        <v>16.14</v>
      </c>
      <c r="D49">
        <v>13.89</v>
      </c>
      <c r="L49">
        <v>48</v>
      </c>
      <c r="M49">
        <v>8</v>
      </c>
      <c r="N49">
        <v>3</v>
      </c>
      <c r="O49">
        <f t="shared" si="0"/>
        <v>0.98359999999999981</v>
      </c>
      <c r="P49">
        <f t="shared" si="1"/>
        <v>0.98940000000000039</v>
      </c>
      <c r="S49">
        <v>14</v>
      </c>
      <c r="T49">
        <v>29</v>
      </c>
      <c r="U49">
        <v>45</v>
      </c>
    </row>
    <row r="50" spans="1:21">
      <c r="A50">
        <v>49</v>
      </c>
      <c r="C50">
        <v>17.48</v>
      </c>
      <c r="D50">
        <v>16.52</v>
      </c>
      <c r="L50">
        <v>49</v>
      </c>
      <c r="M50">
        <v>8</v>
      </c>
      <c r="N50">
        <v>4</v>
      </c>
      <c r="O50">
        <f t="shared" si="0"/>
        <v>0.98519999999999985</v>
      </c>
      <c r="P50">
        <f t="shared" si="1"/>
        <v>0.99020000000000041</v>
      </c>
      <c r="S50">
        <v>14</v>
      </c>
      <c r="T50">
        <v>30</v>
      </c>
      <c r="U50">
        <v>48</v>
      </c>
    </row>
    <row r="51" spans="1:21">
      <c r="A51">
        <v>50</v>
      </c>
      <c r="C51">
        <v>15.18</v>
      </c>
      <c r="D51">
        <v>13.78</v>
      </c>
      <c r="L51">
        <v>50</v>
      </c>
      <c r="M51">
        <v>5</v>
      </c>
      <c r="N51">
        <v>3</v>
      </c>
      <c r="O51">
        <f t="shared" si="0"/>
        <v>0.98619999999999985</v>
      </c>
      <c r="P51">
        <f t="shared" si="1"/>
        <v>0.99080000000000046</v>
      </c>
      <c r="S51">
        <v>14</v>
      </c>
      <c r="T51">
        <v>31</v>
      </c>
      <c r="U51">
        <v>51</v>
      </c>
    </row>
    <row r="52" spans="1:21">
      <c r="A52">
        <v>51</v>
      </c>
      <c r="C52">
        <v>15.89</v>
      </c>
      <c r="D52">
        <v>14.49</v>
      </c>
      <c r="L52">
        <v>51</v>
      </c>
      <c r="M52">
        <v>2</v>
      </c>
      <c r="N52">
        <v>3</v>
      </c>
      <c r="O52">
        <f t="shared" si="0"/>
        <v>0.98659999999999981</v>
      </c>
      <c r="P52">
        <f t="shared" si="1"/>
        <v>0.9914000000000005</v>
      </c>
      <c r="S52">
        <v>14</v>
      </c>
      <c r="T52">
        <v>32</v>
      </c>
      <c r="U52">
        <v>54</v>
      </c>
    </row>
    <row r="53" spans="1:21">
      <c r="A53">
        <v>52</v>
      </c>
      <c r="C53">
        <v>13.33</v>
      </c>
      <c r="D53">
        <v>12.76</v>
      </c>
      <c r="L53">
        <v>52</v>
      </c>
      <c r="M53">
        <v>7</v>
      </c>
      <c r="N53">
        <v>1</v>
      </c>
      <c r="O53">
        <f t="shared" si="0"/>
        <v>0.98799999999999977</v>
      </c>
      <c r="P53">
        <f t="shared" si="1"/>
        <v>0.99160000000000048</v>
      </c>
      <c r="S53">
        <v>14</v>
      </c>
      <c r="T53">
        <v>33</v>
      </c>
      <c r="U53">
        <v>57</v>
      </c>
    </row>
    <row r="54" spans="1:21">
      <c r="A54">
        <v>53</v>
      </c>
      <c r="C54">
        <v>13.74</v>
      </c>
      <c r="D54">
        <v>13.2</v>
      </c>
      <c r="L54">
        <v>53</v>
      </c>
      <c r="M54">
        <v>4</v>
      </c>
      <c r="N54">
        <v>3</v>
      </c>
      <c r="O54">
        <f t="shared" si="0"/>
        <v>0.98879999999999979</v>
      </c>
      <c r="P54">
        <f t="shared" si="1"/>
        <v>0.99220000000000053</v>
      </c>
      <c r="S54">
        <v>14</v>
      </c>
      <c r="T54">
        <v>34</v>
      </c>
      <c r="U54">
        <v>60</v>
      </c>
    </row>
    <row r="55" spans="1:21">
      <c r="A55">
        <v>54</v>
      </c>
      <c r="C55">
        <v>15.07</v>
      </c>
      <c r="D55">
        <v>14.3</v>
      </c>
      <c r="L55">
        <v>54</v>
      </c>
      <c r="M55">
        <v>3</v>
      </c>
      <c r="N55">
        <v>2</v>
      </c>
      <c r="O55">
        <f t="shared" si="0"/>
        <v>0.98939999999999984</v>
      </c>
      <c r="P55">
        <f t="shared" si="1"/>
        <v>0.99260000000000048</v>
      </c>
      <c r="S55">
        <v>14</v>
      </c>
      <c r="T55">
        <v>35</v>
      </c>
      <c r="U55">
        <v>63</v>
      </c>
    </row>
    <row r="56" spans="1:21">
      <c r="A56">
        <v>55</v>
      </c>
      <c r="C56">
        <v>13.97</v>
      </c>
      <c r="D56">
        <v>12.75</v>
      </c>
      <c r="L56">
        <v>55</v>
      </c>
      <c r="M56">
        <v>2</v>
      </c>
      <c r="N56">
        <v>4</v>
      </c>
      <c r="O56">
        <f t="shared" si="0"/>
        <v>0.98979999999999979</v>
      </c>
      <c r="P56">
        <f t="shared" si="1"/>
        <v>0.9934000000000005</v>
      </c>
      <c r="S56">
        <v>15</v>
      </c>
      <c r="T56">
        <v>18</v>
      </c>
      <c r="U56">
        <v>117</v>
      </c>
    </row>
    <row r="57" spans="1:21">
      <c r="A57">
        <v>56</v>
      </c>
      <c r="C57">
        <v>12.76</v>
      </c>
      <c r="D57">
        <v>11.58</v>
      </c>
      <c r="L57">
        <v>56</v>
      </c>
      <c r="M57">
        <v>2</v>
      </c>
      <c r="N57">
        <v>3</v>
      </c>
      <c r="O57">
        <f t="shared" si="0"/>
        <v>0.99019999999999975</v>
      </c>
      <c r="P57">
        <f t="shared" si="1"/>
        <v>0.99400000000000055</v>
      </c>
      <c r="S57">
        <v>15</v>
      </c>
      <c r="T57">
        <v>19</v>
      </c>
      <c r="U57">
        <v>112</v>
      </c>
    </row>
    <row r="58" spans="1:21">
      <c r="A58">
        <v>57</v>
      </c>
      <c r="C58">
        <v>14.14</v>
      </c>
      <c r="D58">
        <v>12.22</v>
      </c>
      <c r="L58">
        <v>57</v>
      </c>
      <c r="M58">
        <v>4</v>
      </c>
      <c r="N58">
        <v>3</v>
      </c>
      <c r="O58">
        <f t="shared" si="0"/>
        <v>0.99099999999999977</v>
      </c>
      <c r="P58">
        <f t="shared" si="1"/>
        <v>0.99460000000000059</v>
      </c>
      <c r="S58">
        <v>15</v>
      </c>
      <c r="T58">
        <v>20</v>
      </c>
      <c r="U58">
        <v>95</v>
      </c>
    </row>
    <row r="59" spans="1:21">
      <c r="A59">
        <v>58</v>
      </c>
      <c r="C59">
        <v>13.83</v>
      </c>
      <c r="D59">
        <v>12.88</v>
      </c>
      <c r="L59">
        <v>58</v>
      </c>
      <c r="M59">
        <v>1</v>
      </c>
      <c r="N59">
        <v>1</v>
      </c>
      <c r="O59">
        <f t="shared" si="0"/>
        <v>0.99119999999999975</v>
      </c>
      <c r="P59">
        <f t="shared" si="1"/>
        <v>0.99480000000000057</v>
      </c>
      <c r="S59">
        <v>15</v>
      </c>
      <c r="T59">
        <v>21</v>
      </c>
      <c r="U59">
        <v>96</v>
      </c>
    </row>
    <row r="60" spans="1:21">
      <c r="A60">
        <v>59</v>
      </c>
      <c r="C60">
        <v>16.239999999999998</v>
      </c>
      <c r="D60">
        <v>14.9</v>
      </c>
      <c r="L60">
        <v>59</v>
      </c>
      <c r="M60">
        <v>4</v>
      </c>
      <c r="N60">
        <v>2</v>
      </c>
      <c r="O60">
        <f t="shared" si="0"/>
        <v>0.99199999999999977</v>
      </c>
      <c r="P60">
        <f t="shared" si="1"/>
        <v>0.99520000000000053</v>
      </c>
      <c r="S60">
        <v>15</v>
      </c>
      <c r="T60">
        <v>22</v>
      </c>
      <c r="U60">
        <v>77</v>
      </c>
    </row>
    <row r="61" spans="1:21">
      <c r="A61">
        <v>60</v>
      </c>
      <c r="C61">
        <v>16.96</v>
      </c>
      <c r="D61">
        <v>13.65</v>
      </c>
      <c r="L61">
        <v>60</v>
      </c>
      <c r="M61">
        <v>4</v>
      </c>
      <c r="N61">
        <v>3</v>
      </c>
      <c r="O61">
        <f t="shared" si="0"/>
        <v>0.99279999999999979</v>
      </c>
      <c r="P61">
        <f t="shared" si="1"/>
        <v>0.99580000000000057</v>
      </c>
      <c r="S61">
        <v>15</v>
      </c>
      <c r="T61">
        <v>23</v>
      </c>
      <c r="U61">
        <v>80</v>
      </c>
    </row>
    <row r="62" spans="1:21">
      <c r="A62">
        <v>61</v>
      </c>
      <c r="C62">
        <v>18.84</v>
      </c>
      <c r="D62">
        <v>17.11</v>
      </c>
      <c r="L62">
        <v>61</v>
      </c>
      <c r="M62">
        <v>1</v>
      </c>
      <c r="N62">
        <v>5</v>
      </c>
      <c r="O62">
        <f t="shared" si="0"/>
        <v>0.99299999999999977</v>
      </c>
      <c r="P62">
        <f t="shared" si="1"/>
        <v>0.99680000000000057</v>
      </c>
      <c r="S62">
        <v>15</v>
      </c>
      <c r="T62">
        <v>24</v>
      </c>
      <c r="U62">
        <v>72</v>
      </c>
    </row>
    <row r="63" spans="1:21">
      <c r="A63">
        <v>62</v>
      </c>
      <c r="C63">
        <v>21.94</v>
      </c>
      <c r="D63">
        <v>18.420000000000002</v>
      </c>
      <c r="L63">
        <v>62</v>
      </c>
      <c r="M63">
        <v>0</v>
      </c>
      <c r="N63">
        <v>2</v>
      </c>
      <c r="O63">
        <f t="shared" si="0"/>
        <v>0.99299999999999977</v>
      </c>
      <c r="P63">
        <f t="shared" si="1"/>
        <v>0.99720000000000053</v>
      </c>
      <c r="S63">
        <v>15</v>
      </c>
      <c r="T63">
        <v>25</v>
      </c>
      <c r="U63">
        <v>80</v>
      </c>
    </row>
    <row r="64" spans="1:21">
      <c r="A64">
        <v>63</v>
      </c>
      <c r="C64">
        <v>28.3</v>
      </c>
      <c r="D64">
        <v>23.61</v>
      </c>
      <c r="L64">
        <v>63</v>
      </c>
      <c r="M64">
        <v>2</v>
      </c>
      <c r="N64">
        <v>3</v>
      </c>
      <c r="O64">
        <f t="shared" si="0"/>
        <v>0.99339999999999973</v>
      </c>
      <c r="P64">
        <f t="shared" si="1"/>
        <v>0.99780000000000058</v>
      </c>
      <c r="S64">
        <v>15</v>
      </c>
      <c r="T64">
        <v>26</v>
      </c>
      <c r="U64">
        <v>88</v>
      </c>
    </row>
    <row r="65" spans="1:21">
      <c r="A65">
        <v>64</v>
      </c>
      <c r="C65">
        <v>21.63</v>
      </c>
      <c r="D65">
        <v>18.13</v>
      </c>
      <c r="L65">
        <v>64</v>
      </c>
      <c r="M65">
        <v>1</v>
      </c>
      <c r="N65">
        <v>0</v>
      </c>
      <c r="O65">
        <f t="shared" si="0"/>
        <v>0.99359999999999971</v>
      </c>
      <c r="P65">
        <f t="shared" si="1"/>
        <v>0.99780000000000058</v>
      </c>
      <c r="S65">
        <v>15</v>
      </c>
      <c r="T65">
        <v>27</v>
      </c>
      <c r="U65">
        <v>96</v>
      </c>
    </row>
    <row r="66" spans="1:21">
      <c r="A66">
        <v>65</v>
      </c>
      <c r="C66">
        <v>18.34</v>
      </c>
      <c r="D66">
        <v>16.8</v>
      </c>
      <c r="L66">
        <v>65</v>
      </c>
      <c r="M66">
        <v>3</v>
      </c>
      <c r="N66">
        <v>1</v>
      </c>
      <c r="O66">
        <f t="shared" si="0"/>
        <v>0.99419999999999975</v>
      </c>
      <c r="P66">
        <f t="shared" si="1"/>
        <v>0.99800000000000055</v>
      </c>
      <c r="S66">
        <v>15</v>
      </c>
      <c r="T66">
        <v>28</v>
      </c>
      <c r="U66">
        <v>78</v>
      </c>
    </row>
    <row r="67" spans="1:21">
      <c r="A67">
        <v>66</v>
      </c>
      <c r="C67">
        <v>18.239999999999998</v>
      </c>
      <c r="D67">
        <v>16.88</v>
      </c>
      <c r="L67">
        <v>66</v>
      </c>
      <c r="M67">
        <v>4</v>
      </c>
      <c r="N67">
        <v>4</v>
      </c>
      <c r="O67">
        <f t="shared" si="0"/>
        <v>0.99499999999999977</v>
      </c>
      <c r="P67">
        <f t="shared" si="1"/>
        <v>0.99880000000000058</v>
      </c>
      <c r="S67">
        <v>15</v>
      </c>
      <c r="T67">
        <v>29</v>
      </c>
      <c r="U67">
        <v>70</v>
      </c>
    </row>
    <row r="68" spans="1:21">
      <c r="A68">
        <v>67</v>
      </c>
      <c r="C68">
        <v>17.579999999999998</v>
      </c>
      <c r="D68">
        <v>16.420000000000002</v>
      </c>
      <c r="L68">
        <v>67</v>
      </c>
      <c r="M68">
        <v>2</v>
      </c>
      <c r="N68">
        <v>1</v>
      </c>
      <c r="O68">
        <f t="shared" ref="O68:P81" si="2">M68/5000+O67</f>
        <v>0.99539999999999973</v>
      </c>
      <c r="P68">
        <f t="shared" si="2"/>
        <v>0.99900000000000055</v>
      </c>
      <c r="S68">
        <v>15</v>
      </c>
      <c r="T68">
        <v>30</v>
      </c>
      <c r="U68">
        <v>75</v>
      </c>
    </row>
    <row r="69" spans="1:21">
      <c r="A69">
        <v>68</v>
      </c>
      <c r="C69">
        <v>17.66</v>
      </c>
      <c r="D69">
        <v>16.43</v>
      </c>
      <c r="L69">
        <v>68</v>
      </c>
      <c r="M69">
        <v>2</v>
      </c>
      <c r="N69">
        <v>3</v>
      </c>
      <c r="O69">
        <f t="shared" si="2"/>
        <v>0.99579999999999969</v>
      </c>
      <c r="P69">
        <f t="shared" si="2"/>
        <v>0.9996000000000006</v>
      </c>
      <c r="S69">
        <v>15</v>
      </c>
      <c r="T69">
        <v>31</v>
      </c>
      <c r="U69">
        <v>80</v>
      </c>
    </row>
    <row r="70" spans="1:21">
      <c r="A70">
        <v>69</v>
      </c>
      <c r="C70">
        <v>17.45</v>
      </c>
      <c r="D70">
        <v>16.239999999999998</v>
      </c>
      <c r="L70">
        <v>69</v>
      </c>
      <c r="M70">
        <v>1</v>
      </c>
      <c r="N70">
        <v>0</v>
      </c>
      <c r="O70">
        <f t="shared" si="2"/>
        <v>0.99599999999999966</v>
      </c>
      <c r="P70">
        <f t="shared" si="2"/>
        <v>0.9996000000000006</v>
      </c>
      <c r="S70">
        <v>15</v>
      </c>
      <c r="T70">
        <v>32</v>
      </c>
      <c r="U70">
        <v>68</v>
      </c>
    </row>
    <row r="71" spans="1:21">
      <c r="A71">
        <v>70</v>
      </c>
      <c r="C71">
        <v>17.96</v>
      </c>
      <c r="D71">
        <v>14.72</v>
      </c>
      <c r="L71">
        <v>70</v>
      </c>
      <c r="M71">
        <v>4</v>
      </c>
      <c r="N71">
        <v>0</v>
      </c>
      <c r="O71">
        <f t="shared" si="2"/>
        <v>0.99679999999999969</v>
      </c>
      <c r="P71">
        <f t="shared" si="2"/>
        <v>0.9996000000000006</v>
      </c>
      <c r="S71">
        <v>15</v>
      </c>
      <c r="T71">
        <v>33</v>
      </c>
      <c r="U71">
        <v>72</v>
      </c>
    </row>
    <row r="72" spans="1:21">
      <c r="A72">
        <v>71</v>
      </c>
      <c r="C72">
        <v>17.260000000000002</v>
      </c>
      <c r="D72">
        <v>16.149999999999999</v>
      </c>
      <c r="L72">
        <v>71</v>
      </c>
      <c r="M72">
        <v>1</v>
      </c>
      <c r="N72">
        <v>0</v>
      </c>
      <c r="O72">
        <f t="shared" si="2"/>
        <v>0.99699999999999966</v>
      </c>
      <c r="P72">
        <f t="shared" si="2"/>
        <v>0.9996000000000006</v>
      </c>
      <c r="S72">
        <v>15</v>
      </c>
      <c r="T72">
        <v>34</v>
      </c>
      <c r="U72">
        <v>76</v>
      </c>
    </row>
    <row r="73" spans="1:21">
      <c r="A73">
        <v>72</v>
      </c>
      <c r="C73">
        <v>16.66</v>
      </c>
      <c r="D73">
        <v>15.5</v>
      </c>
      <c r="L73">
        <v>72</v>
      </c>
      <c r="M73">
        <v>3</v>
      </c>
      <c r="N73">
        <v>1</v>
      </c>
      <c r="O73">
        <f t="shared" si="2"/>
        <v>0.99759999999999971</v>
      </c>
      <c r="P73">
        <f t="shared" si="2"/>
        <v>0.99980000000000058</v>
      </c>
      <c r="S73">
        <v>15</v>
      </c>
      <c r="T73">
        <v>35</v>
      </c>
      <c r="U73">
        <v>80</v>
      </c>
    </row>
    <row r="74" spans="1:21">
      <c r="A74">
        <v>73</v>
      </c>
      <c r="C74">
        <v>17.88</v>
      </c>
      <c r="D74">
        <v>15.98</v>
      </c>
      <c r="L74">
        <v>73</v>
      </c>
      <c r="M74">
        <v>1</v>
      </c>
      <c r="N74">
        <v>1</v>
      </c>
      <c r="O74">
        <f t="shared" si="2"/>
        <v>0.99779999999999969</v>
      </c>
      <c r="P74">
        <f t="shared" si="2"/>
        <v>1.0000000000000007</v>
      </c>
      <c r="S74">
        <v>16</v>
      </c>
      <c r="T74">
        <v>18</v>
      </c>
      <c r="U74">
        <v>124</v>
      </c>
    </row>
    <row r="75" spans="1:21">
      <c r="A75">
        <v>74</v>
      </c>
      <c r="C75">
        <v>17.760000000000002</v>
      </c>
      <c r="D75">
        <v>16.670000000000002</v>
      </c>
      <c r="L75">
        <v>74</v>
      </c>
      <c r="M75">
        <v>1</v>
      </c>
      <c r="N75">
        <v>0</v>
      </c>
      <c r="O75">
        <f t="shared" si="2"/>
        <v>0.99799999999999967</v>
      </c>
      <c r="P75">
        <f t="shared" si="2"/>
        <v>1.0000000000000007</v>
      </c>
      <c r="S75">
        <v>16</v>
      </c>
      <c r="T75">
        <v>19</v>
      </c>
      <c r="U75">
        <v>123</v>
      </c>
    </row>
    <row r="76" spans="1:21">
      <c r="A76">
        <v>75</v>
      </c>
      <c r="C76">
        <v>18.14</v>
      </c>
      <c r="D76">
        <v>16.48</v>
      </c>
      <c r="L76">
        <v>75</v>
      </c>
      <c r="M76">
        <v>2</v>
      </c>
      <c r="N76">
        <v>0</v>
      </c>
      <c r="O76">
        <f t="shared" si="2"/>
        <v>0.99839999999999962</v>
      </c>
      <c r="P76">
        <f t="shared" si="2"/>
        <v>1.0000000000000007</v>
      </c>
      <c r="S76">
        <v>16</v>
      </c>
      <c r="T76">
        <v>20</v>
      </c>
      <c r="U76">
        <v>104</v>
      </c>
    </row>
    <row r="77" spans="1:21">
      <c r="A77">
        <v>76</v>
      </c>
      <c r="C77">
        <v>16.559999999999999</v>
      </c>
      <c r="D77">
        <v>14.87</v>
      </c>
      <c r="L77">
        <v>76</v>
      </c>
      <c r="M77">
        <v>0</v>
      </c>
      <c r="N77">
        <v>0</v>
      </c>
      <c r="O77">
        <f t="shared" si="2"/>
        <v>0.99839999999999962</v>
      </c>
      <c r="P77">
        <f t="shared" si="2"/>
        <v>1.0000000000000007</v>
      </c>
      <c r="S77">
        <v>16</v>
      </c>
      <c r="T77">
        <v>21</v>
      </c>
      <c r="U77">
        <v>105</v>
      </c>
    </row>
    <row r="78" spans="1:21">
      <c r="A78">
        <v>77</v>
      </c>
      <c r="C78">
        <v>15.4</v>
      </c>
      <c r="D78">
        <v>14.07</v>
      </c>
      <c r="L78">
        <v>77</v>
      </c>
      <c r="M78">
        <v>1</v>
      </c>
      <c r="N78">
        <v>0</v>
      </c>
      <c r="O78">
        <f t="shared" si="2"/>
        <v>0.9985999999999996</v>
      </c>
      <c r="P78">
        <f t="shared" si="2"/>
        <v>1.0000000000000007</v>
      </c>
      <c r="S78">
        <v>16</v>
      </c>
      <c r="T78">
        <v>22</v>
      </c>
      <c r="U78">
        <v>84</v>
      </c>
    </row>
    <row r="79" spans="1:21">
      <c r="A79">
        <v>78</v>
      </c>
      <c r="C79">
        <v>15.31</v>
      </c>
      <c r="D79">
        <v>14.07</v>
      </c>
      <c r="L79">
        <v>78</v>
      </c>
      <c r="M79">
        <v>0</v>
      </c>
      <c r="N79">
        <v>0</v>
      </c>
      <c r="O79">
        <f t="shared" si="2"/>
        <v>0.9985999999999996</v>
      </c>
      <c r="P79">
        <f t="shared" si="2"/>
        <v>1.0000000000000007</v>
      </c>
      <c r="S79">
        <v>16</v>
      </c>
      <c r="T79">
        <v>23</v>
      </c>
      <c r="U79">
        <v>91</v>
      </c>
    </row>
    <row r="80" spans="1:21">
      <c r="A80">
        <v>79</v>
      </c>
      <c r="C80">
        <v>14.8</v>
      </c>
      <c r="D80">
        <v>13.78</v>
      </c>
      <c r="L80">
        <v>79</v>
      </c>
      <c r="M80">
        <v>1</v>
      </c>
      <c r="N80">
        <v>0</v>
      </c>
      <c r="O80">
        <f t="shared" si="2"/>
        <v>0.99879999999999958</v>
      </c>
      <c r="P80">
        <f t="shared" si="2"/>
        <v>1.0000000000000007</v>
      </c>
      <c r="S80">
        <v>16</v>
      </c>
      <c r="T80">
        <v>24</v>
      </c>
      <c r="U80">
        <v>88</v>
      </c>
    </row>
    <row r="81" spans="1:21">
      <c r="A81">
        <v>80</v>
      </c>
      <c r="C81">
        <v>14.88</v>
      </c>
      <c r="D81">
        <v>13.21</v>
      </c>
      <c r="L81">
        <v>80</v>
      </c>
      <c r="M81">
        <v>6</v>
      </c>
      <c r="N81">
        <v>0</v>
      </c>
      <c r="O81">
        <f t="shared" si="2"/>
        <v>0.99999999999999956</v>
      </c>
      <c r="S81">
        <v>16</v>
      </c>
      <c r="T81">
        <v>25</v>
      </c>
      <c r="U81">
        <v>90</v>
      </c>
    </row>
    <row r="82" spans="1:21">
      <c r="A82">
        <v>81</v>
      </c>
      <c r="C82">
        <v>14.34</v>
      </c>
      <c r="D82">
        <v>13.05</v>
      </c>
      <c r="S82">
        <v>16</v>
      </c>
      <c r="T82">
        <v>26</v>
      </c>
      <c r="U82">
        <v>100</v>
      </c>
    </row>
    <row r="83" spans="1:21">
      <c r="A83">
        <v>82</v>
      </c>
      <c r="C83">
        <v>14.78</v>
      </c>
      <c r="D83">
        <v>13.99</v>
      </c>
      <c r="S83">
        <v>16</v>
      </c>
      <c r="T83">
        <v>27</v>
      </c>
      <c r="U83">
        <v>110</v>
      </c>
    </row>
    <row r="84" spans="1:21">
      <c r="A84">
        <v>83</v>
      </c>
      <c r="C84">
        <v>14.45</v>
      </c>
      <c r="D84">
        <v>13.03</v>
      </c>
      <c r="S84">
        <v>16</v>
      </c>
      <c r="T84">
        <v>28</v>
      </c>
      <c r="U84">
        <v>96</v>
      </c>
    </row>
    <row r="85" spans="1:21">
      <c r="A85">
        <v>84</v>
      </c>
      <c r="C85">
        <v>14.8</v>
      </c>
      <c r="D85">
        <v>13.71</v>
      </c>
      <c r="S85">
        <v>16</v>
      </c>
      <c r="T85">
        <v>29</v>
      </c>
      <c r="U85">
        <v>91</v>
      </c>
    </row>
    <row r="86" spans="1:21">
      <c r="A86">
        <v>85</v>
      </c>
      <c r="C86">
        <v>15.34</v>
      </c>
      <c r="D86">
        <v>13.62</v>
      </c>
      <c r="S86">
        <v>16</v>
      </c>
      <c r="T86">
        <v>30</v>
      </c>
      <c r="U86">
        <v>98</v>
      </c>
    </row>
    <row r="87" spans="1:21">
      <c r="A87">
        <v>86</v>
      </c>
      <c r="C87">
        <v>15.54</v>
      </c>
      <c r="D87">
        <v>14.79</v>
      </c>
      <c r="S87">
        <v>16</v>
      </c>
      <c r="T87">
        <v>31</v>
      </c>
      <c r="U87">
        <v>105</v>
      </c>
    </row>
    <row r="88" spans="1:21">
      <c r="A88">
        <v>87</v>
      </c>
      <c r="C88">
        <v>16.649999999999999</v>
      </c>
      <c r="D88">
        <v>15.86</v>
      </c>
      <c r="S88">
        <v>16</v>
      </c>
      <c r="T88">
        <v>32</v>
      </c>
      <c r="U88">
        <v>96</v>
      </c>
    </row>
    <row r="89" spans="1:21">
      <c r="A89">
        <v>88</v>
      </c>
      <c r="C89">
        <v>16.07</v>
      </c>
      <c r="D89">
        <v>15.1</v>
      </c>
      <c r="S89">
        <v>16</v>
      </c>
      <c r="T89">
        <v>33</v>
      </c>
      <c r="U89">
        <v>102</v>
      </c>
    </row>
    <row r="90" spans="1:21">
      <c r="A90">
        <v>89</v>
      </c>
      <c r="C90">
        <v>16.28</v>
      </c>
      <c r="D90">
        <v>14.75</v>
      </c>
      <c r="S90">
        <v>16</v>
      </c>
      <c r="T90">
        <v>34</v>
      </c>
      <c r="U90">
        <v>108</v>
      </c>
    </row>
    <row r="91" spans="1:21">
      <c r="A91">
        <v>90</v>
      </c>
      <c r="C91">
        <v>16.16</v>
      </c>
      <c r="D91">
        <v>14.76</v>
      </c>
      <c r="S91">
        <v>16</v>
      </c>
      <c r="T91">
        <v>35</v>
      </c>
      <c r="U91">
        <v>114</v>
      </c>
    </row>
    <row r="92" spans="1:21">
      <c r="A92">
        <v>91</v>
      </c>
      <c r="C92">
        <v>16.11</v>
      </c>
      <c r="D92">
        <v>14.48</v>
      </c>
      <c r="S92">
        <v>17</v>
      </c>
      <c r="T92">
        <v>18</v>
      </c>
      <c r="U92">
        <v>107</v>
      </c>
    </row>
    <row r="93" spans="1:21">
      <c r="A93">
        <v>92</v>
      </c>
      <c r="C93">
        <v>15</v>
      </c>
      <c r="D93">
        <v>14.15</v>
      </c>
      <c r="S93">
        <v>17</v>
      </c>
      <c r="T93">
        <v>19</v>
      </c>
      <c r="U93">
        <v>118</v>
      </c>
    </row>
    <row r="94" spans="1:21">
      <c r="A94">
        <v>93</v>
      </c>
      <c r="C94">
        <v>15.22</v>
      </c>
      <c r="D94">
        <v>14.08</v>
      </c>
      <c r="S94">
        <v>17</v>
      </c>
      <c r="T94">
        <v>20</v>
      </c>
      <c r="U94">
        <v>117</v>
      </c>
    </row>
    <row r="95" spans="1:21">
      <c r="A95">
        <v>94</v>
      </c>
      <c r="C95">
        <v>13.82</v>
      </c>
      <c r="D95">
        <v>12.53</v>
      </c>
      <c r="S95">
        <v>17</v>
      </c>
      <c r="T95">
        <v>21</v>
      </c>
      <c r="U95">
        <v>124</v>
      </c>
    </row>
    <row r="96" spans="1:21">
      <c r="A96">
        <v>95</v>
      </c>
      <c r="C96">
        <v>12.46</v>
      </c>
      <c r="D96">
        <v>11.44</v>
      </c>
      <c r="S96">
        <v>17</v>
      </c>
      <c r="T96">
        <v>22</v>
      </c>
      <c r="U96">
        <v>105</v>
      </c>
    </row>
    <row r="97" spans="1:21">
      <c r="A97">
        <v>96</v>
      </c>
      <c r="C97">
        <v>13.03</v>
      </c>
      <c r="D97">
        <v>11.8</v>
      </c>
      <c r="S97">
        <v>17</v>
      </c>
      <c r="T97">
        <v>23</v>
      </c>
      <c r="U97">
        <v>108</v>
      </c>
    </row>
    <row r="98" spans="1:21">
      <c r="A98">
        <v>97</v>
      </c>
      <c r="C98">
        <v>13.94</v>
      </c>
      <c r="D98">
        <v>13.24</v>
      </c>
      <c r="S98">
        <v>17</v>
      </c>
      <c r="T98">
        <v>24</v>
      </c>
      <c r="U98">
        <v>112</v>
      </c>
    </row>
    <row r="99" spans="1:21">
      <c r="A99">
        <v>98</v>
      </c>
      <c r="C99">
        <v>13.17</v>
      </c>
      <c r="D99">
        <v>12.42</v>
      </c>
      <c r="S99">
        <v>17</v>
      </c>
      <c r="T99">
        <v>25</v>
      </c>
      <c r="U99">
        <v>112</v>
      </c>
    </row>
    <row r="100" spans="1:21">
      <c r="A100">
        <v>99</v>
      </c>
      <c r="C100">
        <v>13.47</v>
      </c>
      <c r="D100">
        <v>12.39</v>
      </c>
      <c r="S100">
        <v>17</v>
      </c>
      <c r="T100">
        <v>26</v>
      </c>
      <c r="U100">
        <v>126</v>
      </c>
    </row>
    <row r="101" spans="1:21">
      <c r="A101">
        <v>100</v>
      </c>
      <c r="C101">
        <v>12.66</v>
      </c>
      <c r="D101">
        <v>12.26</v>
      </c>
      <c r="S101">
        <v>17</v>
      </c>
      <c r="T101">
        <v>27</v>
      </c>
      <c r="U101">
        <v>140</v>
      </c>
    </row>
    <row r="102" spans="1:21">
      <c r="A102">
        <v>101</v>
      </c>
      <c r="C102">
        <v>13.01</v>
      </c>
      <c r="D102">
        <v>12.42</v>
      </c>
      <c r="S102">
        <v>17</v>
      </c>
      <c r="T102">
        <v>28</v>
      </c>
      <c r="U102">
        <v>132</v>
      </c>
    </row>
    <row r="103" spans="1:21">
      <c r="A103">
        <v>102</v>
      </c>
      <c r="C103">
        <v>13.46</v>
      </c>
      <c r="D103">
        <v>12.77</v>
      </c>
      <c r="S103">
        <v>17</v>
      </c>
      <c r="T103">
        <v>29</v>
      </c>
      <c r="U103">
        <v>132</v>
      </c>
    </row>
    <row r="104" spans="1:21">
      <c r="A104">
        <v>103</v>
      </c>
      <c r="C104">
        <v>13.47</v>
      </c>
      <c r="D104">
        <v>12.54</v>
      </c>
      <c r="S104">
        <v>17</v>
      </c>
      <c r="T104">
        <v>30</v>
      </c>
      <c r="U104">
        <v>130</v>
      </c>
    </row>
    <row r="105" spans="1:21">
      <c r="A105">
        <v>104</v>
      </c>
      <c r="C105">
        <v>13.06</v>
      </c>
      <c r="D105">
        <v>12.45</v>
      </c>
      <c r="S105">
        <v>17</v>
      </c>
      <c r="T105">
        <v>31</v>
      </c>
      <c r="U105">
        <v>140</v>
      </c>
    </row>
    <row r="106" spans="1:21">
      <c r="A106">
        <v>105</v>
      </c>
      <c r="C106">
        <v>13.36</v>
      </c>
      <c r="D106">
        <v>12.1</v>
      </c>
      <c r="S106">
        <v>17</v>
      </c>
      <c r="T106">
        <v>32</v>
      </c>
      <c r="U106">
        <v>135</v>
      </c>
    </row>
    <row r="107" spans="1:21">
      <c r="A107">
        <v>106</v>
      </c>
      <c r="C107">
        <v>13.03</v>
      </c>
      <c r="D107">
        <v>11.76</v>
      </c>
      <c r="S107">
        <v>17</v>
      </c>
      <c r="T107">
        <v>33</v>
      </c>
      <c r="U107">
        <v>144</v>
      </c>
    </row>
    <row r="108" spans="1:21">
      <c r="A108">
        <v>107</v>
      </c>
      <c r="C108">
        <v>14.12</v>
      </c>
      <c r="D108">
        <v>13.04</v>
      </c>
      <c r="S108">
        <v>17</v>
      </c>
      <c r="T108">
        <v>34</v>
      </c>
      <c r="U108">
        <v>153</v>
      </c>
    </row>
    <row r="109" spans="1:21">
      <c r="A109">
        <v>108</v>
      </c>
      <c r="C109">
        <v>13.72</v>
      </c>
      <c r="D109">
        <v>12.69</v>
      </c>
      <c r="S109">
        <v>17</v>
      </c>
      <c r="T109">
        <v>35</v>
      </c>
      <c r="U109">
        <v>162</v>
      </c>
    </row>
    <row r="110" spans="1:21">
      <c r="A110">
        <v>109</v>
      </c>
      <c r="C110">
        <v>13.28</v>
      </c>
      <c r="D110">
        <v>13.1</v>
      </c>
      <c r="S110">
        <v>18</v>
      </c>
      <c r="T110">
        <v>19</v>
      </c>
      <c r="U110">
        <v>115</v>
      </c>
    </row>
    <row r="111" spans="1:21">
      <c r="A111">
        <v>110</v>
      </c>
      <c r="C111">
        <v>13.04</v>
      </c>
      <c r="D111">
        <v>12.45</v>
      </c>
      <c r="S111">
        <v>18</v>
      </c>
      <c r="T111">
        <v>20</v>
      </c>
      <c r="U111">
        <v>148</v>
      </c>
    </row>
    <row r="112" spans="1:21">
      <c r="A112">
        <v>111</v>
      </c>
      <c r="C112">
        <v>12.61</v>
      </c>
      <c r="D112">
        <v>11.66</v>
      </c>
      <c r="S112">
        <v>18</v>
      </c>
      <c r="T112">
        <v>21</v>
      </c>
      <c r="U112">
        <v>156</v>
      </c>
    </row>
    <row r="113" spans="1:21">
      <c r="A113">
        <v>112</v>
      </c>
      <c r="C113">
        <v>11.93</v>
      </c>
      <c r="D113">
        <v>11.38</v>
      </c>
      <c r="S113">
        <v>18</v>
      </c>
      <c r="T113">
        <v>22</v>
      </c>
      <c r="U113">
        <v>140</v>
      </c>
    </row>
    <row r="114" spans="1:21">
      <c r="A114">
        <v>113</v>
      </c>
      <c r="C114">
        <v>12.39</v>
      </c>
      <c r="D114">
        <v>11.21</v>
      </c>
      <c r="S114">
        <v>18</v>
      </c>
      <c r="T114">
        <v>23</v>
      </c>
      <c r="U114">
        <v>145</v>
      </c>
    </row>
    <row r="115" spans="1:21">
      <c r="A115">
        <v>114</v>
      </c>
      <c r="C115">
        <v>11.89</v>
      </c>
      <c r="D115">
        <v>11.2</v>
      </c>
      <c r="S115">
        <v>18</v>
      </c>
      <c r="T115">
        <v>24</v>
      </c>
      <c r="U115">
        <v>126</v>
      </c>
    </row>
    <row r="116" spans="1:21">
      <c r="A116">
        <v>115</v>
      </c>
      <c r="C116">
        <v>12.33</v>
      </c>
      <c r="D116">
        <v>10.48</v>
      </c>
      <c r="S116">
        <v>18</v>
      </c>
      <c r="T116">
        <v>25</v>
      </c>
      <c r="U116">
        <v>119</v>
      </c>
    </row>
    <row r="117" spans="1:21">
      <c r="A117">
        <v>116</v>
      </c>
      <c r="C117">
        <v>14.21</v>
      </c>
      <c r="D117">
        <v>13.38</v>
      </c>
      <c r="S117">
        <v>18</v>
      </c>
      <c r="T117">
        <v>26</v>
      </c>
      <c r="U117">
        <v>136</v>
      </c>
    </row>
    <row r="118" spans="1:21">
      <c r="A118">
        <v>117</v>
      </c>
      <c r="C118">
        <v>14.99</v>
      </c>
      <c r="D118">
        <v>13.6</v>
      </c>
      <c r="S118">
        <v>18</v>
      </c>
      <c r="T118">
        <v>27</v>
      </c>
      <c r="U118">
        <v>153</v>
      </c>
    </row>
    <row r="119" spans="1:21">
      <c r="A119">
        <v>118</v>
      </c>
      <c r="C119">
        <v>14.76</v>
      </c>
      <c r="D119">
        <v>14.02</v>
      </c>
      <c r="S119">
        <v>18</v>
      </c>
      <c r="T119">
        <v>28</v>
      </c>
      <c r="U119">
        <v>140</v>
      </c>
    </row>
    <row r="120" spans="1:21">
      <c r="A120">
        <v>119</v>
      </c>
      <c r="C120">
        <v>14.28</v>
      </c>
      <c r="D120">
        <v>13.29</v>
      </c>
      <c r="S120">
        <v>18</v>
      </c>
      <c r="T120">
        <v>29</v>
      </c>
      <c r="U120">
        <v>143</v>
      </c>
    </row>
    <row r="121" spans="1:21">
      <c r="A121">
        <v>120</v>
      </c>
      <c r="C121">
        <v>17.27</v>
      </c>
      <c r="D121">
        <v>15.31</v>
      </c>
      <c r="S121">
        <v>18</v>
      </c>
      <c r="T121">
        <v>30</v>
      </c>
      <c r="U121">
        <v>144</v>
      </c>
    </row>
    <row r="122" spans="1:21">
      <c r="A122">
        <v>121</v>
      </c>
      <c r="C122">
        <v>17.71</v>
      </c>
      <c r="D122">
        <v>15.51</v>
      </c>
      <c r="S122">
        <v>18</v>
      </c>
      <c r="T122">
        <v>31</v>
      </c>
      <c r="U122">
        <v>156</v>
      </c>
    </row>
    <row r="123" spans="1:21">
      <c r="A123">
        <v>122</v>
      </c>
      <c r="C123">
        <v>15.75</v>
      </c>
      <c r="D123">
        <v>13.39</v>
      </c>
      <c r="S123">
        <v>18</v>
      </c>
      <c r="T123">
        <v>32</v>
      </c>
      <c r="U123">
        <v>154</v>
      </c>
    </row>
    <row r="124" spans="1:21">
      <c r="A124">
        <v>123</v>
      </c>
      <c r="C124">
        <v>14.75</v>
      </c>
      <c r="D124">
        <v>14.26</v>
      </c>
      <c r="S124">
        <v>18</v>
      </c>
      <c r="T124">
        <v>33</v>
      </c>
      <c r="U124">
        <v>165</v>
      </c>
    </row>
    <row r="125" spans="1:21">
      <c r="A125">
        <v>124</v>
      </c>
      <c r="C125">
        <v>15.43</v>
      </c>
      <c r="D125">
        <v>13.86</v>
      </c>
      <c r="S125">
        <v>18</v>
      </c>
      <c r="T125">
        <v>34</v>
      </c>
      <c r="U125">
        <v>176</v>
      </c>
    </row>
    <row r="126" spans="1:21">
      <c r="A126">
        <v>125</v>
      </c>
      <c r="C126">
        <v>15.26</v>
      </c>
      <c r="D126">
        <v>14.36</v>
      </c>
      <c r="S126">
        <v>18</v>
      </c>
      <c r="T126">
        <v>35</v>
      </c>
      <c r="U126">
        <v>170</v>
      </c>
    </row>
    <row r="127" spans="1:21">
      <c r="A127">
        <v>126</v>
      </c>
      <c r="C127">
        <v>15.48</v>
      </c>
      <c r="D127">
        <v>14.6</v>
      </c>
      <c r="S127">
        <v>19</v>
      </c>
      <c r="T127">
        <v>20</v>
      </c>
      <c r="U127">
        <v>121</v>
      </c>
    </row>
    <row r="128" spans="1:21">
      <c r="A128">
        <v>127</v>
      </c>
      <c r="C128">
        <v>15.63</v>
      </c>
      <c r="D128">
        <v>14.44</v>
      </c>
      <c r="S128">
        <v>19</v>
      </c>
      <c r="T128">
        <v>21</v>
      </c>
      <c r="U128">
        <v>158</v>
      </c>
    </row>
    <row r="129" spans="1:21">
      <c r="A129">
        <v>128</v>
      </c>
      <c r="C129">
        <v>14.64</v>
      </c>
      <c r="D129">
        <v>13.24</v>
      </c>
      <c r="S129">
        <v>19</v>
      </c>
      <c r="T129">
        <v>22</v>
      </c>
      <c r="U129">
        <v>135</v>
      </c>
    </row>
    <row r="130" spans="1:21">
      <c r="A130">
        <v>129</v>
      </c>
      <c r="C130">
        <v>14.88</v>
      </c>
      <c r="D130">
        <v>12.85</v>
      </c>
      <c r="S130">
        <v>19</v>
      </c>
      <c r="T130">
        <v>23</v>
      </c>
      <c r="U130">
        <v>148</v>
      </c>
    </row>
    <row r="131" spans="1:21">
      <c r="A131">
        <v>130</v>
      </c>
      <c r="C131">
        <v>14.61</v>
      </c>
      <c r="D131">
        <v>13.03</v>
      </c>
      <c r="S131">
        <v>19</v>
      </c>
      <c r="T131">
        <v>24</v>
      </c>
      <c r="U131">
        <v>140</v>
      </c>
    </row>
    <row r="132" spans="1:21">
      <c r="A132">
        <v>131</v>
      </c>
      <c r="C132">
        <v>14.16</v>
      </c>
      <c r="D132">
        <v>13.04</v>
      </c>
      <c r="S132">
        <v>19</v>
      </c>
      <c r="T132">
        <v>25</v>
      </c>
      <c r="U132">
        <v>138</v>
      </c>
    </row>
    <row r="133" spans="1:21">
      <c r="A133">
        <v>132</v>
      </c>
      <c r="C133">
        <v>12.98</v>
      </c>
      <c r="D133">
        <v>12.17</v>
      </c>
      <c r="S133">
        <v>19</v>
      </c>
      <c r="T133">
        <v>26</v>
      </c>
      <c r="U133">
        <v>154</v>
      </c>
    </row>
    <row r="134" spans="1:21">
      <c r="A134">
        <v>133</v>
      </c>
      <c r="C134">
        <v>12.88</v>
      </c>
      <c r="D134">
        <v>11.39</v>
      </c>
      <c r="S134">
        <v>19</v>
      </c>
      <c r="T134">
        <v>27</v>
      </c>
      <c r="U134">
        <v>168</v>
      </c>
    </row>
    <row r="135" spans="1:21">
      <c r="A135">
        <v>134</v>
      </c>
      <c r="C135">
        <v>11.54</v>
      </c>
      <c r="D135">
        <v>11</v>
      </c>
      <c r="S135">
        <v>19</v>
      </c>
      <c r="T135">
        <v>28</v>
      </c>
      <c r="U135">
        <v>162</v>
      </c>
    </row>
    <row r="136" spans="1:21">
      <c r="A136">
        <v>135</v>
      </c>
      <c r="C136">
        <v>11.68</v>
      </c>
      <c r="D136">
        <v>11.16</v>
      </c>
      <c r="S136">
        <v>19</v>
      </c>
      <c r="T136">
        <v>29</v>
      </c>
      <c r="U136">
        <v>170</v>
      </c>
    </row>
    <row r="137" spans="1:21">
      <c r="A137">
        <v>136</v>
      </c>
      <c r="C137">
        <v>11.91</v>
      </c>
      <c r="D137">
        <v>11</v>
      </c>
      <c r="S137">
        <v>19</v>
      </c>
      <c r="T137">
        <v>30</v>
      </c>
      <c r="U137">
        <v>176</v>
      </c>
    </row>
    <row r="138" spans="1:21">
      <c r="A138">
        <v>137</v>
      </c>
      <c r="C138">
        <v>12.13</v>
      </c>
      <c r="D138">
        <v>11.5</v>
      </c>
      <c r="S138">
        <v>19</v>
      </c>
      <c r="T138">
        <v>31</v>
      </c>
      <c r="U138">
        <v>168</v>
      </c>
    </row>
    <row r="139" spans="1:21">
      <c r="A139">
        <v>138</v>
      </c>
      <c r="C139">
        <v>12.56</v>
      </c>
      <c r="D139">
        <v>11.62</v>
      </c>
      <c r="S139">
        <v>19</v>
      </c>
      <c r="T139">
        <v>32</v>
      </c>
      <c r="U139">
        <v>156</v>
      </c>
    </row>
    <row r="140" spans="1:21">
      <c r="A140">
        <v>139</v>
      </c>
      <c r="C140">
        <v>11.89</v>
      </c>
      <c r="D140">
        <v>10.96</v>
      </c>
      <c r="S140">
        <v>19</v>
      </c>
      <c r="T140">
        <v>33</v>
      </c>
      <c r="U140">
        <v>168</v>
      </c>
    </row>
    <row r="141" spans="1:21">
      <c r="A141">
        <v>140</v>
      </c>
      <c r="C141">
        <v>12.38</v>
      </c>
      <c r="D141">
        <v>11.44</v>
      </c>
      <c r="S141">
        <v>19</v>
      </c>
      <c r="T141">
        <v>34</v>
      </c>
      <c r="U141">
        <v>180</v>
      </c>
    </row>
    <row r="142" spans="1:21">
      <c r="A142">
        <v>141</v>
      </c>
      <c r="C142">
        <v>12.02</v>
      </c>
      <c r="D142">
        <v>11.65</v>
      </c>
      <c r="S142">
        <v>19</v>
      </c>
      <c r="T142">
        <v>35</v>
      </c>
      <c r="U142">
        <v>176</v>
      </c>
    </row>
    <row r="143" spans="1:21">
      <c r="A143">
        <v>142</v>
      </c>
      <c r="C143">
        <v>12.26</v>
      </c>
      <c r="D143">
        <v>11.86</v>
      </c>
      <c r="S143">
        <v>20</v>
      </c>
      <c r="T143">
        <v>21</v>
      </c>
      <c r="U143">
        <v>130</v>
      </c>
    </row>
    <row r="144" spans="1:21">
      <c r="A144">
        <v>143</v>
      </c>
      <c r="C144">
        <v>12.15</v>
      </c>
      <c r="D144">
        <v>11.69</v>
      </c>
      <c r="S144">
        <v>20</v>
      </c>
      <c r="T144">
        <v>22</v>
      </c>
      <c r="U144">
        <v>144</v>
      </c>
    </row>
    <row r="145" spans="1:21">
      <c r="A145">
        <v>144</v>
      </c>
      <c r="C145">
        <v>11.74</v>
      </c>
      <c r="D145">
        <v>11.05</v>
      </c>
      <c r="S145">
        <v>20</v>
      </c>
      <c r="T145">
        <v>23</v>
      </c>
      <c r="U145">
        <v>159</v>
      </c>
    </row>
    <row r="146" spans="1:21">
      <c r="A146">
        <v>145</v>
      </c>
      <c r="C146">
        <v>11.76</v>
      </c>
      <c r="D146">
        <v>11.13</v>
      </c>
      <c r="S146">
        <v>20</v>
      </c>
      <c r="T146">
        <v>24</v>
      </c>
      <c r="U146">
        <v>160</v>
      </c>
    </row>
    <row r="147" spans="1:21">
      <c r="A147">
        <v>146</v>
      </c>
      <c r="C147">
        <v>11.43</v>
      </c>
      <c r="D147">
        <v>10.75</v>
      </c>
      <c r="S147">
        <v>20</v>
      </c>
      <c r="T147">
        <v>25</v>
      </c>
      <c r="U147">
        <v>145</v>
      </c>
    </row>
    <row r="148" spans="1:21">
      <c r="A148">
        <v>147</v>
      </c>
      <c r="C148">
        <v>11.61</v>
      </c>
      <c r="D148">
        <v>11.15</v>
      </c>
      <c r="S148">
        <v>20</v>
      </c>
      <c r="T148">
        <v>26</v>
      </c>
      <c r="U148">
        <v>156</v>
      </c>
    </row>
    <row r="149" spans="1:21">
      <c r="A149">
        <v>148</v>
      </c>
      <c r="C149">
        <v>12.3</v>
      </c>
      <c r="D149">
        <v>11.46</v>
      </c>
      <c r="S149">
        <v>20</v>
      </c>
      <c r="T149">
        <v>27</v>
      </c>
      <c r="U149">
        <v>168</v>
      </c>
    </row>
    <row r="150" spans="1:21">
      <c r="A150">
        <v>149</v>
      </c>
      <c r="C150">
        <v>12.98</v>
      </c>
      <c r="D150">
        <v>12.33</v>
      </c>
      <c r="S150">
        <v>20</v>
      </c>
      <c r="T150">
        <v>28</v>
      </c>
      <c r="U150">
        <v>160</v>
      </c>
    </row>
    <row r="151" spans="1:21">
      <c r="A151">
        <v>150</v>
      </c>
      <c r="C151">
        <v>12.7</v>
      </c>
      <c r="D151">
        <v>11.69</v>
      </c>
      <c r="S151">
        <v>20</v>
      </c>
      <c r="T151">
        <v>29</v>
      </c>
      <c r="U151">
        <v>162</v>
      </c>
    </row>
    <row r="152" spans="1:21">
      <c r="A152">
        <v>151</v>
      </c>
      <c r="C152">
        <v>13.32</v>
      </c>
      <c r="D152">
        <v>11.12</v>
      </c>
      <c r="S152">
        <v>20</v>
      </c>
      <c r="T152">
        <v>30</v>
      </c>
      <c r="U152">
        <v>160</v>
      </c>
    </row>
    <row r="153" spans="1:21">
      <c r="A153">
        <v>152</v>
      </c>
      <c r="C153">
        <v>12.63</v>
      </c>
      <c r="D153">
        <v>11.66</v>
      </c>
      <c r="S153">
        <v>20</v>
      </c>
      <c r="T153">
        <v>31</v>
      </c>
      <c r="U153">
        <v>154</v>
      </c>
    </row>
    <row r="154" spans="1:21">
      <c r="A154">
        <v>153</v>
      </c>
      <c r="C154">
        <v>12.89</v>
      </c>
      <c r="D154">
        <v>11.27</v>
      </c>
      <c r="S154">
        <v>20</v>
      </c>
      <c r="T154">
        <v>32</v>
      </c>
      <c r="U154">
        <v>144</v>
      </c>
    </row>
    <row r="155" spans="1:21">
      <c r="A155">
        <v>154</v>
      </c>
      <c r="C155">
        <v>12.13</v>
      </c>
      <c r="D155">
        <v>11.03</v>
      </c>
      <c r="S155">
        <v>20</v>
      </c>
      <c r="T155">
        <v>33</v>
      </c>
      <c r="U155">
        <v>156</v>
      </c>
    </row>
    <row r="156" spans="1:21">
      <c r="A156">
        <v>155</v>
      </c>
      <c r="C156">
        <v>12.73</v>
      </c>
      <c r="D156">
        <v>11.65</v>
      </c>
      <c r="S156">
        <v>20</v>
      </c>
      <c r="T156">
        <v>34</v>
      </c>
      <c r="U156">
        <v>168</v>
      </c>
    </row>
    <row r="157" spans="1:21">
      <c r="A157">
        <v>156</v>
      </c>
      <c r="C157">
        <v>12.79</v>
      </c>
      <c r="D157">
        <v>11.17</v>
      </c>
      <c r="S157">
        <v>20</v>
      </c>
      <c r="T157">
        <v>35</v>
      </c>
      <c r="U157">
        <v>165</v>
      </c>
    </row>
    <row r="158" spans="1:21">
      <c r="A158">
        <v>157</v>
      </c>
      <c r="C158">
        <v>11.62</v>
      </c>
      <c r="D158">
        <v>11.16</v>
      </c>
      <c r="S158">
        <v>21</v>
      </c>
      <c r="T158">
        <v>22</v>
      </c>
      <c r="U158">
        <v>134</v>
      </c>
    </row>
    <row r="159" spans="1:21">
      <c r="A159">
        <v>158</v>
      </c>
      <c r="C159">
        <v>12.6</v>
      </c>
      <c r="D159">
        <v>11.65</v>
      </c>
      <c r="S159">
        <v>21</v>
      </c>
      <c r="T159">
        <v>23</v>
      </c>
      <c r="U159">
        <v>198</v>
      </c>
    </row>
    <row r="160" spans="1:21">
      <c r="A160">
        <v>159</v>
      </c>
      <c r="C160">
        <v>13.34</v>
      </c>
      <c r="D160">
        <v>12.44</v>
      </c>
      <c r="S160">
        <v>21</v>
      </c>
      <c r="T160">
        <v>24</v>
      </c>
      <c r="U160">
        <v>201</v>
      </c>
    </row>
    <row r="161" spans="1:21">
      <c r="A161">
        <v>160</v>
      </c>
      <c r="C161">
        <v>13.23</v>
      </c>
      <c r="D161">
        <v>12.55</v>
      </c>
      <c r="S161">
        <v>21</v>
      </c>
      <c r="T161">
        <v>25</v>
      </c>
      <c r="U161">
        <v>180</v>
      </c>
    </row>
    <row r="162" spans="1:21">
      <c r="A162">
        <v>161</v>
      </c>
      <c r="C162">
        <v>11.85</v>
      </c>
      <c r="D162">
        <v>11.14</v>
      </c>
      <c r="S162">
        <v>21</v>
      </c>
      <c r="T162">
        <v>26</v>
      </c>
      <c r="U162">
        <v>185</v>
      </c>
    </row>
    <row r="163" spans="1:21">
      <c r="A163">
        <v>162</v>
      </c>
      <c r="C163">
        <v>12.05</v>
      </c>
      <c r="D163">
        <v>11.56</v>
      </c>
      <c r="S163">
        <v>21</v>
      </c>
      <c r="T163">
        <v>27</v>
      </c>
      <c r="U163">
        <v>204</v>
      </c>
    </row>
    <row r="164" spans="1:21">
      <c r="A164">
        <v>163</v>
      </c>
      <c r="C164">
        <v>12.27</v>
      </c>
      <c r="D164">
        <v>11.52</v>
      </c>
      <c r="S164">
        <v>21</v>
      </c>
      <c r="T164">
        <v>28</v>
      </c>
      <c r="U164">
        <v>196</v>
      </c>
    </row>
    <row r="165" spans="1:21">
      <c r="A165">
        <v>164</v>
      </c>
      <c r="C165">
        <v>12.84</v>
      </c>
      <c r="D165">
        <v>11.02</v>
      </c>
      <c r="S165">
        <v>21</v>
      </c>
      <c r="T165">
        <v>29</v>
      </c>
      <c r="U165">
        <v>200</v>
      </c>
    </row>
    <row r="166" spans="1:21">
      <c r="A166">
        <v>165</v>
      </c>
      <c r="C166">
        <v>12.81</v>
      </c>
      <c r="D166">
        <v>11.66</v>
      </c>
      <c r="S166">
        <v>21</v>
      </c>
      <c r="T166">
        <v>30</v>
      </c>
      <c r="U166">
        <v>180</v>
      </c>
    </row>
    <row r="167" spans="1:21">
      <c r="A167">
        <v>166</v>
      </c>
      <c r="C167">
        <v>11.81</v>
      </c>
      <c r="D167">
        <v>11.22</v>
      </c>
      <c r="S167">
        <v>21</v>
      </c>
      <c r="T167">
        <v>31</v>
      </c>
      <c r="U167">
        <v>180</v>
      </c>
    </row>
    <row r="168" spans="1:21">
      <c r="A168">
        <v>167</v>
      </c>
      <c r="C168">
        <v>12.43</v>
      </c>
      <c r="D168">
        <v>11.18</v>
      </c>
      <c r="S168">
        <v>21</v>
      </c>
      <c r="T168">
        <v>32</v>
      </c>
      <c r="U168">
        <v>165</v>
      </c>
    </row>
    <row r="169" spans="1:21">
      <c r="A169">
        <v>168</v>
      </c>
      <c r="C169">
        <v>12.66</v>
      </c>
      <c r="D169">
        <v>11.86</v>
      </c>
      <c r="S169">
        <v>21</v>
      </c>
      <c r="T169">
        <v>33</v>
      </c>
      <c r="U169">
        <v>168</v>
      </c>
    </row>
    <row r="170" spans="1:21">
      <c r="A170">
        <v>169</v>
      </c>
      <c r="C170">
        <v>11.73</v>
      </c>
      <c r="D170">
        <v>11.17</v>
      </c>
      <c r="S170">
        <v>21</v>
      </c>
      <c r="T170">
        <v>34</v>
      </c>
      <c r="U170">
        <v>156</v>
      </c>
    </row>
    <row r="171" spans="1:21">
      <c r="A171">
        <v>170</v>
      </c>
      <c r="C171">
        <v>12.24</v>
      </c>
      <c r="D171">
        <v>11.48</v>
      </c>
      <c r="S171">
        <v>21</v>
      </c>
      <c r="T171">
        <v>35</v>
      </c>
      <c r="U171">
        <v>154</v>
      </c>
    </row>
    <row r="172" spans="1:21">
      <c r="A172">
        <v>171</v>
      </c>
      <c r="C172">
        <v>12.49</v>
      </c>
      <c r="D172">
        <v>11.6</v>
      </c>
      <c r="S172">
        <v>22</v>
      </c>
      <c r="T172">
        <v>23</v>
      </c>
      <c r="U172">
        <v>146</v>
      </c>
    </row>
    <row r="173" spans="1:21">
      <c r="A173">
        <v>172</v>
      </c>
      <c r="C173">
        <v>12.03</v>
      </c>
      <c r="D173">
        <v>11.4</v>
      </c>
      <c r="S173">
        <v>22</v>
      </c>
      <c r="T173">
        <v>24</v>
      </c>
      <c r="U173">
        <v>176</v>
      </c>
    </row>
    <row r="174" spans="1:21">
      <c r="A174">
        <v>173</v>
      </c>
      <c r="C174">
        <v>13.56</v>
      </c>
      <c r="D174">
        <v>11.62</v>
      </c>
      <c r="S174">
        <v>22</v>
      </c>
      <c r="T174">
        <v>25</v>
      </c>
      <c r="U174">
        <v>165</v>
      </c>
    </row>
    <row r="175" spans="1:21">
      <c r="A175">
        <v>174</v>
      </c>
      <c r="C175">
        <v>14.91</v>
      </c>
      <c r="D175">
        <v>13.44</v>
      </c>
      <c r="S175">
        <v>22</v>
      </c>
      <c r="T175">
        <v>26</v>
      </c>
      <c r="U175">
        <v>184</v>
      </c>
    </row>
    <row r="176" spans="1:21">
      <c r="A176">
        <v>175</v>
      </c>
      <c r="C176">
        <v>14.59</v>
      </c>
      <c r="D176">
        <v>12.96</v>
      </c>
      <c r="S176">
        <v>22</v>
      </c>
      <c r="T176">
        <v>27</v>
      </c>
      <c r="U176">
        <v>195</v>
      </c>
    </row>
    <row r="177" spans="1:21">
      <c r="A177">
        <v>176</v>
      </c>
      <c r="C177">
        <v>14.38</v>
      </c>
      <c r="D177">
        <v>12.92</v>
      </c>
      <c r="S177">
        <v>22</v>
      </c>
      <c r="T177">
        <v>28</v>
      </c>
      <c r="U177">
        <v>192</v>
      </c>
    </row>
    <row r="178" spans="1:21">
      <c r="A178">
        <v>177</v>
      </c>
      <c r="C178">
        <v>13</v>
      </c>
      <c r="D178">
        <v>11.43</v>
      </c>
      <c r="S178">
        <v>22</v>
      </c>
      <c r="T178">
        <v>29</v>
      </c>
      <c r="U178">
        <v>189</v>
      </c>
    </row>
    <row r="179" spans="1:21">
      <c r="A179">
        <v>178</v>
      </c>
      <c r="C179">
        <v>13.12</v>
      </c>
      <c r="D179">
        <v>11.75</v>
      </c>
      <c r="S179">
        <v>22</v>
      </c>
      <c r="T179">
        <v>30</v>
      </c>
      <c r="U179">
        <v>176</v>
      </c>
    </row>
    <row r="180" spans="1:21">
      <c r="A180">
        <v>179</v>
      </c>
      <c r="C180">
        <v>13.26</v>
      </c>
      <c r="D180">
        <v>12.71</v>
      </c>
      <c r="S180">
        <v>22</v>
      </c>
      <c r="T180">
        <v>31</v>
      </c>
      <c r="U180">
        <v>180</v>
      </c>
    </row>
    <row r="181" spans="1:21">
      <c r="A181">
        <v>180</v>
      </c>
      <c r="C181">
        <v>14.45</v>
      </c>
      <c r="D181">
        <v>13.35</v>
      </c>
      <c r="S181">
        <v>22</v>
      </c>
      <c r="T181">
        <v>32</v>
      </c>
      <c r="U181">
        <v>160</v>
      </c>
    </row>
    <row r="182" spans="1:21">
      <c r="A182">
        <v>181</v>
      </c>
      <c r="C182">
        <v>16.079999999999998</v>
      </c>
      <c r="D182">
        <v>13.63</v>
      </c>
      <c r="S182">
        <v>22</v>
      </c>
      <c r="T182">
        <v>33</v>
      </c>
      <c r="U182">
        <v>165</v>
      </c>
    </row>
    <row r="183" spans="1:21">
      <c r="A183">
        <v>182</v>
      </c>
      <c r="C183">
        <v>13.94</v>
      </c>
      <c r="D183">
        <v>13.43</v>
      </c>
      <c r="S183">
        <v>22</v>
      </c>
      <c r="T183">
        <v>34</v>
      </c>
      <c r="U183">
        <v>156</v>
      </c>
    </row>
    <row r="184" spans="1:21">
      <c r="A184">
        <v>183</v>
      </c>
      <c r="C184">
        <v>14.87</v>
      </c>
      <c r="D184">
        <v>13.79</v>
      </c>
      <c r="S184">
        <v>22</v>
      </c>
      <c r="T184">
        <v>35</v>
      </c>
      <c r="U184">
        <v>156</v>
      </c>
    </row>
    <row r="185" spans="1:21">
      <c r="A185">
        <v>184</v>
      </c>
      <c r="C185">
        <v>15.01</v>
      </c>
      <c r="D185">
        <v>14.52</v>
      </c>
      <c r="S185">
        <v>23</v>
      </c>
      <c r="T185">
        <v>24</v>
      </c>
      <c r="U185">
        <v>137</v>
      </c>
    </row>
    <row r="186" spans="1:21">
      <c r="A186">
        <v>185</v>
      </c>
      <c r="C186">
        <v>15.13</v>
      </c>
      <c r="D186">
        <v>14.13</v>
      </c>
      <c r="S186">
        <v>23</v>
      </c>
      <c r="T186">
        <v>25</v>
      </c>
      <c r="U186">
        <v>154</v>
      </c>
    </row>
    <row r="187" spans="1:21">
      <c r="A187">
        <v>186</v>
      </c>
      <c r="C187">
        <v>13.82</v>
      </c>
      <c r="D187">
        <v>12.97</v>
      </c>
      <c r="S187">
        <v>23</v>
      </c>
      <c r="T187">
        <v>26</v>
      </c>
      <c r="U187">
        <v>171</v>
      </c>
    </row>
    <row r="188" spans="1:21">
      <c r="A188">
        <v>187</v>
      </c>
      <c r="C188">
        <v>14.4</v>
      </c>
      <c r="D188">
        <v>13.23</v>
      </c>
      <c r="S188">
        <v>23</v>
      </c>
      <c r="T188">
        <v>27</v>
      </c>
      <c r="U188">
        <v>176</v>
      </c>
    </row>
    <row r="189" spans="1:21">
      <c r="A189">
        <v>188</v>
      </c>
      <c r="C189">
        <v>14.56</v>
      </c>
      <c r="D189">
        <v>12.85</v>
      </c>
      <c r="S189">
        <v>23</v>
      </c>
      <c r="T189">
        <v>28</v>
      </c>
      <c r="U189">
        <v>185</v>
      </c>
    </row>
    <row r="190" spans="1:21">
      <c r="A190">
        <v>189</v>
      </c>
      <c r="C190">
        <v>16.399999999999999</v>
      </c>
      <c r="D190">
        <v>15.42</v>
      </c>
      <c r="S190">
        <v>23</v>
      </c>
      <c r="T190">
        <v>29</v>
      </c>
      <c r="U190">
        <v>186</v>
      </c>
    </row>
    <row r="191" spans="1:21">
      <c r="A191">
        <v>190</v>
      </c>
      <c r="C191">
        <v>16.97</v>
      </c>
      <c r="D191">
        <v>14.08</v>
      </c>
      <c r="S191">
        <v>23</v>
      </c>
      <c r="T191">
        <v>30</v>
      </c>
      <c r="U191">
        <v>168</v>
      </c>
    </row>
    <row r="192" spans="1:21">
      <c r="A192">
        <v>191</v>
      </c>
      <c r="C192">
        <v>16.72</v>
      </c>
      <c r="D192">
        <v>15</v>
      </c>
      <c r="S192">
        <v>23</v>
      </c>
      <c r="T192">
        <v>31</v>
      </c>
      <c r="U192">
        <v>176</v>
      </c>
    </row>
    <row r="193" spans="1:21">
      <c r="A193">
        <v>192</v>
      </c>
      <c r="C193">
        <v>16.37</v>
      </c>
      <c r="D193">
        <v>15.3</v>
      </c>
      <c r="S193">
        <v>23</v>
      </c>
      <c r="T193">
        <v>32</v>
      </c>
      <c r="U193">
        <v>153</v>
      </c>
    </row>
    <row r="194" spans="1:21">
      <c r="A194">
        <v>193</v>
      </c>
      <c r="C194">
        <v>15.73</v>
      </c>
      <c r="D194">
        <v>14.85</v>
      </c>
      <c r="S194">
        <v>23</v>
      </c>
      <c r="T194">
        <v>33</v>
      </c>
      <c r="U194">
        <v>160</v>
      </c>
    </row>
    <row r="195" spans="1:21">
      <c r="A195">
        <v>194</v>
      </c>
      <c r="C195">
        <v>15.62</v>
      </c>
      <c r="D195">
        <v>14.26</v>
      </c>
      <c r="S195">
        <v>23</v>
      </c>
      <c r="T195">
        <v>34</v>
      </c>
      <c r="U195">
        <v>154</v>
      </c>
    </row>
    <row r="196" spans="1:21">
      <c r="A196">
        <v>195</v>
      </c>
      <c r="C196">
        <v>14.16</v>
      </c>
      <c r="D196">
        <v>13.4</v>
      </c>
      <c r="S196">
        <v>23</v>
      </c>
      <c r="T196">
        <v>35</v>
      </c>
      <c r="U196">
        <v>156</v>
      </c>
    </row>
    <row r="197" spans="1:21">
      <c r="A197">
        <v>196</v>
      </c>
      <c r="C197">
        <v>15.21</v>
      </c>
      <c r="D197">
        <v>13.59</v>
      </c>
      <c r="S197">
        <v>24</v>
      </c>
      <c r="T197">
        <v>25</v>
      </c>
      <c r="U197">
        <v>134</v>
      </c>
    </row>
    <row r="198" spans="1:21">
      <c r="A198">
        <v>197</v>
      </c>
      <c r="C198">
        <v>14.97</v>
      </c>
      <c r="D198">
        <v>12.75</v>
      </c>
      <c r="S198">
        <v>24</v>
      </c>
      <c r="T198">
        <v>26</v>
      </c>
      <c r="U198">
        <v>170</v>
      </c>
    </row>
    <row r="199" spans="1:21">
      <c r="A199">
        <v>198</v>
      </c>
      <c r="C199">
        <v>14.33</v>
      </c>
      <c r="D199">
        <v>13.18</v>
      </c>
      <c r="S199">
        <v>24</v>
      </c>
      <c r="T199">
        <v>27</v>
      </c>
      <c r="U199">
        <v>186</v>
      </c>
    </row>
    <row r="200" spans="1:21">
      <c r="A200">
        <v>199</v>
      </c>
      <c r="C200">
        <v>15.31</v>
      </c>
      <c r="D200">
        <v>14.13</v>
      </c>
      <c r="S200">
        <v>24</v>
      </c>
      <c r="T200">
        <v>28</v>
      </c>
      <c r="U200">
        <v>192</v>
      </c>
    </row>
    <row r="201" spans="1:21">
      <c r="A201">
        <v>200</v>
      </c>
      <c r="C201">
        <v>15.6</v>
      </c>
      <c r="D201">
        <v>14.38</v>
      </c>
      <c r="S201">
        <v>24</v>
      </c>
      <c r="T201">
        <v>29</v>
      </c>
      <c r="U201">
        <v>185</v>
      </c>
    </row>
    <row r="202" spans="1:21">
      <c r="A202">
        <v>201</v>
      </c>
      <c r="C202">
        <v>15.33</v>
      </c>
      <c r="D202">
        <v>13.87</v>
      </c>
      <c r="S202">
        <v>24</v>
      </c>
      <c r="T202">
        <v>30</v>
      </c>
      <c r="U202">
        <v>174</v>
      </c>
    </row>
    <row r="203" spans="1:21">
      <c r="A203">
        <v>202</v>
      </c>
      <c r="C203">
        <v>16.45</v>
      </c>
      <c r="D203">
        <v>15.5</v>
      </c>
      <c r="S203">
        <v>24</v>
      </c>
      <c r="T203">
        <v>31</v>
      </c>
      <c r="U203">
        <v>175</v>
      </c>
    </row>
    <row r="204" spans="1:21">
      <c r="A204">
        <v>203</v>
      </c>
      <c r="C204">
        <v>16.46</v>
      </c>
      <c r="D204">
        <v>15.81</v>
      </c>
      <c r="S204">
        <v>24</v>
      </c>
      <c r="T204">
        <v>32</v>
      </c>
      <c r="U204">
        <v>144</v>
      </c>
    </row>
    <row r="205" spans="1:21">
      <c r="A205">
        <v>204</v>
      </c>
      <c r="C205">
        <v>17.22</v>
      </c>
      <c r="D205">
        <v>15.87</v>
      </c>
      <c r="S205">
        <v>24</v>
      </c>
      <c r="T205">
        <v>33</v>
      </c>
      <c r="U205">
        <v>153</v>
      </c>
    </row>
    <row r="206" spans="1:21">
      <c r="A206">
        <v>205</v>
      </c>
      <c r="C206">
        <v>17.18</v>
      </c>
      <c r="D206">
        <v>16.11</v>
      </c>
      <c r="S206">
        <v>24</v>
      </c>
      <c r="T206">
        <v>34</v>
      </c>
      <c r="U206">
        <v>150</v>
      </c>
    </row>
    <row r="207" spans="1:21">
      <c r="A207">
        <v>206</v>
      </c>
      <c r="C207">
        <v>16.03</v>
      </c>
      <c r="D207">
        <v>15.53</v>
      </c>
      <c r="S207">
        <v>24</v>
      </c>
      <c r="T207">
        <v>35</v>
      </c>
      <c r="U207">
        <v>154</v>
      </c>
    </row>
    <row r="208" spans="1:21">
      <c r="A208">
        <v>207</v>
      </c>
      <c r="C208">
        <v>15.9</v>
      </c>
      <c r="D208">
        <v>15.2</v>
      </c>
      <c r="S208">
        <v>25</v>
      </c>
      <c r="T208">
        <v>26</v>
      </c>
      <c r="U208">
        <v>126</v>
      </c>
    </row>
    <row r="209" spans="1:21">
      <c r="A209">
        <v>208</v>
      </c>
      <c r="C209">
        <v>15.22</v>
      </c>
      <c r="D209">
        <v>14.56</v>
      </c>
      <c r="S209">
        <v>25</v>
      </c>
      <c r="T209">
        <v>27</v>
      </c>
      <c r="U209">
        <v>164</v>
      </c>
    </row>
    <row r="210" spans="1:21">
      <c r="A210">
        <v>209</v>
      </c>
      <c r="C210">
        <v>15.17</v>
      </c>
      <c r="D210">
        <v>14.2</v>
      </c>
      <c r="S210">
        <v>25</v>
      </c>
      <c r="T210">
        <v>28</v>
      </c>
      <c r="U210">
        <v>189</v>
      </c>
    </row>
    <row r="211" spans="1:21">
      <c r="A211">
        <v>210</v>
      </c>
      <c r="C211">
        <v>15.18</v>
      </c>
      <c r="D211">
        <v>14.61</v>
      </c>
      <c r="S211">
        <v>25</v>
      </c>
      <c r="T211">
        <v>29</v>
      </c>
      <c r="U211">
        <v>192</v>
      </c>
    </row>
    <row r="212" spans="1:21">
      <c r="A212">
        <v>211</v>
      </c>
      <c r="C212">
        <v>15.47</v>
      </c>
      <c r="D212">
        <v>14.41</v>
      </c>
      <c r="S212">
        <v>25</v>
      </c>
      <c r="T212">
        <v>30</v>
      </c>
      <c r="U212">
        <v>185</v>
      </c>
    </row>
    <row r="213" spans="1:21">
      <c r="A213">
        <v>212</v>
      </c>
      <c r="C213">
        <v>16.43</v>
      </c>
      <c r="D213">
        <v>14.32</v>
      </c>
      <c r="S213">
        <v>25</v>
      </c>
      <c r="T213">
        <v>31</v>
      </c>
      <c r="U213">
        <v>180</v>
      </c>
    </row>
    <row r="214" spans="1:21">
      <c r="A214">
        <v>213</v>
      </c>
      <c r="C214">
        <v>16.87</v>
      </c>
      <c r="D214">
        <v>14.87</v>
      </c>
      <c r="S214">
        <v>25</v>
      </c>
      <c r="T214">
        <v>32</v>
      </c>
      <c r="U214">
        <v>154</v>
      </c>
    </row>
    <row r="215" spans="1:21">
      <c r="A215">
        <v>214</v>
      </c>
      <c r="C215">
        <v>17.87</v>
      </c>
      <c r="D215">
        <v>16.82</v>
      </c>
      <c r="S215">
        <v>25</v>
      </c>
      <c r="T215">
        <v>33</v>
      </c>
      <c r="U215">
        <v>168</v>
      </c>
    </row>
    <row r="216" spans="1:21">
      <c r="A216">
        <v>215</v>
      </c>
      <c r="C216">
        <v>16.920000000000002</v>
      </c>
      <c r="D216">
        <v>15.54</v>
      </c>
      <c r="S216">
        <v>25</v>
      </c>
      <c r="T216">
        <v>34</v>
      </c>
      <c r="U216">
        <v>162</v>
      </c>
    </row>
    <row r="217" spans="1:21">
      <c r="A217">
        <v>216</v>
      </c>
      <c r="C217">
        <v>17.329999999999998</v>
      </c>
      <c r="D217">
        <v>15.83</v>
      </c>
      <c r="S217">
        <v>25</v>
      </c>
      <c r="T217">
        <v>35</v>
      </c>
      <c r="U217">
        <v>170</v>
      </c>
    </row>
    <row r="218" spans="1:21">
      <c r="A218">
        <v>217</v>
      </c>
      <c r="C218">
        <v>16.739999999999998</v>
      </c>
      <c r="D218">
        <v>15.67</v>
      </c>
    </row>
    <row r="219" spans="1:21">
      <c r="A219">
        <v>218</v>
      </c>
      <c r="C219">
        <v>16.91</v>
      </c>
      <c r="D219">
        <v>14.99</v>
      </c>
    </row>
    <row r="220" spans="1:21">
      <c r="A220">
        <v>219</v>
      </c>
      <c r="C220">
        <v>16.989999999999998</v>
      </c>
      <c r="D220">
        <v>16.68</v>
      </c>
    </row>
    <row r="221" spans="1:21">
      <c r="A221">
        <v>220</v>
      </c>
      <c r="C221">
        <v>17.010000000000002</v>
      </c>
      <c r="D221">
        <v>14.75</v>
      </c>
    </row>
    <row r="222" spans="1:21">
      <c r="A222">
        <v>221</v>
      </c>
      <c r="C222">
        <v>16.03</v>
      </c>
      <c r="D222">
        <v>15.56</v>
      </c>
    </row>
    <row r="223" spans="1:21">
      <c r="A223">
        <v>222</v>
      </c>
      <c r="C223">
        <v>16.14</v>
      </c>
      <c r="D223">
        <v>14.99</v>
      </c>
    </row>
    <row r="224" spans="1:21">
      <c r="A224">
        <v>223</v>
      </c>
      <c r="C224">
        <v>16.27</v>
      </c>
      <c r="D224">
        <v>15.61</v>
      </c>
    </row>
    <row r="225" spans="1:4">
      <c r="A225">
        <v>224</v>
      </c>
      <c r="C225">
        <v>16.38</v>
      </c>
      <c r="D225">
        <v>15.28</v>
      </c>
    </row>
    <row r="226" spans="1:4">
      <c r="A226">
        <v>225</v>
      </c>
      <c r="C226">
        <v>17.39</v>
      </c>
      <c r="D226">
        <v>16.02</v>
      </c>
    </row>
    <row r="227" spans="1:4">
      <c r="A227">
        <v>226</v>
      </c>
      <c r="C227">
        <v>19.57</v>
      </c>
      <c r="D227">
        <v>18.27</v>
      </c>
    </row>
    <row r="228" spans="1:4">
      <c r="A228">
        <v>227</v>
      </c>
      <c r="C228">
        <v>18.510000000000002</v>
      </c>
      <c r="D228">
        <v>17.23</v>
      </c>
    </row>
    <row r="229" spans="1:4">
      <c r="A229">
        <v>228</v>
      </c>
      <c r="C229">
        <v>17.62</v>
      </c>
      <c r="D229">
        <v>16.829999999999998</v>
      </c>
    </row>
    <row r="230" spans="1:4">
      <c r="A230">
        <v>229</v>
      </c>
      <c r="C230">
        <v>16.760000000000002</v>
      </c>
      <c r="D230">
        <v>15.65</v>
      </c>
    </row>
    <row r="231" spans="1:4">
      <c r="A231">
        <v>230</v>
      </c>
      <c r="C231">
        <v>16.87</v>
      </c>
      <c r="D231">
        <v>15.53</v>
      </c>
    </row>
    <row r="232" spans="1:4">
      <c r="A232">
        <v>231</v>
      </c>
      <c r="C232">
        <v>17.04</v>
      </c>
      <c r="D232">
        <v>15.42</v>
      </c>
    </row>
    <row r="233" spans="1:4">
      <c r="A233">
        <v>232</v>
      </c>
      <c r="C233">
        <v>17.14</v>
      </c>
      <c r="D233">
        <v>16.100000000000001</v>
      </c>
    </row>
    <row r="234" spans="1:4">
      <c r="A234">
        <v>233</v>
      </c>
      <c r="C234">
        <v>17.03</v>
      </c>
      <c r="D234">
        <v>15.69</v>
      </c>
    </row>
    <row r="235" spans="1:4">
      <c r="A235">
        <v>234</v>
      </c>
      <c r="C235">
        <v>16.86</v>
      </c>
      <c r="D235">
        <v>15.66</v>
      </c>
    </row>
    <row r="236" spans="1:4">
      <c r="A236">
        <v>235</v>
      </c>
      <c r="C236">
        <v>17.64</v>
      </c>
      <c r="D236">
        <v>16.170000000000002</v>
      </c>
    </row>
    <row r="237" spans="1:4">
      <c r="A237">
        <v>236</v>
      </c>
      <c r="C237">
        <v>18.16</v>
      </c>
      <c r="D237">
        <v>16.12</v>
      </c>
    </row>
    <row r="238" spans="1:4">
      <c r="A238">
        <v>237</v>
      </c>
      <c r="C238">
        <v>17.22</v>
      </c>
      <c r="D238">
        <v>16.010000000000002</v>
      </c>
    </row>
    <row r="239" spans="1:4">
      <c r="A239">
        <v>238</v>
      </c>
      <c r="C239">
        <v>17.440000000000001</v>
      </c>
      <c r="D239">
        <v>15.46</v>
      </c>
    </row>
    <row r="240" spans="1:4">
      <c r="A240">
        <v>239</v>
      </c>
      <c r="C240">
        <v>15.17</v>
      </c>
      <c r="D240">
        <v>14.33</v>
      </c>
    </row>
    <row r="241" spans="1:4">
      <c r="A241">
        <v>240</v>
      </c>
      <c r="C241">
        <v>15.11</v>
      </c>
      <c r="D241">
        <v>12.66</v>
      </c>
    </row>
    <row r="242" spans="1:4">
      <c r="A242">
        <v>241</v>
      </c>
      <c r="C242">
        <v>13.79</v>
      </c>
      <c r="D242">
        <v>12.67</v>
      </c>
    </row>
    <row r="243" spans="1:4">
      <c r="A243">
        <v>242</v>
      </c>
      <c r="C243">
        <v>13.13</v>
      </c>
      <c r="D243">
        <v>11.87</v>
      </c>
    </row>
    <row r="244" spans="1:4">
      <c r="A244">
        <v>243</v>
      </c>
      <c r="C244">
        <v>13.67</v>
      </c>
      <c r="D244">
        <v>13.02</v>
      </c>
    </row>
    <row r="245" spans="1:4">
      <c r="A245">
        <v>244</v>
      </c>
      <c r="C245">
        <v>13.48</v>
      </c>
      <c r="D245">
        <v>12.78</v>
      </c>
    </row>
    <row r="246" spans="1:4">
      <c r="A246">
        <v>245</v>
      </c>
      <c r="C246">
        <v>12.94</v>
      </c>
      <c r="D246">
        <v>11.91</v>
      </c>
    </row>
    <row r="247" spans="1:4">
      <c r="A247">
        <v>246</v>
      </c>
      <c r="C247">
        <v>12.59</v>
      </c>
      <c r="D247">
        <v>12.12</v>
      </c>
    </row>
    <row r="248" spans="1:4">
      <c r="A248">
        <v>247</v>
      </c>
      <c r="C248">
        <v>12.04</v>
      </c>
      <c r="D248">
        <v>11.74</v>
      </c>
    </row>
    <row r="249" spans="1:4">
      <c r="A249">
        <v>248</v>
      </c>
      <c r="C249">
        <v>12.37</v>
      </c>
      <c r="D249">
        <v>11.61</v>
      </c>
    </row>
    <row r="250" spans="1:4">
      <c r="A250">
        <v>249</v>
      </c>
      <c r="C250">
        <v>13.21</v>
      </c>
      <c r="D250">
        <v>11.36</v>
      </c>
    </row>
    <row r="251" spans="1:4">
      <c r="A251">
        <v>250</v>
      </c>
      <c r="C251">
        <v>12.87</v>
      </c>
      <c r="D251">
        <v>12.34</v>
      </c>
    </row>
    <row r="252" spans="1:4">
      <c r="A252">
        <v>251</v>
      </c>
      <c r="C252">
        <v>13.48</v>
      </c>
      <c r="D252">
        <v>12.34</v>
      </c>
    </row>
    <row r="253" spans="1:4">
      <c r="A253">
        <v>252</v>
      </c>
      <c r="C253">
        <v>14.71</v>
      </c>
      <c r="D253">
        <v>13.39</v>
      </c>
    </row>
    <row r="254" spans="1:4">
      <c r="A254">
        <v>253</v>
      </c>
      <c r="C254">
        <v>14.15</v>
      </c>
      <c r="D254">
        <v>13.53</v>
      </c>
    </row>
    <row r="255" spans="1:4">
      <c r="A255">
        <v>254</v>
      </c>
      <c r="C255">
        <v>14.19</v>
      </c>
      <c r="D255">
        <v>13.37</v>
      </c>
    </row>
    <row r="256" spans="1:4">
      <c r="A256">
        <v>255</v>
      </c>
      <c r="C256">
        <v>13.76</v>
      </c>
      <c r="D256">
        <v>12.79</v>
      </c>
    </row>
    <row r="257" spans="1:4">
      <c r="A257">
        <v>256</v>
      </c>
      <c r="C257">
        <v>14.08</v>
      </c>
      <c r="D257">
        <v>13.21</v>
      </c>
    </row>
    <row r="258" spans="1:4">
      <c r="A258">
        <v>257</v>
      </c>
      <c r="C258">
        <v>13.25</v>
      </c>
      <c r="D258">
        <v>11.97</v>
      </c>
    </row>
    <row r="259" spans="1:4">
      <c r="A259">
        <v>258</v>
      </c>
      <c r="C259">
        <v>13.13</v>
      </c>
      <c r="D259">
        <v>11.95</v>
      </c>
    </row>
    <row r="260" spans="1:4">
      <c r="A260">
        <v>259</v>
      </c>
      <c r="C260">
        <v>13.56</v>
      </c>
      <c r="D260">
        <v>12.64</v>
      </c>
    </row>
    <row r="261" spans="1:4">
      <c r="A261">
        <v>260</v>
      </c>
      <c r="C261">
        <v>11.86</v>
      </c>
      <c r="D261">
        <v>11.02</v>
      </c>
    </row>
    <row r="262" spans="1:4">
      <c r="A262">
        <v>261</v>
      </c>
      <c r="C262">
        <v>11.53</v>
      </c>
      <c r="D262">
        <v>11.06</v>
      </c>
    </row>
    <row r="263" spans="1:4">
      <c r="A263">
        <v>262</v>
      </c>
      <c r="C263">
        <v>12.48</v>
      </c>
      <c r="D263">
        <v>11.61</v>
      </c>
    </row>
    <row r="264" spans="1:4">
      <c r="A264">
        <v>263</v>
      </c>
      <c r="C264">
        <v>11.9</v>
      </c>
      <c r="D264">
        <v>11.21</v>
      </c>
    </row>
    <row r="265" spans="1:4">
      <c r="A265">
        <v>264</v>
      </c>
      <c r="C265">
        <v>12.34</v>
      </c>
      <c r="D265">
        <v>11.52</v>
      </c>
    </row>
    <row r="266" spans="1:4">
      <c r="A266">
        <v>265</v>
      </c>
      <c r="C266">
        <v>12.48</v>
      </c>
      <c r="D266">
        <v>12</v>
      </c>
    </row>
    <row r="267" spans="1:4">
      <c r="A267">
        <v>266</v>
      </c>
      <c r="C267">
        <v>13.89</v>
      </c>
      <c r="D267">
        <v>12.78</v>
      </c>
    </row>
    <row r="268" spans="1:4">
      <c r="A268">
        <v>267</v>
      </c>
      <c r="C268">
        <v>12.51</v>
      </c>
      <c r="D268">
        <v>11.84</v>
      </c>
    </row>
    <row r="269" spans="1:4">
      <c r="A269">
        <v>268</v>
      </c>
      <c r="C269">
        <v>12.26</v>
      </c>
      <c r="D269">
        <v>11.17</v>
      </c>
    </row>
    <row r="270" spans="1:4">
      <c r="A270">
        <v>269</v>
      </c>
      <c r="C270">
        <v>11.52</v>
      </c>
      <c r="D270">
        <v>10.89</v>
      </c>
    </row>
    <row r="271" spans="1:4">
      <c r="A271">
        <v>270</v>
      </c>
      <c r="C271">
        <v>11.41</v>
      </c>
      <c r="D271">
        <v>10.76</v>
      </c>
    </row>
    <row r="272" spans="1:4">
      <c r="A272">
        <v>271</v>
      </c>
      <c r="C272">
        <v>12.67</v>
      </c>
      <c r="D272">
        <v>11.43</v>
      </c>
    </row>
    <row r="273" spans="1:4">
      <c r="A273">
        <v>272</v>
      </c>
      <c r="C273">
        <v>12.25</v>
      </c>
      <c r="D273">
        <v>11.77</v>
      </c>
    </row>
    <row r="274" spans="1:4">
      <c r="A274">
        <v>273</v>
      </c>
      <c r="C274">
        <v>11.95</v>
      </c>
      <c r="D274">
        <v>11.53</v>
      </c>
    </row>
    <row r="275" spans="1:4">
      <c r="A275">
        <v>274</v>
      </c>
      <c r="C275">
        <v>11.63</v>
      </c>
      <c r="D275">
        <v>11.09</v>
      </c>
    </row>
    <row r="276" spans="1:4">
      <c r="A276">
        <v>275</v>
      </c>
      <c r="C276">
        <v>11.47</v>
      </c>
      <c r="D276">
        <v>10.51</v>
      </c>
    </row>
    <row r="277" spans="1:4">
      <c r="A277">
        <v>276</v>
      </c>
      <c r="C277">
        <v>11.67</v>
      </c>
      <c r="D277">
        <v>10.94</v>
      </c>
    </row>
    <row r="278" spans="1:4">
      <c r="A278">
        <v>277</v>
      </c>
      <c r="C278">
        <v>11.41</v>
      </c>
      <c r="D278">
        <v>11</v>
      </c>
    </row>
    <row r="279" spans="1:4">
      <c r="A279">
        <v>278</v>
      </c>
      <c r="C279">
        <v>11.49</v>
      </c>
      <c r="D279">
        <v>11.03</v>
      </c>
    </row>
    <row r="280" spans="1:4">
      <c r="A280">
        <v>279</v>
      </c>
      <c r="C280">
        <v>11.98</v>
      </c>
      <c r="D280">
        <v>11.23</v>
      </c>
    </row>
    <row r="281" spans="1:4">
      <c r="A281">
        <v>280</v>
      </c>
      <c r="C281">
        <v>11.71</v>
      </c>
      <c r="D281">
        <v>11.16</v>
      </c>
    </row>
    <row r="282" spans="1:4">
      <c r="A282">
        <v>281</v>
      </c>
      <c r="C282">
        <v>11.77</v>
      </c>
      <c r="D282">
        <v>11.29</v>
      </c>
    </row>
    <row r="283" spans="1:4">
      <c r="A283">
        <v>282</v>
      </c>
      <c r="C283">
        <v>11.78</v>
      </c>
      <c r="D283">
        <v>11.32</v>
      </c>
    </row>
    <row r="284" spans="1:4">
      <c r="A284">
        <v>283</v>
      </c>
      <c r="C284">
        <v>11.74</v>
      </c>
      <c r="D284">
        <v>11.28</v>
      </c>
    </row>
    <row r="285" spans="1:4">
      <c r="A285">
        <v>284</v>
      </c>
      <c r="C285">
        <v>11.99</v>
      </c>
      <c r="D285">
        <v>11.55</v>
      </c>
    </row>
    <row r="286" spans="1:4">
      <c r="A286">
        <v>285</v>
      </c>
      <c r="C286">
        <v>12.06</v>
      </c>
      <c r="D286">
        <v>11.29</v>
      </c>
    </row>
    <row r="287" spans="1:4">
      <c r="A287">
        <v>286</v>
      </c>
      <c r="C287">
        <v>12.52</v>
      </c>
      <c r="D287">
        <v>12.05</v>
      </c>
    </row>
    <row r="288" spans="1:4">
      <c r="A288">
        <v>287</v>
      </c>
      <c r="C288">
        <v>11.76</v>
      </c>
      <c r="D288">
        <v>11.03</v>
      </c>
    </row>
    <row r="289" spans="1:4">
      <c r="A289">
        <v>288</v>
      </c>
      <c r="C289">
        <v>11.35</v>
      </c>
      <c r="D289">
        <v>10.77</v>
      </c>
    </row>
    <row r="290" spans="1:4">
      <c r="A290">
        <v>289</v>
      </c>
      <c r="C290">
        <v>11.32</v>
      </c>
      <c r="D290">
        <v>10.78</v>
      </c>
    </row>
    <row r="291" spans="1:4">
      <c r="A291">
        <v>290</v>
      </c>
      <c r="C291">
        <v>13.01</v>
      </c>
      <c r="D291">
        <v>10.89</v>
      </c>
    </row>
    <row r="292" spans="1:4">
      <c r="A292">
        <v>291</v>
      </c>
      <c r="C292">
        <v>12.39</v>
      </c>
      <c r="D292">
        <v>11.73</v>
      </c>
    </row>
    <row r="293" spans="1:4">
      <c r="A293">
        <v>292</v>
      </c>
      <c r="C293">
        <v>11.93</v>
      </c>
      <c r="D293">
        <v>11.36</v>
      </c>
    </row>
    <row r="294" spans="1:4">
      <c r="A294">
        <v>293</v>
      </c>
      <c r="C294">
        <v>12.02</v>
      </c>
      <c r="D294">
        <v>11.46</v>
      </c>
    </row>
    <row r="295" spans="1:4">
      <c r="A295">
        <v>294</v>
      </c>
      <c r="C295">
        <v>11.91</v>
      </c>
      <c r="D295">
        <v>11.4</v>
      </c>
    </row>
    <row r="296" spans="1:4">
      <c r="A296">
        <v>295</v>
      </c>
      <c r="C296">
        <v>12.65</v>
      </c>
      <c r="D296">
        <v>11.84</v>
      </c>
    </row>
    <row r="297" spans="1:4">
      <c r="A297">
        <v>296</v>
      </c>
      <c r="C297">
        <v>14.77</v>
      </c>
      <c r="D297">
        <v>12.33</v>
      </c>
    </row>
    <row r="298" spans="1:4">
      <c r="A298">
        <v>297</v>
      </c>
      <c r="C298">
        <v>14.27</v>
      </c>
      <c r="D298">
        <v>13.21</v>
      </c>
    </row>
    <row r="299" spans="1:4">
      <c r="A299">
        <v>298</v>
      </c>
      <c r="C299">
        <v>13.98</v>
      </c>
      <c r="D299">
        <v>12.89</v>
      </c>
    </row>
    <row r="300" spans="1:4">
      <c r="A300">
        <v>299</v>
      </c>
      <c r="C300">
        <v>13.27</v>
      </c>
      <c r="D300">
        <v>11.7</v>
      </c>
    </row>
    <row r="301" spans="1:4">
      <c r="A301">
        <v>300</v>
      </c>
      <c r="C301">
        <v>12.46</v>
      </c>
      <c r="D301">
        <v>11.99</v>
      </c>
    </row>
    <row r="302" spans="1:4">
      <c r="A302">
        <v>301</v>
      </c>
      <c r="C302">
        <v>12.61</v>
      </c>
      <c r="D302">
        <v>11.4</v>
      </c>
    </row>
    <row r="303" spans="1:4">
      <c r="A303">
        <v>302</v>
      </c>
      <c r="C303">
        <v>12.68</v>
      </c>
      <c r="D303">
        <v>12.19</v>
      </c>
    </row>
    <row r="304" spans="1:4">
      <c r="A304">
        <v>303</v>
      </c>
      <c r="C304">
        <v>12.38</v>
      </c>
      <c r="D304">
        <v>11.78</v>
      </c>
    </row>
    <row r="305" spans="1:4">
      <c r="A305">
        <v>304</v>
      </c>
      <c r="C305">
        <v>12.13</v>
      </c>
      <c r="D305">
        <v>11.6</v>
      </c>
    </row>
    <row r="306" spans="1:4">
      <c r="A306">
        <v>305</v>
      </c>
      <c r="C306">
        <v>11.9</v>
      </c>
      <c r="D306">
        <v>11.34</v>
      </c>
    </row>
    <row r="307" spans="1:4">
      <c r="A307">
        <v>306</v>
      </c>
      <c r="C307">
        <v>11.83</v>
      </c>
      <c r="D307">
        <v>10.79</v>
      </c>
    </row>
    <row r="308" spans="1:4">
      <c r="A308">
        <v>307</v>
      </c>
      <c r="C308">
        <v>11.72</v>
      </c>
      <c r="D308">
        <v>11.27</v>
      </c>
    </row>
    <row r="309" spans="1:4">
      <c r="A309">
        <v>308</v>
      </c>
      <c r="C309">
        <v>11.75</v>
      </c>
      <c r="D309">
        <v>11.25</v>
      </c>
    </row>
    <row r="310" spans="1:4">
      <c r="A310">
        <v>309</v>
      </c>
      <c r="C310">
        <v>11.24</v>
      </c>
      <c r="D310">
        <v>10.98</v>
      </c>
    </row>
    <row r="311" spans="1:4">
      <c r="A311">
        <v>310</v>
      </c>
      <c r="C311">
        <v>12.11</v>
      </c>
      <c r="D311">
        <v>11.78</v>
      </c>
    </row>
    <row r="312" spans="1:4">
      <c r="A312">
        <v>311</v>
      </c>
      <c r="C312">
        <v>11.65</v>
      </c>
      <c r="D312">
        <v>11.29</v>
      </c>
    </row>
    <row r="313" spans="1:4">
      <c r="A313">
        <v>312</v>
      </c>
      <c r="C313">
        <v>12.93</v>
      </c>
      <c r="D313">
        <v>11.62</v>
      </c>
    </row>
    <row r="314" spans="1:4">
      <c r="A314">
        <v>313</v>
      </c>
      <c r="C314">
        <v>13.03</v>
      </c>
      <c r="D314">
        <v>12.3</v>
      </c>
    </row>
    <row r="315" spans="1:4">
      <c r="A315">
        <v>314</v>
      </c>
      <c r="C315">
        <v>13.79</v>
      </c>
      <c r="D315">
        <v>12.95</v>
      </c>
    </row>
    <row r="316" spans="1:4">
      <c r="A316">
        <v>315</v>
      </c>
      <c r="C316">
        <v>14.09</v>
      </c>
      <c r="D316">
        <v>12.42</v>
      </c>
    </row>
    <row r="317" spans="1:4">
      <c r="A317">
        <v>316</v>
      </c>
      <c r="C317">
        <v>12.95</v>
      </c>
      <c r="D317">
        <v>11.76</v>
      </c>
    </row>
    <row r="318" spans="1:4">
      <c r="A318">
        <v>317</v>
      </c>
      <c r="C318">
        <v>13.34</v>
      </c>
      <c r="D318">
        <v>12.73</v>
      </c>
    </row>
    <row r="319" spans="1:4">
      <c r="A319">
        <v>318</v>
      </c>
      <c r="C319">
        <v>13.22</v>
      </c>
      <c r="D319">
        <v>11.65</v>
      </c>
    </row>
    <row r="320" spans="1:4">
      <c r="A320">
        <v>319</v>
      </c>
      <c r="C320">
        <v>13.66</v>
      </c>
      <c r="D320">
        <v>12.72</v>
      </c>
    </row>
    <row r="321" spans="1:4">
      <c r="A321">
        <v>320</v>
      </c>
      <c r="C321">
        <v>13.42</v>
      </c>
      <c r="D321">
        <v>12.62</v>
      </c>
    </row>
    <row r="322" spans="1:4">
      <c r="A322">
        <v>321</v>
      </c>
      <c r="C322">
        <v>13.6</v>
      </c>
      <c r="D322">
        <v>11.64</v>
      </c>
    </row>
    <row r="323" spans="1:4">
      <c r="A323">
        <v>322</v>
      </c>
      <c r="C323">
        <v>12.84</v>
      </c>
      <c r="D323">
        <v>11.8</v>
      </c>
    </row>
    <row r="324" spans="1:4">
      <c r="A324">
        <v>323</v>
      </c>
      <c r="C324">
        <v>11.87</v>
      </c>
      <c r="D324">
        <v>11.1</v>
      </c>
    </row>
    <row r="325" spans="1:4">
      <c r="A325">
        <v>324</v>
      </c>
      <c r="C325">
        <v>12.89</v>
      </c>
      <c r="D325">
        <v>11.26</v>
      </c>
    </row>
    <row r="326" spans="1:4">
      <c r="A326">
        <v>325</v>
      </c>
      <c r="C326">
        <v>13.07</v>
      </c>
      <c r="D326">
        <v>12.16</v>
      </c>
    </row>
    <row r="327" spans="1:4">
      <c r="A327">
        <v>326</v>
      </c>
      <c r="C327">
        <v>14.48</v>
      </c>
      <c r="D327">
        <v>13.09</v>
      </c>
    </row>
    <row r="328" spans="1:4">
      <c r="A328">
        <v>327</v>
      </c>
      <c r="C328">
        <v>12.94</v>
      </c>
      <c r="D328">
        <v>12.09</v>
      </c>
    </row>
    <row r="329" spans="1:4">
      <c r="A329">
        <v>328</v>
      </c>
      <c r="C329">
        <v>12.26</v>
      </c>
      <c r="D329">
        <v>10.95</v>
      </c>
    </row>
    <row r="330" spans="1:4">
      <c r="A330">
        <v>329</v>
      </c>
      <c r="C330">
        <v>12.09</v>
      </c>
      <c r="D330">
        <v>11.55</v>
      </c>
    </row>
    <row r="331" spans="1:4">
      <c r="A331">
        <v>330</v>
      </c>
      <c r="C331">
        <v>12.53</v>
      </c>
      <c r="D331">
        <v>11.93</v>
      </c>
    </row>
    <row r="332" spans="1:4">
      <c r="A332">
        <v>331</v>
      </c>
      <c r="C332">
        <v>12.84</v>
      </c>
      <c r="D332">
        <v>12.25</v>
      </c>
    </row>
    <row r="333" spans="1:4">
      <c r="A333">
        <v>332</v>
      </c>
      <c r="C333">
        <v>12.15</v>
      </c>
      <c r="D333">
        <v>11.71</v>
      </c>
    </row>
    <row r="334" spans="1:4">
      <c r="A334">
        <v>333</v>
      </c>
      <c r="C334">
        <v>12.37</v>
      </c>
      <c r="D334">
        <v>11.51</v>
      </c>
    </row>
    <row r="335" spans="1:4">
      <c r="A335">
        <v>334</v>
      </c>
      <c r="C335">
        <v>12.68</v>
      </c>
      <c r="D335">
        <v>11.12</v>
      </c>
    </row>
    <row r="336" spans="1:4">
      <c r="A336">
        <v>335</v>
      </c>
      <c r="C336">
        <v>12.33</v>
      </c>
      <c r="D336">
        <v>11.78</v>
      </c>
    </row>
    <row r="337" spans="1:4">
      <c r="A337">
        <v>336</v>
      </c>
      <c r="C337">
        <v>11.82</v>
      </c>
      <c r="D337">
        <v>11.44</v>
      </c>
    </row>
    <row r="338" spans="1:4">
      <c r="A338">
        <v>337</v>
      </c>
      <c r="C338">
        <v>13.46</v>
      </c>
      <c r="D338">
        <v>11.4</v>
      </c>
    </row>
    <row r="339" spans="1:4">
      <c r="A339">
        <v>338</v>
      </c>
      <c r="C339">
        <v>12.66</v>
      </c>
      <c r="D339">
        <v>11.82</v>
      </c>
    </row>
    <row r="340" spans="1:4">
      <c r="A340">
        <v>339</v>
      </c>
      <c r="C340">
        <v>12.37</v>
      </c>
      <c r="D340">
        <v>11.29</v>
      </c>
    </row>
    <row r="341" spans="1:4">
      <c r="A341">
        <v>340</v>
      </c>
      <c r="C341">
        <v>13.01</v>
      </c>
      <c r="D341">
        <v>12.17</v>
      </c>
    </row>
    <row r="342" spans="1:4">
      <c r="A342">
        <v>341</v>
      </c>
      <c r="C342">
        <v>13.44</v>
      </c>
      <c r="D342">
        <v>12.81</v>
      </c>
    </row>
    <row r="343" spans="1:4">
      <c r="A343">
        <v>342</v>
      </c>
      <c r="C343">
        <v>13.59</v>
      </c>
      <c r="D343">
        <v>12.87</v>
      </c>
    </row>
    <row r="344" spans="1:4">
      <c r="A344">
        <v>343</v>
      </c>
      <c r="C344">
        <v>12.61</v>
      </c>
      <c r="D344">
        <v>11.18</v>
      </c>
    </row>
    <row r="345" spans="1:4">
      <c r="A345">
        <v>344</v>
      </c>
      <c r="C345">
        <v>12.64</v>
      </c>
      <c r="D345">
        <v>11.78</v>
      </c>
    </row>
    <row r="346" spans="1:4">
      <c r="A346">
        <v>345</v>
      </c>
      <c r="C346">
        <v>12.65</v>
      </c>
      <c r="D346">
        <v>12.03</v>
      </c>
    </row>
    <row r="347" spans="1:4">
      <c r="A347">
        <v>346</v>
      </c>
      <c r="C347">
        <v>12.65</v>
      </c>
      <c r="D347">
        <v>12.11</v>
      </c>
    </row>
    <row r="348" spans="1:4">
      <c r="A348">
        <v>347</v>
      </c>
      <c r="C348">
        <v>13.49</v>
      </c>
      <c r="D348">
        <v>11.89</v>
      </c>
    </row>
    <row r="349" spans="1:4">
      <c r="A349">
        <v>348</v>
      </c>
      <c r="C349">
        <v>13.6</v>
      </c>
      <c r="D349">
        <v>12.6</v>
      </c>
    </row>
    <row r="350" spans="1:4">
      <c r="A350">
        <v>349</v>
      </c>
      <c r="C350">
        <v>12.27</v>
      </c>
      <c r="D350">
        <v>11.49</v>
      </c>
    </row>
    <row r="351" spans="1:4">
      <c r="A351">
        <v>350</v>
      </c>
      <c r="C351">
        <v>11.74</v>
      </c>
      <c r="D351">
        <v>11.05</v>
      </c>
    </row>
    <row r="352" spans="1:4">
      <c r="A352">
        <v>351</v>
      </c>
      <c r="C352">
        <v>11.85</v>
      </c>
      <c r="D352">
        <v>10.08</v>
      </c>
    </row>
    <row r="353" spans="1:4">
      <c r="A353">
        <v>352</v>
      </c>
      <c r="C353">
        <v>11.99</v>
      </c>
      <c r="D353">
        <v>11.31</v>
      </c>
    </row>
    <row r="354" spans="1:4">
      <c r="A354">
        <v>353</v>
      </c>
      <c r="C354">
        <v>12.56</v>
      </c>
      <c r="D354">
        <v>11.63</v>
      </c>
    </row>
    <row r="355" spans="1:4">
      <c r="A355">
        <v>354</v>
      </c>
      <c r="C355">
        <v>12.97</v>
      </c>
      <c r="D355">
        <v>12.1</v>
      </c>
    </row>
    <row r="356" spans="1:4">
      <c r="A356">
        <v>355</v>
      </c>
      <c r="C356">
        <v>12.96</v>
      </c>
      <c r="D356">
        <v>12.05</v>
      </c>
    </row>
    <row r="357" spans="1:4">
      <c r="A357">
        <v>356</v>
      </c>
      <c r="C357">
        <v>12.85</v>
      </c>
      <c r="D357">
        <v>12.12</v>
      </c>
    </row>
    <row r="358" spans="1:4">
      <c r="A358">
        <v>357</v>
      </c>
      <c r="C358">
        <v>13.31</v>
      </c>
      <c r="D358">
        <v>12.41</v>
      </c>
    </row>
    <row r="359" spans="1:4">
      <c r="A359">
        <v>358</v>
      </c>
      <c r="C359">
        <v>14.05</v>
      </c>
      <c r="D359">
        <v>13.27</v>
      </c>
    </row>
    <row r="360" spans="1:4">
      <c r="A360">
        <v>359</v>
      </c>
      <c r="C360">
        <v>13.63</v>
      </c>
      <c r="D360">
        <v>12.91</v>
      </c>
    </row>
    <row r="361" spans="1:4">
      <c r="A361">
        <v>360</v>
      </c>
      <c r="C361">
        <v>13.99</v>
      </c>
      <c r="D361">
        <v>12.78</v>
      </c>
    </row>
    <row r="362" spans="1:4">
      <c r="A362">
        <v>361</v>
      </c>
      <c r="C362">
        <v>13.03</v>
      </c>
      <c r="D362">
        <v>12.63</v>
      </c>
    </row>
    <row r="363" spans="1:4">
      <c r="A363">
        <v>362</v>
      </c>
      <c r="C363">
        <v>13.45</v>
      </c>
      <c r="D363">
        <v>12.36</v>
      </c>
    </row>
    <row r="364" spans="1:4">
      <c r="A364">
        <v>363</v>
      </c>
      <c r="C364">
        <v>12.72</v>
      </c>
      <c r="D364">
        <v>11.71</v>
      </c>
    </row>
    <row r="365" spans="1:4">
      <c r="A365">
        <v>364</v>
      </c>
      <c r="C365">
        <v>12</v>
      </c>
      <c r="D365">
        <v>11.05</v>
      </c>
    </row>
    <row r="366" spans="1:4">
      <c r="A366">
        <v>365</v>
      </c>
      <c r="C366">
        <v>12.19</v>
      </c>
      <c r="D366">
        <v>11.01</v>
      </c>
    </row>
    <row r="367" spans="1:4">
      <c r="A367">
        <v>366</v>
      </c>
      <c r="C367">
        <v>12.05</v>
      </c>
      <c r="D367">
        <v>10.95</v>
      </c>
    </row>
    <row r="368" spans="1:4">
      <c r="A368">
        <v>367</v>
      </c>
      <c r="C368">
        <v>10.95</v>
      </c>
      <c r="D368">
        <v>10.36</v>
      </c>
    </row>
    <row r="369" spans="1:4">
      <c r="A369">
        <v>368</v>
      </c>
      <c r="C369">
        <v>11.35</v>
      </c>
      <c r="D369">
        <v>10.6</v>
      </c>
    </row>
    <row r="370" spans="1:4">
      <c r="A370">
        <v>369</v>
      </c>
      <c r="C370">
        <v>11.47</v>
      </c>
      <c r="D370">
        <v>11.1</v>
      </c>
    </row>
    <row r="371" spans="1:4">
      <c r="A371">
        <v>370</v>
      </c>
      <c r="C371">
        <v>11.6</v>
      </c>
      <c r="D371">
        <v>11.19</v>
      </c>
    </row>
    <row r="372" spans="1:4">
      <c r="A372">
        <v>371</v>
      </c>
      <c r="C372">
        <v>11.73</v>
      </c>
      <c r="D372">
        <v>10.88</v>
      </c>
    </row>
    <row r="373" spans="1:4">
      <c r="A373">
        <v>372</v>
      </c>
      <c r="C373">
        <v>11.51</v>
      </c>
      <c r="D373">
        <v>10.97</v>
      </c>
    </row>
    <row r="374" spans="1:4">
      <c r="A374">
        <v>373</v>
      </c>
      <c r="C374">
        <v>12.12</v>
      </c>
      <c r="D374">
        <v>10.98</v>
      </c>
    </row>
    <row r="375" spans="1:4">
      <c r="A375">
        <v>374</v>
      </c>
      <c r="C375">
        <v>12.57</v>
      </c>
      <c r="D375">
        <v>11.66</v>
      </c>
    </row>
    <row r="376" spans="1:4">
      <c r="A376">
        <v>375</v>
      </c>
      <c r="C376">
        <v>12.41</v>
      </c>
      <c r="D376">
        <v>11.61</v>
      </c>
    </row>
    <row r="377" spans="1:4">
      <c r="A377">
        <v>376</v>
      </c>
      <c r="C377">
        <v>12.19</v>
      </c>
      <c r="D377">
        <v>11.47</v>
      </c>
    </row>
    <row r="378" spans="1:4">
      <c r="A378">
        <v>377</v>
      </c>
      <c r="C378">
        <v>11.51</v>
      </c>
      <c r="D378">
        <v>10.75</v>
      </c>
    </row>
    <row r="379" spans="1:4">
      <c r="A379">
        <v>378</v>
      </c>
      <c r="C379">
        <v>12.55</v>
      </c>
      <c r="D379">
        <v>11.23</v>
      </c>
    </row>
    <row r="380" spans="1:4">
      <c r="A380">
        <v>379</v>
      </c>
      <c r="C380">
        <v>12.39</v>
      </c>
      <c r="D380">
        <v>11.19</v>
      </c>
    </row>
    <row r="381" spans="1:4">
      <c r="A381">
        <v>380</v>
      </c>
      <c r="C381">
        <v>12.39</v>
      </c>
      <c r="D381">
        <v>11.43</v>
      </c>
    </row>
    <row r="382" spans="1:4">
      <c r="A382">
        <v>381</v>
      </c>
      <c r="C382">
        <v>12.11</v>
      </c>
      <c r="D382">
        <v>11.72</v>
      </c>
    </row>
    <row r="383" spans="1:4">
      <c r="A383">
        <v>382</v>
      </c>
      <c r="C383">
        <v>12.87</v>
      </c>
      <c r="D383">
        <v>10.93</v>
      </c>
    </row>
    <row r="384" spans="1:4">
      <c r="A384">
        <v>383</v>
      </c>
      <c r="C384">
        <v>13.06</v>
      </c>
      <c r="D384">
        <v>11.87</v>
      </c>
    </row>
    <row r="385" spans="1:4">
      <c r="A385">
        <v>384</v>
      </c>
      <c r="C385">
        <v>12.75</v>
      </c>
      <c r="D385">
        <v>12.07</v>
      </c>
    </row>
    <row r="386" spans="1:4">
      <c r="A386">
        <v>385</v>
      </c>
      <c r="C386">
        <v>13.3</v>
      </c>
      <c r="D386">
        <v>10.92</v>
      </c>
    </row>
    <row r="387" spans="1:4">
      <c r="A387">
        <v>386</v>
      </c>
      <c r="C387">
        <v>12.96</v>
      </c>
      <c r="D387">
        <v>11.99</v>
      </c>
    </row>
    <row r="388" spans="1:4">
      <c r="A388">
        <v>387</v>
      </c>
      <c r="C388">
        <v>12.69</v>
      </c>
      <c r="D388">
        <v>12.22</v>
      </c>
    </row>
    <row r="389" spans="1:4">
      <c r="A389">
        <v>388</v>
      </c>
      <c r="C389">
        <v>13.05</v>
      </c>
      <c r="D389">
        <v>12.45</v>
      </c>
    </row>
    <row r="390" spans="1:4">
      <c r="A390">
        <v>389</v>
      </c>
      <c r="C390">
        <v>15.26</v>
      </c>
      <c r="D390">
        <v>12.99</v>
      </c>
    </row>
    <row r="391" spans="1:4">
      <c r="A391">
        <v>390</v>
      </c>
      <c r="C391">
        <v>13.8</v>
      </c>
      <c r="D391">
        <v>12.77</v>
      </c>
    </row>
    <row r="392" spans="1:4">
      <c r="A392">
        <v>391</v>
      </c>
      <c r="C392">
        <v>13.27</v>
      </c>
      <c r="D392">
        <v>11.73</v>
      </c>
    </row>
    <row r="393" spans="1:4">
      <c r="A393">
        <v>392</v>
      </c>
      <c r="C393">
        <v>12.77</v>
      </c>
      <c r="D393">
        <v>12.39</v>
      </c>
    </row>
    <row r="394" spans="1:4">
      <c r="A394">
        <v>393</v>
      </c>
      <c r="C394">
        <v>13.05</v>
      </c>
      <c r="D394">
        <v>12.54</v>
      </c>
    </row>
    <row r="395" spans="1:4">
      <c r="A395">
        <v>394</v>
      </c>
      <c r="C395">
        <v>13.67</v>
      </c>
      <c r="D395">
        <v>12.85</v>
      </c>
    </row>
    <row r="396" spans="1:4">
      <c r="A396">
        <v>395</v>
      </c>
      <c r="C396">
        <v>13.35</v>
      </c>
      <c r="D396">
        <v>13.02</v>
      </c>
    </row>
    <row r="397" spans="1:4">
      <c r="A397">
        <v>396</v>
      </c>
      <c r="C397">
        <v>13.82</v>
      </c>
      <c r="D397">
        <v>13.03</v>
      </c>
    </row>
    <row r="398" spans="1:4">
      <c r="A398">
        <v>397</v>
      </c>
      <c r="C398">
        <v>13.87</v>
      </c>
      <c r="D398">
        <v>13.22</v>
      </c>
    </row>
    <row r="399" spans="1:4">
      <c r="A399">
        <v>398</v>
      </c>
      <c r="C399">
        <v>14.15</v>
      </c>
      <c r="D399">
        <v>13.39</v>
      </c>
    </row>
    <row r="400" spans="1:4">
      <c r="A400">
        <v>399</v>
      </c>
      <c r="C400">
        <v>13.98</v>
      </c>
      <c r="D400">
        <v>13.09</v>
      </c>
    </row>
    <row r="401" spans="1:4">
      <c r="A401">
        <v>400</v>
      </c>
      <c r="C401">
        <v>14.49</v>
      </c>
      <c r="D401">
        <v>13.76</v>
      </c>
    </row>
    <row r="402" spans="1:4">
      <c r="A402">
        <v>401</v>
      </c>
      <c r="C402">
        <v>13.81</v>
      </c>
      <c r="D402">
        <v>12.83</v>
      </c>
    </row>
    <row r="403" spans="1:4">
      <c r="A403">
        <v>402</v>
      </c>
      <c r="C403">
        <v>13.99</v>
      </c>
      <c r="D403">
        <v>13.06</v>
      </c>
    </row>
    <row r="404" spans="1:4">
      <c r="A404">
        <v>403</v>
      </c>
      <c r="C404">
        <v>13.31</v>
      </c>
      <c r="D404">
        <v>13.06</v>
      </c>
    </row>
    <row r="405" spans="1:4">
      <c r="A405">
        <v>404</v>
      </c>
      <c r="C405">
        <v>13.02</v>
      </c>
      <c r="D405">
        <v>12.6</v>
      </c>
    </row>
    <row r="406" spans="1:4">
      <c r="A406">
        <v>405</v>
      </c>
      <c r="C406">
        <v>13.35</v>
      </c>
      <c r="D406">
        <v>12.57</v>
      </c>
    </row>
    <row r="407" spans="1:4">
      <c r="A407">
        <v>406</v>
      </c>
      <c r="C407">
        <v>13.34</v>
      </c>
      <c r="D407">
        <v>12.45</v>
      </c>
    </row>
    <row r="408" spans="1:4">
      <c r="A408">
        <v>407</v>
      </c>
      <c r="C408">
        <v>14.35</v>
      </c>
      <c r="D408">
        <v>12.67</v>
      </c>
    </row>
    <row r="409" spans="1:4">
      <c r="A409">
        <v>408</v>
      </c>
      <c r="C409">
        <v>12.76</v>
      </c>
      <c r="D409">
        <v>12.27</v>
      </c>
    </row>
    <row r="410" spans="1:4">
      <c r="A410">
        <v>409</v>
      </c>
      <c r="C410">
        <v>12.59</v>
      </c>
      <c r="D410">
        <v>11.47</v>
      </c>
    </row>
    <row r="411" spans="1:4">
      <c r="A411">
        <v>410</v>
      </c>
      <c r="C411">
        <v>12.83</v>
      </c>
      <c r="D411">
        <v>12.09</v>
      </c>
    </row>
    <row r="412" spans="1:4">
      <c r="A412">
        <v>411</v>
      </c>
      <c r="C412">
        <v>12.27</v>
      </c>
      <c r="D412">
        <v>11.36</v>
      </c>
    </row>
    <row r="413" spans="1:4">
      <c r="A413">
        <v>412</v>
      </c>
      <c r="C413">
        <v>13.78</v>
      </c>
      <c r="D413">
        <v>11.89</v>
      </c>
    </row>
    <row r="414" spans="1:4">
      <c r="A414">
        <v>413</v>
      </c>
      <c r="C414">
        <v>12.98</v>
      </c>
      <c r="D414">
        <v>12.43</v>
      </c>
    </row>
    <row r="415" spans="1:4">
      <c r="A415">
        <v>414</v>
      </c>
      <c r="C415">
        <v>13.37</v>
      </c>
      <c r="D415">
        <v>11.8</v>
      </c>
    </row>
    <row r="416" spans="1:4">
      <c r="A416">
        <v>415</v>
      </c>
      <c r="C416">
        <v>13.52</v>
      </c>
      <c r="D416">
        <v>12.86</v>
      </c>
    </row>
    <row r="417" spans="1:4">
      <c r="A417">
        <v>416</v>
      </c>
      <c r="C417">
        <v>12.69</v>
      </c>
      <c r="D417">
        <v>12.11</v>
      </c>
    </row>
    <row r="418" spans="1:4">
      <c r="A418">
        <v>417</v>
      </c>
      <c r="C418">
        <v>13.2</v>
      </c>
      <c r="D418">
        <v>12.05</v>
      </c>
    </row>
    <row r="419" spans="1:4">
      <c r="A419">
        <v>418</v>
      </c>
      <c r="C419">
        <v>13.8</v>
      </c>
      <c r="D419">
        <v>11.63</v>
      </c>
    </row>
    <row r="420" spans="1:4">
      <c r="A420">
        <v>419</v>
      </c>
      <c r="C420">
        <v>12.42</v>
      </c>
      <c r="D420">
        <v>11.74</v>
      </c>
    </row>
    <row r="421" spans="1:4">
      <c r="A421">
        <v>420</v>
      </c>
      <c r="C421">
        <v>11.95</v>
      </c>
      <c r="D421">
        <v>11.36</v>
      </c>
    </row>
    <row r="422" spans="1:4">
      <c r="A422">
        <v>421</v>
      </c>
      <c r="C422">
        <v>11.68</v>
      </c>
      <c r="D422">
        <v>10.83</v>
      </c>
    </row>
    <row r="423" spans="1:4">
      <c r="A423">
        <v>422</v>
      </c>
      <c r="C423">
        <v>12.03</v>
      </c>
      <c r="D423">
        <v>11.28</v>
      </c>
    </row>
    <row r="424" spans="1:4">
      <c r="A424">
        <v>423</v>
      </c>
      <c r="C424">
        <v>12.08</v>
      </c>
      <c r="D424">
        <v>10.19</v>
      </c>
    </row>
    <row r="425" spans="1:4">
      <c r="A425">
        <v>424</v>
      </c>
      <c r="C425">
        <v>12.53</v>
      </c>
      <c r="D425">
        <v>10.65</v>
      </c>
    </row>
    <row r="426" spans="1:4">
      <c r="A426">
        <v>425</v>
      </c>
      <c r="C426">
        <v>11.94</v>
      </c>
      <c r="D426">
        <v>10.49</v>
      </c>
    </row>
    <row r="427" spans="1:4">
      <c r="A427">
        <v>426</v>
      </c>
      <c r="C427">
        <v>12.09</v>
      </c>
      <c r="D427">
        <v>11.31</v>
      </c>
    </row>
    <row r="428" spans="1:4">
      <c r="A428">
        <v>427</v>
      </c>
      <c r="C428">
        <v>12.15</v>
      </c>
      <c r="D428">
        <v>11.32</v>
      </c>
    </row>
    <row r="429" spans="1:4">
      <c r="A429">
        <v>428</v>
      </c>
      <c r="C429">
        <v>12</v>
      </c>
      <c r="D429">
        <v>11.18</v>
      </c>
    </row>
    <row r="430" spans="1:4">
      <c r="A430">
        <v>429</v>
      </c>
      <c r="C430">
        <v>11.93</v>
      </c>
      <c r="D430">
        <v>10.87</v>
      </c>
    </row>
    <row r="431" spans="1:4">
      <c r="A431">
        <v>430</v>
      </c>
      <c r="C431">
        <v>11.84</v>
      </c>
      <c r="D431">
        <v>11</v>
      </c>
    </row>
    <row r="432" spans="1:4">
      <c r="A432">
        <v>431</v>
      </c>
      <c r="C432">
        <v>12.72</v>
      </c>
      <c r="D432">
        <v>12.3</v>
      </c>
    </row>
    <row r="433" spans="1:4">
      <c r="A433">
        <v>432</v>
      </c>
      <c r="C433">
        <v>13.31</v>
      </c>
      <c r="D433">
        <v>12.4</v>
      </c>
    </row>
    <row r="434" spans="1:4">
      <c r="A434">
        <v>433</v>
      </c>
      <c r="C434">
        <v>12.81</v>
      </c>
      <c r="D434">
        <v>12.35</v>
      </c>
    </row>
    <row r="435" spans="1:4">
      <c r="A435">
        <v>434</v>
      </c>
      <c r="C435">
        <v>13.18</v>
      </c>
      <c r="D435">
        <v>11.89</v>
      </c>
    </row>
    <row r="436" spans="1:4">
      <c r="A436">
        <v>435</v>
      </c>
      <c r="C436">
        <v>12.94</v>
      </c>
      <c r="D436">
        <v>12.37</v>
      </c>
    </row>
    <row r="437" spans="1:4">
      <c r="A437">
        <v>436</v>
      </c>
      <c r="C437">
        <v>13.43</v>
      </c>
      <c r="D437">
        <v>12.31</v>
      </c>
    </row>
    <row r="438" spans="1:4">
      <c r="A438">
        <v>437</v>
      </c>
      <c r="C438">
        <v>13.23</v>
      </c>
      <c r="D438">
        <v>12.08</v>
      </c>
    </row>
    <row r="439" spans="1:4">
      <c r="A439">
        <v>438</v>
      </c>
      <c r="C439">
        <v>13.95</v>
      </c>
      <c r="D439">
        <v>12.48</v>
      </c>
    </row>
    <row r="440" spans="1:4">
      <c r="A440">
        <v>439</v>
      </c>
      <c r="C440">
        <v>12.87</v>
      </c>
      <c r="D440">
        <v>11.67</v>
      </c>
    </row>
    <row r="441" spans="1:4">
      <c r="A441">
        <v>440</v>
      </c>
      <c r="C441">
        <v>13.25</v>
      </c>
      <c r="D441">
        <v>12.09</v>
      </c>
    </row>
    <row r="442" spans="1:4">
      <c r="A442">
        <v>441</v>
      </c>
      <c r="C442">
        <v>14.37</v>
      </c>
      <c r="D442">
        <v>12.29</v>
      </c>
    </row>
    <row r="443" spans="1:4">
      <c r="A443">
        <v>442</v>
      </c>
      <c r="C443">
        <v>14.94</v>
      </c>
      <c r="D443">
        <v>14.26</v>
      </c>
    </row>
    <row r="444" spans="1:4">
      <c r="A444">
        <v>443</v>
      </c>
      <c r="C444">
        <v>15.42</v>
      </c>
      <c r="D444">
        <v>13.31</v>
      </c>
    </row>
    <row r="445" spans="1:4">
      <c r="A445">
        <v>444</v>
      </c>
      <c r="C445">
        <v>16.29</v>
      </c>
      <c r="D445">
        <v>14.12</v>
      </c>
    </row>
    <row r="446" spans="1:4">
      <c r="A446">
        <v>445</v>
      </c>
      <c r="C446">
        <v>14.71</v>
      </c>
      <c r="D446">
        <v>13.45</v>
      </c>
    </row>
    <row r="447" spans="1:4">
      <c r="A447">
        <v>446</v>
      </c>
      <c r="C447">
        <v>15.52</v>
      </c>
      <c r="D447">
        <v>14.58</v>
      </c>
    </row>
    <row r="448" spans="1:4">
      <c r="A448">
        <v>447</v>
      </c>
      <c r="C448">
        <v>16.47</v>
      </c>
      <c r="D448">
        <v>14.97</v>
      </c>
    </row>
    <row r="449" spans="1:4">
      <c r="A449">
        <v>448</v>
      </c>
      <c r="C449">
        <v>14.82</v>
      </c>
      <c r="D449">
        <v>14.43</v>
      </c>
    </row>
    <row r="450" spans="1:4">
      <c r="A450">
        <v>449</v>
      </c>
      <c r="C450">
        <v>14.64</v>
      </c>
      <c r="D450">
        <v>13.66</v>
      </c>
    </row>
    <row r="451" spans="1:4">
      <c r="A451">
        <v>450</v>
      </c>
      <c r="C451">
        <v>14.39</v>
      </c>
      <c r="D451">
        <v>13.49</v>
      </c>
    </row>
    <row r="452" spans="1:4">
      <c r="A452">
        <v>451</v>
      </c>
      <c r="C452">
        <v>15.35</v>
      </c>
      <c r="D452">
        <v>14.57</v>
      </c>
    </row>
    <row r="453" spans="1:4">
      <c r="A453">
        <v>452</v>
      </c>
      <c r="C453">
        <v>14.86</v>
      </c>
      <c r="D453">
        <v>14.03</v>
      </c>
    </row>
    <row r="454" spans="1:4">
      <c r="A454">
        <v>453</v>
      </c>
      <c r="C454">
        <v>14.56</v>
      </c>
      <c r="D454">
        <v>12.55</v>
      </c>
    </row>
    <row r="455" spans="1:4">
      <c r="A455">
        <v>454</v>
      </c>
      <c r="C455">
        <v>14.38</v>
      </c>
      <c r="D455">
        <v>13.48</v>
      </c>
    </row>
    <row r="456" spans="1:4">
      <c r="A456">
        <v>455</v>
      </c>
      <c r="C456">
        <v>13.77</v>
      </c>
      <c r="D456">
        <v>13.13</v>
      </c>
    </row>
    <row r="457" spans="1:4">
      <c r="A457">
        <v>456</v>
      </c>
      <c r="C457">
        <v>14.7</v>
      </c>
      <c r="D457">
        <v>14.03</v>
      </c>
    </row>
    <row r="458" spans="1:4">
      <c r="A458">
        <v>457</v>
      </c>
      <c r="C458">
        <v>14.33</v>
      </c>
      <c r="D458">
        <v>13.85</v>
      </c>
    </row>
    <row r="459" spans="1:4">
      <c r="A459">
        <v>458</v>
      </c>
      <c r="C459">
        <v>14.72</v>
      </c>
      <c r="D459">
        <v>13.39</v>
      </c>
    </row>
    <row r="460" spans="1:4">
      <c r="A460">
        <v>459</v>
      </c>
      <c r="C460">
        <v>16.989999999999998</v>
      </c>
      <c r="D460">
        <v>14.41</v>
      </c>
    </row>
    <row r="461" spans="1:4">
      <c r="A461">
        <v>460</v>
      </c>
      <c r="C461">
        <v>15.9</v>
      </c>
      <c r="D461">
        <v>14.63</v>
      </c>
    </row>
    <row r="462" spans="1:4">
      <c r="A462">
        <v>461</v>
      </c>
      <c r="C462">
        <v>14.8</v>
      </c>
      <c r="D462">
        <v>14.25</v>
      </c>
    </row>
    <row r="463" spans="1:4">
      <c r="A463">
        <v>462</v>
      </c>
      <c r="C463">
        <v>14.08</v>
      </c>
      <c r="D463">
        <v>13.43</v>
      </c>
    </row>
    <row r="464" spans="1:4">
      <c r="A464">
        <v>463</v>
      </c>
      <c r="C464">
        <v>13.98</v>
      </c>
      <c r="D464">
        <v>13.39</v>
      </c>
    </row>
    <row r="465" spans="1:4">
      <c r="A465">
        <v>464</v>
      </c>
      <c r="C465">
        <v>13.64</v>
      </c>
      <c r="D465">
        <v>13.09</v>
      </c>
    </row>
    <row r="466" spans="1:4">
      <c r="A466">
        <v>465</v>
      </c>
      <c r="C466">
        <v>13.08</v>
      </c>
      <c r="D466">
        <v>12.12</v>
      </c>
    </row>
    <row r="467" spans="1:4">
      <c r="A467">
        <v>466</v>
      </c>
      <c r="C467">
        <v>13.45</v>
      </c>
      <c r="D467">
        <v>12.66</v>
      </c>
    </row>
    <row r="468" spans="1:4">
      <c r="A468">
        <v>467</v>
      </c>
      <c r="C468">
        <v>13.99</v>
      </c>
      <c r="D468">
        <v>12.78</v>
      </c>
    </row>
    <row r="469" spans="1:4">
      <c r="A469">
        <v>468</v>
      </c>
      <c r="C469">
        <v>13.03</v>
      </c>
      <c r="D469">
        <v>12.11</v>
      </c>
    </row>
    <row r="470" spans="1:4">
      <c r="A470">
        <v>469</v>
      </c>
      <c r="C470">
        <v>13.19</v>
      </c>
      <c r="D470">
        <v>12.31</v>
      </c>
    </row>
    <row r="471" spans="1:4">
      <c r="A471">
        <v>470</v>
      </c>
      <c r="C471">
        <v>13.45</v>
      </c>
      <c r="D471">
        <v>12.61</v>
      </c>
    </row>
    <row r="472" spans="1:4">
      <c r="A472">
        <v>471</v>
      </c>
      <c r="C472">
        <v>14.1</v>
      </c>
      <c r="D472">
        <v>13.01</v>
      </c>
    </row>
    <row r="473" spans="1:4">
      <c r="A473">
        <v>472</v>
      </c>
      <c r="C473">
        <v>13.97</v>
      </c>
      <c r="D473">
        <v>13.14</v>
      </c>
    </row>
    <row r="474" spans="1:4">
      <c r="A474">
        <v>473</v>
      </c>
      <c r="C474">
        <v>13.9</v>
      </c>
      <c r="D474">
        <v>12.94</v>
      </c>
    </row>
    <row r="475" spans="1:4">
      <c r="A475">
        <v>474</v>
      </c>
      <c r="C475">
        <v>13.01</v>
      </c>
      <c r="D475">
        <v>12.47</v>
      </c>
    </row>
    <row r="476" spans="1:4">
      <c r="A476">
        <v>475</v>
      </c>
      <c r="C476">
        <v>12.8</v>
      </c>
      <c r="D476">
        <v>12.35</v>
      </c>
    </row>
    <row r="477" spans="1:4">
      <c r="A477">
        <v>476</v>
      </c>
      <c r="C477">
        <v>13.27</v>
      </c>
      <c r="D477">
        <v>12.17</v>
      </c>
    </row>
    <row r="478" spans="1:4">
      <c r="A478">
        <v>477</v>
      </c>
      <c r="C478">
        <v>12.34</v>
      </c>
      <c r="D478">
        <v>11.73</v>
      </c>
    </row>
    <row r="479" spans="1:4">
      <c r="A479">
        <v>478</v>
      </c>
      <c r="C479">
        <v>11.96</v>
      </c>
      <c r="D479">
        <v>11.61</v>
      </c>
    </row>
    <row r="480" spans="1:4">
      <c r="A480">
        <v>479</v>
      </c>
      <c r="C480">
        <v>12.8</v>
      </c>
      <c r="D480">
        <v>11.81</v>
      </c>
    </row>
    <row r="481" spans="1:4">
      <c r="A481">
        <v>480</v>
      </c>
      <c r="C481">
        <v>12.7</v>
      </c>
      <c r="D481">
        <v>10.57</v>
      </c>
    </row>
    <row r="482" spans="1:4">
      <c r="A482">
        <v>481</v>
      </c>
      <c r="C482">
        <v>12.26</v>
      </c>
      <c r="D482">
        <v>11.52</v>
      </c>
    </row>
    <row r="483" spans="1:4">
      <c r="A483">
        <v>482</v>
      </c>
      <c r="C483">
        <v>11.96</v>
      </c>
      <c r="D483">
        <v>10.93</v>
      </c>
    </row>
    <row r="484" spans="1:4">
      <c r="A484">
        <v>483</v>
      </c>
      <c r="C484">
        <v>11.92</v>
      </c>
      <c r="D484">
        <v>10.9</v>
      </c>
    </row>
    <row r="485" spans="1:4">
      <c r="A485">
        <v>484</v>
      </c>
      <c r="C485">
        <v>11.64</v>
      </c>
      <c r="D485">
        <v>11.04</v>
      </c>
    </row>
    <row r="486" spans="1:4">
      <c r="A486">
        <v>485</v>
      </c>
      <c r="C486">
        <v>11.35</v>
      </c>
      <c r="D486">
        <v>10.06</v>
      </c>
    </row>
    <row r="487" spans="1:4">
      <c r="A487">
        <v>486</v>
      </c>
      <c r="C487">
        <v>11.98</v>
      </c>
      <c r="D487">
        <v>10.47</v>
      </c>
    </row>
    <row r="488" spans="1:4">
      <c r="A488">
        <v>487</v>
      </c>
      <c r="C488">
        <v>13.17</v>
      </c>
      <c r="D488">
        <v>10.82</v>
      </c>
    </row>
    <row r="489" spans="1:4">
      <c r="A489">
        <v>488</v>
      </c>
      <c r="C489">
        <v>13.18</v>
      </c>
      <c r="D489">
        <v>12.14</v>
      </c>
    </row>
    <row r="490" spans="1:4">
      <c r="A490">
        <v>489</v>
      </c>
      <c r="C490">
        <v>12.67</v>
      </c>
      <c r="D490">
        <v>10.15</v>
      </c>
    </row>
    <row r="491" spans="1:4">
      <c r="A491">
        <v>490</v>
      </c>
      <c r="C491">
        <v>12.21</v>
      </c>
      <c r="D491">
        <v>10.88</v>
      </c>
    </row>
    <row r="492" spans="1:4">
      <c r="A492">
        <v>491</v>
      </c>
      <c r="C492">
        <v>11.34</v>
      </c>
      <c r="D492">
        <v>10.07</v>
      </c>
    </row>
    <row r="493" spans="1:4">
      <c r="A493">
        <v>492</v>
      </c>
      <c r="C493">
        <v>11.51</v>
      </c>
      <c r="D493">
        <v>10.15</v>
      </c>
    </row>
    <row r="494" spans="1:4">
      <c r="A494">
        <v>493</v>
      </c>
      <c r="C494">
        <v>11.44</v>
      </c>
      <c r="D494">
        <v>10.27</v>
      </c>
    </row>
    <row r="495" spans="1:4">
      <c r="A495">
        <v>494</v>
      </c>
      <c r="C495">
        <v>12.22</v>
      </c>
      <c r="D495">
        <v>11.12</v>
      </c>
    </row>
    <row r="496" spans="1:4">
      <c r="A496">
        <v>495</v>
      </c>
      <c r="C496">
        <v>14.86</v>
      </c>
      <c r="D496">
        <v>11.02</v>
      </c>
    </row>
    <row r="497" spans="1:4">
      <c r="A497">
        <v>496</v>
      </c>
      <c r="C497">
        <v>15.42</v>
      </c>
      <c r="D497">
        <v>13.11</v>
      </c>
    </row>
    <row r="498" spans="1:4">
      <c r="A498">
        <v>497</v>
      </c>
      <c r="C498">
        <v>12.34</v>
      </c>
      <c r="D498">
        <v>11.11</v>
      </c>
    </row>
    <row r="499" spans="1:4">
      <c r="A499">
        <v>498</v>
      </c>
      <c r="C499">
        <v>13.01</v>
      </c>
      <c r="D499">
        <v>10.65</v>
      </c>
    </row>
    <row r="500" spans="1:4">
      <c r="A500">
        <v>499</v>
      </c>
      <c r="C500">
        <v>11.58</v>
      </c>
      <c r="D500">
        <v>10.97</v>
      </c>
    </row>
    <row r="501" spans="1:4">
      <c r="A501">
        <v>500</v>
      </c>
      <c r="C501">
        <v>11.87</v>
      </c>
      <c r="D501">
        <v>11.48</v>
      </c>
    </row>
    <row r="502" spans="1:4">
      <c r="A502">
        <v>501</v>
      </c>
      <c r="C502">
        <v>12.65</v>
      </c>
      <c r="D502">
        <v>11.19</v>
      </c>
    </row>
    <row r="503" spans="1:4">
      <c r="A503">
        <v>502</v>
      </c>
      <c r="C503">
        <v>12.37</v>
      </c>
      <c r="D503">
        <v>11.9</v>
      </c>
    </row>
    <row r="504" spans="1:4">
      <c r="A504">
        <v>503</v>
      </c>
      <c r="C504">
        <v>13.14</v>
      </c>
      <c r="D504">
        <v>12.31</v>
      </c>
    </row>
    <row r="505" spans="1:4">
      <c r="A505">
        <v>504</v>
      </c>
      <c r="C505">
        <v>13.39</v>
      </c>
      <c r="D505">
        <v>12.19</v>
      </c>
    </row>
    <row r="506" spans="1:4">
      <c r="A506">
        <v>505</v>
      </c>
      <c r="C506">
        <v>12.29</v>
      </c>
      <c r="D506">
        <v>11.45</v>
      </c>
    </row>
    <row r="507" spans="1:4">
      <c r="A507">
        <v>506</v>
      </c>
      <c r="C507">
        <v>14.23</v>
      </c>
      <c r="D507">
        <v>11.23</v>
      </c>
    </row>
    <row r="508" spans="1:4">
      <c r="A508">
        <v>507</v>
      </c>
      <c r="C508">
        <v>14.74</v>
      </c>
      <c r="D508">
        <v>13.55</v>
      </c>
    </row>
    <row r="509" spans="1:4">
      <c r="A509">
        <v>508</v>
      </c>
      <c r="C509">
        <v>13.22</v>
      </c>
      <c r="D509">
        <v>12.44</v>
      </c>
    </row>
    <row r="510" spans="1:4">
      <c r="A510">
        <v>509</v>
      </c>
      <c r="C510">
        <v>15.48</v>
      </c>
      <c r="D510">
        <v>13.04</v>
      </c>
    </row>
    <row r="511" spans="1:4">
      <c r="A511">
        <v>510</v>
      </c>
      <c r="C511">
        <v>16.87</v>
      </c>
      <c r="D511">
        <v>15.65</v>
      </c>
    </row>
    <row r="512" spans="1:4">
      <c r="A512">
        <v>511</v>
      </c>
      <c r="C512">
        <v>16.100000000000001</v>
      </c>
      <c r="D512">
        <v>14.62</v>
      </c>
    </row>
    <row r="513" spans="1:4">
      <c r="A513">
        <v>512</v>
      </c>
      <c r="C513">
        <v>15</v>
      </c>
      <c r="D513">
        <v>14.15</v>
      </c>
    </row>
    <row r="514" spans="1:4">
      <c r="A514">
        <v>513</v>
      </c>
      <c r="C514">
        <v>15.13</v>
      </c>
      <c r="D514">
        <v>14.03</v>
      </c>
    </row>
    <row r="515" spans="1:4">
      <c r="A515">
        <v>514</v>
      </c>
      <c r="C515">
        <v>15.33</v>
      </c>
      <c r="D515">
        <v>14.09</v>
      </c>
    </row>
    <row r="516" spans="1:4">
      <c r="A516">
        <v>515</v>
      </c>
      <c r="C516">
        <v>14.31</v>
      </c>
      <c r="D516">
        <v>13.55</v>
      </c>
    </row>
    <row r="517" spans="1:4">
      <c r="A517">
        <v>516</v>
      </c>
      <c r="C517">
        <v>14.36</v>
      </c>
      <c r="D517">
        <v>13.54</v>
      </c>
    </row>
    <row r="518" spans="1:4">
      <c r="A518">
        <v>517</v>
      </c>
      <c r="C518">
        <v>13.57</v>
      </c>
      <c r="D518">
        <v>12.59</v>
      </c>
    </row>
    <row r="519" spans="1:4">
      <c r="A519">
        <v>518</v>
      </c>
      <c r="C519">
        <v>13.53</v>
      </c>
      <c r="D519">
        <v>12.52</v>
      </c>
    </row>
    <row r="520" spans="1:4">
      <c r="A520">
        <v>519</v>
      </c>
      <c r="C520">
        <v>13.67</v>
      </c>
      <c r="D520">
        <v>13.32</v>
      </c>
    </row>
    <row r="521" spans="1:4">
      <c r="A521">
        <v>520</v>
      </c>
      <c r="C521">
        <v>12.99</v>
      </c>
      <c r="D521">
        <v>12.5</v>
      </c>
    </row>
    <row r="522" spans="1:4">
      <c r="A522">
        <v>521</v>
      </c>
      <c r="C522">
        <v>12.99</v>
      </c>
      <c r="D522">
        <v>12.28</v>
      </c>
    </row>
    <row r="523" spans="1:4">
      <c r="A523">
        <v>522</v>
      </c>
      <c r="C523">
        <v>12.65</v>
      </c>
      <c r="D523">
        <v>11.91</v>
      </c>
    </row>
    <row r="524" spans="1:4">
      <c r="A524">
        <v>523</v>
      </c>
      <c r="C524">
        <v>12.34</v>
      </c>
      <c r="D524">
        <v>12.05</v>
      </c>
    </row>
    <row r="525" spans="1:4">
      <c r="A525">
        <v>524</v>
      </c>
      <c r="C525">
        <v>12.42</v>
      </c>
      <c r="D525">
        <v>11.39</v>
      </c>
    </row>
    <row r="526" spans="1:4">
      <c r="A526">
        <v>525</v>
      </c>
      <c r="C526">
        <v>13.04</v>
      </c>
      <c r="D526">
        <v>12.35</v>
      </c>
    </row>
    <row r="527" spans="1:4">
      <c r="A527">
        <v>526</v>
      </c>
      <c r="C527">
        <v>12.87</v>
      </c>
      <c r="D527">
        <v>11.11</v>
      </c>
    </row>
    <row r="528" spans="1:4">
      <c r="A528">
        <v>527</v>
      </c>
      <c r="C528">
        <v>13.48</v>
      </c>
      <c r="D528">
        <v>12.42</v>
      </c>
    </row>
    <row r="529" spans="1:4">
      <c r="A529">
        <v>528</v>
      </c>
      <c r="C529">
        <v>14.04</v>
      </c>
      <c r="D529">
        <v>13.37</v>
      </c>
    </row>
    <row r="530" spans="1:4">
      <c r="A530">
        <v>529</v>
      </c>
      <c r="C530">
        <v>14.68</v>
      </c>
      <c r="D530">
        <v>13.51</v>
      </c>
    </row>
    <row r="531" spans="1:4">
      <c r="A531">
        <v>530</v>
      </c>
      <c r="C531">
        <v>14.77</v>
      </c>
      <c r="D531">
        <v>14.04</v>
      </c>
    </row>
    <row r="532" spans="1:4">
      <c r="A532">
        <v>531</v>
      </c>
      <c r="C532">
        <v>14.11</v>
      </c>
      <c r="D532">
        <v>13.43</v>
      </c>
    </row>
    <row r="533" spans="1:4">
      <c r="A533">
        <v>532</v>
      </c>
      <c r="C533">
        <v>15.4</v>
      </c>
      <c r="D533">
        <v>14.17</v>
      </c>
    </row>
    <row r="534" spans="1:4">
      <c r="A534">
        <v>533</v>
      </c>
      <c r="C534">
        <v>14.99</v>
      </c>
      <c r="D534">
        <v>14.43</v>
      </c>
    </row>
    <row r="535" spans="1:4">
      <c r="A535">
        <v>534</v>
      </c>
      <c r="C535">
        <v>15.42</v>
      </c>
      <c r="D535">
        <v>14.61</v>
      </c>
    </row>
    <row r="536" spans="1:4">
      <c r="A536">
        <v>535</v>
      </c>
      <c r="C536">
        <v>15.6</v>
      </c>
      <c r="D536">
        <v>14.68</v>
      </c>
    </row>
    <row r="537" spans="1:4">
      <c r="A537">
        <v>536</v>
      </c>
      <c r="C537">
        <v>16.309999999999999</v>
      </c>
      <c r="D537">
        <v>15.64</v>
      </c>
    </row>
    <row r="538" spans="1:4">
      <c r="A538">
        <v>537</v>
      </c>
      <c r="C538">
        <v>16.350000000000001</v>
      </c>
      <c r="D538">
        <v>14.93</v>
      </c>
    </row>
    <row r="539" spans="1:4">
      <c r="A539">
        <v>538</v>
      </c>
      <c r="C539">
        <v>17.18</v>
      </c>
      <c r="D539">
        <v>16.170000000000002</v>
      </c>
    </row>
    <row r="540" spans="1:4">
      <c r="A540">
        <v>539</v>
      </c>
      <c r="C540">
        <v>15.56</v>
      </c>
      <c r="D540">
        <v>14.47</v>
      </c>
    </row>
    <row r="541" spans="1:4">
      <c r="A541">
        <v>540</v>
      </c>
      <c r="C541">
        <v>14.57</v>
      </c>
      <c r="D541">
        <v>14</v>
      </c>
    </row>
    <row r="542" spans="1:4">
      <c r="A542">
        <v>541</v>
      </c>
      <c r="C542">
        <v>15.81</v>
      </c>
      <c r="D542">
        <v>14.64</v>
      </c>
    </row>
    <row r="543" spans="1:4">
      <c r="A543">
        <v>542</v>
      </c>
      <c r="C543">
        <v>16.39</v>
      </c>
      <c r="D543">
        <v>15.44</v>
      </c>
    </row>
    <row r="544" spans="1:4">
      <c r="A544">
        <v>543</v>
      </c>
      <c r="C544">
        <v>17.03</v>
      </c>
      <c r="D544">
        <v>16.45</v>
      </c>
    </row>
    <row r="545" spans="1:4">
      <c r="A545">
        <v>544</v>
      </c>
      <c r="C545">
        <v>16.84</v>
      </c>
      <c r="D545">
        <v>15.36</v>
      </c>
    </row>
    <row r="546" spans="1:4">
      <c r="A546">
        <v>545</v>
      </c>
      <c r="C546">
        <v>17.39</v>
      </c>
      <c r="D546">
        <v>16.37</v>
      </c>
    </row>
    <row r="547" spans="1:4">
      <c r="A547">
        <v>546</v>
      </c>
      <c r="C547">
        <v>17.920000000000002</v>
      </c>
      <c r="D547">
        <v>16.670000000000002</v>
      </c>
    </row>
    <row r="548" spans="1:4">
      <c r="A548">
        <v>547</v>
      </c>
      <c r="C548">
        <v>17.03</v>
      </c>
      <c r="D548">
        <v>16.2</v>
      </c>
    </row>
    <row r="549" spans="1:4">
      <c r="A549">
        <v>548</v>
      </c>
      <c r="C549">
        <v>16.68</v>
      </c>
      <c r="D549">
        <v>16.100000000000001</v>
      </c>
    </row>
    <row r="550" spans="1:4">
      <c r="A550">
        <v>549</v>
      </c>
      <c r="C550">
        <v>16.579999999999998</v>
      </c>
      <c r="D550">
        <v>16.03</v>
      </c>
    </row>
    <row r="551" spans="1:4">
      <c r="A551">
        <v>550</v>
      </c>
      <c r="C551">
        <v>17.100000000000001</v>
      </c>
      <c r="D551">
        <v>16.41</v>
      </c>
    </row>
    <row r="552" spans="1:4">
      <c r="A552">
        <v>551</v>
      </c>
      <c r="C552">
        <v>21.36</v>
      </c>
      <c r="D552">
        <v>17.5</v>
      </c>
    </row>
    <row r="553" spans="1:4">
      <c r="A553">
        <v>552</v>
      </c>
      <c r="C553">
        <v>21.26</v>
      </c>
      <c r="D553">
        <v>17.29</v>
      </c>
    </row>
    <row r="554" spans="1:4">
      <c r="A554">
        <v>553</v>
      </c>
      <c r="C554">
        <v>19.809999999999999</v>
      </c>
      <c r="D554">
        <v>18.22</v>
      </c>
    </row>
    <row r="555" spans="1:4">
      <c r="A555">
        <v>554</v>
      </c>
      <c r="C555">
        <v>18.87</v>
      </c>
      <c r="D555">
        <v>18.02</v>
      </c>
    </row>
    <row r="556" spans="1:4">
      <c r="A556">
        <v>555</v>
      </c>
      <c r="C556">
        <v>18.2</v>
      </c>
      <c r="D556">
        <v>16.93</v>
      </c>
    </row>
    <row r="557" spans="1:4">
      <c r="A557">
        <v>556</v>
      </c>
      <c r="C557">
        <v>17.100000000000001</v>
      </c>
      <c r="D557">
        <v>14.98</v>
      </c>
    </row>
    <row r="558" spans="1:4">
      <c r="A558">
        <v>557</v>
      </c>
      <c r="C558">
        <v>17.39</v>
      </c>
      <c r="D558">
        <v>16.489999999999998</v>
      </c>
    </row>
    <row r="559" spans="1:4">
      <c r="A559">
        <v>558</v>
      </c>
      <c r="C559">
        <v>18.420000000000002</v>
      </c>
      <c r="D559">
        <v>16.809999999999999</v>
      </c>
    </row>
    <row r="560" spans="1:4">
      <c r="A560">
        <v>559</v>
      </c>
      <c r="C560">
        <v>19.45</v>
      </c>
      <c r="D560">
        <v>18.28</v>
      </c>
    </row>
    <row r="561" spans="1:4">
      <c r="A561">
        <v>560</v>
      </c>
      <c r="C561">
        <v>18.36</v>
      </c>
      <c r="D561">
        <v>17.579999999999998</v>
      </c>
    </row>
    <row r="562" spans="1:4">
      <c r="A562">
        <v>561</v>
      </c>
      <c r="C562">
        <v>17.420000000000002</v>
      </c>
      <c r="D562">
        <v>16.93</v>
      </c>
    </row>
    <row r="563" spans="1:4">
      <c r="A563">
        <v>562</v>
      </c>
      <c r="C563">
        <v>17.98</v>
      </c>
      <c r="D563">
        <v>17.12</v>
      </c>
    </row>
    <row r="564" spans="1:4">
      <c r="A564">
        <v>563</v>
      </c>
      <c r="C564">
        <v>18.260000000000002</v>
      </c>
      <c r="D564">
        <v>17.66</v>
      </c>
    </row>
    <row r="565" spans="1:4">
      <c r="A565">
        <v>564</v>
      </c>
      <c r="C565">
        <v>18.3</v>
      </c>
      <c r="D565">
        <v>17.309999999999999</v>
      </c>
    </row>
    <row r="566" spans="1:4">
      <c r="A566">
        <v>565</v>
      </c>
      <c r="C566">
        <v>18.32</v>
      </c>
      <c r="D566">
        <v>17.68</v>
      </c>
    </row>
    <row r="567" spans="1:4">
      <c r="A567">
        <v>566</v>
      </c>
      <c r="C567">
        <v>18.88</v>
      </c>
      <c r="D567">
        <v>18.03</v>
      </c>
    </row>
    <row r="568" spans="1:4">
      <c r="A568">
        <v>567</v>
      </c>
      <c r="C568">
        <v>18.71</v>
      </c>
      <c r="D568">
        <v>17.88</v>
      </c>
    </row>
    <row r="569" spans="1:4">
      <c r="A569">
        <v>568</v>
      </c>
      <c r="C569">
        <v>17.34</v>
      </c>
      <c r="D569">
        <v>16.27</v>
      </c>
    </row>
    <row r="570" spans="1:4">
      <c r="A570">
        <v>569</v>
      </c>
      <c r="C570">
        <v>16.559999999999999</v>
      </c>
      <c r="D570">
        <v>16.16</v>
      </c>
    </row>
    <row r="571" spans="1:4">
      <c r="A571">
        <v>570</v>
      </c>
      <c r="C571">
        <v>16.2</v>
      </c>
      <c r="D571">
        <v>15.89</v>
      </c>
    </row>
    <row r="572" spans="1:4">
      <c r="A572">
        <v>571</v>
      </c>
      <c r="C572">
        <v>20.78</v>
      </c>
      <c r="D572">
        <v>18.149999999999999</v>
      </c>
    </row>
    <row r="573" spans="1:4">
      <c r="A573">
        <v>572</v>
      </c>
      <c r="C573">
        <v>17.420000000000002</v>
      </c>
      <c r="D573">
        <v>16.96</v>
      </c>
    </row>
    <row r="574" spans="1:4">
      <c r="A574">
        <v>573</v>
      </c>
      <c r="C574">
        <v>20.46</v>
      </c>
      <c r="D574">
        <v>17.52</v>
      </c>
    </row>
    <row r="575" spans="1:4">
      <c r="A575">
        <v>574</v>
      </c>
      <c r="C575">
        <v>21.09</v>
      </c>
      <c r="D575">
        <v>19.23</v>
      </c>
    </row>
    <row r="576" spans="1:4">
      <c r="A576">
        <v>575</v>
      </c>
      <c r="C576">
        <v>18.73</v>
      </c>
      <c r="D576">
        <v>17.309999999999999</v>
      </c>
    </row>
    <row r="577" spans="1:4">
      <c r="A577">
        <v>576</v>
      </c>
      <c r="C577">
        <v>17.54</v>
      </c>
      <c r="D577">
        <v>16.82</v>
      </c>
    </row>
    <row r="578" spans="1:4">
      <c r="A578">
        <v>577</v>
      </c>
      <c r="C578">
        <v>16.559999999999999</v>
      </c>
      <c r="D578">
        <v>16.21</v>
      </c>
    </row>
    <row r="579" spans="1:4">
      <c r="A579">
        <v>578</v>
      </c>
      <c r="C579">
        <v>17.3</v>
      </c>
      <c r="D579">
        <v>16.36</v>
      </c>
    </row>
    <row r="580" spans="1:4">
      <c r="A580">
        <v>579</v>
      </c>
      <c r="C580">
        <v>17.059999999999999</v>
      </c>
      <c r="D580">
        <v>16.239999999999998</v>
      </c>
    </row>
    <row r="581" spans="1:4">
      <c r="A581">
        <v>580</v>
      </c>
      <c r="C581">
        <v>15.4</v>
      </c>
      <c r="D581">
        <v>14.3</v>
      </c>
    </row>
    <row r="582" spans="1:4">
      <c r="A582">
        <v>581</v>
      </c>
      <c r="C582">
        <v>15.7</v>
      </c>
      <c r="D582">
        <v>14.76</v>
      </c>
    </row>
    <row r="583" spans="1:4">
      <c r="A583">
        <v>582</v>
      </c>
      <c r="C583">
        <v>15.46</v>
      </c>
      <c r="D583">
        <v>14.89</v>
      </c>
    </row>
    <row r="584" spans="1:4">
      <c r="A584">
        <v>583</v>
      </c>
      <c r="C584">
        <v>15.13</v>
      </c>
      <c r="D584">
        <v>13.99</v>
      </c>
    </row>
    <row r="585" spans="1:4">
      <c r="A585">
        <v>584</v>
      </c>
      <c r="C585">
        <v>15.35</v>
      </c>
      <c r="D585">
        <v>14.59</v>
      </c>
    </row>
    <row r="586" spans="1:4">
      <c r="A586">
        <v>585</v>
      </c>
      <c r="C586">
        <v>14.93</v>
      </c>
      <c r="D586">
        <v>14.46</v>
      </c>
    </row>
    <row r="587" spans="1:4">
      <c r="A587">
        <v>586</v>
      </c>
      <c r="C587">
        <v>15.67</v>
      </c>
      <c r="D587">
        <v>15.35</v>
      </c>
    </row>
    <row r="588" spans="1:4">
      <c r="A588">
        <v>587</v>
      </c>
      <c r="C588">
        <v>16.010000000000002</v>
      </c>
      <c r="D588">
        <v>15.71</v>
      </c>
    </row>
    <row r="589" spans="1:4">
      <c r="A589">
        <v>588</v>
      </c>
      <c r="C589">
        <v>16.87</v>
      </c>
      <c r="D589">
        <v>15.75</v>
      </c>
    </row>
    <row r="590" spans="1:4">
      <c r="A590">
        <v>589</v>
      </c>
      <c r="C590">
        <v>18.96</v>
      </c>
      <c r="D590">
        <v>16.72</v>
      </c>
    </row>
    <row r="591" spans="1:4">
      <c r="A591">
        <v>590</v>
      </c>
      <c r="C591">
        <v>17.39</v>
      </c>
      <c r="D591">
        <v>15.56</v>
      </c>
    </row>
    <row r="592" spans="1:4">
      <c r="A592">
        <v>591</v>
      </c>
      <c r="C592">
        <v>17.87</v>
      </c>
      <c r="D592">
        <v>16.72</v>
      </c>
    </row>
    <row r="593" spans="1:4">
      <c r="A593">
        <v>592</v>
      </c>
      <c r="C593">
        <v>17.239999999999998</v>
      </c>
      <c r="D593">
        <v>16.52</v>
      </c>
    </row>
    <row r="594" spans="1:4">
      <c r="A594">
        <v>593</v>
      </c>
      <c r="C594">
        <v>18.690000000000001</v>
      </c>
      <c r="D594">
        <v>15.78</v>
      </c>
    </row>
    <row r="595" spans="1:4">
      <c r="A595">
        <v>594</v>
      </c>
      <c r="C595">
        <v>17.05</v>
      </c>
      <c r="D595">
        <v>15.38</v>
      </c>
    </row>
    <row r="596" spans="1:4">
      <c r="A596">
        <v>595</v>
      </c>
      <c r="C596">
        <v>16.32</v>
      </c>
      <c r="D596">
        <v>15.3</v>
      </c>
    </row>
    <row r="597" spans="1:4">
      <c r="A597">
        <v>596</v>
      </c>
      <c r="C597">
        <v>16.260000000000002</v>
      </c>
      <c r="D597">
        <v>14.88</v>
      </c>
    </row>
    <row r="598" spans="1:4">
      <c r="A598">
        <v>597</v>
      </c>
      <c r="C598">
        <v>15.18</v>
      </c>
      <c r="D598">
        <v>14.66</v>
      </c>
    </row>
    <row r="599" spans="1:4">
      <c r="A599">
        <v>598</v>
      </c>
      <c r="C599">
        <v>15.83</v>
      </c>
      <c r="D599">
        <v>14.57</v>
      </c>
    </row>
    <row r="600" spans="1:4">
      <c r="A600">
        <v>599</v>
      </c>
      <c r="C600">
        <v>16.010000000000002</v>
      </c>
      <c r="D600">
        <v>15.53</v>
      </c>
    </row>
    <row r="601" spans="1:4">
      <c r="A601">
        <v>600</v>
      </c>
      <c r="C601">
        <v>15.2</v>
      </c>
      <c r="D601">
        <v>14.56</v>
      </c>
    </row>
    <row r="602" spans="1:4">
      <c r="A602">
        <v>601</v>
      </c>
      <c r="C602">
        <v>16.36</v>
      </c>
      <c r="D602">
        <v>14.89</v>
      </c>
    </row>
    <row r="603" spans="1:4">
      <c r="A603">
        <v>602</v>
      </c>
      <c r="C603">
        <v>16.37</v>
      </c>
      <c r="D603">
        <v>15.59</v>
      </c>
    </row>
    <row r="604" spans="1:4">
      <c r="A604">
        <v>603</v>
      </c>
      <c r="C604">
        <v>16.100000000000001</v>
      </c>
      <c r="D604">
        <v>15.46</v>
      </c>
    </row>
    <row r="605" spans="1:4">
      <c r="A605">
        <v>604</v>
      </c>
      <c r="C605">
        <v>16.41</v>
      </c>
      <c r="D605">
        <v>15.73</v>
      </c>
    </row>
    <row r="606" spans="1:4">
      <c r="A606">
        <v>605</v>
      </c>
      <c r="C606">
        <v>15.76</v>
      </c>
      <c r="D606">
        <v>15.44</v>
      </c>
    </row>
    <row r="607" spans="1:4">
      <c r="A607">
        <v>606</v>
      </c>
      <c r="C607">
        <v>16.97</v>
      </c>
      <c r="D607">
        <v>16.04</v>
      </c>
    </row>
    <row r="608" spans="1:4">
      <c r="A608">
        <v>607</v>
      </c>
      <c r="C608">
        <v>17.75</v>
      </c>
      <c r="D608">
        <v>16.75</v>
      </c>
    </row>
    <row r="609" spans="1:4">
      <c r="A609">
        <v>608</v>
      </c>
      <c r="C609">
        <v>17.14</v>
      </c>
      <c r="D609">
        <v>16.010000000000002</v>
      </c>
    </row>
    <row r="610" spans="1:4">
      <c r="A610">
        <v>609</v>
      </c>
      <c r="C610">
        <v>16.29</v>
      </c>
      <c r="D610">
        <v>15.5</v>
      </c>
    </row>
    <row r="611" spans="1:4">
      <c r="A611">
        <v>610</v>
      </c>
      <c r="C611">
        <v>17.03</v>
      </c>
      <c r="D611">
        <v>16.579999999999998</v>
      </c>
    </row>
    <row r="612" spans="1:4">
      <c r="A612">
        <v>611</v>
      </c>
      <c r="C612">
        <v>16.39</v>
      </c>
      <c r="D612">
        <v>16.12</v>
      </c>
    </row>
    <row r="613" spans="1:4">
      <c r="A613">
        <v>612</v>
      </c>
      <c r="C613">
        <v>16.45</v>
      </c>
      <c r="D613">
        <v>15.93</v>
      </c>
    </row>
    <row r="614" spans="1:4">
      <c r="A614">
        <v>613</v>
      </c>
      <c r="C614">
        <v>16.86</v>
      </c>
      <c r="D614">
        <v>16.329999999999998</v>
      </c>
    </row>
    <row r="615" spans="1:4">
      <c r="A615">
        <v>614</v>
      </c>
      <c r="C615">
        <v>17.690000000000001</v>
      </c>
      <c r="D615">
        <v>16.100000000000001</v>
      </c>
    </row>
    <row r="616" spans="1:4">
      <c r="A616">
        <v>615</v>
      </c>
      <c r="C616">
        <v>17.16</v>
      </c>
      <c r="D616">
        <v>16.55</v>
      </c>
    </row>
    <row r="617" spans="1:4">
      <c r="A617">
        <v>616</v>
      </c>
      <c r="C617">
        <v>16.82</v>
      </c>
      <c r="D617">
        <v>16</v>
      </c>
    </row>
    <row r="618" spans="1:4">
      <c r="A618">
        <v>617</v>
      </c>
      <c r="C618">
        <v>17.2</v>
      </c>
      <c r="D618">
        <v>16.350000000000001</v>
      </c>
    </row>
    <row r="619" spans="1:4">
      <c r="A619">
        <v>618</v>
      </c>
      <c r="C619">
        <v>17.670000000000002</v>
      </c>
      <c r="D619">
        <v>16.8</v>
      </c>
    </row>
    <row r="620" spans="1:4">
      <c r="A620">
        <v>619</v>
      </c>
      <c r="C620">
        <v>18.88</v>
      </c>
      <c r="D620">
        <v>16.7</v>
      </c>
    </row>
    <row r="621" spans="1:4">
      <c r="A621">
        <v>620</v>
      </c>
      <c r="C621">
        <v>17.899999999999999</v>
      </c>
      <c r="D621">
        <v>17.11</v>
      </c>
    </row>
    <row r="622" spans="1:4">
      <c r="A622">
        <v>621</v>
      </c>
      <c r="C622">
        <v>17.47</v>
      </c>
      <c r="D622">
        <v>16.64</v>
      </c>
    </row>
    <row r="623" spans="1:4">
      <c r="A623">
        <v>622</v>
      </c>
      <c r="C623">
        <v>17.71</v>
      </c>
      <c r="D623">
        <v>17.18</v>
      </c>
    </row>
    <row r="624" spans="1:4">
      <c r="A624">
        <v>623</v>
      </c>
      <c r="C624">
        <v>17.309999999999999</v>
      </c>
      <c r="D624">
        <v>16.73</v>
      </c>
    </row>
    <row r="625" spans="1:4">
      <c r="A625">
        <v>624</v>
      </c>
      <c r="C625">
        <v>16.12</v>
      </c>
      <c r="D625">
        <v>14.53</v>
      </c>
    </row>
    <row r="626" spans="1:4">
      <c r="A626">
        <v>625</v>
      </c>
      <c r="C626">
        <v>16.38</v>
      </c>
      <c r="D626">
        <v>15.75</v>
      </c>
    </row>
    <row r="627" spans="1:4">
      <c r="A627">
        <v>626</v>
      </c>
      <c r="C627">
        <v>15.85</v>
      </c>
      <c r="D627">
        <v>15.39</v>
      </c>
    </row>
    <row r="628" spans="1:4">
      <c r="A628">
        <v>627</v>
      </c>
      <c r="C628">
        <v>15.57</v>
      </c>
      <c r="D628">
        <v>14.95</v>
      </c>
    </row>
    <row r="629" spans="1:4">
      <c r="A629">
        <v>628</v>
      </c>
      <c r="C629">
        <v>15.1</v>
      </c>
      <c r="D629">
        <v>14.15</v>
      </c>
    </row>
    <row r="630" spans="1:4">
      <c r="A630">
        <v>629</v>
      </c>
      <c r="C630">
        <v>13.92</v>
      </c>
      <c r="D630">
        <v>13.55</v>
      </c>
    </row>
    <row r="631" spans="1:4">
      <c r="A631">
        <v>630</v>
      </c>
      <c r="C631">
        <v>14.08</v>
      </c>
      <c r="D631">
        <v>13.75</v>
      </c>
    </row>
    <row r="632" spans="1:4">
      <c r="A632">
        <v>631</v>
      </c>
      <c r="C632">
        <v>14.45</v>
      </c>
      <c r="D632">
        <v>13.92</v>
      </c>
    </row>
    <row r="633" spans="1:4">
      <c r="A633">
        <v>632</v>
      </c>
      <c r="C633">
        <v>14.66</v>
      </c>
      <c r="D633">
        <v>13.8</v>
      </c>
    </row>
    <row r="634" spans="1:4">
      <c r="A634">
        <v>633</v>
      </c>
      <c r="C634">
        <v>16.84</v>
      </c>
      <c r="D634">
        <v>14.92</v>
      </c>
    </row>
    <row r="635" spans="1:4">
      <c r="A635">
        <v>634</v>
      </c>
      <c r="C635">
        <v>16.829999999999998</v>
      </c>
      <c r="D635">
        <v>15.93</v>
      </c>
    </row>
    <row r="636" spans="1:4">
      <c r="A636">
        <v>635</v>
      </c>
      <c r="C636">
        <v>16.02</v>
      </c>
      <c r="D636">
        <v>15.43</v>
      </c>
    </row>
    <row r="637" spans="1:4">
      <c r="A637">
        <v>636</v>
      </c>
      <c r="C637">
        <v>16.47</v>
      </c>
      <c r="D637">
        <v>15.51</v>
      </c>
    </row>
    <row r="638" spans="1:4">
      <c r="A638">
        <v>637</v>
      </c>
      <c r="C638">
        <v>19.2</v>
      </c>
      <c r="D638">
        <v>15.76</v>
      </c>
    </row>
    <row r="639" spans="1:4">
      <c r="A639">
        <v>638</v>
      </c>
      <c r="C639">
        <v>17.5</v>
      </c>
      <c r="D639">
        <v>16.79</v>
      </c>
    </row>
    <row r="640" spans="1:4">
      <c r="A640">
        <v>639</v>
      </c>
      <c r="C640">
        <v>20.11</v>
      </c>
      <c r="D640">
        <v>17.13</v>
      </c>
    </row>
    <row r="641" spans="1:4">
      <c r="A641">
        <v>640</v>
      </c>
      <c r="C641">
        <v>27.05</v>
      </c>
      <c r="D641">
        <v>19.48</v>
      </c>
    </row>
    <row r="642" spans="1:4">
      <c r="A642">
        <v>641</v>
      </c>
      <c r="C642">
        <v>20.34</v>
      </c>
      <c r="D642">
        <v>19.12</v>
      </c>
    </row>
    <row r="643" spans="1:4">
      <c r="A643">
        <v>642</v>
      </c>
      <c r="C643">
        <v>19.57</v>
      </c>
      <c r="D643">
        <v>17.920000000000002</v>
      </c>
    </row>
    <row r="644" spans="1:4">
      <c r="A644">
        <v>643</v>
      </c>
      <c r="C644">
        <v>17.86</v>
      </c>
      <c r="D644">
        <v>16.73</v>
      </c>
    </row>
    <row r="645" spans="1:4">
      <c r="A645">
        <v>644</v>
      </c>
      <c r="C645">
        <v>21.31</v>
      </c>
      <c r="D645">
        <v>19.3</v>
      </c>
    </row>
    <row r="646" spans="1:4">
      <c r="A646">
        <v>645</v>
      </c>
      <c r="C646">
        <v>21.8</v>
      </c>
      <c r="D646">
        <v>19.28</v>
      </c>
    </row>
    <row r="647" spans="1:4">
      <c r="A647">
        <v>646</v>
      </c>
      <c r="C647">
        <v>24.19</v>
      </c>
      <c r="D647">
        <v>21.43</v>
      </c>
    </row>
    <row r="648" spans="1:4">
      <c r="A648">
        <v>647</v>
      </c>
      <c r="C648">
        <v>19.690000000000001</v>
      </c>
      <c r="D648">
        <v>18.61</v>
      </c>
    </row>
    <row r="649" spans="1:4">
      <c r="A649">
        <v>648</v>
      </c>
      <c r="C649">
        <v>18.8</v>
      </c>
      <c r="D649">
        <v>17.350000000000001</v>
      </c>
    </row>
    <row r="650" spans="1:4">
      <c r="A650">
        <v>649</v>
      </c>
      <c r="C650">
        <v>20.51</v>
      </c>
      <c r="D650">
        <v>18.440000000000001</v>
      </c>
    </row>
    <row r="651" spans="1:4">
      <c r="A651">
        <v>650</v>
      </c>
      <c r="C651">
        <v>21.57</v>
      </c>
      <c r="D651">
        <v>19.829999999999998</v>
      </c>
    </row>
    <row r="652" spans="1:4">
      <c r="A652">
        <v>651</v>
      </c>
      <c r="C652">
        <v>20.2</v>
      </c>
      <c r="D652">
        <v>19.27</v>
      </c>
    </row>
    <row r="653" spans="1:4">
      <c r="A653">
        <v>652</v>
      </c>
      <c r="C653">
        <v>19.39</v>
      </c>
      <c r="D653">
        <v>18.23</v>
      </c>
    </row>
    <row r="654" spans="1:4">
      <c r="A654">
        <v>653</v>
      </c>
      <c r="C654">
        <v>17.489999999999998</v>
      </c>
      <c r="D654">
        <v>16.16</v>
      </c>
    </row>
    <row r="655" spans="1:4">
      <c r="A655">
        <v>654</v>
      </c>
      <c r="C655">
        <v>17.54</v>
      </c>
      <c r="D655">
        <v>16.84</v>
      </c>
    </row>
    <row r="656" spans="1:4">
      <c r="A656">
        <v>655</v>
      </c>
      <c r="C656">
        <v>17.88</v>
      </c>
      <c r="D656">
        <v>16.93</v>
      </c>
    </row>
    <row r="657" spans="1:4">
      <c r="A657">
        <v>656</v>
      </c>
      <c r="C657">
        <v>17.170000000000002</v>
      </c>
      <c r="D657">
        <v>16.22</v>
      </c>
    </row>
    <row r="658" spans="1:4">
      <c r="A658">
        <v>657</v>
      </c>
      <c r="C658">
        <v>16.579999999999998</v>
      </c>
      <c r="D658">
        <v>15.97</v>
      </c>
    </row>
    <row r="659" spans="1:4">
      <c r="A659">
        <v>658</v>
      </c>
      <c r="C659">
        <v>16.53</v>
      </c>
      <c r="D659">
        <v>15.25</v>
      </c>
    </row>
    <row r="660" spans="1:4">
      <c r="A660">
        <v>659</v>
      </c>
      <c r="C660">
        <v>16.5</v>
      </c>
      <c r="D660">
        <v>15.45</v>
      </c>
    </row>
    <row r="661" spans="1:4">
      <c r="A661">
        <v>660</v>
      </c>
      <c r="C661">
        <v>17</v>
      </c>
      <c r="D661">
        <v>15.71</v>
      </c>
    </row>
    <row r="662" spans="1:4">
      <c r="A662">
        <v>661</v>
      </c>
      <c r="C662">
        <v>16.61</v>
      </c>
      <c r="D662">
        <v>15.84</v>
      </c>
    </row>
    <row r="663" spans="1:4">
      <c r="A663">
        <v>662</v>
      </c>
      <c r="C663">
        <v>16.09</v>
      </c>
      <c r="D663">
        <v>15.29</v>
      </c>
    </row>
    <row r="664" spans="1:4">
      <c r="A664">
        <v>663</v>
      </c>
      <c r="C664">
        <v>15.73</v>
      </c>
      <c r="D664">
        <v>14.57</v>
      </c>
    </row>
    <row r="665" spans="1:4">
      <c r="A665">
        <v>664</v>
      </c>
      <c r="C665">
        <v>15.49</v>
      </c>
      <c r="D665">
        <v>15.22</v>
      </c>
    </row>
    <row r="666" spans="1:4">
      <c r="A666">
        <v>665</v>
      </c>
      <c r="C666">
        <v>15.54</v>
      </c>
      <c r="D666">
        <v>14.73</v>
      </c>
    </row>
    <row r="667" spans="1:4">
      <c r="A667">
        <v>666</v>
      </c>
      <c r="C667">
        <v>15.1</v>
      </c>
      <c r="D667">
        <v>14.51</v>
      </c>
    </row>
    <row r="668" spans="1:4">
      <c r="A668">
        <v>667</v>
      </c>
      <c r="C668">
        <v>13.91</v>
      </c>
      <c r="D668">
        <v>13.22</v>
      </c>
    </row>
    <row r="669" spans="1:4">
      <c r="A669">
        <v>668</v>
      </c>
      <c r="C669">
        <v>15.08</v>
      </c>
      <c r="D669">
        <v>13.67</v>
      </c>
    </row>
    <row r="670" spans="1:4">
      <c r="A670">
        <v>669</v>
      </c>
      <c r="C670">
        <v>15.66</v>
      </c>
      <c r="D670">
        <v>14.7</v>
      </c>
    </row>
    <row r="671" spans="1:4">
      <c r="A671">
        <v>670</v>
      </c>
      <c r="C671">
        <v>15.62</v>
      </c>
      <c r="D671">
        <v>14.54</v>
      </c>
    </row>
    <row r="672" spans="1:4">
      <c r="A672">
        <v>671</v>
      </c>
      <c r="C672">
        <v>15.98</v>
      </c>
      <c r="D672">
        <v>14.84</v>
      </c>
    </row>
    <row r="673" spans="1:4">
      <c r="A673">
        <v>672</v>
      </c>
      <c r="C673">
        <v>16.690000000000001</v>
      </c>
      <c r="D673">
        <v>15.43</v>
      </c>
    </row>
    <row r="674" spans="1:4">
      <c r="A674">
        <v>673</v>
      </c>
      <c r="C674">
        <v>17.25</v>
      </c>
      <c r="D674">
        <v>16.09</v>
      </c>
    </row>
    <row r="675" spans="1:4">
      <c r="A675">
        <v>674</v>
      </c>
      <c r="C675">
        <v>19.78</v>
      </c>
      <c r="D675">
        <v>18.27</v>
      </c>
    </row>
    <row r="676" spans="1:4">
      <c r="A676">
        <v>675</v>
      </c>
      <c r="C676">
        <v>19.07</v>
      </c>
      <c r="D676">
        <v>18.55</v>
      </c>
    </row>
    <row r="677" spans="1:4">
      <c r="A677">
        <v>676</v>
      </c>
      <c r="C677">
        <v>20.53</v>
      </c>
      <c r="D677">
        <v>18.96</v>
      </c>
    </row>
    <row r="678" spans="1:4">
      <c r="A678">
        <v>677</v>
      </c>
      <c r="C678">
        <v>18.190000000000001</v>
      </c>
      <c r="D678">
        <v>16.84</v>
      </c>
    </row>
    <row r="679" spans="1:4">
      <c r="A679">
        <v>678</v>
      </c>
      <c r="C679">
        <v>17.13</v>
      </c>
      <c r="D679">
        <v>16.29</v>
      </c>
    </row>
    <row r="680" spans="1:4">
      <c r="A680">
        <v>679</v>
      </c>
      <c r="C680">
        <v>16.8</v>
      </c>
      <c r="D680">
        <v>16.25</v>
      </c>
    </row>
    <row r="681" spans="1:4">
      <c r="A681">
        <v>680</v>
      </c>
      <c r="C681">
        <v>16.559999999999999</v>
      </c>
      <c r="D681">
        <v>15.91</v>
      </c>
    </row>
    <row r="682" spans="1:4">
      <c r="A682">
        <v>681</v>
      </c>
      <c r="C682">
        <v>16.09</v>
      </c>
      <c r="D682">
        <v>15.36</v>
      </c>
    </row>
    <row r="683" spans="1:4">
      <c r="A683">
        <v>682</v>
      </c>
      <c r="C683">
        <v>15.89</v>
      </c>
      <c r="D683">
        <v>15.15</v>
      </c>
    </row>
    <row r="684" spans="1:4">
      <c r="A684">
        <v>683</v>
      </c>
      <c r="C684">
        <v>15.96</v>
      </c>
      <c r="D684">
        <v>15.24</v>
      </c>
    </row>
    <row r="685" spans="1:4">
      <c r="A685">
        <v>684</v>
      </c>
      <c r="C685">
        <v>16.22</v>
      </c>
      <c r="D685">
        <v>15.56</v>
      </c>
    </row>
    <row r="686" spans="1:4">
      <c r="A686">
        <v>685</v>
      </c>
      <c r="C686">
        <v>16.46</v>
      </c>
      <c r="D686">
        <v>15.76</v>
      </c>
    </row>
    <row r="687" spans="1:4">
      <c r="A687">
        <v>686</v>
      </c>
      <c r="C687">
        <v>16.489999999999998</v>
      </c>
      <c r="D687">
        <v>15.93</v>
      </c>
    </row>
    <row r="688" spans="1:4">
      <c r="A688">
        <v>687</v>
      </c>
      <c r="C688">
        <v>16.18</v>
      </c>
      <c r="D688">
        <v>14.55</v>
      </c>
    </row>
    <row r="689" spans="1:4">
      <c r="A689">
        <v>688</v>
      </c>
      <c r="C689">
        <v>16.739999999999998</v>
      </c>
      <c r="D689">
        <v>16.32</v>
      </c>
    </row>
    <row r="690" spans="1:4">
      <c r="A690">
        <v>689</v>
      </c>
      <c r="C690">
        <v>16.899999999999999</v>
      </c>
      <c r="D690">
        <v>16.13</v>
      </c>
    </row>
    <row r="691" spans="1:4">
      <c r="A691">
        <v>690</v>
      </c>
      <c r="C691">
        <v>16.329999999999998</v>
      </c>
      <c r="D691">
        <v>15.82</v>
      </c>
    </row>
    <row r="692" spans="1:4">
      <c r="A692">
        <v>691</v>
      </c>
      <c r="C692">
        <v>16.510000000000002</v>
      </c>
      <c r="D692">
        <v>15.7</v>
      </c>
    </row>
    <row r="693" spans="1:4">
      <c r="A693">
        <v>692</v>
      </c>
      <c r="C693">
        <v>16.66</v>
      </c>
      <c r="D693">
        <v>16.04</v>
      </c>
    </row>
    <row r="694" spans="1:4">
      <c r="A694">
        <v>693</v>
      </c>
      <c r="C694">
        <v>17.079999999999998</v>
      </c>
      <c r="D694">
        <v>16.21</v>
      </c>
    </row>
    <row r="695" spans="1:4">
      <c r="A695">
        <v>694</v>
      </c>
      <c r="C695">
        <v>17.52</v>
      </c>
      <c r="D695">
        <v>16.8</v>
      </c>
    </row>
    <row r="696" spans="1:4">
      <c r="A696">
        <v>695</v>
      </c>
      <c r="C696">
        <v>17.12</v>
      </c>
      <c r="D696">
        <v>16.690000000000001</v>
      </c>
    </row>
    <row r="697" spans="1:4">
      <c r="A697">
        <v>696</v>
      </c>
      <c r="C697">
        <v>16.98</v>
      </c>
      <c r="D697">
        <v>16.48</v>
      </c>
    </row>
    <row r="698" spans="1:4">
      <c r="A698">
        <v>697</v>
      </c>
      <c r="C698">
        <v>15.46</v>
      </c>
      <c r="D698">
        <v>14.78</v>
      </c>
    </row>
    <row r="699" spans="1:4">
      <c r="A699">
        <v>698</v>
      </c>
      <c r="C699">
        <v>15.51</v>
      </c>
      <c r="D699">
        <v>14.96</v>
      </c>
    </row>
    <row r="700" spans="1:4">
      <c r="A700">
        <v>699</v>
      </c>
      <c r="C700">
        <v>15.63</v>
      </c>
      <c r="D700">
        <v>15.02</v>
      </c>
    </row>
    <row r="701" spans="1:4">
      <c r="A701">
        <v>700</v>
      </c>
      <c r="C701">
        <v>16.3</v>
      </c>
      <c r="D701">
        <v>15.62</v>
      </c>
    </row>
    <row r="702" spans="1:4">
      <c r="A702">
        <v>701</v>
      </c>
      <c r="C702">
        <v>16.350000000000001</v>
      </c>
      <c r="D702">
        <v>15.92</v>
      </c>
    </row>
    <row r="703" spans="1:4">
      <c r="A703">
        <v>702</v>
      </c>
      <c r="C703">
        <v>15.57</v>
      </c>
      <c r="D703">
        <v>14.96</v>
      </c>
    </row>
    <row r="704" spans="1:4">
      <c r="A704">
        <v>703</v>
      </c>
      <c r="C704">
        <v>15.38</v>
      </c>
      <c r="D704">
        <v>14.63</v>
      </c>
    </row>
    <row r="705" spans="1:4">
      <c r="A705">
        <v>704</v>
      </c>
      <c r="C705">
        <v>16.77</v>
      </c>
      <c r="D705">
        <v>14.82</v>
      </c>
    </row>
    <row r="706" spans="1:4">
      <c r="A706">
        <v>705</v>
      </c>
      <c r="C706">
        <v>16.07</v>
      </c>
      <c r="D706">
        <v>15.59</v>
      </c>
    </row>
    <row r="707" spans="1:4">
      <c r="A707">
        <v>706</v>
      </c>
      <c r="C707">
        <v>15.46</v>
      </c>
      <c r="D707">
        <v>14.99</v>
      </c>
    </row>
    <row r="708" spans="1:4">
      <c r="A708">
        <v>707</v>
      </c>
      <c r="C708">
        <v>15.55</v>
      </c>
      <c r="D708">
        <v>15.02</v>
      </c>
    </row>
    <row r="709" spans="1:4">
      <c r="A709">
        <v>708</v>
      </c>
      <c r="C709">
        <v>16.23</v>
      </c>
      <c r="D709">
        <v>15.25</v>
      </c>
    </row>
    <row r="710" spans="1:4">
      <c r="A710">
        <v>709</v>
      </c>
      <c r="C710">
        <v>16.79</v>
      </c>
      <c r="D710">
        <v>16.239999999999998</v>
      </c>
    </row>
    <row r="711" spans="1:4">
      <c r="A711">
        <v>710</v>
      </c>
      <c r="C711">
        <v>17.16</v>
      </c>
      <c r="D711">
        <v>16.2</v>
      </c>
    </row>
    <row r="712" spans="1:4">
      <c r="A712">
        <v>711</v>
      </c>
      <c r="C712">
        <v>17</v>
      </c>
      <c r="D712">
        <v>16.170000000000002</v>
      </c>
    </row>
    <row r="713" spans="1:4">
      <c r="A713">
        <v>712</v>
      </c>
      <c r="C713">
        <v>17.62</v>
      </c>
      <c r="D713">
        <v>16.84</v>
      </c>
    </row>
    <row r="714" spans="1:4">
      <c r="A714">
        <v>713</v>
      </c>
      <c r="C714">
        <v>18.36</v>
      </c>
      <c r="D714">
        <v>17.13</v>
      </c>
    </row>
    <row r="715" spans="1:4">
      <c r="A715">
        <v>714</v>
      </c>
      <c r="C715">
        <v>18.84</v>
      </c>
      <c r="D715">
        <v>18.09</v>
      </c>
    </row>
    <row r="716" spans="1:4">
      <c r="A716">
        <v>715</v>
      </c>
      <c r="C716">
        <v>19.21</v>
      </c>
      <c r="D716">
        <v>18.170000000000002</v>
      </c>
    </row>
    <row r="717" spans="1:4">
      <c r="A717">
        <v>716</v>
      </c>
      <c r="C717">
        <v>18.329999999999998</v>
      </c>
      <c r="D717">
        <v>17.82</v>
      </c>
    </row>
    <row r="718" spans="1:4">
      <c r="A718">
        <v>717</v>
      </c>
      <c r="C718">
        <v>18.3</v>
      </c>
      <c r="D718">
        <v>17.260000000000002</v>
      </c>
    </row>
    <row r="719" spans="1:4">
      <c r="A719">
        <v>718</v>
      </c>
      <c r="C719">
        <v>18.61</v>
      </c>
      <c r="D719">
        <v>18.03</v>
      </c>
    </row>
    <row r="720" spans="1:4">
      <c r="A720">
        <v>719</v>
      </c>
      <c r="C720">
        <v>17.670000000000002</v>
      </c>
      <c r="D720">
        <v>16.97</v>
      </c>
    </row>
    <row r="721" spans="1:4">
      <c r="A721">
        <v>720</v>
      </c>
      <c r="C721">
        <v>17.329999999999998</v>
      </c>
      <c r="D721">
        <v>16.05</v>
      </c>
    </row>
    <row r="722" spans="1:4">
      <c r="A722">
        <v>721</v>
      </c>
      <c r="C722">
        <v>17.52</v>
      </c>
      <c r="D722">
        <v>16.66</v>
      </c>
    </row>
    <row r="723" spans="1:4">
      <c r="A723">
        <v>722</v>
      </c>
      <c r="C723">
        <v>16.55</v>
      </c>
      <c r="D723">
        <v>15.62</v>
      </c>
    </row>
    <row r="724" spans="1:4">
      <c r="A724">
        <v>723</v>
      </c>
      <c r="C724">
        <v>14.73</v>
      </c>
      <c r="D724">
        <v>13.88</v>
      </c>
    </row>
    <row r="725" spans="1:4">
      <c r="A725">
        <v>724</v>
      </c>
      <c r="C725">
        <v>16.14</v>
      </c>
      <c r="D725">
        <v>15.22</v>
      </c>
    </row>
    <row r="726" spans="1:4">
      <c r="A726">
        <v>725</v>
      </c>
      <c r="C726">
        <v>15.41</v>
      </c>
      <c r="D726">
        <v>14.7</v>
      </c>
    </row>
    <row r="727" spans="1:4">
      <c r="A727">
        <v>726</v>
      </c>
      <c r="C727">
        <v>14.62</v>
      </c>
      <c r="D727">
        <v>13.63</v>
      </c>
    </row>
    <row r="728" spans="1:4">
      <c r="A728">
        <v>727</v>
      </c>
      <c r="C728">
        <v>14.88</v>
      </c>
      <c r="D728">
        <v>13.45</v>
      </c>
    </row>
    <row r="729" spans="1:4">
      <c r="A729">
        <v>728</v>
      </c>
      <c r="C729">
        <v>15.48</v>
      </c>
      <c r="D729">
        <v>14.71</v>
      </c>
    </row>
    <row r="730" spans="1:4">
      <c r="A730">
        <v>729</v>
      </c>
      <c r="C730">
        <v>15.61</v>
      </c>
      <c r="D730">
        <v>14.96</v>
      </c>
    </row>
    <row r="731" spans="1:4">
      <c r="A731">
        <v>730</v>
      </c>
      <c r="C731">
        <v>16.100000000000001</v>
      </c>
      <c r="D731">
        <v>15.23</v>
      </c>
    </row>
    <row r="732" spans="1:4">
      <c r="A732">
        <v>731</v>
      </c>
      <c r="C732">
        <v>16.53</v>
      </c>
      <c r="D732">
        <v>15.77</v>
      </c>
    </row>
    <row r="733" spans="1:4">
      <c r="A733">
        <v>732</v>
      </c>
      <c r="C733">
        <v>15.24</v>
      </c>
      <c r="D733">
        <v>14.68</v>
      </c>
    </row>
    <row r="734" spans="1:4">
      <c r="A734">
        <v>733</v>
      </c>
      <c r="C734">
        <v>16.03</v>
      </c>
      <c r="D734">
        <v>15.17</v>
      </c>
    </row>
    <row r="735" spans="1:4">
      <c r="A735">
        <v>734</v>
      </c>
      <c r="C735">
        <v>17.670000000000002</v>
      </c>
      <c r="D735">
        <v>16.55</v>
      </c>
    </row>
    <row r="736" spans="1:4">
      <c r="A736">
        <v>735</v>
      </c>
      <c r="C736">
        <v>17.22</v>
      </c>
      <c r="D736">
        <v>16.86</v>
      </c>
    </row>
    <row r="737" spans="1:4">
      <c r="A737">
        <v>736</v>
      </c>
      <c r="C737">
        <v>18.260000000000002</v>
      </c>
      <c r="D737">
        <v>16.68</v>
      </c>
    </row>
    <row r="738" spans="1:4">
      <c r="A738">
        <v>737</v>
      </c>
      <c r="C738">
        <v>18.73</v>
      </c>
      <c r="D738">
        <v>17.93</v>
      </c>
    </row>
    <row r="739" spans="1:4">
      <c r="A739">
        <v>738</v>
      </c>
      <c r="C739">
        <v>18.82</v>
      </c>
      <c r="D739">
        <v>17.59</v>
      </c>
    </row>
    <row r="740" spans="1:4">
      <c r="A740">
        <v>739</v>
      </c>
      <c r="C740">
        <v>18.920000000000002</v>
      </c>
      <c r="D740">
        <v>17.91</v>
      </c>
    </row>
    <row r="741" spans="1:4">
      <c r="A741">
        <v>740</v>
      </c>
      <c r="C741">
        <v>18.52</v>
      </c>
      <c r="D741">
        <v>17.38</v>
      </c>
    </row>
    <row r="742" spans="1:4">
      <c r="A742">
        <v>741</v>
      </c>
      <c r="C742">
        <v>21.88</v>
      </c>
      <c r="D742">
        <v>18.440000000000001</v>
      </c>
    </row>
    <row r="743" spans="1:4">
      <c r="A743">
        <v>742</v>
      </c>
      <c r="C743">
        <v>18.52</v>
      </c>
      <c r="D743">
        <v>17.75</v>
      </c>
    </row>
    <row r="744" spans="1:4">
      <c r="A744">
        <v>743</v>
      </c>
      <c r="C744">
        <v>17.91</v>
      </c>
      <c r="D744">
        <v>17.190000000000001</v>
      </c>
    </row>
    <row r="745" spans="1:4">
      <c r="A745">
        <v>744</v>
      </c>
      <c r="C745">
        <v>20.43</v>
      </c>
      <c r="D745">
        <v>18.61</v>
      </c>
    </row>
    <row r="746" spans="1:4">
      <c r="A746">
        <v>745</v>
      </c>
      <c r="C746">
        <v>20.45</v>
      </c>
      <c r="D746">
        <v>18.66</v>
      </c>
    </row>
    <row r="747" spans="1:4">
      <c r="A747">
        <v>746</v>
      </c>
      <c r="C747">
        <v>21.32</v>
      </c>
      <c r="D747">
        <v>19.809999999999999</v>
      </c>
    </row>
    <row r="748" spans="1:4">
      <c r="A748">
        <v>747</v>
      </c>
      <c r="C748">
        <v>22.04</v>
      </c>
      <c r="D748">
        <v>20.73</v>
      </c>
    </row>
    <row r="749" spans="1:4">
      <c r="A749">
        <v>748</v>
      </c>
      <c r="C749">
        <v>22.13</v>
      </c>
      <c r="D749">
        <v>20.399999999999999</v>
      </c>
    </row>
    <row r="750" spans="1:4">
      <c r="A750">
        <v>749</v>
      </c>
      <c r="C750">
        <v>20.079999999999998</v>
      </c>
      <c r="D750">
        <v>18.940000000000001</v>
      </c>
    </row>
    <row r="751" spans="1:4">
      <c r="A751">
        <v>750</v>
      </c>
      <c r="C751">
        <v>18.97</v>
      </c>
      <c r="D751">
        <v>18.46</v>
      </c>
    </row>
    <row r="752" spans="1:4">
      <c r="A752">
        <v>751</v>
      </c>
      <c r="C752">
        <v>19.72</v>
      </c>
      <c r="D752">
        <v>16.829999999999998</v>
      </c>
    </row>
    <row r="753" spans="1:4">
      <c r="A753">
        <v>752</v>
      </c>
      <c r="C753">
        <v>19.670000000000002</v>
      </c>
      <c r="D753">
        <v>18.989999999999998</v>
      </c>
    </row>
    <row r="754" spans="1:4">
      <c r="A754">
        <v>753</v>
      </c>
      <c r="C754">
        <v>19.22</v>
      </c>
      <c r="D754">
        <v>18.68</v>
      </c>
    </row>
    <row r="755" spans="1:4">
      <c r="A755">
        <v>754</v>
      </c>
      <c r="C755">
        <v>18.71</v>
      </c>
      <c r="D755">
        <v>18.190000000000001</v>
      </c>
    </row>
    <row r="756" spans="1:4">
      <c r="A756">
        <v>755</v>
      </c>
      <c r="C756">
        <v>19.13</v>
      </c>
      <c r="D756">
        <v>18.670000000000002</v>
      </c>
    </row>
    <row r="757" spans="1:4">
      <c r="A757">
        <v>756</v>
      </c>
      <c r="C757">
        <v>19.72</v>
      </c>
      <c r="D757">
        <v>19.23</v>
      </c>
    </row>
    <row r="758" spans="1:4">
      <c r="A758">
        <v>757</v>
      </c>
      <c r="C758">
        <v>20.92</v>
      </c>
      <c r="D758">
        <v>19.8</v>
      </c>
    </row>
    <row r="759" spans="1:4">
      <c r="A759">
        <v>758</v>
      </c>
      <c r="C759">
        <v>22.8</v>
      </c>
      <c r="D759">
        <v>21.1</v>
      </c>
    </row>
    <row r="760" spans="1:4">
      <c r="A760">
        <v>759</v>
      </c>
      <c r="C760">
        <v>19.920000000000002</v>
      </c>
      <c r="D760">
        <v>19.04</v>
      </c>
    </row>
    <row r="761" spans="1:4">
      <c r="A761">
        <v>760</v>
      </c>
      <c r="C761">
        <v>20.440000000000001</v>
      </c>
      <c r="D761">
        <v>19.420000000000002</v>
      </c>
    </row>
    <row r="762" spans="1:4">
      <c r="A762">
        <v>761</v>
      </c>
      <c r="C762">
        <v>20.71</v>
      </c>
      <c r="D762">
        <v>19.309999999999999</v>
      </c>
    </row>
    <row r="763" spans="1:4">
      <c r="A763">
        <v>762</v>
      </c>
      <c r="C763">
        <v>20.53</v>
      </c>
      <c r="D763">
        <v>18.600000000000001</v>
      </c>
    </row>
    <row r="764" spans="1:4">
      <c r="A764">
        <v>763</v>
      </c>
      <c r="C764">
        <v>21.1</v>
      </c>
      <c r="D764">
        <v>19.87</v>
      </c>
    </row>
    <row r="765" spans="1:4">
      <c r="A765">
        <v>764</v>
      </c>
      <c r="C765">
        <v>20.82</v>
      </c>
      <c r="D765">
        <v>19.510000000000002</v>
      </c>
    </row>
    <row r="766" spans="1:4">
      <c r="A766">
        <v>765</v>
      </c>
      <c r="C766">
        <v>20.23</v>
      </c>
      <c r="D766">
        <v>19.28</v>
      </c>
    </row>
    <row r="767" spans="1:4">
      <c r="A767">
        <v>766</v>
      </c>
      <c r="C767">
        <v>20.100000000000001</v>
      </c>
      <c r="D767">
        <v>18.829999999999998</v>
      </c>
    </row>
    <row r="768" spans="1:4">
      <c r="A768">
        <v>767</v>
      </c>
      <c r="C768">
        <v>19.739999999999998</v>
      </c>
      <c r="D768">
        <v>19.14</v>
      </c>
    </row>
    <row r="769" spans="1:4">
      <c r="A769">
        <v>768</v>
      </c>
      <c r="C769">
        <v>20.07</v>
      </c>
      <c r="D769">
        <v>19.22</v>
      </c>
    </row>
    <row r="770" spans="1:4">
      <c r="A770">
        <v>769</v>
      </c>
      <c r="C770">
        <v>19.82</v>
      </c>
      <c r="D770">
        <v>18.600000000000001</v>
      </c>
    </row>
    <row r="771" spans="1:4">
      <c r="A771">
        <v>770</v>
      </c>
      <c r="C771">
        <v>19.18</v>
      </c>
      <c r="D771">
        <v>18.41</v>
      </c>
    </row>
    <row r="772" spans="1:4">
      <c r="A772">
        <v>771</v>
      </c>
      <c r="C772">
        <v>18.7</v>
      </c>
      <c r="D772">
        <v>17.8</v>
      </c>
    </row>
    <row r="773" spans="1:4">
      <c r="A773">
        <v>772</v>
      </c>
      <c r="C773">
        <v>18.02</v>
      </c>
      <c r="D773">
        <v>17.07</v>
      </c>
    </row>
    <row r="774" spans="1:4">
      <c r="A774">
        <v>773</v>
      </c>
      <c r="C774">
        <v>18.59</v>
      </c>
      <c r="D774">
        <v>16.36</v>
      </c>
    </row>
    <row r="775" spans="1:4">
      <c r="A775">
        <v>774</v>
      </c>
      <c r="C775">
        <v>20.07</v>
      </c>
      <c r="D775">
        <v>18.350000000000001</v>
      </c>
    </row>
    <row r="776" spans="1:4">
      <c r="A776">
        <v>775</v>
      </c>
      <c r="C776">
        <v>20.52</v>
      </c>
      <c r="D776">
        <v>19.760000000000002</v>
      </c>
    </row>
    <row r="777" spans="1:4">
      <c r="A777">
        <v>776</v>
      </c>
      <c r="C777">
        <v>21.06</v>
      </c>
      <c r="D777">
        <v>19.41</v>
      </c>
    </row>
    <row r="778" spans="1:4">
      <c r="A778">
        <v>777</v>
      </c>
      <c r="C778">
        <v>20.69</v>
      </c>
      <c r="D778">
        <v>20.22</v>
      </c>
    </row>
    <row r="779" spans="1:4">
      <c r="A779">
        <v>778</v>
      </c>
      <c r="C779">
        <v>20.079999999999998</v>
      </c>
      <c r="D779">
        <v>19.47</v>
      </c>
    </row>
    <row r="780" spans="1:4">
      <c r="A780">
        <v>779</v>
      </c>
      <c r="C780">
        <v>20.07</v>
      </c>
      <c r="D780">
        <v>19.559999999999999</v>
      </c>
    </row>
    <row r="781" spans="1:4">
      <c r="A781">
        <v>780</v>
      </c>
      <c r="C781">
        <v>19.690000000000001</v>
      </c>
      <c r="D781">
        <v>19.43</v>
      </c>
    </row>
    <row r="782" spans="1:4">
      <c r="A782">
        <v>781</v>
      </c>
      <c r="C782">
        <v>21.39</v>
      </c>
      <c r="D782">
        <v>19.5</v>
      </c>
    </row>
    <row r="783" spans="1:4">
      <c r="A783">
        <v>782</v>
      </c>
      <c r="C783">
        <v>20.68</v>
      </c>
      <c r="D783">
        <v>20.04</v>
      </c>
    </row>
    <row r="784" spans="1:4">
      <c r="A784">
        <v>783</v>
      </c>
      <c r="C784">
        <v>19.88</v>
      </c>
      <c r="D784">
        <v>18.71</v>
      </c>
    </row>
    <row r="785" spans="1:4">
      <c r="A785">
        <v>784</v>
      </c>
      <c r="C785">
        <v>21.13</v>
      </c>
      <c r="D785">
        <v>19.649999999999999</v>
      </c>
    </row>
    <row r="786" spans="1:4">
      <c r="A786">
        <v>785</v>
      </c>
      <c r="C786">
        <v>20.72</v>
      </c>
      <c r="D786">
        <v>19.97</v>
      </c>
    </row>
    <row r="787" spans="1:4">
      <c r="A787">
        <v>786</v>
      </c>
      <c r="C787">
        <v>19.89</v>
      </c>
      <c r="D787">
        <v>19.420000000000002</v>
      </c>
    </row>
    <row r="788" spans="1:4">
      <c r="A788">
        <v>787</v>
      </c>
      <c r="C788">
        <v>19.73</v>
      </c>
      <c r="D788">
        <v>19.100000000000001</v>
      </c>
    </row>
    <row r="789" spans="1:4">
      <c r="A789">
        <v>788</v>
      </c>
      <c r="C789">
        <v>19.36</v>
      </c>
      <c r="D789">
        <v>19</v>
      </c>
    </row>
    <row r="790" spans="1:4">
      <c r="A790">
        <v>789</v>
      </c>
      <c r="C790">
        <v>20.059999999999999</v>
      </c>
      <c r="D790">
        <v>19.649999999999999</v>
      </c>
    </row>
    <row r="791" spans="1:4">
      <c r="A791">
        <v>790</v>
      </c>
      <c r="C791">
        <v>20.65</v>
      </c>
      <c r="D791">
        <v>19.82</v>
      </c>
    </row>
    <row r="792" spans="1:4">
      <c r="A792">
        <v>791</v>
      </c>
      <c r="C792">
        <v>21.54</v>
      </c>
      <c r="D792">
        <v>20.69</v>
      </c>
    </row>
    <row r="793" spans="1:4">
      <c r="A793">
        <v>792</v>
      </c>
      <c r="C793">
        <v>21.41</v>
      </c>
      <c r="D793">
        <v>20.49</v>
      </c>
    </row>
    <row r="794" spans="1:4">
      <c r="A794">
        <v>793</v>
      </c>
      <c r="C794">
        <v>20.96</v>
      </c>
      <c r="D794">
        <v>19.84</v>
      </c>
    </row>
    <row r="795" spans="1:4">
      <c r="A795">
        <v>794</v>
      </c>
      <c r="C795">
        <v>20.2</v>
      </c>
      <c r="D795">
        <v>19.899999999999999</v>
      </c>
    </row>
    <row r="796" spans="1:4">
      <c r="A796">
        <v>795</v>
      </c>
      <c r="C796">
        <v>21.25</v>
      </c>
      <c r="D796">
        <v>19.399999999999999</v>
      </c>
    </row>
    <row r="797" spans="1:4">
      <c r="A797">
        <v>796</v>
      </c>
      <c r="C797">
        <v>21.32</v>
      </c>
      <c r="D797">
        <v>20.41</v>
      </c>
    </row>
    <row r="798" spans="1:4">
      <c r="A798">
        <v>797</v>
      </c>
      <c r="C798">
        <v>21.55</v>
      </c>
      <c r="D798">
        <v>20.76</v>
      </c>
    </row>
    <row r="799" spans="1:4">
      <c r="A799">
        <v>798</v>
      </c>
      <c r="C799">
        <v>21.89</v>
      </c>
      <c r="D799">
        <v>20.88</v>
      </c>
    </row>
    <row r="800" spans="1:4">
      <c r="A800">
        <v>799</v>
      </c>
      <c r="C800">
        <v>20.83</v>
      </c>
      <c r="D800">
        <v>20.27</v>
      </c>
    </row>
    <row r="801" spans="1:4">
      <c r="A801">
        <v>800</v>
      </c>
      <c r="C801">
        <v>20.079999999999998</v>
      </c>
      <c r="D801">
        <v>19.41</v>
      </c>
    </row>
    <row r="802" spans="1:4">
      <c r="A802">
        <v>801</v>
      </c>
      <c r="C802">
        <v>20.51</v>
      </c>
      <c r="D802">
        <v>19.47</v>
      </c>
    </row>
    <row r="803" spans="1:4">
      <c r="A803">
        <v>802</v>
      </c>
      <c r="C803">
        <v>19.55</v>
      </c>
      <c r="D803">
        <v>19.21</v>
      </c>
    </row>
    <row r="804" spans="1:4">
      <c r="A804">
        <v>803</v>
      </c>
      <c r="C804">
        <v>20.14</v>
      </c>
      <c r="D804">
        <v>18.98</v>
      </c>
    </row>
    <row r="805" spans="1:4">
      <c r="A805">
        <v>804</v>
      </c>
      <c r="C805">
        <v>19.46</v>
      </c>
      <c r="D805">
        <v>19.14</v>
      </c>
    </row>
    <row r="806" spans="1:4">
      <c r="A806">
        <v>805</v>
      </c>
      <c r="C806">
        <v>19.809999999999999</v>
      </c>
      <c r="D806">
        <v>18.71</v>
      </c>
    </row>
    <row r="807" spans="1:4">
      <c r="A807">
        <v>806</v>
      </c>
      <c r="C807">
        <v>20.49</v>
      </c>
      <c r="D807">
        <v>19.239999999999998</v>
      </c>
    </row>
    <row r="808" spans="1:4">
      <c r="A808">
        <v>807</v>
      </c>
      <c r="C808">
        <v>19.95</v>
      </c>
      <c r="D808">
        <v>19.579999999999998</v>
      </c>
    </row>
    <row r="809" spans="1:4">
      <c r="A809">
        <v>808</v>
      </c>
      <c r="C809">
        <v>21.91</v>
      </c>
      <c r="D809">
        <v>20.92</v>
      </c>
    </row>
    <row r="810" spans="1:4">
      <c r="A810">
        <v>809</v>
      </c>
      <c r="C810">
        <v>21.56</v>
      </c>
      <c r="D810">
        <v>20.77</v>
      </c>
    </row>
    <row r="811" spans="1:4">
      <c r="A811">
        <v>810</v>
      </c>
      <c r="C811">
        <v>21.95</v>
      </c>
      <c r="D811">
        <v>21.29</v>
      </c>
    </row>
    <row r="812" spans="1:4">
      <c r="A812">
        <v>811</v>
      </c>
      <c r="C812">
        <v>21.91</v>
      </c>
      <c r="D812">
        <v>21.02</v>
      </c>
    </row>
    <row r="813" spans="1:4">
      <c r="A813">
        <v>812</v>
      </c>
      <c r="C813">
        <v>20.67</v>
      </c>
      <c r="D813">
        <v>17.440000000000001</v>
      </c>
    </row>
    <row r="814" spans="1:4">
      <c r="A814">
        <v>813</v>
      </c>
      <c r="C814">
        <v>20.72</v>
      </c>
      <c r="D814">
        <v>19.95</v>
      </c>
    </row>
    <row r="815" spans="1:4">
      <c r="A815">
        <v>814</v>
      </c>
      <c r="C815">
        <v>19.940000000000001</v>
      </c>
      <c r="D815">
        <v>19.14</v>
      </c>
    </row>
    <row r="816" spans="1:4">
      <c r="A816">
        <v>815</v>
      </c>
      <c r="C816">
        <v>18.75</v>
      </c>
      <c r="D816">
        <v>18.23</v>
      </c>
    </row>
    <row r="817" spans="1:4">
      <c r="A817">
        <v>816</v>
      </c>
      <c r="C817">
        <v>20.79</v>
      </c>
      <c r="D817">
        <v>17.3</v>
      </c>
    </row>
    <row r="818" spans="1:4">
      <c r="A818">
        <v>817</v>
      </c>
      <c r="C818">
        <v>22.44</v>
      </c>
      <c r="D818">
        <v>21.21</v>
      </c>
    </row>
    <row r="819" spans="1:4">
      <c r="A819">
        <v>818</v>
      </c>
      <c r="C819">
        <v>23.04</v>
      </c>
      <c r="D819">
        <v>20.67</v>
      </c>
    </row>
    <row r="820" spans="1:4">
      <c r="A820">
        <v>819</v>
      </c>
      <c r="C820">
        <v>21.76</v>
      </c>
      <c r="D820">
        <v>20.46</v>
      </c>
    </row>
    <row r="821" spans="1:4">
      <c r="A821">
        <v>820</v>
      </c>
      <c r="C821">
        <v>21.49</v>
      </c>
      <c r="D821">
        <v>20.62</v>
      </c>
    </row>
    <row r="822" spans="1:4">
      <c r="A822">
        <v>821</v>
      </c>
      <c r="C822">
        <v>20.72</v>
      </c>
      <c r="D822">
        <v>19.149999999999999</v>
      </c>
    </row>
    <row r="823" spans="1:4">
      <c r="A823">
        <v>822</v>
      </c>
      <c r="C823">
        <v>19.27</v>
      </c>
      <c r="D823">
        <v>18.350000000000001</v>
      </c>
    </row>
    <row r="824" spans="1:4">
      <c r="A824">
        <v>823</v>
      </c>
      <c r="C824">
        <v>18.78</v>
      </c>
      <c r="D824">
        <v>18.420000000000002</v>
      </c>
    </row>
    <row r="825" spans="1:4">
      <c r="A825">
        <v>824</v>
      </c>
      <c r="C825">
        <v>18.899999999999999</v>
      </c>
      <c r="D825">
        <v>18.059999999999999</v>
      </c>
    </row>
    <row r="826" spans="1:4">
      <c r="A826">
        <v>825</v>
      </c>
      <c r="C826">
        <v>19.02</v>
      </c>
      <c r="D826">
        <v>18.62</v>
      </c>
    </row>
    <row r="827" spans="1:4">
      <c r="A827">
        <v>826</v>
      </c>
      <c r="C827">
        <v>20.02</v>
      </c>
      <c r="D827">
        <v>19.27</v>
      </c>
    </row>
    <row r="828" spans="1:4">
      <c r="A828">
        <v>827</v>
      </c>
      <c r="C828">
        <v>20.13</v>
      </c>
      <c r="D828">
        <v>19.09</v>
      </c>
    </row>
    <row r="829" spans="1:4">
      <c r="A829">
        <v>828</v>
      </c>
      <c r="C829">
        <v>19.02</v>
      </c>
      <c r="D829">
        <v>18</v>
      </c>
    </row>
    <row r="830" spans="1:4">
      <c r="A830">
        <v>829</v>
      </c>
      <c r="C830">
        <v>18.510000000000002</v>
      </c>
      <c r="D830">
        <v>17.57</v>
      </c>
    </row>
    <row r="831" spans="1:4">
      <c r="A831">
        <v>830</v>
      </c>
      <c r="C831">
        <v>18.77</v>
      </c>
      <c r="D831">
        <v>18.12</v>
      </c>
    </row>
    <row r="832" spans="1:4">
      <c r="A832">
        <v>831</v>
      </c>
      <c r="C832">
        <v>19.14</v>
      </c>
      <c r="D832">
        <v>18.13</v>
      </c>
    </row>
    <row r="833" spans="1:4">
      <c r="A833">
        <v>832</v>
      </c>
      <c r="C833">
        <v>20.46</v>
      </c>
      <c r="D833">
        <v>19.18</v>
      </c>
    </row>
    <row r="834" spans="1:4">
      <c r="A834">
        <v>833</v>
      </c>
      <c r="C834">
        <v>20</v>
      </c>
      <c r="D834">
        <v>19.059999999999999</v>
      </c>
    </row>
    <row r="835" spans="1:4">
      <c r="A835">
        <v>834</v>
      </c>
      <c r="C835">
        <v>20.55</v>
      </c>
      <c r="D835">
        <v>19.82</v>
      </c>
    </row>
    <row r="836" spans="1:4">
      <c r="A836">
        <v>835</v>
      </c>
      <c r="C836">
        <v>20.99</v>
      </c>
      <c r="D836">
        <v>20.149999999999999</v>
      </c>
    </row>
    <row r="837" spans="1:4">
      <c r="A837">
        <v>836</v>
      </c>
      <c r="C837">
        <v>21.47</v>
      </c>
      <c r="D837">
        <v>20.88</v>
      </c>
    </row>
    <row r="838" spans="1:4">
      <c r="A838">
        <v>837</v>
      </c>
      <c r="C838">
        <v>22.26</v>
      </c>
      <c r="D838">
        <v>21.04</v>
      </c>
    </row>
    <row r="839" spans="1:4">
      <c r="A839">
        <v>838</v>
      </c>
      <c r="C839">
        <v>20.66</v>
      </c>
      <c r="D839">
        <v>19.46</v>
      </c>
    </row>
    <row r="840" spans="1:4">
      <c r="A840">
        <v>839</v>
      </c>
      <c r="C840">
        <v>20.29</v>
      </c>
      <c r="D840">
        <v>19.2</v>
      </c>
    </row>
    <row r="841" spans="1:4">
      <c r="A841">
        <v>840</v>
      </c>
      <c r="C841">
        <v>20.88</v>
      </c>
      <c r="D841">
        <v>19.87</v>
      </c>
    </row>
    <row r="842" spans="1:4">
      <c r="A842">
        <v>841</v>
      </c>
      <c r="C842">
        <v>18.88</v>
      </c>
      <c r="D842">
        <v>17.28</v>
      </c>
    </row>
    <row r="843" spans="1:4">
      <c r="A843">
        <v>842</v>
      </c>
      <c r="C843">
        <v>20.13</v>
      </c>
      <c r="D843">
        <v>18.37</v>
      </c>
    </row>
    <row r="844" spans="1:4">
      <c r="A844">
        <v>843</v>
      </c>
      <c r="C844">
        <v>22.26</v>
      </c>
      <c r="D844">
        <v>20.83</v>
      </c>
    </row>
    <row r="845" spans="1:4">
      <c r="A845">
        <v>844</v>
      </c>
      <c r="C845">
        <v>21.53</v>
      </c>
      <c r="D845">
        <v>20.63</v>
      </c>
    </row>
    <row r="846" spans="1:4">
      <c r="A846">
        <v>845</v>
      </c>
      <c r="C846">
        <v>21.48</v>
      </c>
      <c r="D846">
        <v>20.350000000000001</v>
      </c>
    </row>
    <row r="847" spans="1:4">
      <c r="A847">
        <v>846</v>
      </c>
      <c r="C847">
        <v>21.5</v>
      </c>
      <c r="D847">
        <v>20.010000000000002</v>
      </c>
    </row>
    <row r="848" spans="1:4">
      <c r="A848">
        <v>847</v>
      </c>
      <c r="C848">
        <v>20.85</v>
      </c>
      <c r="D848">
        <v>20.07</v>
      </c>
    </row>
    <row r="849" spans="1:4">
      <c r="A849">
        <v>848</v>
      </c>
      <c r="C849">
        <v>21.02</v>
      </c>
      <c r="D849">
        <v>20.53</v>
      </c>
    </row>
    <row r="850" spans="1:4">
      <c r="A850">
        <v>849</v>
      </c>
      <c r="C850">
        <v>21.32</v>
      </c>
      <c r="D850">
        <v>20.48</v>
      </c>
    </row>
    <row r="851" spans="1:4">
      <c r="A851">
        <v>850</v>
      </c>
      <c r="C851">
        <v>21.14</v>
      </c>
      <c r="D851">
        <v>19.87</v>
      </c>
    </row>
    <row r="852" spans="1:4">
      <c r="A852">
        <v>851</v>
      </c>
      <c r="C852">
        <v>21.82</v>
      </c>
      <c r="D852">
        <v>18.579999999999998</v>
      </c>
    </row>
    <row r="853" spans="1:4">
      <c r="A853">
        <v>852</v>
      </c>
      <c r="C853">
        <v>21.95</v>
      </c>
      <c r="D853">
        <v>21.26</v>
      </c>
    </row>
    <row r="854" spans="1:4">
      <c r="A854">
        <v>853</v>
      </c>
      <c r="C854">
        <v>21.72</v>
      </c>
      <c r="D854">
        <v>19.13</v>
      </c>
    </row>
    <row r="855" spans="1:4">
      <c r="A855">
        <v>854</v>
      </c>
      <c r="C855">
        <v>19.62</v>
      </c>
      <c r="D855">
        <v>18.82</v>
      </c>
    </row>
    <row r="856" spans="1:4">
      <c r="A856">
        <v>855</v>
      </c>
      <c r="C856">
        <v>19.239999999999998</v>
      </c>
      <c r="D856">
        <v>18.68</v>
      </c>
    </row>
    <row r="857" spans="1:4">
      <c r="A857">
        <v>856</v>
      </c>
      <c r="C857">
        <v>18.52</v>
      </c>
      <c r="D857">
        <v>18.010000000000002</v>
      </c>
    </row>
    <row r="858" spans="1:4">
      <c r="A858">
        <v>857</v>
      </c>
      <c r="C858">
        <v>19.920000000000002</v>
      </c>
      <c r="D858">
        <v>19.12</v>
      </c>
    </row>
    <row r="859" spans="1:4">
      <c r="A859">
        <v>858</v>
      </c>
      <c r="C859">
        <v>19.579999999999998</v>
      </c>
      <c r="D859">
        <v>19.22</v>
      </c>
    </row>
    <row r="860" spans="1:4">
      <c r="A860">
        <v>859</v>
      </c>
      <c r="C860">
        <v>19.77</v>
      </c>
      <c r="D860">
        <v>18.82</v>
      </c>
    </row>
    <row r="861" spans="1:4">
      <c r="A861">
        <v>860</v>
      </c>
      <c r="C861">
        <v>19.48</v>
      </c>
      <c r="D861">
        <v>18.850000000000001</v>
      </c>
    </row>
    <row r="862" spans="1:4">
      <c r="A862">
        <v>861</v>
      </c>
      <c r="C862">
        <v>21.19</v>
      </c>
      <c r="D862">
        <v>20.76</v>
      </c>
    </row>
    <row r="863" spans="1:4">
      <c r="A863">
        <v>862</v>
      </c>
      <c r="C863">
        <v>20.010000000000002</v>
      </c>
      <c r="D863">
        <v>19.559999999999999</v>
      </c>
    </row>
    <row r="864" spans="1:4">
      <c r="A864">
        <v>863</v>
      </c>
      <c r="C864">
        <v>20.39</v>
      </c>
      <c r="D864">
        <v>19.88</v>
      </c>
    </row>
    <row r="865" spans="1:4">
      <c r="A865">
        <v>864</v>
      </c>
      <c r="C865">
        <v>20.37</v>
      </c>
      <c r="D865">
        <v>20.05</v>
      </c>
    </row>
    <row r="866" spans="1:4">
      <c r="A866">
        <v>865</v>
      </c>
      <c r="C866">
        <v>19.48</v>
      </c>
      <c r="D866">
        <v>18.920000000000002</v>
      </c>
    </row>
    <row r="867" spans="1:4">
      <c r="A867">
        <v>866</v>
      </c>
      <c r="C867">
        <v>19.66</v>
      </c>
      <c r="D867">
        <v>19.36</v>
      </c>
    </row>
    <row r="868" spans="1:4">
      <c r="A868">
        <v>867</v>
      </c>
      <c r="C868">
        <v>19.28</v>
      </c>
      <c r="D868">
        <v>18.79</v>
      </c>
    </row>
    <row r="869" spans="1:4">
      <c r="A869">
        <v>868</v>
      </c>
      <c r="C869">
        <v>19.239999999999998</v>
      </c>
      <c r="D869">
        <v>18.850000000000001</v>
      </c>
    </row>
    <row r="870" spans="1:4">
      <c r="A870">
        <v>869</v>
      </c>
      <c r="C870">
        <v>18.940000000000001</v>
      </c>
      <c r="D870">
        <v>18.2</v>
      </c>
    </row>
    <row r="871" spans="1:4">
      <c r="A871">
        <v>870</v>
      </c>
      <c r="C871">
        <v>19.760000000000002</v>
      </c>
      <c r="D871">
        <v>18.989999999999998</v>
      </c>
    </row>
    <row r="872" spans="1:4">
      <c r="A872">
        <v>871</v>
      </c>
      <c r="C872">
        <v>20.21</v>
      </c>
      <c r="D872">
        <v>19.73</v>
      </c>
    </row>
    <row r="873" spans="1:4">
      <c r="A873">
        <v>872</v>
      </c>
      <c r="C873">
        <v>20.96</v>
      </c>
      <c r="D873">
        <v>19.87</v>
      </c>
    </row>
    <row r="874" spans="1:4">
      <c r="A874">
        <v>873</v>
      </c>
      <c r="C874">
        <v>20.66</v>
      </c>
      <c r="D874">
        <v>20.260000000000002</v>
      </c>
    </row>
    <row r="875" spans="1:4">
      <c r="A875">
        <v>874</v>
      </c>
      <c r="C875">
        <v>21</v>
      </c>
      <c r="D875">
        <v>19.91</v>
      </c>
    </row>
    <row r="876" spans="1:4">
      <c r="A876">
        <v>875</v>
      </c>
      <c r="C876">
        <v>20.36</v>
      </c>
      <c r="D876">
        <v>19.8</v>
      </c>
    </row>
    <row r="877" spans="1:4">
      <c r="A877">
        <v>876</v>
      </c>
      <c r="C877">
        <v>21.64</v>
      </c>
      <c r="D877">
        <v>20.25</v>
      </c>
    </row>
    <row r="878" spans="1:4">
      <c r="A878">
        <v>877</v>
      </c>
      <c r="C878">
        <v>21.58</v>
      </c>
      <c r="D878">
        <v>20.5</v>
      </c>
    </row>
    <row r="879" spans="1:4">
      <c r="A879">
        <v>878</v>
      </c>
      <c r="C879">
        <v>22.28</v>
      </c>
      <c r="D879">
        <v>20.56</v>
      </c>
    </row>
    <row r="880" spans="1:4">
      <c r="A880">
        <v>879</v>
      </c>
      <c r="C880">
        <v>22.13</v>
      </c>
      <c r="D880">
        <v>21.4</v>
      </c>
    </row>
    <row r="881" spans="1:4">
      <c r="A881">
        <v>880</v>
      </c>
      <c r="C881">
        <v>21.35</v>
      </c>
      <c r="D881">
        <v>20.86</v>
      </c>
    </row>
    <row r="882" spans="1:4">
      <c r="A882">
        <v>881</v>
      </c>
      <c r="C882">
        <v>21.91</v>
      </c>
      <c r="D882">
        <v>21.34</v>
      </c>
    </row>
    <row r="883" spans="1:4">
      <c r="A883">
        <v>882</v>
      </c>
      <c r="C883">
        <v>21.54</v>
      </c>
      <c r="D883">
        <v>20.92</v>
      </c>
    </row>
    <row r="884" spans="1:4">
      <c r="A884">
        <v>883</v>
      </c>
      <c r="C884">
        <v>20.74</v>
      </c>
      <c r="D884">
        <v>19.64</v>
      </c>
    </row>
    <row r="885" spans="1:4">
      <c r="A885">
        <v>884</v>
      </c>
      <c r="C885">
        <v>18.64</v>
      </c>
      <c r="D885">
        <v>17.82</v>
      </c>
    </row>
    <row r="886" spans="1:4">
      <c r="A886">
        <v>885</v>
      </c>
      <c r="C886">
        <v>19.38</v>
      </c>
      <c r="D886">
        <v>18.440000000000001</v>
      </c>
    </row>
    <row r="887" spans="1:4">
      <c r="A887">
        <v>886</v>
      </c>
      <c r="C887">
        <v>19.22</v>
      </c>
      <c r="D887">
        <v>18.760000000000002</v>
      </c>
    </row>
    <row r="888" spans="1:4">
      <c r="A888">
        <v>887</v>
      </c>
      <c r="C888">
        <v>20.51</v>
      </c>
      <c r="D888">
        <v>18.57</v>
      </c>
    </row>
    <row r="889" spans="1:4">
      <c r="A889">
        <v>888</v>
      </c>
      <c r="C889">
        <v>20.29</v>
      </c>
      <c r="D889">
        <v>19.62</v>
      </c>
    </row>
    <row r="890" spans="1:4">
      <c r="A890">
        <v>889</v>
      </c>
      <c r="C890">
        <v>19.34</v>
      </c>
      <c r="D890">
        <v>18.72</v>
      </c>
    </row>
    <row r="891" spans="1:4">
      <c r="A891">
        <v>890</v>
      </c>
      <c r="C891">
        <v>19.84</v>
      </c>
      <c r="D891">
        <v>18.93</v>
      </c>
    </row>
    <row r="892" spans="1:4">
      <c r="A892">
        <v>891</v>
      </c>
      <c r="C892">
        <v>20.100000000000001</v>
      </c>
      <c r="D892">
        <v>18.98</v>
      </c>
    </row>
    <row r="893" spans="1:4">
      <c r="A893">
        <v>892</v>
      </c>
      <c r="C893">
        <v>19.84</v>
      </c>
      <c r="D893">
        <v>19.149999999999999</v>
      </c>
    </row>
    <row r="894" spans="1:4">
      <c r="A894">
        <v>893</v>
      </c>
      <c r="C894">
        <v>20.82</v>
      </c>
      <c r="D894">
        <v>19.899999999999999</v>
      </c>
    </row>
    <row r="895" spans="1:4">
      <c r="A895">
        <v>894</v>
      </c>
      <c r="C895">
        <v>23.05</v>
      </c>
      <c r="D895">
        <v>21.01</v>
      </c>
    </row>
    <row r="896" spans="1:4">
      <c r="A896">
        <v>895</v>
      </c>
      <c r="C896">
        <v>23.71</v>
      </c>
      <c r="D896">
        <v>23.34</v>
      </c>
    </row>
    <row r="897" spans="1:4">
      <c r="A897">
        <v>896</v>
      </c>
      <c r="C897">
        <v>23.17</v>
      </c>
      <c r="D897">
        <v>21.76</v>
      </c>
    </row>
    <row r="898" spans="1:4">
      <c r="A898">
        <v>897</v>
      </c>
      <c r="C898">
        <v>21.57</v>
      </c>
      <c r="D898">
        <v>21.04</v>
      </c>
    </row>
    <row r="899" spans="1:4">
      <c r="A899">
        <v>898</v>
      </c>
      <c r="C899">
        <v>22.1</v>
      </c>
      <c r="D899">
        <v>20.91</v>
      </c>
    </row>
    <row r="900" spans="1:4">
      <c r="A900">
        <v>899</v>
      </c>
      <c r="C900">
        <v>20.97</v>
      </c>
      <c r="D900">
        <v>20.48</v>
      </c>
    </row>
    <row r="901" spans="1:4">
      <c r="A901">
        <v>900</v>
      </c>
      <c r="C901">
        <v>22.14</v>
      </c>
      <c r="D901">
        <v>20.57</v>
      </c>
    </row>
    <row r="902" spans="1:4">
      <c r="A902">
        <v>901</v>
      </c>
      <c r="C902">
        <v>22.37</v>
      </c>
      <c r="D902">
        <v>21.81</v>
      </c>
    </row>
    <row r="903" spans="1:4">
      <c r="A903">
        <v>902</v>
      </c>
      <c r="C903">
        <v>22.06</v>
      </c>
      <c r="D903">
        <v>21.34</v>
      </c>
    </row>
    <row r="904" spans="1:4">
      <c r="A904">
        <v>903</v>
      </c>
      <c r="C904">
        <v>21.98</v>
      </c>
      <c r="D904">
        <v>21.24</v>
      </c>
    </row>
    <row r="905" spans="1:4">
      <c r="A905">
        <v>904</v>
      </c>
      <c r="C905">
        <v>22.97</v>
      </c>
      <c r="D905">
        <v>21.29</v>
      </c>
    </row>
    <row r="906" spans="1:4">
      <c r="A906">
        <v>905</v>
      </c>
      <c r="C906">
        <v>23.34</v>
      </c>
      <c r="D906">
        <v>21.92</v>
      </c>
    </row>
    <row r="907" spans="1:4">
      <c r="A907">
        <v>906</v>
      </c>
      <c r="C907">
        <v>21.78</v>
      </c>
      <c r="D907">
        <v>20.64</v>
      </c>
    </row>
    <row r="908" spans="1:4">
      <c r="A908">
        <v>907</v>
      </c>
      <c r="C908">
        <v>20.89</v>
      </c>
      <c r="D908">
        <v>19.96</v>
      </c>
    </row>
    <row r="909" spans="1:4">
      <c r="A909">
        <v>908</v>
      </c>
      <c r="C909">
        <v>19.98</v>
      </c>
      <c r="D909">
        <v>19.329999999999998</v>
      </c>
    </row>
    <row r="910" spans="1:4">
      <c r="A910">
        <v>909</v>
      </c>
      <c r="C910">
        <v>23.23</v>
      </c>
      <c r="D910">
        <v>21.03</v>
      </c>
    </row>
    <row r="911" spans="1:4">
      <c r="A911">
        <v>910</v>
      </c>
      <c r="C911">
        <v>23.58</v>
      </c>
      <c r="D911">
        <v>22.59</v>
      </c>
    </row>
    <row r="912" spans="1:4">
      <c r="A912">
        <v>911</v>
      </c>
      <c r="C912">
        <v>23.9</v>
      </c>
      <c r="D912">
        <v>22.03</v>
      </c>
    </row>
    <row r="913" spans="1:4">
      <c r="A913">
        <v>912</v>
      </c>
      <c r="C913">
        <v>25.47</v>
      </c>
      <c r="D913">
        <v>23.52</v>
      </c>
    </row>
    <row r="914" spans="1:4">
      <c r="A914">
        <v>913</v>
      </c>
      <c r="C914">
        <v>23.88</v>
      </c>
      <c r="D914">
        <v>23.11</v>
      </c>
    </row>
    <row r="915" spans="1:4">
      <c r="A915">
        <v>914</v>
      </c>
      <c r="C915">
        <v>25.05</v>
      </c>
      <c r="D915">
        <v>22.91</v>
      </c>
    </row>
    <row r="916" spans="1:4">
      <c r="A916">
        <v>915</v>
      </c>
      <c r="C916">
        <v>26.31</v>
      </c>
      <c r="D916">
        <v>24.37</v>
      </c>
    </row>
    <row r="917" spans="1:4">
      <c r="A917">
        <v>916</v>
      </c>
      <c r="C917">
        <v>23.31</v>
      </c>
      <c r="D917">
        <v>22.61</v>
      </c>
    </row>
    <row r="918" spans="1:4">
      <c r="A918">
        <v>917</v>
      </c>
      <c r="C918">
        <v>22.63</v>
      </c>
      <c r="D918">
        <v>21.03</v>
      </c>
    </row>
    <row r="919" spans="1:4">
      <c r="A919">
        <v>918</v>
      </c>
      <c r="C919">
        <v>24.08</v>
      </c>
      <c r="D919">
        <v>21.33</v>
      </c>
    </row>
    <row r="920" spans="1:4">
      <c r="A920">
        <v>919</v>
      </c>
      <c r="C920">
        <v>26.24</v>
      </c>
      <c r="D920">
        <v>24.67</v>
      </c>
    </row>
    <row r="921" spans="1:4">
      <c r="A921">
        <v>920</v>
      </c>
      <c r="C921">
        <v>24.46</v>
      </c>
      <c r="D921">
        <v>23.63</v>
      </c>
    </row>
    <row r="922" spans="1:4">
      <c r="A922">
        <v>921</v>
      </c>
      <c r="C922">
        <v>24.91</v>
      </c>
      <c r="D922">
        <v>24.2</v>
      </c>
    </row>
    <row r="923" spans="1:4">
      <c r="A923">
        <v>922</v>
      </c>
      <c r="C923">
        <v>25.38</v>
      </c>
      <c r="D923">
        <v>24.18</v>
      </c>
    </row>
    <row r="924" spans="1:4">
      <c r="A924">
        <v>923</v>
      </c>
      <c r="C924">
        <v>25.53</v>
      </c>
      <c r="D924">
        <v>23.79</v>
      </c>
    </row>
    <row r="925" spans="1:4">
      <c r="A925">
        <v>924</v>
      </c>
      <c r="C925">
        <v>25.06</v>
      </c>
      <c r="D925">
        <v>24.41</v>
      </c>
    </row>
    <row r="926" spans="1:4">
      <c r="A926">
        <v>925</v>
      </c>
      <c r="C926">
        <v>25.91</v>
      </c>
      <c r="D926">
        <v>24.46</v>
      </c>
    </row>
    <row r="927" spans="1:4">
      <c r="A927">
        <v>926</v>
      </c>
      <c r="C927">
        <v>24.96</v>
      </c>
      <c r="D927">
        <v>24.41</v>
      </c>
    </row>
    <row r="928" spans="1:4">
      <c r="A928">
        <v>927</v>
      </c>
      <c r="C928">
        <v>25.6</v>
      </c>
      <c r="D928">
        <v>24.75</v>
      </c>
    </row>
    <row r="929" spans="1:4">
      <c r="A929">
        <v>928</v>
      </c>
      <c r="C929">
        <v>24.86</v>
      </c>
      <c r="D929">
        <v>23.95</v>
      </c>
    </row>
    <row r="930" spans="1:4">
      <c r="A930">
        <v>929</v>
      </c>
      <c r="C930">
        <v>24.54</v>
      </c>
      <c r="D930">
        <v>23.97</v>
      </c>
    </row>
    <row r="931" spans="1:4">
      <c r="A931">
        <v>930</v>
      </c>
      <c r="C931">
        <v>24.77</v>
      </c>
      <c r="D931">
        <v>23.53</v>
      </c>
    </row>
    <row r="932" spans="1:4">
      <c r="A932">
        <v>931</v>
      </c>
      <c r="C932">
        <v>24.64</v>
      </c>
      <c r="D932">
        <v>24.09</v>
      </c>
    </row>
    <row r="933" spans="1:4">
      <c r="A933">
        <v>932</v>
      </c>
      <c r="C933">
        <v>27.33</v>
      </c>
      <c r="D933">
        <v>25.47</v>
      </c>
    </row>
    <row r="934" spans="1:4">
      <c r="A934">
        <v>933</v>
      </c>
      <c r="C934">
        <v>26.36</v>
      </c>
      <c r="D934">
        <v>24.94</v>
      </c>
    </row>
    <row r="935" spans="1:4">
      <c r="A935">
        <v>934</v>
      </c>
      <c r="C935">
        <v>26.15</v>
      </c>
      <c r="D935">
        <v>25.1</v>
      </c>
    </row>
    <row r="936" spans="1:4">
      <c r="A936">
        <v>935</v>
      </c>
      <c r="C936">
        <v>25.1</v>
      </c>
      <c r="D936">
        <v>23.61</v>
      </c>
    </row>
    <row r="937" spans="1:4">
      <c r="A937">
        <v>936</v>
      </c>
      <c r="C937">
        <v>24.8</v>
      </c>
      <c r="D937">
        <v>23.69</v>
      </c>
    </row>
    <row r="938" spans="1:4">
      <c r="A938">
        <v>937</v>
      </c>
      <c r="C938">
        <v>23.87</v>
      </c>
      <c r="D938">
        <v>22.76</v>
      </c>
    </row>
    <row r="939" spans="1:4">
      <c r="A939">
        <v>938</v>
      </c>
      <c r="C939">
        <v>23.06</v>
      </c>
      <c r="D939">
        <v>21.67</v>
      </c>
    </row>
    <row r="940" spans="1:4">
      <c r="A940">
        <v>939</v>
      </c>
      <c r="C940">
        <v>22.87</v>
      </c>
      <c r="D940">
        <v>21.99</v>
      </c>
    </row>
    <row r="941" spans="1:4">
      <c r="A941">
        <v>940</v>
      </c>
      <c r="C941">
        <v>22.62</v>
      </c>
      <c r="D941">
        <v>21.94</v>
      </c>
    </row>
    <row r="942" spans="1:4">
      <c r="A942">
        <v>941</v>
      </c>
      <c r="C942">
        <v>23.88</v>
      </c>
      <c r="D942">
        <v>21.43</v>
      </c>
    </row>
    <row r="943" spans="1:4">
      <c r="A943">
        <v>942</v>
      </c>
      <c r="C943">
        <v>23.33</v>
      </c>
      <c r="D943">
        <v>22.46</v>
      </c>
    </row>
    <row r="944" spans="1:4">
      <c r="A944">
        <v>943</v>
      </c>
      <c r="C944">
        <v>22.67</v>
      </c>
      <c r="D944">
        <v>21.82</v>
      </c>
    </row>
    <row r="945" spans="1:4">
      <c r="A945">
        <v>944</v>
      </c>
      <c r="C945">
        <v>23.23</v>
      </c>
      <c r="D945">
        <v>22.15</v>
      </c>
    </row>
    <row r="946" spans="1:4">
      <c r="A946">
        <v>945</v>
      </c>
      <c r="C946">
        <v>22.91</v>
      </c>
      <c r="D946">
        <v>22.05</v>
      </c>
    </row>
    <row r="947" spans="1:4">
      <c r="A947">
        <v>946</v>
      </c>
      <c r="C947">
        <v>22.99</v>
      </c>
      <c r="D947">
        <v>22.27</v>
      </c>
    </row>
    <row r="948" spans="1:4">
      <c r="A948">
        <v>947</v>
      </c>
      <c r="C948">
        <v>22.73</v>
      </c>
      <c r="D948">
        <v>22.26</v>
      </c>
    </row>
    <row r="949" spans="1:4">
      <c r="A949">
        <v>948</v>
      </c>
      <c r="C949">
        <v>22.17</v>
      </c>
      <c r="D949">
        <v>20.75</v>
      </c>
    </row>
    <row r="950" spans="1:4">
      <c r="A950">
        <v>949</v>
      </c>
      <c r="C950">
        <v>22.23</v>
      </c>
      <c r="D950">
        <v>21.59</v>
      </c>
    </row>
    <row r="951" spans="1:4">
      <c r="A951">
        <v>950</v>
      </c>
      <c r="C951">
        <v>21.65</v>
      </c>
      <c r="D951">
        <v>20.27</v>
      </c>
    </row>
    <row r="952" spans="1:4">
      <c r="A952">
        <v>951</v>
      </c>
      <c r="C952">
        <v>21.91</v>
      </c>
      <c r="D952">
        <v>20.39</v>
      </c>
    </row>
    <row r="953" spans="1:4">
      <c r="A953">
        <v>952</v>
      </c>
      <c r="C953">
        <v>23.5</v>
      </c>
      <c r="D953">
        <v>22.05</v>
      </c>
    </row>
    <row r="954" spans="1:4">
      <c r="A954">
        <v>953</v>
      </c>
      <c r="C954">
        <v>20.54</v>
      </c>
      <c r="D954">
        <v>19.75</v>
      </c>
    </row>
    <row r="955" spans="1:4">
      <c r="A955">
        <v>954</v>
      </c>
      <c r="C955">
        <v>20.7</v>
      </c>
      <c r="D955">
        <v>19.78</v>
      </c>
    </row>
    <row r="956" spans="1:4">
      <c r="A956">
        <v>955</v>
      </c>
      <c r="C956">
        <v>20.97</v>
      </c>
      <c r="D956">
        <v>19.850000000000001</v>
      </c>
    </row>
    <row r="957" spans="1:4">
      <c r="A957">
        <v>956</v>
      </c>
      <c r="C957">
        <v>21.01</v>
      </c>
      <c r="D957">
        <v>19.28</v>
      </c>
    </row>
    <row r="958" spans="1:4">
      <c r="A958">
        <v>957</v>
      </c>
      <c r="C958">
        <v>21.05</v>
      </c>
      <c r="D958">
        <v>19.489999999999998</v>
      </c>
    </row>
    <row r="959" spans="1:4">
      <c r="A959">
        <v>958</v>
      </c>
      <c r="C959">
        <v>22.85</v>
      </c>
      <c r="D959">
        <v>20.09</v>
      </c>
    </row>
    <row r="960" spans="1:4">
      <c r="A960">
        <v>959</v>
      </c>
      <c r="C960">
        <v>21.46</v>
      </c>
      <c r="D960">
        <v>20.67</v>
      </c>
    </row>
    <row r="961" spans="1:4">
      <c r="A961">
        <v>960</v>
      </c>
      <c r="C961">
        <v>20.21</v>
      </c>
      <c r="D961">
        <v>19.48</v>
      </c>
    </row>
    <row r="962" spans="1:4">
      <c r="A962">
        <v>961</v>
      </c>
      <c r="C962">
        <v>20.170000000000002</v>
      </c>
      <c r="D962">
        <v>19.559999999999999</v>
      </c>
    </row>
    <row r="963" spans="1:4">
      <c r="A963">
        <v>962</v>
      </c>
      <c r="C963">
        <v>24.11</v>
      </c>
      <c r="D963">
        <v>21.66</v>
      </c>
    </row>
    <row r="964" spans="1:4">
      <c r="A964">
        <v>963</v>
      </c>
      <c r="C964">
        <v>23.49</v>
      </c>
      <c r="D964">
        <v>20.88</v>
      </c>
    </row>
    <row r="965" spans="1:4">
      <c r="A965">
        <v>964</v>
      </c>
      <c r="C965">
        <v>32.64</v>
      </c>
      <c r="D965">
        <v>24.77</v>
      </c>
    </row>
    <row r="966" spans="1:4">
      <c r="A966">
        <v>965</v>
      </c>
      <c r="C966">
        <v>48.64</v>
      </c>
      <c r="D966">
        <v>30.69</v>
      </c>
    </row>
    <row r="967" spans="1:4">
      <c r="A967">
        <v>966</v>
      </c>
      <c r="C967">
        <v>34.43</v>
      </c>
      <c r="D967">
        <v>28.83</v>
      </c>
    </row>
    <row r="968" spans="1:4">
      <c r="A968">
        <v>967</v>
      </c>
      <c r="C968">
        <v>38.56</v>
      </c>
      <c r="D968">
        <v>35.840000000000003</v>
      </c>
    </row>
    <row r="969" spans="1:4">
      <c r="A969">
        <v>968</v>
      </c>
      <c r="C969">
        <v>37.25</v>
      </c>
      <c r="D969">
        <v>35.020000000000003</v>
      </c>
    </row>
    <row r="970" spans="1:4">
      <c r="A970">
        <v>969</v>
      </c>
      <c r="C970">
        <v>32.67</v>
      </c>
      <c r="D970">
        <v>31.9</v>
      </c>
    </row>
    <row r="971" spans="1:4">
      <c r="A971">
        <v>970</v>
      </c>
      <c r="C971">
        <v>33.28</v>
      </c>
      <c r="D971">
        <v>31.23</v>
      </c>
    </row>
    <row r="972" spans="1:4">
      <c r="A972">
        <v>971</v>
      </c>
      <c r="C972">
        <v>32.659999999999997</v>
      </c>
      <c r="D972">
        <v>31.18</v>
      </c>
    </row>
    <row r="973" spans="1:4">
      <c r="A973">
        <v>972</v>
      </c>
      <c r="C973">
        <v>33.450000000000003</v>
      </c>
      <c r="D973">
        <v>32.33</v>
      </c>
    </row>
    <row r="974" spans="1:4">
      <c r="A974">
        <v>973</v>
      </c>
      <c r="C974">
        <v>38.22</v>
      </c>
      <c r="D974">
        <v>34.770000000000003</v>
      </c>
    </row>
    <row r="975" spans="1:4">
      <c r="A975">
        <v>974</v>
      </c>
      <c r="C975">
        <v>36.76</v>
      </c>
      <c r="D975">
        <v>35.04</v>
      </c>
    </row>
    <row r="976" spans="1:4">
      <c r="A976">
        <v>975</v>
      </c>
      <c r="C976">
        <v>36.92</v>
      </c>
      <c r="D976">
        <v>36.299999999999997</v>
      </c>
    </row>
    <row r="977" spans="1:4">
      <c r="A977">
        <v>976</v>
      </c>
      <c r="C977">
        <v>37.86</v>
      </c>
      <c r="D977">
        <v>35.729999999999997</v>
      </c>
    </row>
    <row r="978" spans="1:4">
      <c r="A978">
        <v>977</v>
      </c>
      <c r="C978">
        <v>38.46</v>
      </c>
      <c r="D978">
        <v>36.43</v>
      </c>
    </row>
    <row r="979" spans="1:4">
      <c r="A979">
        <v>978</v>
      </c>
      <c r="C979">
        <v>36.299999999999997</v>
      </c>
      <c r="D979">
        <v>33.54</v>
      </c>
    </row>
    <row r="980" spans="1:4">
      <c r="A980">
        <v>979</v>
      </c>
      <c r="C980">
        <v>32.619999999999997</v>
      </c>
      <c r="D980">
        <v>31.13</v>
      </c>
    </row>
    <row r="981" spans="1:4">
      <c r="A981">
        <v>980</v>
      </c>
      <c r="C981">
        <v>32.340000000000003</v>
      </c>
      <c r="D981">
        <v>31</v>
      </c>
    </row>
    <row r="982" spans="1:4">
      <c r="A982">
        <v>981</v>
      </c>
      <c r="C982">
        <v>31.27</v>
      </c>
      <c r="D982">
        <v>29.84</v>
      </c>
    </row>
    <row r="983" spans="1:4">
      <c r="A983">
        <v>982</v>
      </c>
      <c r="C983">
        <v>28.81</v>
      </c>
      <c r="D983">
        <v>27.17</v>
      </c>
    </row>
    <row r="984" spans="1:4">
      <c r="A984">
        <v>983</v>
      </c>
      <c r="C984">
        <v>27.67</v>
      </c>
      <c r="D984">
        <v>26.42</v>
      </c>
    </row>
    <row r="985" spans="1:4">
      <c r="A985">
        <v>984</v>
      </c>
      <c r="C985">
        <v>30.12</v>
      </c>
      <c r="D985">
        <v>28.58</v>
      </c>
    </row>
    <row r="986" spans="1:4">
      <c r="A986">
        <v>985</v>
      </c>
      <c r="C986">
        <v>30.32</v>
      </c>
      <c r="D986">
        <v>28.89</v>
      </c>
    </row>
    <row r="987" spans="1:4">
      <c r="A987">
        <v>986</v>
      </c>
      <c r="C987">
        <v>28.27</v>
      </c>
      <c r="D987">
        <v>27.03</v>
      </c>
    </row>
    <row r="988" spans="1:4">
      <c r="A988">
        <v>987</v>
      </c>
      <c r="C988">
        <v>27.86</v>
      </c>
      <c r="D988">
        <v>25.97</v>
      </c>
    </row>
    <row r="989" spans="1:4">
      <c r="A989">
        <v>988</v>
      </c>
      <c r="C989">
        <v>26.06</v>
      </c>
      <c r="D989">
        <v>25.51</v>
      </c>
    </row>
    <row r="990" spans="1:4">
      <c r="A990">
        <v>989</v>
      </c>
      <c r="C990">
        <v>25.55</v>
      </c>
      <c r="D990">
        <v>23.46</v>
      </c>
    </row>
    <row r="991" spans="1:4">
      <c r="A991">
        <v>990</v>
      </c>
      <c r="C991">
        <v>24.06</v>
      </c>
      <c r="D991">
        <v>22.64</v>
      </c>
    </row>
    <row r="992" spans="1:4">
      <c r="A992">
        <v>991</v>
      </c>
      <c r="C992">
        <v>23.05</v>
      </c>
      <c r="D992">
        <v>20.41</v>
      </c>
    </row>
    <row r="993" spans="1:4">
      <c r="A993">
        <v>992</v>
      </c>
      <c r="C993">
        <v>23.53</v>
      </c>
      <c r="D993">
        <v>22.88</v>
      </c>
    </row>
    <row r="994" spans="1:4">
      <c r="A994">
        <v>993</v>
      </c>
      <c r="C994">
        <v>23.79</v>
      </c>
      <c r="D994">
        <v>23.1</v>
      </c>
    </row>
    <row r="995" spans="1:4">
      <c r="A995">
        <v>994</v>
      </c>
      <c r="C995">
        <v>25.22</v>
      </c>
      <c r="D995">
        <v>22.88</v>
      </c>
    </row>
    <row r="996" spans="1:4">
      <c r="A996">
        <v>995</v>
      </c>
      <c r="C996">
        <v>28.01</v>
      </c>
      <c r="D996">
        <v>26.56</v>
      </c>
    </row>
    <row r="997" spans="1:4">
      <c r="A997">
        <v>996</v>
      </c>
      <c r="C997">
        <v>27.92</v>
      </c>
      <c r="D997">
        <v>26.49</v>
      </c>
    </row>
    <row r="998" spans="1:4">
      <c r="A998">
        <v>997</v>
      </c>
      <c r="C998">
        <v>28.81</v>
      </c>
      <c r="D998">
        <v>27.32</v>
      </c>
    </row>
    <row r="999" spans="1:4">
      <c r="A999">
        <v>998</v>
      </c>
      <c r="C999">
        <v>26.51</v>
      </c>
      <c r="D999">
        <v>25.48</v>
      </c>
    </row>
    <row r="1000" spans="1:4">
      <c r="A1000">
        <v>999</v>
      </c>
      <c r="C1000">
        <v>26.79</v>
      </c>
      <c r="D1000">
        <v>25.41</v>
      </c>
    </row>
    <row r="1001" spans="1:4">
      <c r="A1001">
        <v>1000</v>
      </c>
      <c r="C1001">
        <v>27.63</v>
      </c>
      <c r="D1001">
        <v>26.11</v>
      </c>
    </row>
    <row r="1002" spans="1:4">
      <c r="A1002">
        <v>1001</v>
      </c>
      <c r="C1002">
        <v>33.08</v>
      </c>
      <c r="D1002">
        <v>29.11</v>
      </c>
    </row>
    <row r="1003" spans="1:4">
      <c r="A1003">
        <v>1002</v>
      </c>
      <c r="C1003">
        <v>29.42</v>
      </c>
      <c r="D1003">
        <v>28.56</v>
      </c>
    </row>
    <row r="1004" spans="1:4">
      <c r="A1004">
        <v>1003</v>
      </c>
      <c r="C1004">
        <v>29.86</v>
      </c>
      <c r="D1004">
        <v>28.21</v>
      </c>
    </row>
    <row r="1005" spans="1:4">
      <c r="A1005">
        <v>1004</v>
      </c>
      <c r="C1005">
        <v>30.83</v>
      </c>
      <c r="D1005">
        <v>29.52</v>
      </c>
    </row>
    <row r="1006" spans="1:4">
      <c r="A1006">
        <v>1005</v>
      </c>
      <c r="C1006">
        <v>30.04</v>
      </c>
      <c r="D1006">
        <v>29.26</v>
      </c>
    </row>
    <row r="1007" spans="1:4">
      <c r="A1007">
        <v>1006</v>
      </c>
      <c r="C1007">
        <v>28.77</v>
      </c>
      <c r="D1007">
        <v>26.79</v>
      </c>
    </row>
    <row r="1008" spans="1:4">
      <c r="A1008">
        <v>1007</v>
      </c>
      <c r="C1008">
        <v>26.28</v>
      </c>
      <c r="D1008">
        <v>24.35</v>
      </c>
    </row>
    <row r="1009" spans="1:4">
      <c r="A1009">
        <v>1008</v>
      </c>
      <c r="C1009">
        <v>24.52</v>
      </c>
      <c r="D1009">
        <v>23.59</v>
      </c>
    </row>
    <row r="1010" spans="1:4">
      <c r="A1010">
        <v>1009</v>
      </c>
      <c r="C1010">
        <v>24.93</v>
      </c>
      <c r="D1010">
        <v>23.42</v>
      </c>
    </row>
    <row r="1011" spans="1:4">
      <c r="A1011">
        <v>1010</v>
      </c>
      <c r="C1011">
        <v>25.02</v>
      </c>
      <c r="D1011">
        <v>23.02</v>
      </c>
    </row>
    <row r="1012" spans="1:4">
      <c r="A1012">
        <v>1011</v>
      </c>
      <c r="C1012">
        <v>25.97</v>
      </c>
      <c r="D1012">
        <v>24.87</v>
      </c>
    </row>
    <row r="1013" spans="1:4">
      <c r="A1013">
        <v>1012</v>
      </c>
      <c r="C1013">
        <v>27.43</v>
      </c>
      <c r="D1013">
        <v>25.07</v>
      </c>
    </row>
    <row r="1014" spans="1:4">
      <c r="A1014">
        <v>1013</v>
      </c>
      <c r="C1014">
        <v>26.7</v>
      </c>
      <c r="D1014">
        <v>25.62</v>
      </c>
    </row>
    <row r="1015" spans="1:4">
      <c r="A1015">
        <v>1014</v>
      </c>
      <c r="C1015">
        <v>29.35</v>
      </c>
      <c r="D1015">
        <v>25.69</v>
      </c>
    </row>
    <row r="1016" spans="1:4">
      <c r="A1016">
        <v>1015</v>
      </c>
      <c r="C1016">
        <v>31.08</v>
      </c>
      <c r="D1016">
        <v>28.02</v>
      </c>
    </row>
    <row r="1017" spans="1:4">
      <c r="A1017">
        <v>1016</v>
      </c>
      <c r="C1017">
        <v>26.79</v>
      </c>
      <c r="D1017">
        <v>25.12</v>
      </c>
    </row>
    <row r="1018" spans="1:4">
      <c r="A1018">
        <v>1017</v>
      </c>
      <c r="C1018">
        <v>25.04</v>
      </c>
      <c r="D1018">
        <v>23.62</v>
      </c>
    </row>
    <row r="1019" spans="1:4">
      <c r="A1019">
        <v>1018</v>
      </c>
      <c r="C1019">
        <v>24.4</v>
      </c>
      <c r="D1019">
        <v>23.33</v>
      </c>
    </row>
    <row r="1020" spans="1:4">
      <c r="A1020">
        <v>1019</v>
      </c>
      <c r="C1020">
        <v>22.36</v>
      </c>
      <c r="D1020">
        <v>20.55</v>
      </c>
    </row>
    <row r="1021" spans="1:4">
      <c r="A1021">
        <v>1020</v>
      </c>
      <c r="C1021">
        <v>23.14</v>
      </c>
      <c r="D1021">
        <v>21.65</v>
      </c>
    </row>
    <row r="1022" spans="1:4">
      <c r="A1022">
        <v>1021</v>
      </c>
      <c r="C1022">
        <v>23.59</v>
      </c>
      <c r="D1022">
        <v>22.38</v>
      </c>
    </row>
    <row r="1023" spans="1:4">
      <c r="A1023">
        <v>1022</v>
      </c>
      <c r="C1023">
        <v>23.69</v>
      </c>
      <c r="D1023">
        <v>22.97</v>
      </c>
    </row>
    <row r="1024" spans="1:4">
      <c r="A1024">
        <v>1023</v>
      </c>
      <c r="C1024">
        <v>24.41</v>
      </c>
      <c r="D1024">
        <v>22.7</v>
      </c>
    </row>
    <row r="1025" spans="1:4">
      <c r="A1025">
        <v>1024</v>
      </c>
      <c r="C1025">
        <v>24.43</v>
      </c>
      <c r="D1025">
        <v>23.47</v>
      </c>
    </row>
    <row r="1026" spans="1:4">
      <c r="A1026">
        <v>1025</v>
      </c>
      <c r="C1026">
        <v>23.17</v>
      </c>
      <c r="D1026">
        <v>22</v>
      </c>
    </row>
    <row r="1027" spans="1:4">
      <c r="A1027">
        <v>1026</v>
      </c>
      <c r="C1027">
        <v>22.4</v>
      </c>
      <c r="D1027">
        <v>21.53</v>
      </c>
    </row>
    <row r="1028" spans="1:4">
      <c r="A1028">
        <v>1027</v>
      </c>
      <c r="C1028">
        <v>21.97</v>
      </c>
      <c r="D1028">
        <v>21.08</v>
      </c>
    </row>
    <row r="1029" spans="1:4">
      <c r="A1029">
        <v>1028</v>
      </c>
      <c r="C1029">
        <v>21.78</v>
      </c>
      <c r="D1029">
        <v>21.05</v>
      </c>
    </row>
    <row r="1030" spans="1:4">
      <c r="A1030">
        <v>1029</v>
      </c>
      <c r="C1030">
        <v>21.56</v>
      </c>
      <c r="D1030">
        <v>21.23</v>
      </c>
    </row>
    <row r="1031" spans="1:4">
      <c r="A1031">
        <v>1030</v>
      </c>
      <c r="C1031">
        <v>21.48</v>
      </c>
      <c r="D1031">
        <v>20.67</v>
      </c>
    </row>
    <row r="1032" spans="1:4">
      <c r="A1032">
        <v>1031</v>
      </c>
      <c r="C1032">
        <v>21.17</v>
      </c>
      <c r="D1032">
        <v>20.309999999999999</v>
      </c>
    </row>
    <row r="1033" spans="1:4">
      <c r="A1033">
        <v>1032</v>
      </c>
      <c r="C1033">
        <v>21.45</v>
      </c>
      <c r="D1033">
        <v>19.18</v>
      </c>
    </row>
    <row r="1034" spans="1:4">
      <c r="A1034">
        <v>1033</v>
      </c>
      <c r="C1034">
        <v>21.25</v>
      </c>
      <c r="D1034">
        <v>20.48</v>
      </c>
    </row>
    <row r="1035" spans="1:4">
      <c r="A1035">
        <v>1034</v>
      </c>
      <c r="C1035">
        <v>21.9</v>
      </c>
      <c r="D1035">
        <v>21.2</v>
      </c>
    </row>
    <row r="1036" spans="1:4">
      <c r="A1036">
        <v>1035</v>
      </c>
      <c r="C1036">
        <v>21.27</v>
      </c>
      <c r="D1036">
        <v>20.36</v>
      </c>
    </row>
    <row r="1037" spans="1:4">
      <c r="A1037">
        <v>1036</v>
      </c>
      <c r="C1037">
        <v>21.04</v>
      </c>
      <c r="D1037">
        <v>20.36</v>
      </c>
    </row>
    <row r="1038" spans="1:4">
      <c r="A1038">
        <v>1037</v>
      </c>
      <c r="C1038">
        <v>21.22</v>
      </c>
      <c r="D1038">
        <v>19.66</v>
      </c>
    </row>
    <row r="1039" spans="1:4">
      <c r="A1039">
        <v>1038</v>
      </c>
      <c r="C1039">
        <v>20.52</v>
      </c>
      <c r="D1039">
        <v>19.73</v>
      </c>
    </row>
    <row r="1040" spans="1:4">
      <c r="A1040">
        <v>1039</v>
      </c>
      <c r="C1040">
        <v>21</v>
      </c>
      <c r="D1040">
        <v>20.23</v>
      </c>
    </row>
    <row r="1041" spans="1:4">
      <c r="A1041">
        <v>1040</v>
      </c>
      <c r="C1041">
        <v>20.38</v>
      </c>
      <c r="D1041">
        <v>19.66</v>
      </c>
    </row>
    <row r="1042" spans="1:4">
      <c r="A1042">
        <v>1041</v>
      </c>
      <c r="C1042">
        <v>20.190000000000001</v>
      </c>
      <c r="D1042">
        <v>19.72</v>
      </c>
    </row>
    <row r="1043" spans="1:4">
      <c r="A1043">
        <v>1042</v>
      </c>
      <c r="C1043">
        <v>19.87</v>
      </c>
      <c r="D1043">
        <v>18.97</v>
      </c>
    </row>
    <row r="1044" spans="1:4">
      <c r="A1044">
        <v>1043</v>
      </c>
      <c r="C1044">
        <v>19.72</v>
      </c>
      <c r="D1044">
        <v>18.97</v>
      </c>
    </row>
    <row r="1045" spans="1:4">
      <c r="A1045">
        <v>1044</v>
      </c>
      <c r="C1045">
        <v>19.690000000000001</v>
      </c>
      <c r="D1045">
        <v>18.77</v>
      </c>
    </row>
    <row r="1046" spans="1:4">
      <c r="A1046">
        <v>1045</v>
      </c>
      <c r="C1046">
        <v>19.29</v>
      </c>
      <c r="D1046">
        <v>18.39</v>
      </c>
    </row>
    <row r="1047" spans="1:4">
      <c r="A1047">
        <v>1046</v>
      </c>
      <c r="C1047">
        <v>19.02</v>
      </c>
      <c r="D1047">
        <v>18.53</v>
      </c>
    </row>
    <row r="1048" spans="1:4">
      <c r="A1048">
        <v>1047</v>
      </c>
      <c r="C1048">
        <v>18.940000000000001</v>
      </c>
      <c r="D1048">
        <v>18.39</v>
      </c>
    </row>
    <row r="1049" spans="1:4">
      <c r="A1049">
        <v>1048</v>
      </c>
      <c r="C1049">
        <v>19.38</v>
      </c>
      <c r="D1049">
        <v>18.8</v>
      </c>
    </row>
    <row r="1050" spans="1:4">
      <c r="A1050">
        <v>1049</v>
      </c>
      <c r="C1050">
        <v>19.579999999999998</v>
      </c>
      <c r="D1050">
        <v>19.04</v>
      </c>
    </row>
    <row r="1051" spans="1:4">
      <c r="A1051">
        <v>1050</v>
      </c>
      <c r="C1051">
        <v>19.829999999999998</v>
      </c>
      <c r="D1051">
        <v>19.27</v>
      </c>
    </row>
    <row r="1052" spans="1:4">
      <c r="A1052">
        <v>1051</v>
      </c>
      <c r="C1052">
        <v>21.06</v>
      </c>
      <c r="D1052">
        <v>20.260000000000002</v>
      </c>
    </row>
    <row r="1053" spans="1:4">
      <c r="A1053">
        <v>1052</v>
      </c>
      <c r="C1053">
        <v>19.97</v>
      </c>
      <c r="D1053">
        <v>19.13</v>
      </c>
    </row>
    <row r="1054" spans="1:4">
      <c r="A1054">
        <v>1053</v>
      </c>
      <c r="C1054">
        <v>20.45</v>
      </c>
      <c r="D1054">
        <v>19.72</v>
      </c>
    </row>
    <row r="1055" spans="1:4">
      <c r="A1055">
        <v>1054</v>
      </c>
      <c r="C1055">
        <v>20.010000000000002</v>
      </c>
      <c r="D1055">
        <v>19.39</v>
      </c>
    </row>
    <row r="1056" spans="1:4">
      <c r="A1056">
        <v>1055</v>
      </c>
      <c r="C1056">
        <v>19.559999999999999</v>
      </c>
      <c r="D1056">
        <v>18.760000000000002</v>
      </c>
    </row>
    <row r="1057" spans="1:4">
      <c r="A1057">
        <v>1056</v>
      </c>
      <c r="C1057">
        <v>19.21</v>
      </c>
      <c r="D1057">
        <v>18.04</v>
      </c>
    </row>
    <row r="1058" spans="1:4">
      <c r="A1058">
        <v>1057</v>
      </c>
      <c r="C1058">
        <v>19.43</v>
      </c>
      <c r="D1058">
        <v>17.579999999999998</v>
      </c>
    </row>
    <row r="1059" spans="1:4">
      <c r="A1059">
        <v>1058</v>
      </c>
      <c r="C1059">
        <v>19.34</v>
      </c>
      <c r="D1059">
        <v>18.46</v>
      </c>
    </row>
    <row r="1060" spans="1:4">
      <c r="A1060">
        <v>1059</v>
      </c>
      <c r="C1060">
        <v>19.04</v>
      </c>
      <c r="D1060">
        <v>18.25</v>
      </c>
    </row>
    <row r="1061" spans="1:4">
      <c r="A1061">
        <v>1060</v>
      </c>
      <c r="C1061">
        <v>19.059999999999999</v>
      </c>
      <c r="D1061">
        <v>18.11</v>
      </c>
    </row>
    <row r="1062" spans="1:4">
      <c r="A1062">
        <v>1061</v>
      </c>
      <c r="C1062">
        <v>18.53</v>
      </c>
      <c r="D1062">
        <v>17.7</v>
      </c>
    </row>
    <row r="1063" spans="1:4">
      <c r="A1063">
        <v>1062</v>
      </c>
      <c r="C1063">
        <v>18.84</v>
      </c>
      <c r="D1063">
        <v>17.600000000000001</v>
      </c>
    </row>
    <row r="1064" spans="1:4">
      <c r="A1064">
        <v>1063</v>
      </c>
      <c r="C1064">
        <v>20.18</v>
      </c>
      <c r="D1064">
        <v>19.55</v>
      </c>
    </row>
    <row r="1065" spans="1:4">
      <c r="A1065">
        <v>1064</v>
      </c>
      <c r="C1065">
        <v>20.65</v>
      </c>
      <c r="D1065">
        <v>19.87</v>
      </c>
    </row>
    <row r="1066" spans="1:4">
      <c r="A1066">
        <v>1065</v>
      </c>
      <c r="C1066">
        <v>23.55</v>
      </c>
      <c r="D1066">
        <v>20.59</v>
      </c>
    </row>
    <row r="1067" spans="1:4">
      <c r="A1067">
        <v>1066</v>
      </c>
      <c r="C1067">
        <v>23.54</v>
      </c>
      <c r="D1067">
        <v>22.28</v>
      </c>
    </row>
    <row r="1068" spans="1:4">
      <c r="A1068">
        <v>1067</v>
      </c>
      <c r="C1068">
        <v>24.23</v>
      </c>
      <c r="D1068">
        <v>22.41</v>
      </c>
    </row>
    <row r="1069" spans="1:4">
      <c r="A1069">
        <v>1068</v>
      </c>
      <c r="C1069">
        <v>24.92</v>
      </c>
      <c r="D1069">
        <v>24.18</v>
      </c>
    </row>
    <row r="1070" spans="1:4">
      <c r="A1070">
        <v>1069</v>
      </c>
      <c r="C1070">
        <v>24.35</v>
      </c>
      <c r="D1070">
        <v>23.41</v>
      </c>
    </row>
    <row r="1071" spans="1:4">
      <c r="A1071">
        <v>1070</v>
      </c>
      <c r="C1071">
        <v>24.97</v>
      </c>
      <c r="D1071">
        <v>23.29</v>
      </c>
    </row>
    <row r="1072" spans="1:4">
      <c r="A1072">
        <v>1071</v>
      </c>
      <c r="C1072">
        <v>23.07</v>
      </c>
      <c r="D1072">
        <v>21.81</v>
      </c>
    </row>
    <row r="1073" spans="1:4">
      <c r="A1073">
        <v>1072</v>
      </c>
      <c r="C1073">
        <v>22.25</v>
      </c>
      <c r="D1073">
        <v>21.46</v>
      </c>
    </row>
    <row r="1074" spans="1:4">
      <c r="A1074">
        <v>1073</v>
      </c>
      <c r="C1074">
        <v>22.64</v>
      </c>
      <c r="D1074">
        <v>21.84</v>
      </c>
    </row>
    <row r="1075" spans="1:4">
      <c r="A1075">
        <v>1074</v>
      </c>
      <c r="C1075">
        <v>24.3</v>
      </c>
      <c r="D1075">
        <v>23.14</v>
      </c>
    </row>
    <row r="1076" spans="1:4">
      <c r="A1076">
        <v>1075</v>
      </c>
      <c r="C1076">
        <v>23.5</v>
      </c>
      <c r="D1076">
        <v>22.72</v>
      </c>
    </row>
    <row r="1077" spans="1:4">
      <c r="A1077">
        <v>1076</v>
      </c>
      <c r="C1077">
        <v>22.39</v>
      </c>
      <c r="D1077">
        <v>21.25</v>
      </c>
    </row>
    <row r="1078" spans="1:4">
      <c r="A1078">
        <v>1077</v>
      </c>
      <c r="C1078">
        <v>23.57</v>
      </c>
      <c r="D1078">
        <v>22.77</v>
      </c>
    </row>
    <row r="1079" spans="1:4">
      <c r="A1079">
        <v>1078</v>
      </c>
      <c r="C1079">
        <v>23.94</v>
      </c>
      <c r="D1079">
        <v>21.61</v>
      </c>
    </row>
    <row r="1080" spans="1:4">
      <c r="A1080">
        <v>1079</v>
      </c>
      <c r="C1080">
        <v>21.71</v>
      </c>
      <c r="D1080">
        <v>20.78</v>
      </c>
    </row>
    <row r="1081" spans="1:4">
      <c r="A1081">
        <v>1080</v>
      </c>
      <c r="C1081">
        <v>22.36</v>
      </c>
      <c r="D1081">
        <v>21.44</v>
      </c>
    </row>
    <row r="1082" spans="1:4">
      <c r="A1082">
        <v>1081</v>
      </c>
      <c r="C1082">
        <v>22.32</v>
      </c>
      <c r="D1082">
        <v>20.69</v>
      </c>
    </row>
    <row r="1083" spans="1:4">
      <c r="A1083">
        <v>1082</v>
      </c>
      <c r="C1083">
        <v>21.25</v>
      </c>
      <c r="D1083">
        <v>20.38</v>
      </c>
    </row>
    <row r="1084" spans="1:4">
      <c r="A1084">
        <v>1083</v>
      </c>
      <c r="C1084">
        <v>20.54</v>
      </c>
      <c r="D1084">
        <v>19.64</v>
      </c>
    </row>
    <row r="1085" spans="1:4">
      <c r="A1085">
        <v>1084</v>
      </c>
      <c r="C1085">
        <v>19.829999999999998</v>
      </c>
      <c r="D1085">
        <v>19.25</v>
      </c>
    </row>
    <row r="1086" spans="1:4">
      <c r="A1086">
        <v>1085</v>
      </c>
      <c r="C1086">
        <v>20.77</v>
      </c>
      <c r="D1086">
        <v>19.43</v>
      </c>
    </row>
    <row r="1087" spans="1:4">
      <c r="A1087">
        <v>1086</v>
      </c>
      <c r="C1087">
        <v>22.42</v>
      </c>
      <c r="D1087">
        <v>20.149999999999999</v>
      </c>
    </row>
    <row r="1088" spans="1:4">
      <c r="A1088">
        <v>1087</v>
      </c>
      <c r="C1088">
        <v>27.47</v>
      </c>
      <c r="D1088">
        <v>24.95</v>
      </c>
    </row>
    <row r="1089" spans="1:4">
      <c r="A1089">
        <v>1088</v>
      </c>
      <c r="C1089">
        <v>24.88</v>
      </c>
      <c r="D1089">
        <v>23.69</v>
      </c>
    </row>
    <row r="1090" spans="1:4">
      <c r="A1090">
        <v>1089</v>
      </c>
      <c r="C1090">
        <v>23.69</v>
      </c>
      <c r="D1090">
        <v>22.54</v>
      </c>
    </row>
    <row r="1091" spans="1:4">
      <c r="A1091">
        <v>1090</v>
      </c>
      <c r="C1091">
        <v>21.37</v>
      </c>
      <c r="D1091">
        <v>20.51</v>
      </c>
    </row>
    <row r="1092" spans="1:4">
      <c r="A1092">
        <v>1091</v>
      </c>
      <c r="C1092">
        <v>20.92</v>
      </c>
      <c r="D1092">
        <v>19.3</v>
      </c>
    </row>
    <row r="1093" spans="1:4">
      <c r="A1093">
        <v>1092</v>
      </c>
      <c r="C1093">
        <v>20.56</v>
      </c>
      <c r="D1093">
        <v>19.489999999999998</v>
      </c>
    </row>
    <row r="1094" spans="1:4">
      <c r="A1094">
        <v>1093</v>
      </c>
      <c r="C1094">
        <v>21.73</v>
      </c>
      <c r="D1094">
        <v>20.73</v>
      </c>
    </row>
    <row r="1095" spans="1:4">
      <c r="A1095">
        <v>1094</v>
      </c>
      <c r="C1095">
        <v>22.89</v>
      </c>
      <c r="D1095">
        <v>21.84</v>
      </c>
    </row>
    <row r="1096" spans="1:4">
      <c r="A1096">
        <v>1095</v>
      </c>
      <c r="C1096">
        <v>23.9</v>
      </c>
      <c r="D1096">
        <v>22.93</v>
      </c>
    </row>
    <row r="1097" spans="1:4">
      <c r="A1097">
        <v>1096</v>
      </c>
      <c r="C1097">
        <v>21.1</v>
      </c>
      <c r="D1097">
        <v>20.18</v>
      </c>
    </row>
    <row r="1098" spans="1:4">
      <c r="A1098">
        <v>1097</v>
      </c>
      <c r="C1098">
        <v>21.4</v>
      </c>
      <c r="D1098">
        <v>19.670000000000002</v>
      </c>
    </row>
    <row r="1099" spans="1:4">
      <c r="A1099">
        <v>1098</v>
      </c>
      <c r="C1099">
        <v>21.7</v>
      </c>
      <c r="D1099">
        <v>20.71</v>
      </c>
    </row>
    <row r="1100" spans="1:4">
      <c r="A1100">
        <v>1099</v>
      </c>
      <c r="C1100">
        <v>20.72</v>
      </c>
      <c r="D1100">
        <v>20.22</v>
      </c>
    </row>
    <row r="1101" spans="1:4">
      <c r="A1101">
        <v>1100</v>
      </c>
      <c r="C1101">
        <v>20.83</v>
      </c>
      <c r="D1101">
        <v>19.63</v>
      </c>
    </row>
    <row r="1102" spans="1:4">
      <c r="A1102">
        <v>1101</v>
      </c>
      <c r="C1102">
        <v>21.05</v>
      </c>
      <c r="D1102">
        <v>19.329999999999998</v>
      </c>
    </row>
    <row r="1103" spans="1:4">
      <c r="A1103">
        <v>1102</v>
      </c>
      <c r="C1103">
        <v>22.21</v>
      </c>
      <c r="D1103">
        <v>20.8</v>
      </c>
    </row>
    <row r="1104" spans="1:4">
      <c r="A1104">
        <v>1103</v>
      </c>
      <c r="C1104">
        <v>21.13</v>
      </c>
      <c r="D1104">
        <v>20.11</v>
      </c>
    </row>
    <row r="1105" spans="1:4">
      <c r="A1105">
        <v>1104</v>
      </c>
      <c r="C1105">
        <v>20.34</v>
      </c>
      <c r="D1105">
        <v>19.55</v>
      </c>
    </row>
    <row r="1106" spans="1:4">
      <c r="A1106">
        <v>1105</v>
      </c>
      <c r="C1106">
        <v>19.95</v>
      </c>
      <c r="D1106">
        <v>19.22</v>
      </c>
    </row>
    <row r="1107" spans="1:4">
      <c r="A1107">
        <v>1106</v>
      </c>
      <c r="C1107">
        <v>19.55</v>
      </c>
      <c r="D1107">
        <v>18.600000000000001</v>
      </c>
    </row>
    <row r="1108" spans="1:4">
      <c r="A1108">
        <v>1107</v>
      </c>
      <c r="C1108">
        <v>22.07</v>
      </c>
      <c r="D1108">
        <v>19.63</v>
      </c>
    </row>
    <row r="1109" spans="1:4">
      <c r="A1109">
        <v>1108</v>
      </c>
      <c r="C1109">
        <v>25.1</v>
      </c>
      <c r="D1109">
        <v>22.59</v>
      </c>
    </row>
    <row r="1110" spans="1:4">
      <c r="A1110">
        <v>1109</v>
      </c>
      <c r="C1110">
        <v>21.92</v>
      </c>
      <c r="D1110">
        <v>20.51</v>
      </c>
    </row>
    <row r="1111" spans="1:4">
      <c r="A1111">
        <v>1110</v>
      </c>
      <c r="C1111">
        <v>21.53</v>
      </c>
      <c r="D1111">
        <v>19.93</v>
      </c>
    </row>
    <row r="1112" spans="1:4">
      <c r="A1112">
        <v>1111</v>
      </c>
      <c r="C1112">
        <v>23.32</v>
      </c>
      <c r="D1112">
        <v>22.15</v>
      </c>
    </row>
    <row r="1113" spans="1:4">
      <c r="A1113">
        <v>1112</v>
      </c>
      <c r="C1113">
        <v>22.66</v>
      </c>
      <c r="D1113">
        <v>21.68</v>
      </c>
    </row>
    <row r="1114" spans="1:4">
      <c r="A1114">
        <v>1113</v>
      </c>
      <c r="C1114">
        <v>22.89</v>
      </c>
      <c r="D1114">
        <v>21.04</v>
      </c>
    </row>
    <row r="1115" spans="1:4">
      <c r="A1115">
        <v>1114</v>
      </c>
      <c r="C1115">
        <v>23.15</v>
      </c>
      <c r="D1115">
        <v>21.11</v>
      </c>
    </row>
    <row r="1116" spans="1:4">
      <c r="A1116">
        <v>1115</v>
      </c>
      <c r="C1116">
        <v>20.52</v>
      </c>
      <c r="D1116">
        <v>19.77</v>
      </c>
    </row>
    <row r="1117" spans="1:4">
      <c r="A1117">
        <v>1116</v>
      </c>
      <c r="C1117">
        <v>20.86</v>
      </c>
      <c r="D1117">
        <v>18.97</v>
      </c>
    </row>
    <row r="1118" spans="1:4">
      <c r="A1118">
        <v>1117</v>
      </c>
      <c r="C1118">
        <v>21.05</v>
      </c>
      <c r="D1118">
        <v>20.34</v>
      </c>
    </row>
    <row r="1119" spans="1:4">
      <c r="A1119">
        <v>1118</v>
      </c>
      <c r="C1119">
        <v>21.93</v>
      </c>
      <c r="D1119">
        <v>20.420000000000002</v>
      </c>
    </row>
    <row r="1120" spans="1:4">
      <c r="A1120">
        <v>1119</v>
      </c>
      <c r="C1120">
        <v>23.65</v>
      </c>
      <c r="D1120">
        <v>21.87</v>
      </c>
    </row>
    <row r="1121" spans="1:4">
      <c r="A1121">
        <v>1120</v>
      </c>
      <c r="C1121">
        <v>25.05</v>
      </c>
      <c r="D1121">
        <v>22.73</v>
      </c>
    </row>
    <row r="1122" spans="1:4">
      <c r="A1122">
        <v>1121</v>
      </c>
      <c r="C1122">
        <v>26.03</v>
      </c>
      <c r="D1122">
        <v>23.89</v>
      </c>
    </row>
    <row r="1123" spans="1:4">
      <c r="A1123">
        <v>1122</v>
      </c>
      <c r="C1123">
        <v>26.49</v>
      </c>
      <c r="D1123">
        <v>24.8</v>
      </c>
    </row>
    <row r="1124" spans="1:4">
      <c r="A1124">
        <v>1123</v>
      </c>
      <c r="C1124">
        <v>23.51</v>
      </c>
      <c r="D1124">
        <v>22.27</v>
      </c>
    </row>
    <row r="1125" spans="1:4">
      <c r="A1125">
        <v>1124</v>
      </c>
      <c r="C1125">
        <v>23.06</v>
      </c>
      <c r="D1125">
        <v>22.34</v>
      </c>
    </row>
    <row r="1126" spans="1:4">
      <c r="A1126">
        <v>1125</v>
      </c>
      <c r="C1126">
        <v>22.12</v>
      </c>
      <c r="D1126">
        <v>21.31</v>
      </c>
    </row>
    <row r="1127" spans="1:4">
      <c r="A1127">
        <v>1126</v>
      </c>
      <c r="C1127">
        <v>23.08</v>
      </c>
      <c r="D1127">
        <v>21.59</v>
      </c>
    </row>
    <row r="1128" spans="1:4">
      <c r="A1128">
        <v>1127</v>
      </c>
      <c r="C1128">
        <v>21.18</v>
      </c>
      <c r="D1128">
        <v>20.14</v>
      </c>
    </row>
    <row r="1129" spans="1:4">
      <c r="A1129">
        <v>1128</v>
      </c>
      <c r="C1129">
        <v>20.55</v>
      </c>
      <c r="D1129">
        <v>19.46</v>
      </c>
    </row>
    <row r="1130" spans="1:4">
      <c r="A1130">
        <v>1129</v>
      </c>
      <c r="C1130">
        <v>20.32</v>
      </c>
      <c r="D1130">
        <v>19.36</v>
      </c>
    </row>
    <row r="1131" spans="1:4">
      <c r="A1131">
        <v>1130</v>
      </c>
      <c r="C1131">
        <v>19.95</v>
      </c>
      <c r="D1131">
        <v>19.18</v>
      </c>
    </row>
    <row r="1132" spans="1:4">
      <c r="A1132">
        <v>1131</v>
      </c>
      <c r="C1132">
        <v>19.579999999999998</v>
      </c>
      <c r="D1132">
        <v>18.93</v>
      </c>
    </row>
    <row r="1133" spans="1:4">
      <c r="A1133">
        <v>1132</v>
      </c>
      <c r="C1133">
        <v>19.88</v>
      </c>
      <c r="D1133">
        <v>19.12</v>
      </c>
    </row>
    <row r="1134" spans="1:4">
      <c r="A1134">
        <v>1133</v>
      </c>
      <c r="C1134">
        <v>19.350000000000001</v>
      </c>
      <c r="D1134">
        <v>18</v>
      </c>
    </row>
    <row r="1135" spans="1:4">
      <c r="A1135">
        <v>1134</v>
      </c>
      <c r="C1135">
        <v>18.68</v>
      </c>
      <c r="D1135">
        <v>17.63</v>
      </c>
    </row>
    <row r="1136" spans="1:4">
      <c r="A1136">
        <v>1135</v>
      </c>
      <c r="C1136">
        <v>19.18</v>
      </c>
      <c r="D1136">
        <v>18.59</v>
      </c>
    </row>
    <row r="1137" spans="1:4">
      <c r="A1137">
        <v>1136</v>
      </c>
      <c r="C1137">
        <v>18.850000000000001</v>
      </c>
      <c r="D1137">
        <v>18.309999999999999</v>
      </c>
    </row>
    <row r="1138" spans="1:4">
      <c r="A1138">
        <v>1137</v>
      </c>
      <c r="C1138">
        <v>18.32</v>
      </c>
      <c r="D1138">
        <v>17.52</v>
      </c>
    </row>
    <row r="1139" spans="1:4">
      <c r="A1139">
        <v>1138</v>
      </c>
      <c r="C1139">
        <v>18.489999999999998</v>
      </c>
      <c r="D1139">
        <v>17.78</v>
      </c>
    </row>
    <row r="1140" spans="1:4">
      <c r="A1140">
        <v>1139</v>
      </c>
      <c r="C1140">
        <v>18.54</v>
      </c>
      <c r="D1140">
        <v>17.579999999999998</v>
      </c>
    </row>
    <row r="1141" spans="1:4">
      <c r="A1141">
        <v>1140</v>
      </c>
      <c r="C1141">
        <v>18.510000000000002</v>
      </c>
      <c r="D1141">
        <v>18.09</v>
      </c>
    </row>
    <row r="1142" spans="1:4">
      <c r="A1142">
        <v>1141</v>
      </c>
      <c r="C1142">
        <v>18.32</v>
      </c>
      <c r="D1142">
        <v>17.600000000000001</v>
      </c>
    </row>
    <row r="1143" spans="1:4">
      <c r="A1143">
        <v>1142</v>
      </c>
      <c r="C1143">
        <v>18.649999999999999</v>
      </c>
      <c r="D1143">
        <v>17.649999999999999</v>
      </c>
    </row>
    <row r="1144" spans="1:4">
      <c r="A1144">
        <v>1143</v>
      </c>
      <c r="C1144">
        <v>18.07</v>
      </c>
      <c r="D1144">
        <v>16.86</v>
      </c>
    </row>
    <row r="1145" spans="1:4">
      <c r="A1145">
        <v>1144</v>
      </c>
      <c r="C1145">
        <v>16.5</v>
      </c>
      <c r="D1145">
        <v>16.100000000000001</v>
      </c>
    </row>
    <row r="1146" spans="1:4">
      <c r="A1146">
        <v>1145</v>
      </c>
      <c r="C1146">
        <v>17.73</v>
      </c>
      <c r="D1146">
        <v>16.809999999999999</v>
      </c>
    </row>
    <row r="1147" spans="1:4">
      <c r="A1147">
        <v>1146</v>
      </c>
      <c r="C1147">
        <v>20.350000000000001</v>
      </c>
      <c r="D1147">
        <v>17.45</v>
      </c>
    </row>
    <row r="1148" spans="1:4">
      <c r="A1148">
        <v>1147</v>
      </c>
      <c r="C1148">
        <v>21.3</v>
      </c>
      <c r="D1148">
        <v>20.16</v>
      </c>
    </row>
    <row r="1149" spans="1:4">
      <c r="A1149">
        <v>1148</v>
      </c>
      <c r="C1149">
        <v>24.08</v>
      </c>
      <c r="D1149">
        <v>20.309999999999999</v>
      </c>
    </row>
    <row r="1150" spans="1:4">
      <c r="A1150">
        <v>1149</v>
      </c>
      <c r="C1150">
        <v>24.54</v>
      </c>
      <c r="D1150">
        <v>22.54</v>
      </c>
    </row>
    <row r="1151" spans="1:4">
      <c r="A1151">
        <v>1150</v>
      </c>
      <c r="C1151">
        <v>24.69</v>
      </c>
      <c r="D1151">
        <v>23.13</v>
      </c>
    </row>
    <row r="1152" spans="1:4">
      <c r="A1152">
        <v>1151</v>
      </c>
      <c r="C1152">
        <v>26.68</v>
      </c>
      <c r="D1152">
        <v>23.43</v>
      </c>
    </row>
    <row r="1153" spans="1:4">
      <c r="A1153">
        <v>1152</v>
      </c>
      <c r="C1153">
        <v>25.15</v>
      </c>
      <c r="D1153">
        <v>23.29</v>
      </c>
    </row>
    <row r="1154" spans="1:4">
      <c r="A1154">
        <v>1153</v>
      </c>
      <c r="C1154">
        <v>23.81</v>
      </c>
      <c r="D1154">
        <v>22.66</v>
      </c>
    </row>
    <row r="1155" spans="1:4">
      <c r="A1155">
        <v>1154</v>
      </c>
      <c r="C1155">
        <v>25.12</v>
      </c>
      <c r="D1155">
        <v>22.11</v>
      </c>
    </row>
    <row r="1156" spans="1:4">
      <c r="A1156">
        <v>1155</v>
      </c>
      <c r="C1156">
        <v>26.31</v>
      </c>
      <c r="D1156">
        <v>25.38</v>
      </c>
    </row>
    <row r="1157" spans="1:4">
      <c r="A1157">
        <v>1156</v>
      </c>
      <c r="C1157">
        <v>31.06</v>
      </c>
      <c r="D1157">
        <v>25.57</v>
      </c>
    </row>
    <row r="1158" spans="1:4">
      <c r="A1158">
        <v>1157</v>
      </c>
      <c r="C1158">
        <v>32.590000000000003</v>
      </c>
      <c r="D1158">
        <v>28.73</v>
      </c>
    </row>
    <row r="1159" spans="1:4">
      <c r="A1159">
        <v>1158</v>
      </c>
      <c r="C1159">
        <v>29.93</v>
      </c>
      <c r="D1159">
        <v>28.06</v>
      </c>
    </row>
    <row r="1160" spans="1:4">
      <c r="A1160">
        <v>1159</v>
      </c>
      <c r="C1160">
        <v>27.66</v>
      </c>
      <c r="D1160">
        <v>25.35</v>
      </c>
    </row>
    <row r="1161" spans="1:4">
      <c r="A1161">
        <v>1160</v>
      </c>
      <c r="C1161">
        <v>29.13</v>
      </c>
      <c r="D1161">
        <v>27.99</v>
      </c>
    </row>
    <row r="1162" spans="1:4">
      <c r="A1162">
        <v>1161</v>
      </c>
      <c r="C1162">
        <v>33.67</v>
      </c>
      <c r="D1162">
        <v>31.91</v>
      </c>
    </row>
    <row r="1163" spans="1:4">
      <c r="A1163">
        <v>1162</v>
      </c>
      <c r="C1163">
        <v>29.75</v>
      </c>
      <c r="D1163">
        <v>28.51</v>
      </c>
    </row>
    <row r="1164" spans="1:4">
      <c r="A1164">
        <v>1163</v>
      </c>
      <c r="C1164">
        <v>29.98</v>
      </c>
      <c r="D1164">
        <v>28.17</v>
      </c>
    </row>
    <row r="1165" spans="1:4">
      <c r="A1165">
        <v>1164</v>
      </c>
      <c r="C1165">
        <v>34.61</v>
      </c>
      <c r="D1165">
        <v>29.84</v>
      </c>
    </row>
    <row r="1166" spans="1:4">
      <c r="A1166">
        <v>1165</v>
      </c>
      <c r="C1166">
        <v>34.770000000000003</v>
      </c>
      <c r="D1166">
        <v>31.86</v>
      </c>
    </row>
    <row r="1167" spans="1:4">
      <c r="A1167">
        <v>1166</v>
      </c>
      <c r="C1167">
        <v>30.81</v>
      </c>
      <c r="D1167">
        <v>28.36</v>
      </c>
    </row>
    <row r="1168" spans="1:4">
      <c r="A1168">
        <v>1167</v>
      </c>
      <c r="C1168">
        <v>29.26</v>
      </c>
      <c r="D1168">
        <v>27.35</v>
      </c>
    </row>
    <row r="1169" spans="1:4">
      <c r="A1169">
        <v>1168</v>
      </c>
      <c r="C1169">
        <v>30.54</v>
      </c>
      <c r="D1169">
        <v>29.24</v>
      </c>
    </row>
    <row r="1170" spans="1:4">
      <c r="A1170">
        <v>1169</v>
      </c>
      <c r="C1170">
        <v>36.93</v>
      </c>
      <c r="D1170">
        <v>32.590000000000003</v>
      </c>
    </row>
    <row r="1171" spans="1:4">
      <c r="A1171">
        <v>1170</v>
      </c>
      <c r="C1171">
        <v>32.58</v>
      </c>
      <c r="D1171">
        <v>31.3</v>
      </c>
    </row>
    <row r="1172" spans="1:4">
      <c r="A1172">
        <v>1171</v>
      </c>
      <c r="C1172">
        <v>30.82</v>
      </c>
      <c r="D1172">
        <v>28.49</v>
      </c>
    </row>
    <row r="1173" spans="1:4">
      <c r="A1173">
        <v>1172</v>
      </c>
      <c r="C1173">
        <v>32.65</v>
      </c>
      <c r="D1173">
        <v>30.44</v>
      </c>
    </row>
    <row r="1174" spans="1:4">
      <c r="A1174">
        <v>1173</v>
      </c>
      <c r="C1174">
        <v>39.479999999999997</v>
      </c>
      <c r="D1174">
        <v>33.65</v>
      </c>
    </row>
    <row r="1175" spans="1:4">
      <c r="A1175">
        <v>1174</v>
      </c>
      <c r="C1175">
        <v>42.78</v>
      </c>
      <c r="D1175">
        <v>38.4</v>
      </c>
    </row>
    <row r="1176" spans="1:4">
      <c r="A1176">
        <v>1175</v>
      </c>
      <c r="C1176">
        <v>45.02</v>
      </c>
      <c r="D1176">
        <v>38.799999999999997</v>
      </c>
    </row>
    <row r="1177" spans="1:4">
      <c r="A1177">
        <v>1176</v>
      </c>
      <c r="C1177">
        <v>44.94</v>
      </c>
      <c r="D1177">
        <v>36.08</v>
      </c>
    </row>
    <row r="1178" spans="1:4">
      <c r="A1178">
        <v>1177</v>
      </c>
      <c r="C1178">
        <v>36.76</v>
      </c>
      <c r="D1178">
        <v>34.020000000000003</v>
      </c>
    </row>
    <row r="1179" spans="1:4">
      <c r="A1179">
        <v>1178</v>
      </c>
      <c r="C1179">
        <v>42.68</v>
      </c>
      <c r="D1179">
        <v>40.01</v>
      </c>
    </row>
    <row r="1180" spans="1:4">
      <c r="A1180">
        <v>1179</v>
      </c>
      <c r="C1180">
        <v>44.19</v>
      </c>
      <c r="D1180">
        <v>40.58</v>
      </c>
    </row>
    <row r="1181" spans="1:4">
      <c r="A1181">
        <v>1180</v>
      </c>
      <c r="C1181">
        <v>40.340000000000003</v>
      </c>
      <c r="D1181">
        <v>37.700000000000003</v>
      </c>
    </row>
    <row r="1182" spans="1:4">
      <c r="A1182">
        <v>1181</v>
      </c>
      <c r="C1182">
        <v>39.799999999999997</v>
      </c>
      <c r="D1182">
        <v>37.56</v>
      </c>
    </row>
    <row r="1183" spans="1:4">
      <c r="A1183">
        <v>1182</v>
      </c>
      <c r="C1183">
        <v>46.56</v>
      </c>
      <c r="D1183">
        <v>43.72</v>
      </c>
    </row>
    <row r="1184" spans="1:4">
      <c r="A1184">
        <v>1183</v>
      </c>
      <c r="C1184">
        <v>48.06</v>
      </c>
      <c r="D1184">
        <v>43.74</v>
      </c>
    </row>
    <row r="1185" spans="1:4">
      <c r="A1185">
        <v>1184</v>
      </c>
      <c r="C1185">
        <v>40.89</v>
      </c>
      <c r="D1185">
        <v>37.53</v>
      </c>
    </row>
    <row r="1186" spans="1:4">
      <c r="A1186">
        <v>1185</v>
      </c>
      <c r="C1186">
        <v>38.729999999999997</v>
      </c>
      <c r="D1186">
        <v>36.43</v>
      </c>
    </row>
    <row r="1187" spans="1:4">
      <c r="A1187">
        <v>1186</v>
      </c>
      <c r="C1187">
        <v>37.729999999999997</v>
      </c>
      <c r="D1187">
        <v>35.72</v>
      </c>
    </row>
    <row r="1188" spans="1:4">
      <c r="A1188">
        <v>1187</v>
      </c>
      <c r="C1188">
        <v>40.11</v>
      </c>
      <c r="D1188">
        <v>38.82</v>
      </c>
    </row>
    <row r="1189" spans="1:4">
      <c r="A1189">
        <v>1188</v>
      </c>
      <c r="C1189">
        <v>39.840000000000003</v>
      </c>
      <c r="D1189">
        <v>38.51</v>
      </c>
    </row>
    <row r="1190" spans="1:4">
      <c r="A1190">
        <v>1189</v>
      </c>
      <c r="C1190">
        <v>42.74</v>
      </c>
      <c r="D1190">
        <v>38.39</v>
      </c>
    </row>
    <row r="1191" spans="1:4">
      <c r="A1191">
        <v>1190</v>
      </c>
      <c r="C1191">
        <v>38.909999999999997</v>
      </c>
      <c r="D1191">
        <v>36.47</v>
      </c>
    </row>
    <row r="1192" spans="1:4">
      <c r="A1192">
        <v>1191</v>
      </c>
      <c r="C1192">
        <v>35.14</v>
      </c>
      <c r="D1192">
        <v>32.44</v>
      </c>
    </row>
    <row r="1193" spans="1:4">
      <c r="A1193">
        <v>1192</v>
      </c>
      <c r="C1193">
        <v>35.9</v>
      </c>
      <c r="D1193">
        <v>33.06</v>
      </c>
    </row>
    <row r="1194" spans="1:4">
      <c r="A1194">
        <v>1193</v>
      </c>
      <c r="C1194">
        <v>37.29</v>
      </c>
      <c r="D1194">
        <v>33.909999999999997</v>
      </c>
    </row>
    <row r="1195" spans="1:4">
      <c r="A1195">
        <v>1194</v>
      </c>
      <c r="C1195">
        <v>35.24</v>
      </c>
      <c r="D1195">
        <v>33.520000000000003</v>
      </c>
    </row>
    <row r="1196" spans="1:4">
      <c r="A1196">
        <v>1195</v>
      </c>
      <c r="C1196">
        <v>38.39</v>
      </c>
      <c r="D1196">
        <v>35.74</v>
      </c>
    </row>
    <row r="1197" spans="1:4">
      <c r="A1197">
        <v>1196</v>
      </c>
      <c r="C1197">
        <v>41.15</v>
      </c>
      <c r="D1197">
        <v>37.1</v>
      </c>
    </row>
    <row r="1198" spans="1:4">
      <c r="A1198">
        <v>1197</v>
      </c>
      <c r="C1198">
        <v>43.98</v>
      </c>
      <c r="D1198">
        <v>41.85</v>
      </c>
    </row>
    <row r="1199" spans="1:4">
      <c r="A1199">
        <v>1198</v>
      </c>
      <c r="C1199">
        <v>43.38</v>
      </c>
      <c r="D1199">
        <v>40.25</v>
      </c>
    </row>
    <row r="1200" spans="1:4">
      <c r="A1200">
        <v>1199</v>
      </c>
      <c r="C1200">
        <v>45.56</v>
      </c>
      <c r="D1200">
        <v>42.3</v>
      </c>
    </row>
    <row r="1201" spans="1:4">
      <c r="A1201">
        <v>1200</v>
      </c>
      <c r="C1201">
        <v>42.05</v>
      </c>
      <c r="D1201">
        <v>39.72</v>
      </c>
    </row>
    <row r="1202" spans="1:4">
      <c r="A1202">
        <v>1201</v>
      </c>
      <c r="C1202">
        <v>44.84</v>
      </c>
      <c r="D1202">
        <v>40.659999999999997</v>
      </c>
    </row>
    <row r="1203" spans="1:4">
      <c r="A1203">
        <v>1202</v>
      </c>
      <c r="C1203">
        <v>49.53</v>
      </c>
      <c r="D1203">
        <v>45.58</v>
      </c>
    </row>
    <row r="1204" spans="1:4">
      <c r="A1204">
        <v>1203</v>
      </c>
      <c r="C1204">
        <v>45.36</v>
      </c>
      <c r="D1204">
        <v>41.85</v>
      </c>
    </row>
    <row r="1205" spans="1:4">
      <c r="A1205">
        <v>1204</v>
      </c>
      <c r="C1205">
        <v>40.56</v>
      </c>
      <c r="D1205">
        <v>39.4</v>
      </c>
    </row>
    <row r="1206" spans="1:4">
      <c r="A1206">
        <v>1205</v>
      </c>
      <c r="C1206">
        <v>41.6</v>
      </c>
      <c r="D1206">
        <v>39.96</v>
      </c>
    </row>
    <row r="1207" spans="1:4">
      <c r="A1207">
        <v>1206</v>
      </c>
      <c r="C1207">
        <v>40.93</v>
      </c>
      <c r="D1207">
        <v>38.01</v>
      </c>
    </row>
    <row r="1208" spans="1:4">
      <c r="A1208">
        <v>1207</v>
      </c>
      <c r="C1208">
        <v>39.659999999999997</v>
      </c>
      <c r="D1208">
        <v>32.409999999999997</v>
      </c>
    </row>
    <row r="1209" spans="1:4">
      <c r="A1209">
        <v>1208</v>
      </c>
      <c r="C1209">
        <v>35.78</v>
      </c>
      <c r="D1209">
        <v>33.619999999999997</v>
      </c>
    </row>
    <row r="1210" spans="1:4">
      <c r="A1210">
        <v>1209</v>
      </c>
      <c r="C1210">
        <v>36.01</v>
      </c>
      <c r="D1210">
        <v>32.409999999999997</v>
      </c>
    </row>
    <row r="1211" spans="1:4">
      <c r="A1211">
        <v>1210</v>
      </c>
      <c r="C1211">
        <v>33.36</v>
      </c>
      <c r="D1211">
        <v>29.82</v>
      </c>
    </row>
    <row r="1212" spans="1:4">
      <c r="A1212">
        <v>1211</v>
      </c>
      <c r="C1212">
        <v>34.549999999999997</v>
      </c>
      <c r="D1212">
        <v>32.99</v>
      </c>
    </row>
    <row r="1213" spans="1:4">
      <c r="A1213">
        <v>1212</v>
      </c>
      <c r="C1213">
        <v>34.17</v>
      </c>
      <c r="D1213">
        <v>31.32</v>
      </c>
    </row>
    <row r="1214" spans="1:4">
      <c r="A1214">
        <v>1213</v>
      </c>
      <c r="C1214">
        <v>32.700000000000003</v>
      </c>
      <c r="D1214">
        <v>31.69</v>
      </c>
    </row>
    <row r="1215" spans="1:4">
      <c r="A1215">
        <v>1214</v>
      </c>
      <c r="C1215">
        <v>33.26</v>
      </c>
      <c r="D1215">
        <v>31.38</v>
      </c>
    </row>
    <row r="1216" spans="1:4">
      <c r="A1216">
        <v>1215</v>
      </c>
      <c r="C1216">
        <v>33.270000000000003</v>
      </c>
      <c r="D1216">
        <v>30.74</v>
      </c>
    </row>
    <row r="1217" spans="1:4">
      <c r="A1217">
        <v>1216</v>
      </c>
      <c r="C1217">
        <v>33.770000000000003</v>
      </c>
      <c r="D1217">
        <v>31.97</v>
      </c>
    </row>
    <row r="1218" spans="1:4">
      <c r="A1218">
        <v>1217</v>
      </c>
      <c r="C1218">
        <v>32.26</v>
      </c>
      <c r="D1218">
        <v>29.39</v>
      </c>
    </row>
    <row r="1219" spans="1:4">
      <c r="A1219">
        <v>1218</v>
      </c>
      <c r="C1219">
        <v>28.71</v>
      </c>
      <c r="D1219">
        <v>27.54</v>
      </c>
    </row>
    <row r="1220" spans="1:4">
      <c r="A1220">
        <v>1219</v>
      </c>
      <c r="C1220">
        <v>28.72</v>
      </c>
      <c r="D1220">
        <v>27.2</v>
      </c>
    </row>
    <row r="1221" spans="1:4">
      <c r="A1221">
        <v>1220</v>
      </c>
      <c r="C1221">
        <v>28.19</v>
      </c>
      <c r="D1221">
        <v>26.6</v>
      </c>
    </row>
    <row r="1222" spans="1:4">
      <c r="A1222">
        <v>1221</v>
      </c>
      <c r="C1222">
        <v>27.94</v>
      </c>
      <c r="D1222">
        <v>26.5</v>
      </c>
    </row>
    <row r="1223" spans="1:4">
      <c r="A1223">
        <v>1222</v>
      </c>
      <c r="C1223">
        <v>28.31</v>
      </c>
      <c r="D1223">
        <v>26</v>
      </c>
    </row>
    <row r="1224" spans="1:4">
      <c r="A1224">
        <v>1223</v>
      </c>
      <c r="C1224">
        <v>26.47</v>
      </c>
      <c r="D1224">
        <v>25.6</v>
      </c>
    </row>
    <row r="1225" spans="1:4">
      <c r="A1225">
        <v>1224</v>
      </c>
      <c r="C1225">
        <v>28.72</v>
      </c>
      <c r="D1225">
        <v>26.89</v>
      </c>
    </row>
    <row r="1226" spans="1:4">
      <c r="A1226">
        <v>1225</v>
      </c>
      <c r="C1226">
        <v>28.59</v>
      </c>
      <c r="D1226">
        <v>27.31</v>
      </c>
    </row>
    <row r="1227" spans="1:4">
      <c r="A1227">
        <v>1226</v>
      </c>
      <c r="C1227">
        <v>29.07</v>
      </c>
      <c r="D1227">
        <v>27.25</v>
      </c>
    </row>
    <row r="1228" spans="1:4">
      <c r="A1228">
        <v>1227</v>
      </c>
      <c r="C1228">
        <v>29.66</v>
      </c>
      <c r="D1228">
        <v>27.93</v>
      </c>
    </row>
    <row r="1229" spans="1:4">
      <c r="A1229">
        <v>1228</v>
      </c>
      <c r="C1229">
        <v>29.6</v>
      </c>
      <c r="D1229">
        <v>28.93</v>
      </c>
    </row>
    <row r="1230" spans="1:4">
      <c r="A1230">
        <v>1229</v>
      </c>
      <c r="C1230">
        <v>29.58</v>
      </c>
      <c r="D1230">
        <v>28.78</v>
      </c>
    </row>
    <row r="1231" spans="1:4">
      <c r="A1231">
        <v>1230</v>
      </c>
      <c r="C1231">
        <v>30.56</v>
      </c>
      <c r="D1231">
        <v>27.21</v>
      </c>
    </row>
    <row r="1232" spans="1:4">
      <c r="A1232">
        <v>1231</v>
      </c>
      <c r="C1232">
        <v>28.46</v>
      </c>
      <c r="D1232">
        <v>27.13</v>
      </c>
    </row>
    <row r="1233" spans="1:4">
      <c r="A1233">
        <v>1232</v>
      </c>
      <c r="C1233">
        <v>26.4</v>
      </c>
      <c r="D1233">
        <v>25.31</v>
      </c>
    </row>
    <row r="1234" spans="1:4">
      <c r="A1234">
        <v>1233</v>
      </c>
      <c r="C1234">
        <v>24.01</v>
      </c>
      <c r="D1234">
        <v>22.43</v>
      </c>
    </row>
    <row r="1235" spans="1:4">
      <c r="A1235">
        <v>1234</v>
      </c>
      <c r="C1235">
        <v>22.23</v>
      </c>
      <c r="D1235">
        <v>21.24</v>
      </c>
    </row>
    <row r="1236" spans="1:4">
      <c r="A1236">
        <v>1235</v>
      </c>
      <c r="C1236">
        <v>23.65</v>
      </c>
      <c r="D1236">
        <v>22.1</v>
      </c>
    </row>
    <row r="1237" spans="1:4">
      <c r="A1237">
        <v>1236</v>
      </c>
      <c r="C1237">
        <v>23.68</v>
      </c>
      <c r="D1237">
        <v>22.08</v>
      </c>
    </row>
    <row r="1238" spans="1:4">
      <c r="A1238">
        <v>1237</v>
      </c>
      <c r="C1238">
        <v>22.47</v>
      </c>
      <c r="D1238">
        <v>21.98</v>
      </c>
    </row>
    <row r="1239" spans="1:4">
      <c r="A1239">
        <v>1238</v>
      </c>
      <c r="C1239">
        <v>26.01</v>
      </c>
      <c r="D1239">
        <v>22.79</v>
      </c>
    </row>
    <row r="1240" spans="1:4">
      <c r="A1240">
        <v>1239</v>
      </c>
      <c r="C1240">
        <v>27.4</v>
      </c>
      <c r="D1240">
        <v>24.84</v>
      </c>
    </row>
    <row r="1241" spans="1:4">
      <c r="A1241">
        <v>1240</v>
      </c>
      <c r="C1241">
        <v>26.52</v>
      </c>
      <c r="D1241">
        <v>25.28</v>
      </c>
    </row>
    <row r="1242" spans="1:4">
      <c r="A1242">
        <v>1241</v>
      </c>
      <c r="C1242">
        <v>28.77</v>
      </c>
      <c r="D1242">
        <v>25.13</v>
      </c>
    </row>
    <row r="1243" spans="1:4">
      <c r="A1243">
        <v>1242</v>
      </c>
      <c r="C1243">
        <v>26.76</v>
      </c>
      <c r="D1243">
        <v>25.08</v>
      </c>
    </row>
    <row r="1244" spans="1:4">
      <c r="A1244">
        <v>1243</v>
      </c>
      <c r="C1244">
        <v>25.96</v>
      </c>
      <c r="D1244">
        <v>24.82</v>
      </c>
    </row>
    <row r="1245" spans="1:4">
      <c r="A1245">
        <v>1244</v>
      </c>
      <c r="C1245">
        <v>26.25</v>
      </c>
      <c r="D1245">
        <v>24.64</v>
      </c>
    </row>
    <row r="1246" spans="1:4">
      <c r="A1246">
        <v>1245</v>
      </c>
      <c r="C1246">
        <v>26.48</v>
      </c>
      <c r="D1246">
        <v>25.49</v>
      </c>
    </row>
    <row r="1247" spans="1:4">
      <c r="A1247">
        <v>1246</v>
      </c>
      <c r="C1247">
        <v>26.91</v>
      </c>
      <c r="D1247">
        <v>25.73</v>
      </c>
    </row>
    <row r="1248" spans="1:4">
      <c r="A1248">
        <v>1247</v>
      </c>
      <c r="C1248">
        <v>28.83</v>
      </c>
      <c r="D1248">
        <v>27.29</v>
      </c>
    </row>
    <row r="1249" spans="1:4">
      <c r="A1249">
        <v>1248</v>
      </c>
      <c r="C1249">
        <v>31.67</v>
      </c>
      <c r="D1249">
        <v>29.57</v>
      </c>
    </row>
    <row r="1250" spans="1:4">
      <c r="A1250">
        <v>1249</v>
      </c>
      <c r="C1250">
        <v>31.38</v>
      </c>
      <c r="D1250">
        <v>29.42</v>
      </c>
    </row>
    <row r="1251" spans="1:4">
      <c r="A1251">
        <v>1250</v>
      </c>
      <c r="C1251">
        <v>30.28</v>
      </c>
      <c r="D1251">
        <v>29.13</v>
      </c>
    </row>
    <row r="1252" spans="1:4">
      <c r="A1252">
        <v>1251</v>
      </c>
      <c r="C1252">
        <v>29.42</v>
      </c>
      <c r="D1252">
        <v>27.94</v>
      </c>
    </row>
    <row r="1253" spans="1:4">
      <c r="A1253">
        <v>1252</v>
      </c>
      <c r="C1253">
        <v>26.96</v>
      </c>
      <c r="D1253">
        <v>25.04</v>
      </c>
    </row>
    <row r="1254" spans="1:4">
      <c r="A1254">
        <v>1253</v>
      </c>
      <c r="C1254">
        <v>24.64</v>
      </c>
      <c r="D1254">
        <v>23.09</v>
      </c>
    </row>
    <row r="1255" spans="1:4">
      <c r="A1255">
        <v>1254</v>
      </c>
      <c r="C1255">
        <v>24.45</v>
      </c>
      <c r="D1255">
        <v>22.75</v>
      </c>
    </row>
    <row r="1256" spans="1:4">
      <c r="A1256">
        <v>1255</v>
      </c>
      <c r="C1256">
        <v>22.06</v>
      </c>
      <c r="D1256">
        <v>20.079999999999998</v>
      </c>
    </row>
    <row r="1257" spans="1:4">
      <c r="A1257">
        <v>1256</v>
      </c>
      <c r="C1257">
        <v>21.78</v>
      </c>
      <c r="D1257">
        <v>20.66</v>
      </c>
    </row>
    <row r="1258" spans="1:4">
      <c r="A1258">
        <v>1257</v>
      </c>
      <c r="C1258">
        <v>23.97</v>
      </c>
      <c r="D1258">
        <v>22.91</v>
      </c>
    </row>
    <row r="1259" spans="1:4">
      <c r="A1259">
        <v>1258</v>
      </c>
      <c r="C1259">
        <v>24</v>
      </c>
      <c r="D1259">
        <v>22.11</v>
      </c>
    </row>
    <row r="1260" spans="1:4">
      <c r="A1260">
        <v>1259</v>
      </c>
      <c r="C1260">
        <v>23.56</v>
      </c>
      <c r="D1260">
        <v>22.03</v>
      </c>
    </row>
    <row r="1261" spans="1:4">
      <c r="A1261">
        <v>1260</v>
      </c>
      <c r="C1261">
        <v>24.76</v>
      </c>
      <c r="D1261">
        <v>23.67</v>
      </c>
    </row>
    <row r="1262" spans="1:4">
      <c r="A1262">
        <v>1261</v>
      </c>
      <c r="C1262">
        <v>26.96</v>
      </c>
      <c r="D1262">
        <v>24.74</v>
      </c>
    </row>
    <row r="1263" spans="1:4">
      <c r="A1263">
        <v>1262</v>
      </c>
      <c r="C1263">
        <v>25.98</v>
      </c>
      <c r="D1263">
        <v>24.36</v>
      </c>
    </row>
    <row r="1264" spans="1:4">
      <c r="A1264">
        <v>1263</v>
      </c>
      <c r="C1264">
        <v>23.38</v>
      </c>
      <c r="D1264">
        <v>22.68</v>
      </c>
    </row>
    <row r="1265" spans="1:4">
      <c r="A1265">
        <v>1264</v>
      </c>
      <c r="C1265">
        <v>24.9</v>
      </c>
      <c r="D1265">
        <v>24.04</v>
      </c>
    </row>
    <row r="1266" spans="1:4">
      <c r="A1266">
        <v>1265</v>
      </c>
      <c r="C1266">
        <v>24.08</v>
      </c>
      <c r="D1266">
        <v>22.81</v>
      </c>
    </row>
    <row r="1267" spans="1:4">
      <c r="A1267">
        <v>1266</v>
      </c>
      <c r="C1267">
        <v>25.81</v>
      </c>
      <c r="D1267">
        <v>21.38</v>
      </c>
    </row>
    <row r="1268" spans="1:4">
      <c r="A1268">
        <v>1267</v>
      </c>
      <c r="C1268">
        <v>28.32</v>
      </c>
      <c r="D1268">
        <v>25.55</v>
      </c>
    </row>
    <row r="1269" spans="1:4">
      <c r="A1269">
        <v>1268</v>
      </c>
      <c r="C1269">
        <v>32.85</v>
      </c>
      <c r="D1269">
        <v>28.78</v>
      </c>
    </row>
    <row r="1270" spans="1:4">
      <c r="A1270">
        <v>1269</v>
      </c>
      <c r="C1270">
        <v>33.659999999999997</v>
      </c>
      <c r="D1270">
        <v>30.2</v>
      </c>
    </row>
    <row r="1271" spans="1:4">
      <c r="A1271">
        <v>1270</v>
      </c>
      <c r="C1271">
        <v>32.56</v>
      </c>
      <c r="D1271">
        <v>29.14</v>
      </c>
    </row>
    <row r="1272" spans="1:4">
      <c r="A1272">
        <v>1271</v>
      </c>
      <c r="C1272">
        <v>30.61</v>
      </c>
      <c r="D1272">
        <v>28.8</v>
      </c>
    </row>
    <row r="1273" spans="1:4">
      <c r="A1273">
        <v>1272</v>
      </c>
      <c r="C1273">
        <v>29.04</v>
      </c>
      <c r="D1273">
        <v>27.62</v>
      </c>
    </row>
    <row r="1274" spans="1:4">
      <c r="A1274">
        <v>1273</v>
      </c>
      <c r="C1274">
        <v>31.37</v>
      </c>
      <c r="D1274">
        <v>29.23</v>
      </c>
    </row>
    <row r="1275" spans="1:4">
      <c r="A1275">
        <v>1274</v>
      </c>
      <c r="C1275">
        <v>32.81</v>
      </c>
      <c r="D1275">
        <v>31.1</v>
      </c>
    </row>
    <row r="1276" spans="1:4">
      <c r="A1276">
        <v>1275</v>
      </c>
      <c r="C1276">
        <v>32.71</v>
      </c>
      <c r="D1276">
        <v>31.13</v>
      </c>
    </row>
    <row r="1277" spans="1:4">
      <c r="A1277">
        <v>1276</v>
      </c>
      <c r="C1277">
        <v>30.96</v>
      </c>
      <c r="D1277">
        <v>29.23</v>
      </c>
    </row>
    <row r="1278" spans="1:4">
      <c r="A1278">
        <v>1277</v>
      </c>
      <c r="C1278">
        <v>29.81</v>
      </c>
      <c r="D1278">
        <v>28.24</v>
      </c>
    </row>
    <row r="1279" spans="1:4">
      <c r="A1279">
        <v>1278</v>
      </c>
      <c r="C1279">
        <v>29.51</v>
      </c>
      <c r="D1279">
        <v>28.01</v>
      </c>
    </row>
    <row r="1280" spans="1:4">
      <c r="A1280">
        <v>1279</v>
      </c>
      <c r="C1280">
        <v>28.55</v>
      </c>
      <c r="D1280">
        <v>25.9</v>
      </c>
    </row>
    <row r="1281" spans="1:4">
      <c r="A1281">
        <v>1280</v>
      </c>
      <c r="C1281">
        <v>27.74</v>
      </c>
      <c r="D1281">
        <v>26.76</v>
      </c>
    </row>
    <row r="1282" spans="1:4">
      <c r="A1282">
        <v>1281</v>
      </c>
      <c r="C1282">
        <v>29.46</v>
      </c>
      <c r="D1282">
        <v>28.11</v>
      </c>
    </row>
    <row r="1283" spans="1:4">
      <c r="A1283">
        <v>1282</v>
      </c>
      <c r="C1283">
        <v>29.03</v>
      </c>
      <c r="D1283">
        <v>27.62</v>
      </c>
    </row>
    <row r="1284" spans="1:4">
      <c r="A1284">
        <v>1283</v>
      </c>
      <c r="C1284">
        <v>29.49</v>
      </c>
      <c r="D1284">
        <v>27.58</v>
      </c>
    </row>
    <row r="1285" spans="1:4">
      <c r="A1285">
        <v>1284</v>
      </c>
      <c r="C1285">
        <v>30.54</v>
      </c>
      <c r="D1285">
        <v>29.46</v>
      </c>
    </row>
    <row r="1286" spans="1:4">
      <c r="A1286">
        <v>1285</v>
      </c>
      <c r="C1286">
        <v>30.77</v>
      </c>
      <c r="D1286">
        <v>29.53</v>
      </c>
    </row>
    <row r="1287" spans="1:4">
      <c r="A1287">
        <v>1286</v>
      </c>
      <c r="C1287">
        <v>31.41</v>
      </c>
      <c r="D1287">
        <v>29.84</v>
      </c>
    </row>
    <row r="1288" spans="1:4">
      <c r="A1288">
        <v>1287</v>
      </c>
      <c r="C1288">
        <v>31.75</v>
      </c>
      <c r="D1288">
        <v>30.45</v>
      </c>
    </row>
    <row r="1289" spans="1:4">
      <c r="A1289">
        <v>1288</v>
      </c>
      <c r="C1289">
        <v>30.16</v>
      </c>
      <c r="D1289">
        <v>27.42</v>
      </c>
    </row>
    <row r="1290" spans="1:4">
      <c r="A1290">
        <v>1289</v>
      </c>
      <c r="C1290">
        <v>30.46</v>
      </c>
      <c r="D1290">
        <v>27.85</v>
      </c>
    </row>
    <row r="1291" spans="1:4">
      <c r="A1291">
        <v>1290</v>
      </c>
      <c r="C1291">
        <v>30.04</v>
      </c>
      <c r="D1291">
        <v>28.73</v>
      </c>
    </row>
    <row r="1292" spans="1:4">
      <c r="A1292">
        <v>1291</v>
      </c>
      <c r="C1292">
        <v>30.95</v>
      </c>
      <c r="D1292">
        <v>29.16</v>
      </c>
    </row>
    <row r="1293" spans="1:4">
      <c r="A1293">
        <v>1292</v>
      </c>
      <c r="C1293">
        <v>31.14</v>
      </c>
      <c r="D1293">
        <v>30.32</v>
      </c>
    </row>
    <row r="1294" spans="1:4">
      <c r="A1294">
        <v>1293</v>
      </c>
      <c r="C1294">
        <v>30.12</v>
      </c>
      <c r="D1294">
        <v>28.61</v>
      </c>
    </row>
    <row r="1295" spans="1:4">
      <c r="A1295">
        <v>1294</v>
      </c>
      <c r="C1295">
        <v>28.83</v>
      </c>
      <c r="D1295">
        <v>25.78</v>
      </c>
    </row>
    <row r="1296" spans="1:4">
      <c r="A1296">
        <v>1295</v>
      </c>
      <c r="C1296">
        <v>26.9</v>
      </c>
      <c r="D1296">
        <v>25.92</v>
      </c>
    </row>
    <row r="1297" spans="1:4">
      <c r="A1297">
        <v>1296</v>
      </c>
      <c r="C1297">
        <v>27.21</v>
      </c>
      <c r="D1297">
        <v>25.22</v>
      </c>
    </row>
    <row r="1298" spans="1:4">
      <c r="A1298">
        <v>1297</v>
      </c>
      <c r="C1298">
        <v>29.71</v>
      </c>
      <c r="D1298">
        <v>27.8</v>
      </c>
    </row>
    <row r="1299" spans="1:4">
      <c r="A1299">
        <v>1298</v>
      </c>
      <c r="C1299">
        <v>29</v>
      </c>
      <c r="D1299">
        <v>27.63</v>
      </c>
    </row>
    <row r="1300" spans="1:4">
      <c r="A1300">
        <v>1299</v>
      </c>
      <c r="C1300">
        <v>29.87</v>
      </c>
      <c r="D1300">
        <v>28.14</v>
      </c>
    </row>
    <row r="1301" spans="1:4">
      <c r="A1301">
        <v>1300</v>
      </c>
      <c r="C1301">
        <v>29.28</v>
      </c>
      <c r="D1301">
        <v>27.49</v>
      </c>
    </row>
    <row r="1302" spans="1:4">
      <c r="A1302">
        <v>1301</v>
      </c>
      <c r="C1302">
        <v>29.9</v>
      </c>
      <c r="D1302">
        <v>28.82</v>
      </c>
    </row>
    <row r="1303" spans="1:4">
      <c r="A1303">
        <v>1302</v>
      </c>
      <c r="C1303">
        <v>27.81</v>
      </c>
      <c r="D1303">
        <v>26.42</v>
      </c>
    </row>
    <row r="1304" spans="1:4">
      <c r="A1304">
        <v>1303</v>
      </c>
      <c r="C1304">
        <v>25.44</v>
      </c>
      <c r="D1304">
        <v>24.08</v>
      </c>
    </row>
    <row r="1305" spans="1:4">
      <c r="A1305">
        <v>1304</v>
      </c>
      <c r="C1305">
        <v>25.21</v>
      </c>
      <c r="D1305">
        <v>24.48</v>
      </c>
    </row>
    <row r="1306" spans="1:4">
      <c r="A1306">
        <v>1305</v>
      </c>
      <c r="C1306">
        <v>25.29</v>
      </c>
      <c r="D1306">
        <v>24.25</v>
      </c>
    </row>
    <row r="1307" spans="1:4">
      <c r="A1307">
        <v>1306</v>
      </c>
      <c r="C1307">
        <v>25.39</v>
      </c>
      <c r="D1307">
        <v>24.61</v>
      </c>
    </row>
    <row r="1308" spans="1:4">
      <c r="A1308">
        <v>1307</v>
      </c>
      <c r="C1308">
        <v>24.98</v>
      </c>
      <c r="D1308">
        <v>23.82</v>
      </c>
    </row>
    <row r="1309" spans="1:4">
      <c r="A1309">
        <v>1308</v>
      </c>
      <c r="C1309">
        <v>25.36</v>
      </c>
      <c r="D1309">
        <v>24.74</v>
      </c>
    </row>
    <row r="1310" spans="1:4">
      <c r="A1310">
        <v>1309</v>
      </c>
      <c r="C1310">
        <v>25.9</v>
      </c>
      <c r="D1310">
        <v>25.18</v>
      </c>
    </row>
    <row r="1311" spans="1:4">
      <c r="A1311">
        <v>1310</v>
      </c>
      <c r="C1311">
        <v>25.56</v>
      </c>
      <c r="D1311">
        <v>24.98</v>
      </c>
    </row>
    <row r="1312" spans="1:4">
      <c r="A1312">
        <v>1311</v>
      </c>
      <c r="C1312">
        <v>26.49</v>
      </c>
      <c r="D1312">
        <v>24.9</v>
      </c>
    </row>
    <row r="1313" spans="1:4">
      <c r="A1313">
        <v>1312</v>
      </c>
      <c r="C1313">
        <v>25.24</v>
      </c>
      <c r="D1313">
        <v>24.03</v>
      </c>
    </row>
    <row r="1314" spans="1:4">
      <c r="A1314">
        <v>1313</v>
      </c>
      <c r="C1314">
        <v>24.35</v>
      </c>
      <c r="D1314">
        <v>23.39</v>
      </c>
    </row>
    <row r="1315" spans="1:4">
      <c r="A1315">
        <v>1314</v>
      </c>
      <c r="C1315">
        <v>25.55</v>
      </c>
      <c r="D1315">
        <v>24.8</v>
      </c>
    </row>
    <row r="1316" spans="1:4">
      <c r="A1316">
        <v>1315</v>
      </c>
      <c r="C1316">
        <v>27.74</v>
      </c>
      <c r="D1316">
        <v>25.84</v>
      </c>
    </row>
    <row r="1317" spans="1:4">
      <c r="A1317">
        <v>1316</v>
      </c>
      <c r="C1317">
        <v>27.31</v>
      </c>
      <c r="D1317">
        <v>26.59</v>
      </c>
    </row>
    <row r="1318" spans="1:4">
      <c r="A1318">
        <v>1317</v>
      </c>
      <c r="C1318">
        <v>25.38</v>
      </c>
      <c r="D1318">
        <v>24.33</v>
      </c>
    </row>
    <row r="1319" spans="1:4">
      <c r="A1319">
        <v>1318</v>
      </c>
      <c r="C1319">
        <v>24.81</v>
      </c>
      <c r="D1319">
        <v>23.83</v>
      </c>
    </row>
    <row r="1320" spans="1:4">
      <c r="A1320">
        <v>1319</v>
      </c>
      <c r="C1320">
        <v>23.96</v>
      </c>
      <c r="D1320">
        <v>23.45</v>
      </c>
    </row>
    <row r="1321" spans="1:4">
      <c r="A1321">
        <v>1320</v>
      </c>
      <c r="C1321">
        <v>24.34</v>
      </c>
      <c r="D1321">
        <v>22.71</v>
      </c>
    </row>
    <row r="1322" spans="1:4">
      <c r="A1322">
        <v>1321</v>
      </c>
      <c r="C1322">
        <v>23.3</v>
      </c>
      <c r="D1322">
        <v>22</v>
      </c>
    </row>
    <row r="1323" spans="1:4">
      <c r="A1323">
        <v>1322</v>
      </c>
      <c r="C1323">
        <v>22.87</v>
      </c>
      <c r="D1323">
        <v>22.06</v>
      </c>
    </row>
    <row r="1324" spans="1:4">
      <c r="A1324">
        <v>1323</v>
      </c>
      <c r="C1324">
        <v>23.2</v>
      </c>
      <c r="D1324">
        <v>22.18</v>
      </c>
    </row>
    <row r="1325" spans="1:4">
      <c r="A1325">
        <v>1324</v>
      </c>
      <c r="C1325">
        <v>23.04</v>
      </c>
      <c r="D1325">
        <v>22.12</v>
      </c>
    </row>
    <row r="1326" spans="1:4">
      <c r="A1326">
        <v>1325</v>
      </c>
      <c r="C1326">
        <v>23.26</v>
      </c>
      <c r="D1326">
        <v>22.1</v>
      </c>
    </row>
    <row r="1327" spans="1:4">
      <c r="A1327">
        <v>1326</v>
      </c>
      <c r="C1327">
        <v>23.51</v>
      </c>
      <c r="D1327">
        <v>22.01</v>
      </c>
    </row>
    <row r="1328" spans="1:4">
      <c r="A1328">
        <v>1327</v>
      </c>
      <c r="C1328">
        <v>22.59</v>
      </c>
      <c r="D1328">
        <v>21.55</v>
      </c>
    </row>
    <row r="1329" spans="1:4">
      <c r="A1329">
        <v>1328</v>
      </c>
      <c r="C1329">
        <v>23.41</v>
      </c>
      <c r="D1329">
        <v>20.47</v>
      </c>
    </row>
    <row r="1330" spans="1:4">
      <c r="A1330">
        <v>1329</v>
      </c>
      <c r="C1330">
        <v>23.35</v>
      </c>
      <c r="D1330">
        <v>22.01</v>
      </c>
    </row>
    <row r="1331" spans="1:4">
      <c r="A1331">
        <v>1330</v>
      </c>
      <c r="C1331">
        <v>24.96</v>
      </c>
      <c r="D1331">
        <v>23.07</v>
      </c>
    </row>
    <row r="1332" spans="1:4">
      <c r="A1332">
        <v>1331</v>
      </c>
      <c r="C1332">
        <v>26.24</v>
      </c>
      <c r="D1332">
        <v>23.91</v>
      </c>
    </row>
    <row r="1333" spans="1:4">
      <c r="A1333">
        <v>1332</v>
      </c>
      <c r="C1333">
        <v>24.24</v>
      </c>
      <c r="D1333">
        <v>23.6</v>
      </c>
    </row>
    <row r="1334" spans="1:4">
      <c r="A1334">
        <v>1333</v>
      </c>
      <c r="C1334">
        <v>26.5</v>
      </c>
      <c r="D1334">
        <v>22.93</v>
      </c>
    </row>
    <row r="1335" spans="1:4">
      <c r="A1335">
        <v>1334</v>
      </c>
      <c r="C1335">
        <v>26.09</v>
      </c>
      <c r="D1335">
        <v>24.79</v>
      </c>
    </row>
    <row r="1336" spans="1:4">
      <c r="A1336">
        <v>1335</v>
      </c>
      <c r="C1336">
        <v>24.88</v>
      </c>
      <c r="D1336">
        <v>23.31</v>
      </c>
    </row>
    <row r="1337" spans="1:4">
      <c r="A1337">
        <v>1336</v>
      </c>
      <c r="C1337">
        <v>22.81</v>
      </c>
      <c r="D1337">
        <v>22.4</v>
      </c>
    </row>
    <row r="1338" spans="1:4">
      <c r="A1338">
        <v>1337</v>
      </c>
      <c r="C1338">
        <v>23.13</v>
      </c>
      <c r="D1338">
        <v>22.37</v>
      </c>
    </row>
    <row r="1339" spans="1:4">
      <c r="A1339">
        <v>1338</v>
      </c>
      <c r="C1339">
        <v>23.94</v>
      </c>
      <c r="D1339">
        <v>23.21</v>
      </c>
    </row>
    <row r="1340" spans="1:4">
      <c r="A1340">
        <v>1339</v>
      </c>
      <c r="C1340">
        <v>23.71</v>
      </c>
      <c r="D1340">
        <v>23.02</v>
      </c>
    </row>
    <row r="1341" spans="1:4">
      <c r="A1341">
        <v>1340</v>
      </c>
      <c r="C1341">
        <v>24.48</v>
      </c>
      <c r="D1341">
        <v>23.45</v>
      </c>
    </row>
    <row r="1342" spans="1:4">
      <c r="A1342">
        <v>1341</v>
      </c>
      <c r="C1342">
        <v>25.55</v>
      </c>
      <c r="D1342">
        <v>24.32</v>
      </c>
    </row>
    <row r="1343" spans="1:4">
      <c r="A1343">
        <v>1342</v>
      </c>
      <c r="C1343">
        <v>26.47</v>
      </c>
      <c r="D1343">
        <v>23.62</v>
      </c>
    </row>
    <row r="1344" spans="1:4">
      <c r="A1344">
        <v>1343</v>
      </c>
      <c r="C1344">
        <v>25.77</v>
      </c>
      <c r="D1344">
        <v>24.11</v>
      </c>
    </row>
    <row r="1345" spans="1:4">
      <c r="A1345">
        <v>1344</v>
      </c>
      <c r="C1345">
        <v>25.7</v>
      </c>
      <c r="D1345">
        <v>24.23</v>
      </c>
    </row>
    <row r="1346" spans="1:4">
      <c r="A1346">
        <v>1345</v>
      </c>
      <c r="C1346">
        <v>27.22</v>
      </c>
      <c r="D1346">
        <v>25.17</v>
      </c>
    </row>
    <row r="1347" spans="1:4">
      <c r="A1347">
        <v>1346</v>
      </c>
      <c r="C1347">
        <v>28.58</v>
      </c>
      <c r="D1347">
        <v>25.34</v>
      </c>
    </row>
    <row r="1348" spans="1:4">
      <c r="A1348">
        <v>1347</v>
      </c>
      <c r="C1348">
        <v>26.42</v>
      </c>
      <c r="D1348">
        <v>25.36</v>
      </c>
    </row>
    <row r="1349" spans="1:4">
      <c r="A1349">
        <v>1348</v>
      </c>
      <c r="C1349">
        <v>26.98</v>
      </c>
      <c r="D1349">
        <v>25.73</v>
      </c>
    </row>
    <row r="1350" spans="1:4">
      <c r="A1350">
        <v>1349</v>
      </c>
      <c r="C1350">
        <v>26.21</v>
      </c>
      <c r="D1350">
        <v>25.33</v>
      </c>
    </row>
    <row r="1351" spans="1:4">
      <c r="A1351">
        <v>1350</v>
      </c>
      <c r="C1351">
        <v>27.08</v>
      </c>
      <c r="D1351">
        <v>26.06</v>
      </c>
    </row>
    <row r="1352" spans="1:4">
      <c r="A1352">
        <v>1351</v>
      </c>
      <c r="C1352">
        <v>25.56</v>
      </c>
      <c r="D1352">
        <v>24.76</v>
      </c>
    </row>
    <row r="1353" spans="1:4">
      <c r="A1353">
        <v>1352</v>
      </c>
      <c r="C1353">
        <v>27.78</v>
      </c>
      <c r="D1353">
        <v>26.48</v>
      </c>
    </row>
    <row r="1354" spans="1:4">
      <c r="A1354">
        <v>1353</v>
      </c>
      <c r="C1354">
        <v>29.21</v>
      </c>
      <c r="D1354">
        <v>27.27</v>
      </c>
    </row>
    <row r="1355" spans="1:4">
      <c r="A1355">
        <v>1354</v>
      </c>
      <c r="C1355">
        <v>28.76</v>
      </c>
      <c r="D1355">
        <v>27.2</v>
      </c>
    </row>
    <row r="1356" spans="1:4">
      <c r="A1356">
        <v>1355</v>
      </c>
      <c r="C1356">
        <v>26.41</v>
      </c>
      <c r="D1356">
        <v>25.08</v>
      </c>
    </row>
    <row r="1357" spans="1:4">
      <c r="A1357">
        <v>1356</v>
      </c>
      <c r="C1357">
        <v>25.26</v>
      </c>
      <c r="D1357">
        <v>24.05</v>
      </c>
    </row>
    <row r="1358" spans="1:4">
      <c r="A1358">
        <v>1357</v>
      </c>
      <c r="C1358">
        <v>24.84</v>
      </c>
      <c r="D1358">
        <v>24.05</v>
      </c>
    </row>
    <row r="1359" spans="1:4">
      <c r="A1359">
        <v>1358</v>
      </c>
      <c r="C1359">
        <v>27.8</v>
      </c>
      <c r="D1359">
        <v>24.84</v>
      </c>
    </row>
    <row r="1360" spans="1:4">
      <c r="A1360">
        <v>1359</v>
      </c>
      <c r="C1360">
        <v>29.14</v>
      </c>
      <c r="D1360">
        <v>26.87</v>
      </c>
    </row>
    <row r="1361" spans="1:4">
      <c r="A1361">
        <v>1360</v>
      </c>
      <c r="C1361">
        <v>29.62</v>
      </c>
      <c r="D1361">
        <v>27.57</v>
      </c>
    </row>
    <row r="1362" spans="1:4">
      <c r="A1362">
        <v>1361</v>
      </c>
      <c r="C1362">
        <v>28.68</v>
      </c>
      <c r="D1362">
        <v>27.55</v>
      </c>
    </row>
    <row r="1363" spans="1:4">
      <c r="A1363">
        <v>1362</v>
      </c>
      <c r="C1363">
        <v>27.26</v>
      </c>
      <c r="D1363">
        <v>25.34</v>
      </c>
    </row>
    <row r="1364" spans="1:4">
      <c r="A1364">
        <v>1363</v>
      </c>
      <c r="C1364">
        <v>27.99</v>
      </c>
      <c r="D1364">
        <v>26.6</v>
      </c>
    </row>
    <row r="1365" spans="1:4">
      <c r="A1365">
        <v>1364</v>
      </c>
      <c r="C1365">
        <v>27.78</v>
      </c>
      <c r="D1365">
        <v>25.99</v>
      </c>
    </row>
    <row r="1366" spans="1:4">
      <c r="A1366">
        <v>1365</v>
      </c>
      <c r="C1366">
        <v>26.7</v>
      </c>
      <c r="D1366">
        <v>25.66</v>
      </c>
    </row>
    <row r="1367" spans="1:4">
      <c r="A1367">
        <v>1366</v>
      </c>
      <c r="C1367">
        <v>25.46</v>
      </c>
      <c r="D1367">
        <v>23.43</v>
      </c>
    </row>
    <row r="1368" spans="1:4">
      <c r="A1368">
        <v>1367</v>
      </c>
      <c r="C1368">
        <v>24.49</v>
      </c>
      <c r="D1368">
        <v>23.66</v>
      </c>
    </row>
    <row r="1369" spans="1:4">
      <c r="A1369">
        <v>1368</v>
      </c>
      <c r="C1369">
        <v>24.28</v>
      </c>
      <c r="D1369">
        <v>23.42</v>
      </c>
    </row>
    <row r="1370" spans="1:4">
      <c r="A1370">
        <v>1369</v>
      </c>
      <c r="C1370">
        <v>24.26</v>
      </c>
      <c r="D1370">
        <v>23.63</v>
      </c>
    </row>
    <row r="1371" spans="1:4">
      <c r="A1371">
        <v>1370</v>
      </c>
      <c r="C1371">
        <v>26.15</v>
      </c>
      <c r="D1371">
        <v>24.71</v>
      </c>
    </row>
    <row r="1372" spans="1:4">
      <c r="A1372">
        <v>1371</v>
      </c>
      <c r="C1372">
        <v>27.01</v>
      </c>
      <c r="D1372">
        <v>24.69</v>
      </c>
    </row>
    <row r="1373" spans="1:4">
      <c r="A1373">
        <v>1372</v>
      </c>
      <c r="C1373">
        <v>26.8</v>
      </c>
      <c r="D1373">
        <v>26.08</v>
      </c>
    </row>
    <row r="1374" spans="1:4">
      <c r="A1374">
        <v>1373</v>
      </c>
      <c r="C1374">
        <v>26.23</v>
      </c>
      <c r="D1374">
        <v>25.33</v>
      </c>
    </row>
    <row r="1375" spans="1:4">
      <c r="A1375">
        <v>1374</v>
      </c>
      <c r="C1375">
        <v>24.57</v>
      </c>
      <c r="D1375">
        <v>22.14</v>
      </c>
    </row>
    <row r="1376" spans="1:4">
      <c r="A1376">
        <v>1375</v>
      </c>
      <c r="C1376">
        <v>23.12</v>
      </c>
      <c r="D1376">
        <v>21.77</v>
      </c>
    </row>
    <row r="1377" spans="1:4">
      <c r="A1377">
        <v>1376</v>
      </c>
      <c r="C1377">
        <v>23.03</v>
      </c>
      <c r="D1377">
        <v>21.75</v>
      </c>
    </row>
    <row r="1378" spans="1:4">
      <c r="A1378">
        <v>1377</v>
      </c>
      <c r="C1378">
        <v>22.9</v>
      </c>
      <c r="D1378">
        <v>21.77</v>
      </c>
    </row>
    <row r="1379" spans="1:4">
      <c r="A1379">
        <v>1378</v>
      </c>
      <c r="C1379">
        <v>21.89</v>
      </c>
      <c r="D1379">
        <v>20.76</v>
      </c>
    </row>
    <row r="1380" spans="1:4">
      <c r="A1380">
        <v>1379</v>
      </c>
      <c r="C1380">
        <v>22.48</v>
      </c>
      <c r="D1380">
        <v>21.31</v>
      </c>
    </row>
    <row r="1381" spans="1:4">
      <c r="A1381">
        <v>1380</v>
      </c>
      <c r="C1381">
        <v>23.94</v>
      </c>
      <c r="D1381">
        <v>20.67</v>
      </c>
    </row>
    <row r="1382" spans="1:4">
      <c r="A1382">
        <v>1381</v>
      </c>
      <c r="C1382">
        <v>22.25</v>
      </c>
      <c r="D1382">
        <v>20.85</v>
      </c>
    </row>
    <row r="1383" spans="1:4">
      <c r="A1383">
        <v>1382</v>
      </c>
      <c r="C1383">
        <v>22.97</v>
      </c>
      <c r="D1383">
        <v>22.28</v>
      </c>
    </row>
    <row r="1384" spans="1:4">
      <c r="A1384">
        <v>1383</v>
      </c>
      <c r="C1384">
        <v>23.55</v>
      </c>
      <c r="D1384">
        <v>22.49</v>
      </c>
    </row>
    <row r="1385" spans="1:4">
      <c r="A1385">
        <v>1384</v>
      </c>
      <c r="C1385">
        <v>23.34</v>
      </c>
      <c r="D1385">
        <v>20.8</v>
      </c>
    </row>
    <row r="1386" spans="1:4">
      <c r="A1386">
        <v>1385</v>
      </c>
      <c r="C1386">
        <v>21.43</v>
      </c>
      <c r="D1386">
        <v>19.63</v>
      </c>
    </row>
    <row r="1387" spans="1:4">
      <c r="A1387">
        <v>1386</v>
      </c>
      <c r="C1387">
        <v>19.45</v>
      </c>
      <c r="D1387">
        <v>18.66</v>
      </c>
    </row>
    <row r="1388" spans="1:4">
      <c r="A1388">
        <v>1387</v>
      </c>
      <c r="C1388">
        <v>20.75</v>
      </c>
      <c r="D1388">
        <v>19.64</v>
      </c>
    </row>
    <row r="1389" spans="1:4">
      <c r="A1389">
        <v>1388</v>
      </c>
      <c r="C1389">
        <v>21.24</v>
      </c>
      <c r="D1389">
        <v>20.350000000000001</v>
      </c>
    </row>
    <row r="1390" spans="1:4">
      <c r="A1390">
        <v>1389</v>
      </c>
      <c r="C1390">
        <v>21.01</v>
      </c>
      <c r="D1390">
        <v>19.88</v>
      </c>
    </row>
    <row r="1391" spans="1:4">
      <c r="A1391">
        <v>1390</v>
      </c>
      <c r="C1391">
        <v>18.75</v>
      </c>
      <c r="D1391">
        <v>17.899999999999999</v>
      </c>
    </row>
    <row r="1392" spans="1:4">
      <c r="A1392">
        <v>1391</v>
      </c>
      <c r="C1392">
        <v>20.12</v>
      </c>
      <c r="D1392">
        <v>19.3</v>
      </c>
    </row>
    <row r="1393" spans="1:4">
      <c r="A1393">
        <v>1392</v>
      </c>
      <c r="C1393">
        <v>20.74</v>
      </c>
      <c r="D1393">
        <v>19.16</v>
      </c>
    </row>
    <row r="1394" spans="1:4">
      <c r="A1394">
        <v>1393</v>
      </c>
      <c r="C1394">
        <v>20.38</v>
      </c>
      <c r="D1394">
        <v>19.38</v>
      </c>
    </row>
    <row r="1395" spans="1:4">
      <c r="A1395">
        <v>1394</v>
      </c>
      <c r="C1395">
        <v>19.329999999999998</v>
      </c>
      <c r="D1395">
        <v>18.62</v>
      </c>
    </row>
    <row r="1396" spans="1:4">
      <c r="A1396">
        <v>1395</v>
      </c>
      <c r="C1396">
        <v>18.48</v>
      </c>
      <c r="D1396">
        <v>17.07</v>
      </c>
    </row>
    <row r="1397" spans="1:4">
      <c r="A1397">
        <v>1396</v>
      </c>
      <c r="C1397">
        <v>19.489999999999998</v>
      </c>
      <c r="D1397">
        <v>18.38</v>
      </c>
    </row>
    <row r="1398" spans="1:4">
      <c r="A1398">
        <v>1397</v>
      </c>
      <c r="C1398">
        <v>21.95</v>
      </c>
      <c r="D1398">
        <v>19.96</v>
      </c>
    </row>
    <row r="1399" spans="1:4">
      <c r="A1399">
        <v>1398</v>
      </c>
      <c r="C1399">
        <v>21.78</v>
      </c>
      <c r="D1399">
        <v>21.03</v>
      </c>
    </row>
    <row r="1400" spans="1:4">
      <c r="A1400">
        <v>1399</v>
      </c>
      <c r="C1400">
        <v>23.38</v>
      </c>
      <c r="D1400">
        <v>21.73</v>
      </c>
    </row>
    <row r="1401" spans="1:4">
      <c r="A1401">
        <v>1400</v>
      </c>
      <c r="C1401">
        <v>23.69</v>
      </c>
      <c r="D1401">
        <v>22.36</v>
      </c>
    </row>
    <row r="1402" spans="1:4">
      <c r="A1402">
        <v>1401</v>
      </c>
      <c r="C1402">
        <v>25.74</v>
      </c>
      <c r="D1402">
        <v>24.26</v>
      </c>
    </row>
    <row r="1403" spans="1:4">
      <c r="A1403">
        <v>1402</v>
      </c>
      <c r="C1403">
        <v>24.54</v>
      </c>
      <c r="D1403">
        <v>22.87</v>
      </c>
    </row>
    <row r="1404" spans="1:4">
      <c r="A1404">
        <v>1403</v>
      </c>
      <c r="C1404">
        <v>23.73</v>
      </c>
      <c r="D1404">
        <v>22.57</v>
      </c>
    </row>
    <row r="1405" spans="1:4">
      <c r="A1405">
        <v>1404</v>
      </c>
      <c r="C1405">
        <v>25.08</v>
      </c>
      <c r="D1405">
        <v>23.5</v>
      </c>
    </row>
    <row r="1406" spans="1:4">
      <c r="A1406">
        <v>1405</v>
      </c>
      <c r="C1406">
        <v>24.71</v>
      </c>
      <c r="D1406">
        <v>23.29</v>
      </c>
    </row>
    <row r="1407" spans="1:4">
      <c r="A1407">
        <v>1406</v>
      </c>
      <c r="C1407">
        <v>25.79</v>
      </c>
      <c r="D1407">
        <v>24.75</v>
      </c>
    </row>
    <row r="1408" spans="1:4">
      <c r="A1408">
        <v>1407</v>
      </c>
      <c r="C1408">
        <v>26.54</v>
      </c>
      <c r="D1408">
        <v>25.25</v>
      </c>
    </row>
    <row r="1409" spans="1:4">
      <c r="A1409">
        <v>1408</v>
      </c>
      <c r="C1409">
        <v>27.5</v>
      </c>
      <c r="D1409">
        <v>25.01</v>
      </c>
    </row>
    <row r="1410" spans="1:4">
      <c r="A1410">
        <v>1409</v>
      </c>
      <c r="C1410">
        <v>29.92</v>
      </c>
      <c r="D1410">
        <v>26.94</v>
      </c>
    </row>
    <row r="1411" spans="1:4">
      <c r="A1411">
        <v>1410</v>
      </c>
      <c r="C1411">
        <v>27.18</v>
      </c>
      <c r="D1411">
        <v>25.98</v>
      </c>
    </row>
    <row r="1412" spans="1:4">
      <c r="A1412">
        <v>1411</v>
      </c>
      <c r="C1412">
        <v>27.98</v>
      </c>
      <c r="D1412">
        <v>27.09</v>
      </c>
    </row>
    <row r="1413" spans="1:4">
      <c r="A1413">
        <v>1412</v>
      </c>
      <c r="C1413">
        <v>30</v>
      </c>
      <c r="D1413">
        <v>27.61</v>
      </c>
    </row>
    <row r="1414" spans="1:4">
      <c r="A1414">
        <v>1413</v>
      </c>
      <c r="C1414">
        <v>27.27</v>
      </c>
      <c r="D1414">
        <v>25.37</v>
      </c>
    </row>
    <row r="1415" spans="1:4">
      <c r="A1415">
        <v>1414</v>
      </c>
      <c r="C1415">
        <v>25.06</v>
      </c>
      <c r="D1415">
        <v>24.08</v>
      </c>
    </row>
    <row r="1416" spans="1:4">
      <c r="A1416">
        <v>1415</v>
      </c>
      <c r="C1416">
        <v>23.8</v>
      </c>
      <c r="D1416">
        <v>22.27</v>
      </c>
    </row>
    <row r="1417" spans="1:4">
      <c r="A1417">
        <v>1416</v>
      </c>
      <c r="C1417">
        <v>23.75</v>
      </c>
      <c r="D1417">
        <v>22.91</v>
      </c>
    </row>
    <row r="1418" spans="1:4">
      <c r="A1418">
        <v>1417</v>
      </c>
      <c r="C1418">
        <v>22.86</v>
      </c>
      <c r="D1418">
        <v>21.67</v>
      </c>
    </row>
    <row r="1419" spans="1:4">
      <c r="A1419">
        <v>1418</v>
      </c>
      <c r="C1419">
        <v>23.31</v>
      </c>
      <c r="D1419">
        <v>22.72</v>
      </c>
    </row>
    <row r="1420" spans="1:4">
      <c r="A1420">
        <v>1419</v>
      </c>
      <c r="C1420">
        <v>24.96</v>
      </c>
      <c r="D1420">
        <v>24.22</v>
      </c>
    </row>
    <row r="1421" spans="1:4">
      <c r="A1421">
        <v>1420</v>
      </c>
      <c r="C1421">
        <v>24.07</v>
      </c>
      <c r="D1421">
        <v>22.95</v>
      </c>
    </row>
    <row r="1422" spans="1:4">
      <c r="A1422">
        <v>1421</v>
      </c>
      <c r="C1422">
        <v>23.13</v>
      </c>
      <c r="D1422">
        <v>22.52</v>
      </c>
    </row>
    <row r="1423" spans="1:4">
      <c r="A1423">
        <v>1422</v>
      </c>
      <c r="C1423">
        <v>23.63</v>
      </c>
      <c r="D1423">
        <v>22.12</v>
      </c>
    </row>
    <row r="1424" spans="1:4">
      <c r="A1424">
        <v>1423</v>
      </c>
      <c r="C1424">
        <v>22.41</v>
      </c>
      <c r="D1424">
        <v>20.83</v>
      </c>
    </row>
    <row r="1425" spans="1:4">
      <c r="A1425">
        <v>1424</v>
      </c>
      <c r="C1425">
        <v>21.26</v>
      </c>
      <c r="D1425">
        <v>20.12</v>
      </c>
    </row>
    <row r="1426" spans="1:4">
      <c r="A1426">
        <v>1425</v>
      </c>
      <c r="C1426">
        <v>22.01</v>
      </c>
      <c r="D1426">
        <v>20.9</v>
      </c>
    </row>
    <row r="1427" spans="1:4">
      <c r="A1427">
        <v>1426</v>
      </c>
      <c r="C1427">
        <v>24.65</v>
      </c>
      <c r="D1427">
        <v>23.29</v>
      </c>
    </row>
    <row r="1428" spans="1:4">
      <c r="A1428">
        <v>1427</v>
      </c>
      <c r="C1428">
        <v>25.54</v>
      </c>
      <c r="D1428">
        <v>23.74</v>
      </c>
    </row>
    <row r="1429" spans="1:4">
      <c r="A1429">
        <v>1428</v>
      </c>
      <c r="C1429">
        <v>24.18</v>
      </c>
      <c r="D1429">
        <v>22.93</v>
      </c>
    </row>
    <row r="1430" spans="1:4">
      <c r="A1430">
        <v>1429</v>
      </c>
      <c r="C1430">
        <v>25.56</v>
      </c>
      <c r="D1430">
        <v>24.25</v>
      </c>
    </row>
    <row r="1431" spans="1:4">
      <c r="A1431">
        <v>1430</v>
      </c>
      <c r="C1431">
        <v>21.55</v>
      </c>
      <c r="D1431">
        <v>20.87</v>
      </c>
    </row>
    <row r="1432" spans="1:4">
      <c r="A1432">
        <v>1431</v>
      </c>
      <c r="C1432">
        <v>23.65</v>
      </c>
      <c r="D1432">
        <v>22.35</v>
      </c>
    </row>
    <row r="1433" spans="1:4">
      <c r="A1433">
        <v>1432</v>
      </c>
      <c r="C1433">
        <v>24.27</v>
      </c>
      <c r="D1433">
        <v>22.94</v>
      </c>
    </row>
    <row r="1434" spans="1:4">
      <c r="A1434">
        <v>1433</v>
      </c>
      <c r="C1434">
        <v>24.08</v>
      </c>
      <c r="D1434">
        <v>23.01</v>
      </c>
    </row>
    <row r="1435" spans="1:4">
      <c r="A1435">
        <v>1434</v>
      </c>
      <c r="C1435">
        <v>22.54</v>
      </c>
      <c r="D1435">
        <v>21.67</v>
      </c>
    </row>
    <row r="1436" spans="1:4">
      <c r="A1436">
        <v>1435</v>
      </c>
      <c r="C1436">
        <v>23.35</v>
      </c>
      <c r="D1436">
        <v>22.7</v>
      </c>
    </row>
    <row r="1437" spans="1:4">
      <c r="A1437">
        <v>1436</v>
      </c>
      <c r="C1437">
        <v>24.17</v>
      </c>
      <c r="D1437">
        <v>23.38</v>
      </c>
    </row>
    <row r="1438" spans="1:4">
      <c r="A1438">
        <v>1437</v>
      </c>
      <c r="C1438">
        <v>24.89</v>
      </c>
      <c r="D1438">
        <v>22.75</v>
      </c>
    </row>
    <row r="1439" spans="1:4">
      <c r="A1439">
        <v>1438</v>
      </c>
      <c r="C1439">
        <v>27.54</v>
      </c>
      <c r="D1439">
        <v>25.07</v>
      </c>
    </row>
    <row r="1440" spans="1:4">
      <c r="A1440">
        <v>1439</v>
      </c>
      <c r="C1440">
        <v>24.5</v>
      </c>
      <c r="D1440">
        <v>23.14</v>
      </c>
    </row>
    <row r="1441" spans="1:4">
      <c r="A1441">
        <v>1440</v>
      </c>
      <c r="C1441">
        <v>24.36</v>
      </c>
      <c r="D1441">
        <v>23.95</v>
      </c>
    </row>
    <row r="1442" spans="1:4">
      <c r="A1442">
        <v>1441</v>
      </c>
      <c r="C1442">
        <v>26.07</v>
      </c>
      <c r="D1442">
        <v>24.2</v>
      </c>
    </row>
    <row r="1443" spans="1:4">
      <c r="A1443">
        <v>1442</v>
      </c>
      <c r="C1443">
        <v>26.49</v>
      </c>
      <c r="D1443">
        <v>24.64</v>
      </c>
    </row>
    <row r="1444" spans="1:4">
      <c r="A1444">
        <v>1443</v>
      </c>
      <c r="C1444">
        <v>27.84</v>
      </c>
      <c r="D1444">
        <v>24.02</v>
      </c>
    </row>
    <row r="1445" spans="1:4">
      <c r="A1445">
        <v>1444</v>
      </c>
      <c r="C1445">
        <v>29.21</v>
      </c>
      <c r="D1445">
        <v>27.76</v>
      </c>
    </row>
    <row r="1446" spans="1:4">
      <c r="A1446">
        <v>1445</v>
      </c>
      <c r="C1446">
        <v>27.15</v>
      </c>
      <c r="D1446">
        <v>26.06</v>
      </c>
    </row>
    <row r="1447" spans="1:4">
      <c r="A1447">
        <v>1446</v>
      </c>
      <c r="C1447">
        <v>28.58</v>
      </c>
      <c r="D1447">
        <v>25.94</v>
      </c>
    </row>
    <row r="1448" spans="1:4">
      <c r="A1448">
        <v>1447</v>
      </c>
      <c r="C1448">
        <v>26.69</v>
      </c>
      <c r="D1448">
        <v>24.86</v>
      </c>
    </row>
    <row r="1449" spans="1:4">
      <c r="A1449">
        <v>1448</v>
      </c>
      <c r="C1449">
        <v>26.47</v>
      </c>
      <c r="D1449">
        <v>24.84</v>
      </c>
    </row>
    <row r="1450" spans="1:4">
      <c r="A1450">
        <v>1449</v>
      </c>
      <c r="C1450">
        <v>26.29</v>
      </c>
      <c r="D1450">
        <v>24.93</v>
      </c>
    </row>
    <row r="1451" spans="1:4">
      <c r="A1451">
        <v>1450</v>
      </c>
      <c r="C1451">
        <v>25.26</v>
      </c>
      <c r="D1451">
        <v>24.45</v>
      </c>
    </row>
    <row r="1452" spans="1:4">
      <c r="A1452">
        <v>1451</v>
      </c>
      <c r="C1452">
        <v>26.46</v>
      </c>
      <c r="D1452">
        <v>24.33</v>
      </c>
    </row>
    <row r="1453" spans="1:4">
      <c r="A1453">
        <v>1452</v>
      </c>
      <c r="C1453">
        <v>23.86</v>
      </c>
      <c r="D1453">
        <v>21.99</v>
      </c>
    </row>
    <row r="1454" spans="1:4">
      <c r="A1454">
        <v>1453</v>
      </c>
      <c r="C1454">
        <v>23.82</v>
      </c>
      <c r="D1454">
        <v>22.32</v>
      </c>
    </row>
    <row r="1455" spans="1:4">
      <c r="A1455">
        <v>1454</v>
      </c>
      <c r="C1455">
        <v>22.68</v>
      </c>
      <c r="D1455">
        <v>20.37</v>
      </c>
    </row>
    <row r="1456" spans="1:4">
      <c r="A1456">
        <v>1455</v>
      </c>
      <c r="C1456">
        <v>21.05</v>
      </c>
      <c r="D1456">
        <v>20.36</v>
      </c>
    </row>
    <row r="1457" spans="1:4">
      <c r="A1457">
        <v>1456</v>
      </c>
      <c r="C1457">
        <v>23.02</v>
      </c>
      <c r="D1457">
        <v>21.54</v>
      </c>
    </row>
    <row r="1458" spans="1:4">
      <c r="A1458">
        <v>1457</v>
      </c>
      <c r="C1458">
        <v>26.57</v>
      </c>
      <c r="D1458">
        <v>22.57</v>
      </c>
    </row>
    <row r="1459" spans="1:4">
      <c r="A1459">
        <v>1458</v>
      </c>
      <c r="C1459">
        <v>27.47</v>
      </c>
      <c r="D1459">
        <v>25.6</v>
      </c>
    </row>
    <row r="1460" spans="1:4">
      <c r="A1460">
        <v>1459</v>
      </c>
      <c r="C1460">
        <v>29.4</v>
      </c>
      <c r="D1460">
        <v>27.31</v>
      </c>
    </row>
    <row r="1461" spans="1:4">
      <c r="A1461">
        <v>1460</v>
      </c>
      <c r="C1461">
        <v>29.81</v>
      </c>
      <c r="D1461">
        <v>28.15</v>
      </c>
    </row>
    <row r="1462" spans="1:4">
      <c r="A1462">
        <v>1461</v>
      </c>
      <c r="C1462">
        <v>26.56</v>
      </c>
      <c r="D1462">
        <v>24.85</v>
      </c>
    </row>
    <row r="1463" spans="1:4">
      <c r="A1463">
        <v>1462</v>
      </c>
      <c r="C1463">
        <v>25.48</v>
      </c>
      <c r="D1463">
        <v>23.87</v>
      </c>
    </row>
    <row r="1464" spans="1:4">
      <c r="A1464">
        <v>1463</v>
      </c>
      <c r="C1464">
        <v>25.71</v>
      </c>
      <c r="D1464">
        <v>23.99</v>
      </c>
    </row>
    <row r="1465" spans="1:4">
      <c r="A1465">
        <v>1464</v>
      </c>
      <c r="C1465">
        <v>22.08</v>
      </c>
      <c r="D1465">
        <v>20.83</v>
      </c>
    </row>
    <row r="1466" spans="1:4">
      <c r="A1466">
        <v>1465</v>
      </c>
      <c r="C1466">
        <v>24.15</v>
      </c>
      <c r="D1466">
        <v>23.16</v>
      </c>
    </row>
    <row r="1467" spans="1:4">
      <c r="A1467">
        <v>1466</v>
      </c>
      <c r="C1467">
        <v>24.26</v>
      </c>
      <c r="D1467">
        <v>22.68</v>
      </c>
    </row>
    <row r="1468" spans="1:4">
      <c r="A1468">
        <v>1467</v>
      </c>
      <c r="C1468">
        <v>25.38</v>
      </c>
      <c r="D1468">
        <v>24.07</v>
      </c>
    </row>
    <row r="1469" spans="1:4">
      <c r="A1469">
        <v>1468</v>
      </c>
      <c r="C1469">
        <v>22.5</v>
      </c>
      <c r="D1469">
        <v>21.28</v>
      </c>
    </row>
    <row r="1470" spans="1:4">
      <c r="A1470">
        <v>1469</v>
      </c>
      <c r="C1470">
        <v>22.37</v>
      </c>
      <c r="D1470">
        <v>20.3</v>
      </c>
    </row>
    <row r="1471" spans="1:4">
      <c r="A1471">
        <v>1470</v>
      </c>
      <c r="C1471">
        <v>22.91</v>
      </c>
      <c r="D1471">
        <v>22.05</v>
      </c>
    </row>
    <row r="1472" spans="1:4">
      <c r="A1472">
        <v>1471</v>
      </c>
      <c r="C1472">
        <v>23.32</v>
      </c>
      <c r="D1472">
        <v>21.29</v>
      </c>
    </row>
    <row r="1473" spans="1:4">
      <c r="A1473">
        <v>1472</v>
      </c>
      <c r="C1473">
        <v>23.57</v>
      </c>
      <c r="D1473">
        <v>22.76</v>
      </c>
    </row>
    <row r="1474" spans="1:4">
      <c r="A1474">
        <v>1473</v>
      </c>
      <c r="C1474">
        <v>23.31</v>
      </c>
      <c r="D1474">
        <v>22.43</v>
      </c>
    </row>
    <row r="1475" spans="1:4">
      <c r="A1475">
        <v>1474</v>
      </c>
      <c r="C1475">
        <v>22.12</v>
      </c>
      <c r="D1475">
        <v>21.29</v>
      </c>
    </row>
    <row r="1476" spans="1:4">
      <c r="A1476">
        <v>1475</v>
      </c>
      <c r="C1476">
        <v>22.58</v>
      </c>
      <c r="D1476">
        <v>21.72</v>
      </c>
    </row>
    <row r="1477" spans="1:4">
      <c r="A1477">
        <v>1476</v>
      </c>
      <c r="C1477">
        <v>22.96</v>
      </c>
      <c r="D1477">
        <v>22.06</v>
      </c>
    </row>
    <row r="1478" spans="1:4">
      <c r="A1478">
        <v>1477</v>
      </c>
      <c r="C1478">
        <v>22.69</v>
      </c>
      <c r="D1478">
        <v>21.98</v>
      </c>
    </row>
    <row r="1479" spans="1:4">
      <c r="A1479">
        <v>1478</v>
      </c>
      <c r="C1479">
        <v>22.68</v>
      </c>
      <c r="D1479">
        <v>22.02</v>
      </c>
    </row>
    <row r="1480" spans="1:4">
      <c r="A1480">
        <v>1479</v>
      </c>
      <c r="C1480">
        <v>22.94</v>
      </c>
      <c r="D1480">
        <v>21.64</v>
      </c>
    </row>
    <row r="1481" spans="1:4">
      <c r="A1481">
        <v>1480</v>
      </c>
      <c r="C1481">
        <v>23.24</v>
      </c>
      <c r="D1481">
        <v>21.55</v>
      </c>
    </row>
    <row r="1482" spans="1:4">
      <c r="A1482">
        <v>1481</v>
      </c>
      <c r="C1482">
        <v>22.77</v>
      </c>
      <c r="D1482">
        <v>20.73</v>
      </c>
    </row>
    <row r="1483" spans="1:4">
      <c r="A1483">
        <v>1482</v>
      </c>
      <c r="C1483">
        <v>21.25</v>
      </c>
      <c r="D1483">
        <v>20.55</v>
      </c>
    </row>
    <row r="1484" spans="1:4">
      <c r="A1484">
        <v>1483</v>
      </c>
      <c r="C1484">
        <v>20.7</v>
      </c>
      <c r="D1484">
        <v>19.559999999999999</v>
      </c>
    </row>
    <row r="1485" spans="1:4">
      <c r="A1485">
        <v>1484</v>
      </c>
      <c r="C1485">
        <v>19.8</v>
      </c>
      <c r="D1485">
        <v>18.64</v>
      </c>
    </row>
    <row r="1486" spans="1:4">
      <c r="A1486">
        <v>1485</v>
      </c>
      <c r="C1486">
        <v>20.46</v>
      </c>
      <c r="D1486">
        <v>19.66</v>
      </c>
    </row>
    <row r="1487" spans="1:4">
      <c r="A1487">
        <v>1486</v>
      </c>
      <c r="C1487">
        <v>21.86</v>
      </c>
      <c r="D1487">
        <v>20.8</v>
      </c>
    </row>
    <row r="1488" spans="1:4">
      <c r="A1488">
        <v>1487</v>
      </c>
      <c r="C1488">
        <v>20.85</v>
      </c>
      <c r="D1488">
        <v>20.100000000000001</v>
      </c>
    </row>
    <row r="1489" spans="1:4">
      <c r="A1489">
        <v>1488</v>
      </c>
      <c r="C1489">
        <v>23.47</v>
      </c>
      <c r="D1489">
        <v>20.22</v>
      </c>
    </row>
    <row r="1490" spans="1:4">
      <c r="A1490">
        <v>1489</v>
      </c>
      <c r="C1490">
        <v>24.29</v>
      </c>
      <c r="D1490">
        <v>23.11</v>
      </c>
    </row>
    <row r="1491" spans="1:4">
      <c r="A1491">
        <v>1490</v>
      </c>
      <c r="C1491">
        <v>24.21</v>
      </c>
      <c r="D1491">
        <v>22.86</v>
      </c>
    </row>
    <row r="1492" spans="1:4">
      <c r="A1492">
        <v>1491</v>
      </c>
      <c r="C1492">
        <v>23.41</v>
      </c>
      <c r="D1492">
        <v>22.23</v>
      </c>
    </row>
    <row r="1493" spans="1:4">
      <c r="A1493">
        <v>1492</v>
      </c>
      <c r="C1493">
        <v>22.29</v>
      </c>
      <c r="D1493">
        <v>21.67</v>
      </c>
    </row>
    <row r="1494" spans="1:4">
      <c r="A1494">
        <v>1493</v>
      </c>
      <c r="C1494">
        <v>19.82</v>
      </c>
      <c r="D1494">
        <v>18.690000000000001</v>
      </c>
    </row>
    <row r="1495" spans="1:4">
      <c r="A1495">
        <v>1494</v>
      </c>
      <c r="C1495">
        <v>21.47</v>
      </c>
      <c r="D1495">
        <v>20.21</v>
      </c>
    </row>
    <row r="1496" spans="1:4">
      <c r="A1496">
        <v>1495</v>
      </c>
      <c r="C1496">
        <v>21.55</v>
      </c>
      <c r="D1496">
        <v>20.8</v>
      </c>
    </row>
    <row r="1497" spans="1:4">
      <c r="A1497">
        <v>1496</v>
      </c>
      <c r="C1497">
        <v>21.33</v>
      </c>
      <c r="D1497">
        <v>20.62</v>
      </c>
    </row>
    <row r="1498" spans="1:4">
      <c r="A1498">
        <v>1497</v>
      </c>
      <c r="C1498">
        <v>22.31</v>
      </c>
      <c r="D1498">
        <v>20.72</v>
      </c>
    </row>
    <row r="1499" spans="1:4">
      <c r="A1499">
        <v>1498</v>
      </c>
      <c r="C1499">
        <v>22.15</v>
      </c>
      <c r="D1499">
        <v>21.03</v>
      </c>
    </row>
    <row r="1500" spans="1:4">
      <c r="A1500">
        <v>1499</v>
      </c>
      <c r="C1500">
        <v>22.48</v>
      </c>
      <c r="D1500">
        <v>21.57</v>
      </c>
    </row>
    <row r="1501" spans="1:4">
      <c r="A1501">
        <v>1500</v>
      </c>
      <c r="C1501">
        <v>23.25</v>
      </c>
      <c r="D1501">
        <v>22.05</v>
      </c>
    </row>
    <row r="1502" spans="1:4">
      <c r="A1502">
        <v>1501</v>
      </c>
      <c r="C1502">
        <v>23.77</v>
      </c>
      <c r="D1502">
        <v>21.83</v>
      </c>
    </row>
    <row r="1503" spans="1:4">
      <c r="A1503">
        <v>1502</v>
      </c>
      <c r="C1503">
        <v>22.95</v>
      </c>
      <c r="D1503">
        <v>21.14</v>
      </c>
    </row>
    <row r="1504" spans="1:4">
      <c r="A1504">
        <v>1503</v>
      </c>
      <c r="C1504">
        <v>21.46</v>
      </c>
      <c r="D1504">
        <v>20.84</v>
      </c>
    </row>
    <row r="1505" spans="1:4">
      <c r="A1505">
        <v>1504</v>
      </c>
      <c r="C1505">
        <v>24.22</v>
      </c>
      <c r="D1505">
        <v>22.14</v>
      </c>
    </row>
    <row r="1506" spans="1:4">
      <c r="A1506">
        <v>1505</v>
      </c>
      <c r="C1506">
        <v>24.02</v>
      </c>
      <c r="D1506">
        <v>22.09</v>
      </c>
    </row>
    <row r="1507" spans="1:4">
      <c r="A1507">
        <v>1506</v>
      </c>
      <c r="C1507">
        <v>22.84</v>
      </c>
      <c r="D1507">
        <v>22.14</v>
      </c>
    </row>
    <row r="1508" spans="1:4">
      <c r="A1508">
        <v>1507</v>
      </c>
      <c r="C1508">
        <v>21.63</v>
      </c>
      <c r="D1508">
        <v>20.87</v>
      </c>
    </row>
    <row r="1509" spans="1:4">
      <c r="A1509">
        <v>1508</v>
      </c>
      <c r="C1509">
        <v>23.34</v>
      </c>
      <c r="D1509">
        <v>22.85</v>
      </c>
    </row>
    <row r="1510" spans="1:4">
      <c r="A1510">
        <v>1509</v>
      </c>
      <c r="C1510">
        <v>23.69</v>
      </c>
      <c r="D1510">
        <v>22.86</v>
      </c>
    </row>
    <row r="1511" spans="1:4">
      <c r="A1511">
        <v>1510</v>
      </c>
      <c r="C1511">
        <v>23.37</v>
      </c>
      <c r="D1511">
        <v>22.8</v>
      </c>
    </row>
    <row r="1512" spans="1:4">
      <c r="A1512">
        <v>1511</v>
      </c>
      <c r="C1512">
        <v>25.17</v>
      </c>
      <c r="D1512">
        <v>23.15</v>
      </c>
    </row>
    <row r="1513" spans="1:4">
      <c r="A1513">
        <v>1512</v>
      </c>
      <c r="C1513">
        <v>25.2</v>
      </c>
      <c r="D1513">
        <v>24.45</v>
      </c>
    </row>
    <row r="1514" spans="1:4">
      <c r="A1514">
        <v>1513</v>
      </c>
      <c r="C1514">
        <v>26.15</v>
      </c>
      <c r="D1514">
        <v>23.98</v>
      </c>
    </row>
    <row r="1515" spans="1:4">
      <c r="A1515">
        <v>1514</v>
      </c>
      <c r="C1515">
        <v>27.18</v>
      </c>
      <c r="D1515">
        <v>24.8</v>
      </c>
    </row>
    <row r="1516" spans="1:4">
      <c r="A1516">
        <v>1515</v>
      </c>
      <c r="C1516">
        <v>29</v>
      </c>
      <c r="D1516">
        <v>25.85</v>
      </c>
    </row>
    <row r="1517" spans="1:4">
      <c r="A1517">
        <v>1516</v>
      </c>
      <c r="C1517">
        <v>26.71</v>
      </c>
      <c r="D1517">
        <v>24.7</v>
      </c>
    </row>
    <row r="1518" spans="1:4">
      <c r="A1518">
        <v>1517</v>
      </c>
      <c r="C1518">
        <v>25.17</v>
      </c>
      <c r="D1518">
        <v>21.72</v>
      </c>
    </row>
    <row r="1519" spans="1:4">
      <c r="A1519">
        <v>1518</v>
      </c>
      <c r="C1519">
        <v>22.49</v>
      </c>
      <c r="D1519">
        <v>21.36</v>
      </c>
    </row>
    <row r="1520" spans="1:4">
      <c r="A1520">
        <v>1519</v>
      </c>
      <c r="C1520">
        <v>22.63</v>
      </c>
      <c r="D1520">
        <v>21.69</v>
      </c>
    </row>
    <row r="1521" spans="1:4">
      <c r="A1521">
        <v>1520</v>
      </c>
      <c r="C1521">
        <v>23.49</v>
      </c>
      <c r="D1521">
        <v>22.41</v>
      </c>
    </row>
    <row r="1522" spans="1:4">
      <c r="A1522">
        <v>1521</v>
      </c>
      <c r="C1522">
        <v>23.1</v>
      </c>
      <c r="D1522">
        <v>21.32</v>
      </c>
    </row>
    <row r="1523" spans="1:4">
      <c r="A1523">
        <v>1522</v>
      </c>
      <c r="C1523">
        <v>20.149999999999999</v>
      </c>
      <c r="D1523">
        <v>19.510000000000002</v>
      </c>
    </row>
    <row r="1524" spans="1:4">
      <c r="A1524">
        <v>1523</v>
      </c>
      <c r="C1524">
        <v>21.63</v>
      </c>
      <c r="D1524">
        <v>20.97</v>
      </c>
    </row>
    <row r="1525" spans="1:4">
      <c r="A1525">
        <v>1524</v>
      </c>
      <c r="C1525">
        <v>22.16</v>
      </c>
      <c r="D1525">
        <v>21.44</v>
      </c>
    </row>
    <row r="1526" spans="1:4">
      <c r="A1526">
        <v>1525</v>
      </c>
      <c r="C1526">
        <v>22.6</v>
      </c>
      <c r="D1526">
        <v>21.18</v>
      </c>
    </row>
    <row r="1527" spans="1:4">
      <c r="A1527">
        <v>1526</v>
      </c>
      <c r="C1527">
        <v>21.91</v>
      </c>
      <c r="D1527">
        <v>20.5</v>
      </c>
    </row>
    <row r="1528" spans="1:4">
      <c r="A1528">
        <v>1527</v>
      </c>
      <c r="C1528">
        <v>24.44</v>
      </c>
      <c r="D1528">
        <v>21.43</v>
      </c>
    </row>
    <row r="1529" spans="1:4">
      <c r="A1529">
        <v>1528</v>
      </c>
      <c r="C1529">
        <v>24.28</v>
      </c>
      <c r="D1529">
        <v>22.87</v>
      </c>
    </row>
    <row r="1530" spans="1:4">
      <c r="A1530">
        <v>1529</v>
      </c>
      <c r="C1530">
        <v>23.19</v>
      </c>
      <c r="D1530">
        <v>22.45</v>
      </c>
    </row>
    <row r="1531" spans="1:4">
      <c r="A1531">
        <v>1530</v>
      </c>
      <c r="C1531">
        <v>24.39</v>
      </c>
      <c r="D1531">
        <v>22.03</v>
      </c>
    </row>
    <row r="1532" spans="1:4">
      <c r="A1532">
        <v>1531</v>
      </c>
      <c r="C1532">
        <v>26.54</v>
      </c>
      <c r="D1532">
        <v>23.17</v>
      </c>
    </row>
    <row r="1533" spans="1:4">
      <c r="A1533">
        <v>1532</v>
      </c>
      <c r="C1533">
        <v>27.43</v>
      </c>
      <c r="D1533">
        <v>24.94</v>
      </c>
    </row>
    <row r="1534" spans="1:4">
      <c r="A1534">
        <v>1533</v>
      </c>
      <c r="C1534">
        <v>24.74</v>
      </c>
      <c r="D1534">
        <v>23.29</v>
      </c>
    </row>
    <row r="1535" spans="1:4">
      <c r="A1535">
        <v>1534</v>
      </c>
      <c r="C1535">
        <v>24.74</v>
      </c>
      <c r="D1535">
        <v>22.62</v>
      </c>
    </row>
    <row r="1536" spans="1:4">
      <c r="A1536">
        <v>1535</v>
      </c>
      <c r="C1536">
        <v>23.73</v>
      </c>
      <c r="D1536">
        <v>21.93</v>
      </c>
    </row>
    <row r="1537" spans="1:4">
      <c r="A1537">
        <v>1536</v>
      </c>
      <c r="C1537">
        <v>21.77</v>
      </c>
      <c r="D1537">
        <v>20.69</v>
      </c>
    </row>
    <row r="1538" spans="1:4">
      <c r="A1538">
        <v>1537</v>
      </c>
      <c r="C1538">
        <v>23.27</v>
      </c>
      <c r="D1538">
        <v>22.79</v>
      </c>
    </row>
    <row r="1539" spans="1:4">
      <c r="A1539">
        <v>1538</v>
      </c>
      <c r="C1539">
        <v>22.08</v>
      </c>
      <c r="D1539">
        <v>21.17</v>
      </c>
    </row>
    <row r="1540" spans="1:4">
      <c r="A1540">
        <v>1539</v>
      </c>
      <c r="C1540">
        <v>22.9</v>
      </c>
      <c r="D1540">
        <v>21.29</v>
      </c>
    </row>
    <row r="1541" spans="1:4">
      <c r="A1541">
        <v>1540</v>
      </c>
      <c r="C1541">
        <v>23.55</v>
      </c>
      <c r="D1541">
        <v>22.75</v>
      </c>
    </row>
    <row r="1542" spans="1:4">
      <c r="A1542">
        <v>1541</v>
      </c>
      <c r="C1542">
        <v>24.8</v>
      </c>
      <c r="D1542">
        <v>22.82</v>
      </c>
    </row>
    <row r="1543" spans="1:4">
      <c r="A1543">
        <v>1542</v>
      </c>
      <c r="C1543">
        <v>24.89</v>
      </c>
      <c r="D1543">
        <v>24.27</v>
      </c>
    </row>
    <row r="1544" spans="1:4">
      <c r="A1544">
        <v>1543</v>
      </c>
      <c r="C1544">
        <v>24.75</v>
      </c>
      <c r="D1544">
        <v>22.84</v>
      </c>
    </row>
    <row r="1545" spans="1:4">
      <c r="A1545">
        <v>1544</v>
      </c>
      <c r="C1545">
        <v>23.83</v>
      </c>
      <c r="D1545">
        <v>22.74</v>
      </c>
    </row>
    <row r="1546" spans="1:4">
      <c r="A1546">
        <v>1545</v>
      </c>
      <c r="C1546">
        <v>23.48</v>
      </c>
      <c r="D1546">
        <v>22.63</v>
      </c>
    </row>
    <row r="1547" spans="1:4">
      <c r="A1547">
        <v>1546</v>
      </c>
      <c r="C1547">
        <v>26.37</v>
      </c>
      <c r="D1547">
        <v>23.37</v>
      </c>
    </row>
    <row r="1548" spans="1:4">
      <c r="A1548">
        <v>1547</v>
      </c>
      <c r="C1548">
        <v>28.12</v>
      </c>
      <c r="D1548">
        <v>25.47</v>
      </c>
    </row>
    <row r="1549" spans="1:4">
      <c r="A1549">
        <v>1548</v>
      </c>
      <c r="C1549">
        <v>25.37</v>
      </c>
      <c r="D1549">
        <v>23.56</v>
      </c>
    </row>
    <row r="1550" spans="1:4">
      <c r="A1550">
        <v>1549</v>
      </c>
      <c r="C1550">
        <v>25.94</v>
      </c>
      <c r="D1550">
        <v>24.15</v>
      </c>
    </row>
    <row r="1551" spans="1:4">
      <c r="A1551">
        <v>1550</v>
      </c>
      <c r="C1551">
        <v>25.37</v>
      </c>
      <c r="D1551">
        <v>23.58</v>
      </c>
    </row>
    <row r="1552" spans="1:4">
      <c r="A1552">
        <v>1551</v>
      </c>
      <c r="C1552">
        <v>26.19</v>
      </c>
      <c r="D1552">
        <v>24.09</v>
      </c>
    </row>
    <row r="1553" spans="1:4">
      <c r="A1553">
        <v>1552</v>
      </c>
      <c r="C1553">
        <v>23.88</v>
      </c>
      <c r="D1553">
        <v>23.24</v>
      </c>
    </row>
    <row r="1554" spans="1:4">
      <c r="A1554">
        <v>1553</v>
      </c>
      <c r="C1554">
        <v>22.72</v>
      </c>
      <c r="D1554">
        <v>21.41</v>
      </c>
    </row>
    <row r="1555" spans="1:4">
      <c r="A1555">
        <v>1554</v>
      </c>
      <c r="C1555">
        <v>22.1</v>
      </c>
      <c r="D1555">
        <v>20.93</v>
      </c>
    </row>
    <row r="1556" spans="1:4">
      <c r="A1556">
        <v>1555</v>
      </c>
      <c r="C1556">
        <v>20.04</v>
      </c>
      <c r="D1556">
        <v>19.190000000000001</v>
      </c>
    </row>
    <row r="1557" spans="1:4">
      <c r="A1557">
        <v>1556</v>
      </c>
      <c r="C1557">
        <v>21.74</v>
      </c>
      <c r="D1557">
        <v>20.329999999999998</v>
      </c>
    </row>
    <row r="1558" spans="1:4">
      <c r="A1558">
        <v>1557</v>
      </c>
      <c r="C1558">
        <v>24.49</v>
      </c>
      <c r="D1558">
        <v>22.24</v>
      </c>
    </row>
    <row r="1559" spans="1:4">
      <c r="A1559">
        <v>1558</v>
      </c>
      <c r="C1559">
        <v>25.2</v>
      </c>
      <c r="D1559">
        <v>23.48</v>
      </c>
    </row>
    <row r="1560" spans="1:4">
      <c r="A1560">
        <v>1559</v>
      </c>
      <c r="C1560">
        <v>24.18</v>
      </c>
      <c r="D1560">
        <v>22.2</v>
      </c>
    </row>
    <row r="1561" spans="1:4">
      <c r="A1561">
        <v>1560</v>
      </c>
      <c r="C1561">
        <v>21.69</v>
      </c>
      <c r="D1561">
        <v>20.84</v>
      </c>
    </row>
    <row r="1562" spans="1:4">
      <c r="A1562">
        <v>1561</v>
      </c>
      <c r="C1562">
        <v>23.26</v>
      </c>
      <c r="D1562">
        <v>21.99</v>
      </c>
    </row>
    <row r="1563" spans="1:4">
      <c r="A1563">
        <v>1562</v>
      </c>
      <c r="C1563">
        <v>24.41</v>
      </c>
      <c r="D1563">
        <v>22.33</v>
      </c>
    </row>
    <row r="1564" spans="1:4">
      <c r="A1564">
        <v>1563</v>
      </c>
      <c r="C1564">
        <v>24.76</v>
      </c>
      <c r="D1564">
        <v>21.98</v>
      </c>
    </row>
    <row r="1565" spans="1:4">
      <c r="A1565">
        <v>1564</v>
      </c>
      <c r="C1565">
        <v>21.92</v>
      </c>
      <c r="D1565">
        <v>20.49</v>
      </c>
    </row>
    <row r="1566" spans="1:4">
      <c r="A1566">
        <v>1565</v>
      </c>
      <c r="C1566">
        <v>22.56</v>
      </c>
      <c r="D1566">
        <v>21.07</v>
      </c>
    </row>
    <row r="1567" spans="1:4">
      <c r="A1567">
        <v>1566</v>
      </c>
      <c r="C1567">
        <v>23.26</v>
      </c>
      <c r="D1567">
        <v>22.28</v>
      </c>
    </row>
    <row r="1568" spans="1:4">
      <c r="A1568">
        <v>1567</v>
      </c>
      <c r="C1568">
        <v>23.45</v>
      </c>
      <c r="D1568">
        <v>21.27</v>
      </c>
    </row>
    <row r="1569" spans="1:4">
      <c r="A1569">
        <v>1568</v>
      </c>
      <c r="C1569">
        <v>22.02</v>
      </c>
      <c r="D1569">
        <v>21.22</v>
      </c>
    </row>
    <row r="1570" spans="1:4">
      <c r="A1570">
        <v>1569</v>
      </c>
      <c r="C1570">
        <v>22.42</v>
      </c>
      <c r="D1570">
        <v>21.1</v>
      </c>
    </row>
    <row r="1571" spans="1:4">
      <c r="A1571">
        <v>1570</v>
      </c>
      <c r="C1571">
        <v>23.96</v>
      </c>
      <c r="D1571">
        <v>22.12</v>
      </c>
    </row>
    <row r="1572" spans="1:4">
      <c r="A1572">
        <v>1571</v>
      </c>
      <c r="C1572">
        <v>24.8</v>
      </c>
      <c r="D1572">
        <v>24.1</v>
      </c>
    </row>
    <row r="1573" spans="1:4">
      <c r="A1573">
        <v>1572</v>
      </c>
      <c r="C1573">
        <v>25.2</v>
      </c>
      <c r="D1573">
        <v>24.47</v>
      </c>
    </row>
    <row r="1574" spans="1:4">
      <c r="A1574">
        <v>1573</v>
      </c>
      <c r="C1574">
        <v>25.02</v>
      </c>
      <c r="D1574">
        <v>23.79</v>
      </c>
    </row>
    <row r="1575" spans="1:4">
      <c r="A1575">
        <v>1574</v>
      </c>
      <c r="C1575">
        <v>25.87</v>
      </c>
      <c r="D1575">
        <v>23.79</v>
      </c>
    </row>
    <row r="1576" spans="1:4">
      <c r="A1576">
        <v>1575</v>
      </c>
      <c r="C1576">
        <v>24.97</v>
      </c>
      <c r="D1576">
        <v>23.44</v>
      </c>
    </row>
    <row r="1577" spans="1:4">
      <c r="A1577">
        <v>1576</v>
      </c>
      <c r="C1577">
        <v>25.86</v>
      </c>
      <c r="D1577">
        <v>24.03</v>
      </c>
    </row>
    <row r="1578" spans="1:4">
      <c r="A1578">
        <v>1577</v>
      </c>
      <c r="C1578">
        <v>31.16</v>
      </c>
      <c r="D1578">
        <v>23.25</v>
      </c>
    </row>
    <row r="1579" spans="1:4">
      <c r="A1579">
        <v>1578</v>
      </c>
      <c r="C1579">
        <v>30.01</v>
      </c>
      <c r="D1579">
        <v>27.77</v>
      </c>
    </row>
    <row r="1580" spans="1:4">
      <c r="A1580">
        <v>1579</v>
      </c>
      <c r="C1580">
        <v>27.83</v>
      </c>
      <c r="D1580">
        <v>27.05</v>
      </c>
    </row>
    <row r="1581" spans="1:4">
      <c r="A1581">
        <v>1580</v>
      </c>
      <c r="C1581">
        <v>25.64</v>
      </c>
      <c r="D1581">
        <v>23.58</v>
      </c>
    </row>
    <row r="1582" spans="1:4">
      <c r="A1582">
        <v>1581</v>
      </c>
      <c r="C1582">
        <v>26.04</v>
      </c>
      <c r="D1582">
        <v>24.97</v>
      </c>
    </row>
    <row r="1583" spans="1:4">
      <c r="A1583">
        <v>1582</v>
      </c>
      <c r="C1583">
        <v>28.08</v>
      </c>
      <c r="D1583">
        <v>26.64</v>
      </c>
    </row>
    <row r="1584" spans="1:4">
      <c r="A1584">
        <v>1583</v>
      </c>
      <c r="C1584">
        <v>28.98</v>
      </c>
      <c r="D1584">
        <v>27.04</v>
      </c>
    </row>
    <row r="1585" spans="1:4">
      <c r="A1585">
        <v>1584</v>
      </c>
      <c r="C1585">
        <v>29.4</v>
      </c>
      <c r="D1585">
        <v>27.78</v>
      </c>
    </row>
    <row r="1586" spans="1:4">
      <c r="A1586">
        <v>1585</v>
      </c>
      <c r="C1586">
        <v>33.79</v>
      </c>
      <c r="D1586">
        <v>30.09</v>
      </c>
    </row>
    <row r="1587" spans="1:4">
      <c r="A1587">
        <v>1586</v>
      </c>
      <c r="C1587">
        <v>34.31</v>
      </c>
      <c r="D1587">
        <v>28.47</v>
      </c>
    </row>
    <row r="1588" spans="1:4">
      <c r="A1588">
        <v>1587</v>
      </c>
      <c r="C1588">
        <v>28.13</v>
      </c>
      <c r="D1588">
        <v>26.12</v>
      </c>
    </row>
    <row r="1589" spans="1:4">
      <c r="A1589">
        <v>1588</v>
      </c>
      <c r="C1589">
        <v>27.23</v>
      </c>
      <c r="D1589">
        <v>26.27</v>
      </c>
    </row>
    <row r="1590" spans="1:4">
      <c r="A1590">
        <v>1589</v>
      </c>
      <c r="C1590">
        <v>27.21</v>
      </c>
      <c r="D1590">
        <v>25.77</v>
      </c>
    </row>
    <row r="1591" spans="1:4">
      <c r="A1591">
        <v>1590</v>
      </c>
      <c r="C1591">
        <v>28.5</v>
      </c>
      <c r="D1591">
        <v>27.25</v>
      </c>
    </row>
    <row r="1592" spans="1:4">
      <c r="A1592">
        <v>1591</v>
      </c>
      <c r="C1592">
        <v>26.45</v>
      </c>
      <c r="D1592">
        <v>25.2</v>
      </c>
    </row>
    <row r="1593" spans="1:4">
      <c r="A1593">
        <v>1592</v>
      </c>
      <c r="C1593">
        <v>27.24</v>
      </c>
      <c r="D1593">
        <v>25.27</v>
      </c>
    </row>
    <row r="1594" spans="1:4">
      <c r="A1594">
        <v>1593</v>
      </c>
      <c r="C1594">
        <v>29.5</v>
      </c>
      <c r="D1594">
        <v>25.95</v>
      </c>
    </row>
    <row r="1595" spans="1:4">
      <c r="A1595">
        <v>1594</v>
      </c>
      <c r="C1595">
        <v>26.8</v>
      </c>
      <c r="D1595">
        <v>25.61</v>
      </c>
    </row>
    <row r="1596" spans="1:4">
      <c r="A1596">
        <v>1595</v>
      </c>
      <c r="C1596">
        <v>26.44</v>
      </c>
      <c r="D1596">
        <v>25.26</v>
      </c>
    </row>
    <row r="1597" spans="1:4">
      <c r="A1597">
        <v>1596</v>
      </c>
      <c r="C1597">
        <v>28.5</v>
      </c>
      <c r="D1597">
        <v>26.5</v>
      </c>
    </row>
    <row r="1598" spans="1:4">
      <c r="A1598">
        <v>1597</v>
      </c>
      <c r="C1598">
        <v>32.89</v>
      </c>
      <c r="D1598">
        <v>30</v>
      </c>
    </row>
    <row r="1599" spans="1:4">
      <c r="A1599">
        <v>1598</v>
      </c>
      <c r="C1599">
        <v>32.06</v>
      </c>
      <c r="D1599">
        <v>30.56</v>
      </c>
    </row>
    <row r="1600" spans="1:4">
      <c r="A1600">
        <v>1599</v>
      </c>
      <c r="C1600">
        <v>29.54</v>
      </c>
      <c r="D1600">
        <v>27.44</v>
      </c>
    </row>
    <row r="1601" spans="1:4">
      <c r="A1601">
        <v>1600</v>
      </c>
      <c r="C1601">
        <v>29.05</v>
      </c>
      <c r="D1601">
        <v>28.2</v>
      </c>
    </row>
    <row r="1602" spans="1:4">
      <c r="A1602">
        <v>1601</v>
      </c>
      <c r="C1602">
        <v>29.68</v>
      </c>
      <c r="D1602">
        <v>28.16</v>
      </c>
    </row>
    <row r="1603" spans="1:4">
      <c r="A1603">
        <v>1602</v>
      </c>
      <c r="C1603">
        <v>30.6</v>
      </c>
      <c r="D1603">
        <v>28.9</v>
      </c>
    </row>
    <row r="1604" spans="1:4">
      <c r="A1604">
        <v>1603</v>
      </c>
      <c r="C1604">
        <v>29.12</v>
      </c>
      <c r="D1604">
        <v>27.76</v>
      </c>
    </row>
    <row r="1605" spans="1:4">
      <c r="A1605">
        <v>1604</v>
      </c>
      <c r="C1605">
        <v>26.33</v>
      </c>
      <c r="D1605">
        <v>25.61</v>
      </c>
    </row>
    <row r="1606" spans="1:4">
      <c r="A1606">
        <v>1605</v>
      </c>
      <c r="C1606">
        <v>26.7</v>
      </c>
      <c r="D1606">
        <v>24.8</v>
      </c>
    </row>
    <row r="1607" spans="1:4">
      <c r="A1607">
        <v>1606</v>
      </c>
      <c r="C1607">
        <v>25.15</v>
      </c>
      <c r="D1607">
        <v>24.09</v>
      </c>
    </row>
    <row r="1608" spans="1:4">
      <c r="A1608">
        <v>1607</v>
      </c>
      <c r="C1608">
        <v>25.11</v>
      </c>
      <c r="D1608">
        <v>23.74</v>
      </c>
    </row>
    <row r="1609" spans="1:4">
      <c r="A1609">
        <v>1608</v>
      </c>
      <c r="C1609">
        <v>24.03</v>
      </c>
      <c r="D1609">
        <v>23.29</v>
      </c>
    </row>
    <row r="1610" spans="1:4">
      <c r="A1610">
        <v>1609</v>
      </c>
      <c r="C1610">
        <v>26.15</v>
      </c>
      <c r="D1610">
        <v>24.85</v>
      </c>
    </row>
    <row r="1611" spans="1:4">
      <c r="A1611">
        <v>1610</v>
      </c>
      <c r="C1611">
        <v>27.9</v>
      </c>
      <c r="D1611">
        <v>25.98</v>
      </c>
    </row>
    <row r="1612" spans="1:4">
      <c r="A1612">
        <v>1611</v>
      </c>
      <c r="C1612">
        <v>26.12</v>
      </c>
      <c r="D1612">
        <v>24.97</v>
      </c>
    </row>
    <row r="1613" spans="1:4">
      <c r="A1613">
        <v>1612</v>
      </c>
      <c r="C1613">
        <v>26.73</v>
      </c>
      <c r="D1613">
        <v>24.19</v>
      </c>
    </row>
    <row r="1614" spans="1:4">
      <c r="A1614">
        <v>1613</v>
      </c>
      <c r="C1614">
        <v>25.03</v>
      </c>
      <c r="D1614">
        <v>23.85</v>
      </c>
    </row>
    <row r="1615" spans="1:4">
      <c r="A1615">
        <v>1614</v>
      </c>
      <c r="C1615">
        <v>24.91</v>
      </c>
      <c r="D1615">
        <v>24.2</v>
      </c>
    </row>
    <row r="1616" spans="1:4">
      <c r="A1616">
        <v>1615</v>
      </c>
      <c r="C1616">
        <v>24.78</v>
      </c>
      <c r="D1616">
        <v>23.6</v>
      </c>
    </row>
    <row r="1617" spans="1:4">
      <c r="A1617">
        <v>1616</v>
      </c>
      <c r="C1617">
        <v>24.09</v>
      </c>
      <c r="D1617">
        <v>23.23</v>
      </c>
    </row>
    <row r="1618" spans="1:4">
      <c r="A1618">
        <v>1617</v>
      </c>
      <c r="C1618">
        <v>23.21</v>
      </c>
      <c r="D1618">
        <v>22.32</v>
      </c>
    </row>
    <row r="1619" spans="1:4">
      <c r="A1619">
        <v>1618</v>
      </c>
      <c r="C1619">
        <v>21.68</v>
      </c>
      <c r="D1619">
        <v>21.3</v>
      </c>
    </row>
    <row r="1620" spans="1:4">
      <c r="A1620">
        <v>1619</v>
      </c>
      <c r="C1620">
        <v>23.29</v>
      </c>
      <c r="D1620">
        <v>22.59</v>
      </c>
    </row>
    <row r="1621" spans="1:4">
      <c r="A1621">
        <v>1620</v>
      </c>
      <c r="C1621">
        <v>23.24</v>
      </c>
      <c r="D1621">
        <v>22.72</v>
      </c>
    </row>
    <row r="1622" spans="1:4">
      <c r="A1622">
        <v>1621</v>
      </c>
      <c r="C1622">
        <v>23.4</v>
      </c>
      <c r="D1622">
        <v>22.34</v>
      </c>
    </row>
    <row r="1623" spans="1:4">
      <c r="A1623">
        <v>1622</v>
      </c>
      <c r="C1623">
        <v>23.53</v>
      </c>
      <c r="D1623">
        <v>22.77</v>
      </c>
    </row>
    <row r="1624" spans="1:4">
      <c r="A1624">
        <v>1623</v>
      </c>
      <c r="C1624">
        <v>22.49</v>
      </c>
      <c r="D1624">
        <v>21.99</v>
      </c>
    </row>
    <row r="1625" spans="1:4">
      <c r="A1625">
        <v>1624</v>
      </c>
      <c r="C1625">
        <v>22.75</v>
      </c>
      <c r="D1625">
        <v>22.13</v>
      </c>
    </row>
    <row r="1626" spans="1:4">
      <c r="A1626">
        <v>1625</v>
      </c>
      <c r="C1626">
        <v>23.39</v>
      </c>
      <c r="D1626">
        <v>21.6</v>
      </c>
    </row>
    <row r="1627" spans="1:4">
      <c r="A1627">
        <v>1626</v>
      </c>
      <c r="C1627">
        <v>21.74</v>
      </c>
      <c r="D1627">
        <v>21</v>
      </c>
    </row>
    <row r="1628" spans="1:4">
      <c r="A1628">
        <v>1627</v>
      </c>
      <c r="C1628">
        <v>21.63</v>
      </c>
      <c r="D1628">
        <v>20.52</v>
      </c>
    </row>
    <row r="1629" spans="1:4">
      <c r="A1629">
        <v>1628</v>
      </c>
      <c r="C1629">
        <v>20.9</v>
      </c>
      <c r="D1629">
        <v>20.3</v>
      </c>
    </row>
    <row r="1630" spans="1:4">
      <c r="A1630">
        <v>1629</v>
      </c>
      <c r="C1630">
        <v>21.36</v>
      </c>
      <c r="D1630">
        <v>20.34</v>
      </c>
    </row>
    <row r="1631" spans="1:4">
      <c r="A1631">
        <v>1630</v>
      </c>
      <c r="C1631">
        <v>21.23</v>
      </c>
      <c r="D1631">
        <v>20.7</v>
      </c>
    </row>
    <row r="1632" spans="1:4">
      <c r="A1632">
        <v>1631</v>
      </c>
      <c r="C1632">
        <v>21.25</v>
      </c>
      <c r="D1632">
        <v>20.46</v>
      </c>
    </row>
    <row r="1633" spans="1:4">
      <c r="A1633">
        <v>1632</v>
      </c>
      <c r="C1633">
        <v>22.29</v>
      </c>
      <c r="D1633">
        <v>21.43</v>
      </c>
    </row>
    <row r="1634" spans="1:4">
      <c r="A1634">
        <v>1633</v>
      </c>
      <c r="C1634">
        <v>22.82</v>
      </c>
      <c r="D1634">
        <v>22.02</v>
      </c>
    </row>
    <row r="1635" spans="1:4">
      <c r="A1635">
        <v>1634</v>
      </c>
      <c r="C1635">
        <v>25.01</v>
      </c>
      <c r="D1635">
        <v>22.45</v>
      </c>
    </row>
    <row r="1636" spans="1:4">
      <c r="A1636">
        <v>1635</v>
      </c>
      <c r="C1636">
        <v>22.17</v>
      </c>
      <c r="D1636">
        <v>21.64</v>
      </c>
    </row>
    <row r="1637" spans="1:4">
      <c r="A1637">
        <v>1636</v>
      </c>
      <c r="C1637">
        <v>21.87</v>
      </c>
      <c r="D1637">
        <v>19.989999999999998</v>
      </c>
    </row>
    <row r="1638" spans="1:4">
      <c r="A1638">
        <v>1637</v>
      </c>
      <c r="C1638">
        <v>21.16</v>
      </c>
      <c r="D1638">
        <v>19.63</v>
      </c>
    </row>
    <row r="1639" spans="1:4">
      <c r="A1639">
        <v>1638</v>
      </c>
      <c r="C1639">
        <v>19.78</v>
      </c>
      <c r="D1639">
        <v>19.39</v>
      </c>
    </row>
    <row r="1640" spans="1:4">
      <c r="A1640">
        <v>1639</v>
      </c>
      <c r="C1640">
        <v>20.51</v>
      </c>
      <c r="D1640">
        <v>19.829999999999998</v>
      </c>
    </row>
    <row r="1641" spans="1:4">
      <c r="A1641">
        <v>1640</v>
      </c>
      <c r="C1641">
        <v>21.65</v>
      </c>
      <c r="D1641">
        <v>20.56</v>
      </c>
    </row>
    <row r="1642" spans="1:4">
      <c r="A1642">
        <v>1641</v>
      </c>
      <c r="C1642">
        <v>21.51</v>
      </c>
      <c r="D1642">
        <v>20.76</v>
      </c>
    </row>
    <row r="1643" spans="1:4">
      <c r="A1643">
        <v>1642</v>
      </c>
      <c r="C1643">
        <v>20.25</v>
      </c>
      <c r="D1643">
        <v>19.170000000000002</v>
      </c>
    </row>
    <row r="1644" spans="1:4">
      <c r="A1644">
        <v>1643</v>
      </c>
      <c r="C1644">
        <v>20.63</v>
      </c>
      <c r="D1644">
        <v>20.079999999999998</v>
      </c>
    </row>
    <row r="1645" spans="1:4">
      <c r="A1645">
        <v>1644</v>
      </c>
      <c r="C1645">
        <v>20.45</v>
      </c>
      <c r="D1645">
        <v>19.43</v>
      </c>
    </row>
    <row r="1646" spans="1:4">
      <c r="A1646">
        <v>1645</v>
      </c>
      <c r="C1646">
        <v>20.3</v>
      </c>
      <c r="D1646">
        <v>19.940000000000001</v>
      </c>
    </row>
    <row r="1647" spans="1:4">
      <c r="A1647">
        <v>1646</v>
      </c>
      <c r="C1647">
        <v>20.170000000000002</v>
      </c>
      <c r="D1647">
        <v>19.760000000000002</v>
      </c>
    </row>
    <row r="1648" spans="1:4">
      <c r="A1648">
        <v>1647</v>
      </c>
      <c r="C1648">
        <v>19.59</v>
      </c>
      <c r="D1648">
        <v>19.21</v>
      </c>
    </row>
    <row r="1649" spans="1:4">
      <c r="A1649">
        <v>1648</v>
      </c>
      <c r="C1649">
        <v>20.13</v>
      </c>
      <c r="D1649">
        <v>19.13</v>
      </c>
    </row>
    <row r="1650" spans="1:4">
      <c r="A1650">
        <v>1649</v>
      </c>
      <c r="C1650">
        <v>19.920000000000002</v>
      </c>
      <c r="D1650">
        <v>19.329999999999998</v>
      </c>
    </row>
    <row r="1651" spans="1:4">
      <c r="A1651">
        <v>1650</v>
      </c>
      <c r="C1651">
        <v>19.829999999999998</v>
      </c>
      <c r="D1651">
        <v>19.190000000000001</v>
      </c>
    </row>
    <row r="1652" spans="1:4">
      <c r="A1652">
        <v>1651</v>
      </c>
      <c r="C1652">
        <v>19.190000000000001</v>
      </c>
      <c r="D1652">
        <v>18.87</v>
      </c>
    </row>
    <row r="1653" spans="1:4">
      <c r="A1653">
        <v>1652</v>
      </c>
      <c r="C1653">
        <v>19.39</v>
      </c>
      <c r="D1653">
        <v>18.77</v>
      </c>
    </row>
    <row r="1654" spans="1:4">
      <c r="A1654">
        <v>1653</v>
      </c>
      <c r="C1654">
        <v>19.989999999999998</v>
      </c>
      <c r="D1654">
        <v>19.170000000000002</v>
      </c>
    </row>
    <row r="1655" spans="1:4">
      <c r="A1655">
        <v>1654</v>
      </c>
      <c r="C1655">
        <v>19.739999999999998</v>
      </c>
      <c r="D1655">
        <v>19.350000000000001</v>
      </c>
    </row>
    <row r="1656" spans="1:4">
      <c r="A1656">
        <v>1655</v>
      </c>
      <c r="C1656">
        <v>19.989999999999998</v>
      </c>
      <c r="D1656">
        <v>19.48</v>
      </c>
    </row>
    <row r="1657" spans="1:4">
      <c r="A1657">
        <v>1656</v>
      </c>
      <c r="C1657">
        <v>20.190000000000001</v>
      </c>
      <c r="D1657">
        <v>19.260000000000002</v>
      </c>
    </row>
    <row r="1658" spans="1:4">
      <c r="A1658">
        <v>1657</v>
      </c>
      <c r="C1658">
        <v>20.98</v>
      </c>
      <c r="D1658">
        <v>19.329999999999998</v>
      </c>
    </row>
    <row r="1659" spans="1:4">
      <c r="A1659">
        <v>1658</v>
      </c>
      <c r="C1659">
        <v>21.17</v>
      </c>
      <c r="D1659">
        <v>20.54</v>
      </c>
    </row>
    <row r="1660" spans="1:4">
      <c r="A1660">
        <v>1659</v>
      </c>
      <c r="C1660">
        <v>20.84</v>
      </c>
      <c r="D1660">
        <v>20.27</v>
      </c>
    </row>
    <row r="1661" spans="1:4">
      <c r="A1661">
        <v>1660</v>
      </c>
      <c r="C1661">
        <v>20.2</v>
      </c>
      <c r="D1661">
        <v>19.82</v>
      </c>
    </row>
    <row r="1662" spans="1:4">
      <c r="A1662">
        <v>1661</v>
      </c>
      <c r="C1662">
        <v>20.38</v>
      </c>
      <c r="D1662">
        <v>19.66</v>
      </c>
    </row>
    <row r="1663" spans="1:4">
      <c r="A1663">
        <v>1662</v>
      </c>
      <c r="C1663">
        <v>18.97</v>
      </c>
      <c r="D1663">
        <v>18.53</v>
      </c>
    </row>
    <row r="1664" spans="1:4">
      <c r="A1664">
        <v>1663</v>
      </c>
      <c r="C1664">
        <v>19.36</v>
      </c>
      <c r="D1664">
        <v>18.91</v>
      </c>
    </row>
    <row r="1665" spans="1:4">
      <c r="A1665">
        <v>1664</v>
      </c>
      <c r="C1665">
        <v>19.07</v>
      </c>
      <c r="D1665">
        <v>18.75</v>
      </c>
    </row>
    <row r="1666" spans="1:4">
      <c r="A1666">
        <v>1665</v>
      </c>
      <c r="C1666">
        <v>19.28</v>
      </c>
      <c r="D1666">
        <v>18.739999999999998</v>
      </c>
    </row>
    <row r="1667" spans="1:4">
      <c r="A1667">
        <v>1666</v>
      </c>
      <c r="C1667">
        <v>19.190000000000001</v>
      </c>
      <c r="D1667">
        <v>18.829999999999998</v>
      </c>
    </row>
    <row r="1668" spans="1:4">
      <c r="A1668">
        <v>1667</v>
      </c>
      <c r="C1668">
        <v>19.36</v>
      </c>
      <c r="D1668">
        <v>18.34</v>
      </c>
    </row>
    <row r="1669" spans="1:4">
      <c r="A1669">
        <v>1668</v>
      </c>
      <c r="C1669">
        <v>18.989999999999998</v>
      </c>
      <c r="D1669">
        <v>17.84</v>
      </c>
    </row>
    <row r="1670" spans="1:4">
      <c r="A1670">
        <v>1669</v>
      </c>
      <c r="C1670">
        <v>18.27</v>
      </c>
      <c r="D1670">
        <v>17.86</v>
      </c>
    </row>
    <row r="1671" spans="1:4">
      <c r="A1671">
        <v>1670</v>
      </c>
      <c r="C1671">
        <v>18.12</v>
      </c>
      <c r="D1671">
        <v>17.690000000000001</v>
      </c>
    </row>
    <row r="1672" spans="1:4">
      <c r="A1672">
        <v>1671</v>
      </c>
      <c r="C1672">
        <v>18.059999999999999</v>
      </c>
      <c r="D1672">
        <v>17.39</v>
      </c>
    </row>
    <row r="1673" spans="1:4">
      <c r="A1673">
        <v>1672</v>
      </c>
      <c r="C1673">
        <v>17.510000000000002</v>
      </c>
      <c r="D1673">
        <v>16.989999999999998</v>
      </c>
    </row>
    <row r="1674" spans="1:4">
      <c r="A1674">
        <v>1673</v>
      </c>
      <c r="C1674">
        <v>17.71</v>
      </c>
      <c r="D1674">
        <v>17.260000000000002</v>
      </c>
    </row>
    <row r="1675" spans="1:4">
      <c r="A1675">
        <v>1674</v>
      </c>
      <c r="C1675">
        <v>17.829999999999998</v>
      </c>
      <c r="D1675">
        <v>17.27</v>
      </c>
    </row>
    <row r="1676" spans="1:4">
      <c r="A1676">
        <v>1675</v>
      </c>
      <c r="C1676">
        <v>17.739999999999998</v>
      </c>
      <c r="D1676">
        <v>17.34</v>
      </c>
    </row>
    <row r="1677" spans="1:4">
      <c r="A1677">
        <v>1676</v>
      </c>
      <c r="C1677">
        <v>17.59</v>
      </c>
      <c r="D1677">
        <v>16.95</v>
      </c>
    </row>
    <row r="1678" spans="1:4">
      <c r="A1678">
        <v>1677</v>
      </c>
      <c r="C1678">
        <v>17.059999999999999</v>
      </c>
      <c r="D1678">
        <v>16.489999999999998</v>
      </c>
    </row>
    <row r="1679" spans="1:4">
      <c r="A1679">
        <v>1678</v>
      </c>
      <c r="C1679">
        <v>17.11</v>
      </c>
      <c r="D1679">
        <v>16.28</v>
      </c>
    </row>
    <row r="1680" spans="1:4">
      <c r="A1680">
        <v>1679</v>
      </c>
      <c r="C1680">
        <v>17.100000000000001</v>
      </c>
      <c r="D1680">
        <v>16.68</v>
      </c>
    </row>
    <row r="1681" spans="1:4">
      <c r="A1681">
        <v>1680</v>
      </c>
      <c r="C1681">
        <v>17.96</v>
      </c>
      <c r="D1681">
        <v>17.11</v>
      </c>
    </row>
    <row r="1682" spans="1:4">
      <c r="A1682">
        <v>1681</v>
      </c>
      <c r="C1682">
        <v>17.45</v>
      </c>
      <c r="D1682">
        <v>16.64</v>
      </c>
    </row>
    <row r="1683" spans="1:4">
      <c r="A1683">
        <v>1682</v>
      </c>
      <c r="C1683">
        <v>17.77</v>
      </c>
      <c r="D1683">
        <v>16.47</v>
      </c>
    </row>
    <row r="1684" spans="1:4">
      <c r="A1684">
        <v>1683</v>
      </c>
      <c r="C1684">
        <v>20.059999999999999</v>
      </c>
      <c r="D1684">
        <v>19.16</v>
      </c>
    </row>
    <row r="1685" spans="1:4">
      <c r="A1685">
        <v>1684</v>
      </c>
      <c r="C1685">
        <v>20.92</v>
      </c>
      <c r="D1685">
        <v>19.7</v>
      </c>
    </row>
    <row r="1686" spans="1:4">
      <c r="A1686">
        <v>1685</v>
      </c>
      <c r="C1686">
        <v>20.51</v>
      </c>
      <c r="D1686">
        <v>19.34</v>
      </c>
    </row>
    <row r="1687" spans="1:4">
      <c r="A1687">
        <v>1686</v>
      </c>
      <c r="C1687">
        <v>19.07</v>
      </c>
      <c r="D1687">
        <v>18.46</v>
      </c>
    </row>
    <row r="1688" spans="1:4">
      <c r="A1688">
        <v>1687</v>
      </c>
      <c r="C1688">
        <v>19.100000000000001</v>
      </c>
      <c r="D1688">
        <v>18.309999999999999</v>
      </c>
    </row>
    <row r="1689" spans="1:4">
      <c r="A1689">
        <v>1688</v>
      </c>
      <c r="C1689">
        <v>19.04</v>
      </c>
      <c r="D1689">
        <v>18.149999999999999</v>
      </c>
    </row>
    <row r="1690" spans="1:4">
      <c r="A1690">
        <v>1689</v>
      </c>
      <c r="C1690">
        <v>18.760000000000002</v>
      </c>
      <c r="D1690">
        <v>18.16</v>
      </c>
    </row>
    <row r="1691" spans="1:4">
      <c r="A1691">
        <v>1690</v>
      </c>
      <c r="C1691">
        <v>18.510000000000002</v>
      </c>
      <c r="D1691">
        <v>17.96</v>
      </c>
    </row>
    <row r="1692" spans="1:4">
      <c r="A1692">
        <v>1691</v>
      </c>
      <c r="C1692">
        <v>18.72</v>
      </c>
      <c r="D1692">
        <v>18.010000000000002</v>
      </c>
    </row>
    <row r="1693" spans="1:4">
      <c r="A1693">
        <v>1692</v>
      </c>
      <c r="C1693">
        <v>20.350000000000001</v>
      </c>
      <c r="D1693">
        <v>18.78</v>
      </c>
    </row>
    <row r="1694" spans="1:4">
      <c r="A1694">
        <v>1693</v>
      </c>
      <c r="C1694">
        <v>20.25</v>
      </c>
      <c r="D1694">
        <v>19.54</v>
      </c>
    </row>
    <row r="1695" spans="1:4">
      <c r="A1695">
        <v>1694</v>
      </c>
      <c r="C1695">
        <v>21.18</v>
      </c>
      <c r="D1695">
        <v>19.920000000000002</v>
      </c>
    </row>
    <row r="1696" spans="1:4">
      <c r="A1696">
        <v>1695</v>
      </c>
      <c r="C1696">
        <v>20.71</v>
      </c>
      <c r="D1696">
        <v>20.010000000000002</v>
      </c>
    </row>
    <row r="1697" spans="1:4">
      <c r="A1697">
        <v>1696</v>
      </c>
      <c r="C1697">
        <v>22.66</v>
      </c>
      <c r="D1697">
        <v>20.74</v>
      </c>
    </row>
    <row r="1698" spans="1:4">
      <c r="A1698">
        <v>1697</v>
      </c>
      <c r="C1698">
        <v>21.66</v>
      </c>
      <c r="D1698">
        <v>20.66</v>
      </c>
    </row>
    <row r="1699" spans="1:4">
      <c r="A1699">
        <v>1698</v>
      </c>
      <c r="C1699">
        <v>22.09</v>
      </c>
      <c r="D1699">
        <v>21.1</v>
      </c>
    </row>
    <row r="1700" spans="1:4">
      <c r="A1700">
        <v>1699</v>
      </c>
      <c r="C1700">
        <v>22.1</v>
      </c>
      <c r="D1700">
        <v>21.39</v>
      </c>
    </row>
    <row r="1701" spans="1:4">
      <c r="A1701">
        <v>1700</v>
      </c>
      <c r="C1701">
        <v>21.31</v>
      </c>
      <c r="D1701">
        <v>19.399999999999999</v>
      </c>
    </row>
    <row r="1702" spans="1:4">
      <c r="A1702">
        <v>1701</v>
      </c>
      <c r="C1702">
        <v>20.57</v>
      </c>
      <c r="D1702">
        <v>19.8</v>
      </c>
    </row>
    <row r="1703" spans="1:4">
      <c r="A1703">
        <v>1702</v>
      </c>
      <c r="C1703">
        <v>21.56</v>
      </c>
      <c r="D1703">
        <v>20.8</v>
      </c>
    </row>
    <row r="1704" spans="1:4">
      <c r="A1704">
        <v>1703</v>
      </c>
      <c r="C1704">
        <v>21.85</v>
      </c>
      <c r="D1704">
        <v>20.41</v>
      </c>
    </row>
    <row r="1705" spans="1:4">
      <c r="A1705">
        <v>1704</v>
      </c>
      <c r="C1705">
        <v>22.66</v>
      </c>
      <c r="D1705">
        <v>21.21</v>
      </c>
    </row>
    <row r="1706" spans="1:4">
      <c r="A1706">
        <v>1705</v>
      </c>
      <c r="C1706">
        <v>21.3</v>
      </c>
      <c r="D1706">
        <v>20.65</v>
      </c>
    </row>
    <row r="1707" spans="1:4">
      <c r="A1707">
        <v>1706</v>
      </c>
      <c r="C1707">
        <v>23.35</v>
      </c>
      <c r="D1707">
        <v>20.43</v>
      </c>
    </row>
    <row r="1708" spans="1:4">
      <c r="A1708">
        <v>1707</v>
      </c>
      <c r="C1708">
        <v>24.67</v>
      </c>
      <c r="D1708">
        <v>23.63</v>
      </c>
    </row>
    <row r="1709" spans="1:4">
      <c r="A1709">
        <v>1708</v>
      </c>
      <c r="C1709">
        <v>25.02</v>
      </c>
      <c r="D1709">
        <v>23.72</v>
      </c>
    </row>
    <row r="1710" spans="1:4">
      <c r="A1710">
        <v>1709</v>
      </c>
      <c r="C1710">
        <v>28.37</v>
      </c>
      <c r="D1710">
        <v>26.09</v>
      </c>
    </row>
    <row r="1711" spans="1:4">
      <c r="A1711">
        <v>1710</v>
      </c>
      <c r="C1711">
        <v>30.55</v>
      </c>
      <c r="D1711">
        <v>26.95</v>
      </c>
    </row>
    <row r="1712" spans="1:4">
      <c r="A1712">
        <v>1711</v>
      </c>
      <c r="C1712">
        <v>29.42</v>
      </c>
      <c r="D1712">
        <v>27.5</v>
      </c>
    </row>
    <row r="1713" spans="1:4">
      <c r="A1713">
        <v>1712</v>
      </c>
      <c r="C1713">
        <v>27.65</v>
      </c>
      <c r="D1713">
        <v>26.59</v>
      </c>
    </row>
    <row r="1714" spans="1:4">
      <c r="A1714">
        <v>1713</v>
      </c>
      <c r="C1714">
        <v>28.29</v>
      </c>
      <c r="D1714">
        <v>26.19</v>
      </c>
    </row>
    <row r="1715" spans="1:4">
      <c r="A1715">
        <v>1714</v>
      </c>
      <c r="C1715">
        <v>30.8</v>
      </c>
      <c r="D1715">
        <v>28.17</v>
      </c>
    </row>
    <row r="1716" spans="1:4">
      <c r="A1716">
        <v>1715</v>
      </c>
      <c r="C1716">
        <v>27.02</v>
      </c>
      <c r="D1716">
        <v>24.85</v>
      </c>
    </row>
    <row r="1717" spans="1:4">
      <c r="A1717">
        <v>1716</v>
      </c>
      <c r="C1717">
        <v>24.63</v>
      </c>
      <c r="D1717">
        <v>23.02</v>
      </c>
    </row>
    <row r="1718" spans="1:4">
      <c r="A1718">
        <v>1717</v>
      </c>
      <c r="C1718">
        <v>25.13</v>
      </c>
      <c r="D1718">
        <v>24.27</v>
      </c>
    </row>
    <row r="1719" spans="1:4">
      <c r="A1719">
        <v>1718</v>
      </c>
      <c r="C1719">
        <v>24.81</v>
      </c>
      <c r="D1719">
        <v>23.6</v>
      </c>
    </row>
    <row r="1720" spans="1:4">
      <c r="A1720">
        <v>1719</v>
      </c>
      <c r="C1720">
        <v>26.78</v>
      </c>
      <c r="D1720">
        <v>25.01</v>
      </c>
    </row>
    <row r="1721" spans="1:4">
      <c r="A1721">
        <v>1720</v>
      </c>
      <c r="C1721">
        <v>30.08</v>
      </c>
      <c r="D1721">
        <v>26.43</v>
      </c>
    </row>
    <row r="1722" spans="1:4">
      <c r="A1722">
        <v>1721</v>
      </c>
      <c r="C1722">
        <v>28.05</v>
      </c>
      <c r="D1722">
        <v>26.47</v>
      </c>
    </row>
    <row r="1723" spans="1:4">
      <c r="A1723">
        <v>1722</v>
      </c>
      <c r="C1723">
        <v>26.48</v>
      </c>
      <c r="D1723">
        <v>25.07</v>
      </c>
    </row>
    <row r="1724" spans="1:4">
      <c r="A1724">
        <v>1723</v>
      </c>
      <c r="C1724">
        <v>24.87</v>
      </c>
      <c r="D1724">
        <v>23.37</v>
      </c>
    </row>
    <row r="1725" spans="1:4">
      <c r="A1725">
        <v>1724</v>
      </c>
      <c r="C1725">
        <v>24.86</v>
      </c>
      <c r="D1725">
        <v>23.91</v>
      </c>
    </row>
    <row r="1726" spans="1:4">
      <c r="A1726">
        <v>1725</v>
      </c>
      <c r="C1726">
        <v>24.24</v>
      </c>
      <c r="D1726">
        <v>23.64</v>
      </c>
    </row>
    <row r="1727" spans="1:4">
      <c r="A1727">
        <v>1726</v>
      </c>
      <c r="C1727">
        <v>24.06</v>
      </c>
      <c r="D1727">
        <v>23.51</v>
      </c>
    </row>
    <row r="1728" spans="1:4">
      <c r="A1728">
        <v>1727</v>
      </c>
      <c r="C1728">
        <v>24.75</v>
      </c>
      <c r="D1728">
        <v>24.13</v>
      </c>
    </row>
    <row r="1729" spans="1:4">
      <c r="A1729">
        <v>1728</v>
      </c>
      <c r="C1729">
        <v>25.41</v>
      </c>
      <c r="D1729">
        <v>24.73</v>
      </c>
    </row>
    <row r="1730" spans="1:4">
      <c r="A1730">
        <v>1729</v>
      </c>
      <c r="C1730">
        <v>25.74</v>
      </c>
      <c r="D1730">
        <v>24.87</v>
      </c>
    </row>
    <row r="1731" spans="1:4">
      <c r="A1731">
        <v>1730</v>
      </c>
      <c r="C1731">
        <v>28.46</v>
      </c>
      <c r="D1731">
        <v>26.18</v>
      </c>
    </row>
    <row r="1732" spans="1:4">
      <c r="A1732">
        <v>1731</v>
      </c>
      <c r="C1732">
        <v>28.81</v>
      </c>
      <c r="D1732">
        <v>28</v>
      </c>
    </row>
    <row r="1733" spans="1:4">
      <c r="A1733">
        <v>1732</v>
      </c>
      <c r="C1733">
        <v>30.57</v>
      </c>
      <c r="D1733">
        <v>28.74</v>
      </c>
    </row>
    <row r="1734" spans="1:4">
      <c r="A1734">
        <v>1733</v>
      </c>
      <c r="C1734">
        <v>27.93</v>
      </c>
      <c r="D1734">
        <v>26.38</v>
      </c>
    </row>
    <row r="1735" spans="1:4">
      <c r="A1735">
        <v>1734</v>
      </c>
      <c r="C1735">
        <v>27.25</v>
      </c>
      <c r="D1735">
        <v>25.85</v>
      </c>
    </row>
    <row r="1736" spans="1:4">
      <c r="A1736">
        <v>1735</v>
      </c>
      <c r="C1736">
        <v>25.82</v>
      </c>
      <c r="D1736">
        <v>24.67</v>
      </c>
    </row>
    <row r="1737" spans="1:4">
      <c r="A1737">
        <v>1736</v>
      </c>
      <c r="C1737">
        <v>25.88</v>
      </c>
      <c r="D1737">
        <v>24.47</v>
      </c>
    </row>
    <row r="1738" spans="1:4">
      <c r="A1738">
        <v>1737</v>
      </c>
      <c r="C1738">
        <v>27.6</v>
      </c>
      <c r="D1738">
        <v>26.37</v>
      </c>
    </row>
    <row r="1739" spans="1:4">
      <c r="A1739">
        <v>1738</v>
      </c>
      <c r="C1739">
        <v>27.64</v>
      </c>
      <c r="D1739">
        <v>26.52</v>
      </c>
    </row>
    <row r="1740" spans="1:4">
      <c r="A1740">
        <v>1739</v>
      </c>
      <c r="C1740">
        <v>27.83</v>
      </c>
      <c r="D1740">
        <v>26.87</v>
      </c>
    </row>
    <row r="1741" spans="1:4">
      <c r="A1741">
        <v>1740</v>
      </c>
      <c r="C1741">
        <v>27.32</v>
      </c>
      <c r="D1741">
        <v>25.99</v>
      </c>
    </row>
    <row r="1742" spans="1:4">
      <c r="A1742">
        <v>1741</v>
      </c>
      <c r="C1742">
        <v>26.98</v>
      </c>
      <c r="D1742">
        <v>26.12</v>
      </c>
    </row>
    <row r="1743" spans="1:4">
      <c r="A1743">
        <v>1742</v>
      </c>
      <c r="C1743">
        <v>27.84</v>
      </c>
      <c r="D1743">
        <v>26.78</v>
      </c>
    </row>
    <row r="1744" spans="1:4">
      <c r="A1744">
        <v>1743</v>
      </c>
      <c r="C1744">
        <v>28.22</v>
      </c>
      <c r="D1744">
        <v>27.3</v>
      </c>
    </row>
    <row r="1745" spans="1:4">
      <c r="A1745">
        <v>1744</v>
      </c>
      <c r="C1745">
        <v>31.11</v>
      </c>
      <c r="D1745">
        <v>28.43</v>
      </c>
    </row>
    <row r="1746" spans="1:4">
      <c r="A1746">
        <v>1745</v>
      </c>
      <c r="C1746">
        <v>28.39</v>
      </c>
      <c r="D1746">
        <v>27.08</v>
      </c>
    </row>
    <row r="1747" spans="1:4">
      <c r="A1747">
        <v>1746</v>
      </c>
      <c r="C1747">
        <v>28.74</v>
      </c>
      <c r="D1747">
        <v>27.65</v>
      </c>
    </row>
    <row r="1748" spans="1:4">
      <c r="A1748">
        <v>1747</v>
      </c>
      <c r="C1748">
        <v>27.31</v>
      </c>
      <c r="D1748">
        <v>24.97</v>
      </c>
    </row>
    <row r="1749" spans="1:4">
      <c r="A1749">
        <v>1748</v>
      </c>
      <c r="C1749">
        <v>25.21</v>
      </c>
      <c r="D1749">
        <v>23.89</v>
      </c>
    </row>
    <row r="1750" spans="1:4">
      <c r="A1750">
        <v>1749</v>
      </c>
      <c r="C1750">
        <v>25.55</v>
      </c>
      <c r="D1750">
        <v>24.91</v>
      </c>
    </row>
    <row r="1751" spans="1:4">
      <c r="A1751">
        <v>1750</v>
      </c>
      <c r="C1751">
        <v>23.84</v>
      </c>
      <c r="D1751">
        <v>22.38</v>
      </c>
    </row>
    <row r="1752" spans="1:4">
      <c r="A1752">
        <v>1751</v>
      </c>
      <c r="C1752">
        <v>23.99</v>
      </c>
      <c r="D1752">
        <v>22.81</v>
      </c>
    </row>
    <row r="1753" spans="1:4">
      <c r="A1753">
        <v>1752</v>
      </c>
      <c r="C1753">
        <v>25.36</v>
      </c>
      <c r="D1753">
        <v>23.97</v>
      </c>
    </row>
    <row r="1754" spans="1:4">
      <c r="A1754">
        <v>1753</v>
      </c>
      <c r="C1754">
        <v>24.32</v>
      </c>
      <c r="D1754">
        <v>23.3</v>
      </c>
    </row>
    <row r="1755" spans="1:4">
      <c r="A1755">
        <v>1754</v>
      </c>
      <c r="C1755">
        <v>25.41</v>
      </c>
      <c r="D1755">
        <v>23.4</v>
      </c>
    </row>
    <row r="1756" spans="1:4">
      <c r="A1756">
        <v>1755</v>
      </c>
      <c r="C1756">
        <v>26.87</v>
      </c>
      <c r="D1756">
        <v>25.43</v>
      </c>
    </row>
    <row r="1757" spans="1:4">
      <c r="A1757">
        <v>1756</v>
      </c>
      <c r="C1757">
        <v>27.89</v>
      </c>
      <c r="D1757">
        <v>26.43</v>
      </c>
    </row>
    <row r="1758" spans="1:4">
      <c r="A1758">
        <v>1757</v>
      </c>
      <c r="C1758">
        <v>27.54</v>
      </c>
      <c r="D1758">
        <v>25.41</v>
      </c>
    </row>
    <row r="1759" spans="1:4">
      <c r="A1759">
        <v>1758</v>
      </c>
      <c r="C1759">
        <v>32.020000000000003</v>
      </c>
      <c r="D1759">
        <v>29.43</v>
      </c>
    </row>
    <row r="1760" spans="1:4">
      <c r="A1760">
        <v>1759</v>
      </c>
      <c r="C1760">
        <v>32.32</v>
      </c>
      <c r="D1760">
        <v>29.22</v>
      </c>
    </row>
    <row r="1761" spans="1:4">
      <c r="A1761">
        <v>1760</v>
      </c>
      <c r="C1761">
        <v>28.83</v>
      </c>
      <c r="D1761">
        <v>27.55</v>
      </c>
    </row>
    <row r="1762" spans="1:4">
      <c r="A1762">
        <v>1761</v>
      </c>
      <c r="C1762">
        <v>29.13</v>
      </c>
      <c r="D1762">
        <v>28.37</v>
      </c>
    </row>
    <row r="1763" spans="1:4">
      <c r="A1763">
        <v>1762</v>
      </c>
      <c r="C1763">
        <v>28.95</v>
      </c>
      <c r="D1763">
        <v>27.96</v>
      </c>
    </row>
    <row r="1764" spans="1:4">
      <c r="A1764">
        <v>1763</v>
      </c>
      <c r="C1764">
        <v>28.06</v>
      </c>
      <c r="D1764">
        <v>26.53</v>
      </c>
    </row>
    <row r="1765" spans="1:4">
      <c r="A1765">
        <v>1764</v>
      </c>
      <c r="C1765">
        <v>26.96</v>
      </c>
      <c r="D1765">
        <v>26.32</v>
      </c>
    </row>
    <row r="1766" spans="1:4">
      <c r="A1766">
        <v>1765</v>
      </c>
      <c r="C1766">
        <v>30.4</v>
      </c>
      <c r="D1766">
        <v>27.92</v>
      </c>
    </row>
    <row r="1767" spans="1:4">
      <c r="A1767">
        <v>1766</v>
      </c>
      <c r="C1767">
        <v>29.96</v>
      </c>
      <c r="D1767">
        <v>25.99</v>
      </c>
    </row>
    <row r="1768" spans="1:4">
      <c r="A1768">
        <v>1767</v>
      </c>
      <c r="C1768">
        <v>27.19</v>
      </c>
      <c r="D1768">
        <v>26.13</v>
      </c>
    </row>
    <row r="1769" spans="1:4">
      <c r="A1769">
        <v>1768</v>
      </c>
      <c r="C1769">
        <v>29.04</v>
      </c>
      <c r="D1769">
        <v>27.21</v>
      </c>
    </row>
    <row r="1770" spans="1:4">
      <c r="A1770">
        <v>1769</v>
      </c>
      <c r="C1770">
        <v>30.8</v>
      </c>
      <c r="D1770">
        <v>29.72</v>
      </c>
    </row>
    <row r="1771" spans="1:4">
      <c r="A1771">
        <v>1770</v>
      </c>
      <c r="C1771">
        <v>29.53</v>
      </c>
      <c r="D1771">
        <v>27.77</v>
      </c>
    </row>
    <row r="1772" spans="1:4">
      <c r="A1772">
        <v>1771</v>
      </c>
      <c r="C1772">
        <v>28.47</v>
      </c>
      <c r="D1772">
        <v>26.7</v>
      </c>
    </row>
    <row r="1773" spans="1:4">
      <c r="A1773">
        <v>1772</v>
      </c>
      <c r="C1773">
        <v>26.71</v>
      </c>
      <c r="D1773">
        <v>25.65</v>
      </c>
    </row>
    <row r="1774" spans="1:4">
      <c r="A1774">
        <v>1773</v>
      </c>
      <c r="C1774">
        <v>25.48</v>
      </c>
      <c r="D1774">
        <v>24.5</v>
      </c>
    </row>
    <row r="1775" spans="1:4">
      <c r="A1775">
        <v>1774</v>
      </c>
      <c r="C1775">
        <v>25.68</v>
      </c>
      <c r="D1775">
        <v>24.88</v>
      </c>
    </row>
    <row r="1776" spans="1:4">
      <c r="A1776">
        <v>1775</v>
      </c>
      <c r="C1776">
        <v>25.22</v>
      </c>
      <c r="D1776">
        <v>24.28</v>
      </c>
    </row>
    <row r="1777" spans="1:4">
      <c r="A1777">
        <v>1776</v>
      </c>
      <c r="C1777">
        <v>24.53</v>
      </c>
      <c r="D1777">
        <v>23.18</v>
      </c>
    </row>
    <row r="1778" spans="1:4">
      <c r="A1778">
        <v>1777</v>
      </c>
      <c r="C1778">
        <v>24.08</v>
      </c>
      <c r="D1778">
        <v>23</v>
      </c>
    </row>
    <row r="1779" spans="1:4">
      <c r="A1779">
        <v>1778</v>
      </c>
      <c r="C1779">
        <v>24.31</v>
      </c>
      <c r="D1779">
        <v>23.24</v>
      </c>
    </row>
    <row r="1780" spans="1:4">
      <c r="A1780">
        <v>1779</v>
      </c>
      <c r="C1780">
        <v>23.15</v>
      </c>
      <c r="D1780">
        <v>21.47</v>
      </c>
    </row>
    <row r="1781" spans="1:4">
      <c r="A1781">
        <v>1780</v>
      </c>
      <c r="C1781">
        <v>22.41</v>
      </c>
      <c r="D1781">
        <v>21.87</v>
      </c>
    </row>
    <row r="1782" spans="1:4">
      <c r="A1782">
        <v>1781</v>
      </c>
      <c r="C1782">
        <v>22.86</v>
      </c>
      <c r="D1782">
        <v>22.27</v>
      </c>
    </row>
    <row r="1783" spans="1:4">
      <c r="A1783">
        <v>1782</v>
      </c>
      <c r="C1783">
        <v>23.05</v>
      </c>
      <c r="D1783">
        <v>22.44</v>
      </c>
    </row>
    <row r="1784" spans="1:4">
      <c r="A1784">
        <v>1783</v>
      </c>
      <c r="C1784">
        <v>22.96</v>
      </c>
      <c r="D1784">
        <v>22.56</v>
      </c>
    </row>
    <row r="1785" spans="1:4">
      <c r="A1785">
        <v>1784</v>
      </c>
      <c r="C1785">
        <v>23.35</v>
      </c>
      <c r="D1785">
        <v>22.47</v>
      </c>
    </row>
    <row r="1786" spans="1:4">
      <c r="A1786">
        <v>1785</v>
      </c>
      <c r="C1786">
        <v>23.02</v>
      </c>
      <c r="D1786">
        <v>21.98</v>
      </c>
    </row>
    <row r="1787" spans="1:4">
      <c r="A1787">
        <v>1786</v>
      </c>
      <c r="C1787">
        <v>22.68</v>
      </c>
      <c r="D1787">
        <v>21.61</v>
      </c>
    </row>
    <row r="1788" spans="1:4">
      <c r="A1788">
        <v>1787</v>
      </c>
      <c r="C1788">
        <v>21.95</v>
      </c>
      <c r="D1788">
        <v>20.81</v>
      </c>
    </row>
    <row r="1789" spans="1:4">
      <c r="A1789">
        <v>1788</v>
      </c>
      <c r="C1789">
        <v>23.01</v>
      </c>
      <c r="D1789">
        <v>22.18</v>
      </c>
    </row>
    <row r="1790" spans="1:4">
      <c r="A1790">
        <v>1789</v>
      </c>
      <c r="C1790">
        <v>22.12</v>
      </c>
      <c r="D1790">
        <v>21.42</v>
      </c>
    </row>
    <row r="1791" spans="1:4">
      <c r="A1791">
        <v>1790</v>
      </c>
      <c r="C1791">
        <v>22.36</v>
      </c>
      <c r="D1791">
        <v>21.44</v>
      </c>
    </row>
    <row r="1792" spans="1:4">
      <c r="A1792">
        <v>1791</v>
      </c>
      <c r="C1792">
        <v>21.61</v>
      </c>
      <c r="D1792">
        <v>20.92</v>
      </c>
    </row>
    <row r="1793" spans="1:4">
      <c r="A1793">
        <v>1792</v>
      </c>
      <c r="C1793">
        <v>22.24</v>
      </c>
      <c r="D1793">
        <v>21.16</v>
      </c>
    </row>
    <row r="1794" spans="1:4">
      <c r="A1794">
        <v>1793</v>
      </c>
      <c r="C1794">
        <v>23.13</v>
      </c>
      <c r="D1794">
        <v>21.83</v>
      </c>
    </row>
    <row r="1795" spans="1:4">
      <c r="A1795">
        <v>1794</v>
      </c>
      <c r="C1795">
        <v>21.66</v>
      </c>
      <c r="D1795">
        <v>21.12</v>
      </c>
    </row>
    <row r="1796" spans="1:4">
      <c r="A1796">
        <v>1795</v>
      </c>
      <c r="C1796">
        <v>22.52</v>
      </c>
      <c r="D1796">
        <v>21.52</v>
      </c>
    </row>
    <row r="1797" spans="1:4">
      <c r="A1797">
        <v>1796</v>
      </c>
      <c r="C1797">
        <v>21.51</v>
      </c>
      <c r="D1797">
        <v>20.22</v>
      </c>
    </row>
    <row r="1798" spans="1:4">
      <c r="A1798">
        <v>1797</v>
      </c>
      <c r="C1798">
        <v>22.73</v>
      </c>
      <c r="D1798">
        <v>21.43</v>
      </c>
    </row>
    <row r="1799" spans="1:4">
      <c r="A1799">
        <v>1798</v>
      </c>
      <c r="C1799">
        <v>24.76</v>
      </c>
      <c r="D1799">
        <v>23.16</v>
      </c>
    </row>
    <row r="1800" spans="1:4">
      <c r="A1800">
        <v>1799</v>
      </c>
      <c r="C1800">
        <v>25.81</v>
      </c>
      <c r="D1800">
        <v>24.24</v>
      </c>
    </row>
    <row r="1801" spans="1:4">
      <c r="A1801">
        <v>1800</v>
      </c>
      <c r="C1801">
        <v>28.41</v>
      </c>
      <c r="D1801">
        <v>25.96</v>
      </c>
    </row>
    <row r="1802" spans="1:4">
      <c r="A1802">
        <v>1801</v>
      </c>
      <c r="C1802">
        <v>30.62</v>
      </c>
      <c r="D1802">
        <v>26.94</v>
      </c>
    </row>
    <row r="1803" spans="1:4">
      <c r="A1803">
        <v>1802</v>
      </c>
      <c r="C1803">
        <v>27.48</v>
      </c>
      <c r="D1803">
        <v>25.43</v>
      </c>
    </row>
    <row r="1804" spans="1:4">
      <c r="A1804">
        <v>1803</v>
      </c>
      <c r="C1804">
        <v>26.59</v>
      </c>
      <c r="D1804">
        <v>25.02</v>
      </c>
    </row>
    <row r="1805" spans="1:4">
      <c r="A1805">
        <v>1804</v>
      </c>
      <c r="C1805">
        <v>28.82</v>
      </c>
      <c r="D1805">
        <v>26.05</v>
      </c>
    </row>
    <row r="1806" spans="1:4">
      <c r="A1806">
        <v>1805</v>
      </c>
      <c r="C1806">
        <v>30.26</v>
      </c>
      <c r="D1806">
        <v>28.08</v>
      </c>
    </row>
    <row r="1807" spans="1:4">
      <c r="A1807">
        <v>1806</v>
      </c>
      <c r="C1807">
        <v>29.34</v>
      </c>
      <c r="D1807">
        <v>26.82</v>
      </c>
    </row>
    <row r="1808" spans="1:4">
      <c r="A1808">
        <v>1807</v>
      </c>
      <c r="C1808">
        <v>28.43</v>
      </c>
      <c r="D1808">
        <v>27.08</v>
      </c>
    </row>
    <row r="1809" spans="1:4">
      <c r="A1809">
        <v>1808</v>
      </c>
      <c r="C1809">
        <v>26.28</v>
      </c>
      <c r="D1809">
        <v>25.58</v>
      </c>
    </row>
    <row r="1810" spans="1:4">
      <c r="A1810">
        <v>1809</v>
      </c>
      <c r="C1810">
        <v>25.53</v>
      </c>
      <c r="D1810">
        <v>24.12</v>
      </c>
    </row>
    <row r="1811" spans="1:4">
      <c r="A1811">
        <v>1810</v>
      </c>
      <c r="C1811">
        <v>24.9</v>
      </c>
      <c r="D1811">
        <v>24.23</v>
      </c>
    </row>
    <row r="1812" spans="1:4">
      <c r="A1812">
        <v>1811</v>
      </c>
      <c r="C1812">
        <v>25.76</v>
      </c>
      <c r="D1812">
        <v>24.46</v>
      </c>
    </row>
    <row r="1813" spans="1:4">
      <c r="A1813">
        <v>1812</v>
      </c>
      <c r="C1813">
        <v>30.54</v>
      </c>
      <c r="D1813">
        <v>27.74</v>
      </c>
    </row>
    <row r="1814" spans="1:4">
      <c r="A1814">
        <v>1813</v>
      </c>
      <c r="C1814">
        <v>30.84</v>
      </c>
      <c r="D1814">
        <v>27.55</v>
      </c>
    </row>
    <row r="1815" spans="1:4">
      <c r="A1815">
        <v>1814</v>
      </c>
      <c r="C1815">
        <v>30.71</v>
      </c>
      <c r="D1815">
        <v>28.86</v>
      </c>
    </row>
    <row r="1816" spans="1:4">
      <c r="A1816">
        <v>1815</v>
      </c>
      <c r="C1816">
        <v>28.98</v>
      </c>
      <c r="D1816">
        <v>28.25</v>
      </c>
    </row>
    <row r="1817" spans="1:4">
      <c r="A1817">
        <v>1816</v>
      </c>
      <c r="C1817">
        <v>29.91</v>
      </c>
      <c r="D1817">
        <v>28.56</v>
      </c>
    </row>
    <row r="1818" spans="1:4">
      <c r="A1818">
        <v>1817</v>
      </c>
      <c r="C1818">
        <v>31.33</v>
      </c>
      <c r="D1818">
        <v>29.5</v>
      </c>
    </row>
    <row r="1819" spans="1:4">
      <c r="A1819">
        <v>1818</v>
      </c>
      <c r="C1819">
        <v>31.27</v>
      </c>
      <c r="D1819">
        <v>29.3</v>
      </c>
    </row>
    <row r="1820" spans="1:4">
      <c r="A1820">
        <v>1819</v>
      </c>
      <c r="C1820">
        <v>32.18</v>
      </c>
      <c r="D1820">
        <v>30.26</v>
      </c>
    </row>
    <row r="1821" spans="1:4">
      <c r="A1821">
        <v>1820</v>
      </c>
      <c r="C1821">
        <v>35.450000000000003</v>
      </c>
      <c r="D1821">
        <v>32.35</v>
      </c>
    </row>
    <row r="1822" spans="1:4">
      <c r="A1822">
        <v>1821</v>
      </c>
      <c r="C1822">
        <v>33</v>
      </c>
      <c r="D1822">
        <v>30.41</v>
      </c>
    </row>
    <row r="1823" spans="1:4">
      <c r="A1823">
        <v>1822</v>
      </c>
      <c r="C1823">
        <v>30.24</v>
      </c>
      <c r="D1823">
        <v>29.04</v>
      </c>
    </row>
    <row r="1824" spans="1:4">
      <c r="A1824">
        <v>1823</v>
      </c>
      <c r="C1824">
        <v>28.63</v>
      </c>
      <c r="D1824">
        <v>27.03</v>
      </c>
    </row>
    <row r="1825" spans="1:4">
      <c r="A1825">
        <v>1824</v>
      </c>
      <c r="C1825">
        <v>28.98</v>
      </c>
      <c r="D1825">
        <v>28.21</v>
      </c>
    </row>
    <row r="1826" spans="1:4">
      <c r="A1826">
        <v>1825</v>
      </c>
      <c r="C1826">
        <v>29.84</v>
      </c>
      <c r="D1826">
        <v>28.16</v>
      </c>
    </row>
    <row r="1827" spans="1:4">
      <c r="A1827">
        <v>1826</v>
      </c>
      <c r="C1827">
        <v>29.32</v>
      </c>
      <c r="D1827">
        <v>28.3</v>
      </c>
    </row>
    <row r="1828" spans="1:4">
      <c r="A1828">
        <v>1827</v>
      </c>
      <c r="C1828">
        <v>31.61</v>
      </c>
      <c r="D1828">
        <v>29.16</v>
      </c>
    </row>
    <row r="1829" spans="1:4">
      <c r="A1829">
        <v>1828</v>
      </c>
      <c r="C1829">
        <v>35.200000000000003</v>
      </c>
      <c r="D1829">
        <v>32.92</v>
      </c>
    </row>
    <row r="1830" spans="1:4">
      <c r="A1830">
        <v>1829</v>
      </c>
      <c r="C1830">
        <v>34.74</v>
      </c>
      <c r="D1830">
        <v>33.21</v>
      </c>
    </row>
    <row r="1831" spans="1:4">
      <c r="A1831">
        <v>1830</v>
      </c>
      <c r="C1831">
        <v>32.51</v>
      </c>
      <c r="D1831">
        <v>29.88</v>
      </c>
    </row>
    <row r="1832" spans="1:4">
      <c r="A1832">
        <v>1831</v>
      </c>
      <c r="C1832">
        <v>32.04</v>
      </c>
      <c r="D1832">
        <v>30.22</v>
      </c>
    </row>
    <row r="1833" spans="1:4">
      <c r="A1833">
        <v>1832</v>
      </c>
      <c r="C1833">
        <v>32.549999999999997</v>
      </c>
      <c r="D1833">
        <v>31.38</v>
      </c>
    </row>
    <row r="1834" spans="1:4">
      <c r="A1834">
        <v>1833</v>
      </c>
      <c r="C1834">
        <v>30.69</v>
      </c>
      <c r="D1834">
        <v>29.33</v>
      </c>
    </row>
    <row r="1835" spans="1:4">
      <c r="A1835">
        <v>1834</v>
      </c>
      <c r="C1835">
        <v>29.13</v>
      </c>
      <c r="D1835">
        <v>28.4</v>
      </c>
    </row>
    <row r="1836" spans="1:4">
      <c r="A1836">
        <v>1835</v>
      </c>
      <c r="C1836">
        <v>28.37</v>
      </c>
      <c r="D1836">
        <v>26.12</v>
      </c>
    </row>
    <row r="1837" spans="1:4">
      <c r="A1837">
        <v>1836</v>
      </c>
      <c r="C1837">
        <v>27.18</v>
      </c>
      <c r="D1837">
        <v>26.22</v>
      </c>
    </row>
    <row r="1838" spans="1:4">
      <c r="A1838">
        <v>1837</v>
      </c>
      <c r="C1838">
        <v>26.22</v>
      </c>
      <c r="D1838">
        <v>25.33</v>
      </c>
    </row>
    <row r="1839" spans="1:4">
      <c r="A1839">
        <v>1838</v>
      </c>
      <c r="C1839">
        <v>24.65</v>
      </c>
      <c r="D1839">
        <v>23.01</v>
      </c>
    </row>
    <row r="1840" spans="1:4">
      <c r="A1840">
        <v>1839</v>
      </c>
      <c r="C1840">
        <v>24.62</v>
      </c>
      <c r="D1840">
        <v>24.12</v>
      </c>
    </row>
    <row r="1841" spans="1:4">
      <c r="A1841">
        <v>1840</v>
      </c>
      <c r="C1841">
        <v>25.45</v>
      </c>
      <c r="D1841">
        <v>24.5</v>
      </c>
    </row>
    <row r="1842" spans="1:4">
      <c r="A1842">
        <v>1841</v>
      </c>
      <c r="C1842">
        <v>28.6</v>
      </c>
      <c r="D1842">
        <v>27.28</v>
      </c>
    </row>
    <row r="1843" spans="1:4">
      <c r="A1843">
        <v>1842</v>
      </c>
      <c r="C1843">
        <v>28.61</v>
      </c>
      <c r="D1843">
        <v>27.23</v>
      </c>
    </row>
    <row r="1844" spans="1:4">
      <c r="A1844">
        <v>1843</v>
      </c>
      <c r="C1844">
        <v>28.68</v>
      </c>
      <c r="D1844">
        <v>27.25</v>
      </c>
    </row>
    <row r="1845" spans="1:4">
      <c r="A1845">
        <v>1844</v>
      </c>
      <c r="C1845">
        <v>26.41</v>
      </c>
      <c r="D1845">
        <v>25.62</v>
      </c>
    </row>
    <row r="1846" spans="1:4">
      <c r="A1846">
        <v>1845</v>
      </c>
      <c r="C1846">
        <v>25</v>
      </c>
      <c r="D1846">
        <v>24.02</v>
      </c>
    </row>
    <row r="1847" spans="1:4">
      <c r="A1847">
        <v>1846</v>
      </c>
      <c r="C1847">
        <v>25.74</v>
      </c>
      <c r="D1847">
        <v>23.9</v>
      </c>
    </row>
    <row r="1848" spans="1:4">
      <c r="A1848">
        <v>1847</v>
      </c>
      <c r="C1848">
        <v>25.57</v>
      </c>
      <c r="D1848">
        <v>24.16</v>
      </c>
    </row>
    <row r="1849" spans="1:4">
      <c r="A1849">
        <v>1848</v>
      </c>
      <c r="C1849">
        <v>25.04</v>
      </c>
      <c r="D1849">
        <v>23.97</v>
      </c>
    </row>
    <row r="1850" spans="1:4">
      <c r="A1850">
        <v>1849</v>
      </c>
      <c r="C1850">
        <v>26.32</v>
      </c>
      <c r="D1850">
        <v>25.43</v>
      </c>
    </row>
    <row r="1851" spans="1:4">
      <c r="A1851">
        <v>1850</v>
      </c>
      <c r="C1851">
        <v>26.49</v>
      </c>
      <c r="D1851">
        <v>23.88</v>
      </c>
    </row>
    <row r="1852" spans="1:4">
      <c r="A1852">
        <v>1851</v>
      </c>
      <c r="C1852">
        <v>25.46</v>
      </c>
      <c r="D1852">
        <v>24.53</v>
      </c>
    </row>
    <row r="1853" spans="1:4">
      <c r="A1853">
        <v>1852</v>
      </c>
      <c r="C1853">
        <v>25.35</v>
      </c>
      <c r="D1853">
        <v>24.44</v>
      </c>
    </row>
    <row r="1854" spans="1:4">
      <c r="A1854">
        <v>1853</v>
      </c>
      <c r="C1854">
        <v>25.06</v>
      </c>
      <c r="D1854">
        <v>24.27</v>
      </c>
    </row>
    <row r="1855" spans="1:4">
      <c r="A1855">
        <v>1854</v>
      </c>
      <c r="C1855">
        <v>24.67</v>
      </c>
      <c r="D1855">
        <v>23.55</v>
      </c>
    </row>
    <row r="1856" spans="1:4">
      <c r="A1856">
        <v>1855</v>
      </c>
      <c r="C1856">
        <v>23.86</v>
      </c>
      <c r="D1856">
        <v>23.14</v>
      </c>
    </row>
    <row r="1857" spans="1:4">
      <c r="A1857">
        <v>1856</v>
      </c>
      <c r="C1857">
        <v>24.5</v>
      </c>
      <c r="D1857">
        <v>24.06</v>
      </c>
    </row>
    <row r="1858" spans="1:4">
      <c r="A1858">
        <v>1857</v>
      </c>
      <c r="C1858">
        <v>24.5</v>
      </c>
      <c r="D1858">
        <v>23.34</v>
      </c>
    </row>
    <row r="1859" spans="1:4">
      <c r="A1859">
        <v>1858</v>
      </c>
      <c r="C1859">
        <v>23.22</v>
      </c>
      <c r="D1859">
        <v>21.17</v>
      </c>
    </row>
    <row r="1860" spans="1:4">
      <c r="A1860">
        <v>1859</v>
      </c>
      <c r="C1860">
        <v>22.74</v>
      </c>
      <c r="D1860">
        <v>21.32</v>
      </c>
    </row>
    <row r="1861" spans="1:4">
      <c r="A1861">
        <v>1860</v>
      </c>
      <c r="C1861">
        <v>21.71</v>
      </c>
      <c r="D1861">
        <v>21.17</v>
      </c>
    </row>
    <row r="1862" spans="1:4">
      <c r="A1862">
        <v>1861</v>
      </c>
      <c r="C1862">
        <v>21.96</v>
      </c>
      <c r="D1862">
        <v>20.74</v>
      </c>
    </row>
    <row r="1863" spans="1:4">
      <c r="A1863">
        <v>1862</v>
      </c>
      <c r="C1863">
        <v>21.56</v>
      </c>
      <c r="D1863">
        <v>21.09</v>
      </c>
    </row>
    <row r="1864" spans="1:4">
      <c r="A1864">
        <v>1863</v>
      </c>
      <c r="C1864">
        <v>22.15</v>
      </c>
      <c r="D1864">
        <v>21.58</v>
      </c>
    </row>
    <row r="1865" spans="1:4">
      <c r="A1865">
        <v>1864</v>
      </c>
      <c r="C1865">
        <v>21.89</v>
      </c>
      <c r="D1865">
        <v>20.55</v>
      </c>
    </row>
    <row r="1866" spans="1:4">
      <c r="A1866">
        <v>1865</v>
      </c>
      <c r="C1866">
        <v>21.13</v>
      </c>
      <c r="D1866">
        <v>20.46</v>
      </c>
    </row>
    <row r="1867" spans="1:4">
      <c r="A1867">
        <v>1866</v>
      </c>
      <c r="C1867">
        <v>22.37</v>
      </c>
      <c r="D1867">
        <v>21.93</v>
      </c>
    </row>
    <row r="1868" spans="1:4">
      <c r="A1868">
        <v>1867</v>
      </c>
      <c r="C1868">
        <v>23.16</v>
      </c>
      <c r="D1868">
        <v>22.25</v>
      </c>
    </row>
    <row r="1869" spans="1:4">
      <c r="A1869">
        <v>1868</v>
      </c>
      <c r="C1869">
        <v>23.16</v>
      </c>
      <c r="D1869">
        <v>22.33</v>
      </c>
    </row>
    <row r="1870" spans="1:4">
      <c r="A1870">
        <v>1869</v>
      </c>
      <c r="C1870">
        <v>23.12</v>
      </c>
      <c r="D1870">
        <v>21.52</v>
      </c>
    </row>
    <row r="1871" spans="1:4">
      <c r="A1871">
        <v>1870</v>
      </c>
      <c r="C1871">
        <v>22.07</v>
      </c>
      <c r="D1871">
        <v>21.33</v>
      </c>
    </row>
    <row r="1872" spans="1:4">
      <c r="A1872">
        <v>1871</v>
      </c>
      <c r="C1872">
        <v>20.92</v>
      </c>
      <c r="D1872">
        <v>19.47</v>
      </c>
    </row>
    <row r="1873" spans="1:4">
      <c r="A1873">
        <v>1872</v>
      </c>
      <c r="C1873">
        <v>20.64</v>
      </c>
      <c r="D1873">
        <v>19.93</v>
      </c>
    </row>
    <row r="1874" spans="1:4">
      <c r="A1874">
        <v>1873</v>
      </c>
      <c r="C1874">
        <v>20.39</v>
      </c>
      <c r="D1874">
        <v>19.670000000000002</v>
      </c>
    </row>
    <row r="1875" spans="1:4">
      <c r="A1875">
        <v>1874</v>
      </c>
      <c r="C1875">
        <v>20.440000000000001</v>
      </c>
      <c r="D1875">
        <v>19.579999999999998</v>
      </c>
    </row>
    <row r="1876" spans="1:4">
      <c r="A1876">
        <v>1875</v>
      </c>
      <c r="C1876">
        <v>21.09</v>
      </c>
      <c r="D1876">
        <v>20.37</v>
      </c>
    </row>
    <row r="1877" spans="1:4">
      <c r="A1877">
        <v>1876</v>
      </c>
      <c r="C1877">
        <v>21.68</v>
      </c>
      <c r="D1877">
        <v>20.43</v>
      </c>
    </row>
    <row r="1878" spans="1:4">
      <c r="A1878">
        <v>1877</v>
      </c>
      <c r="C1878">
        <v>21.6</v>
      </c>
      <c r="D1878">
        <v>20.7</v>
      </c>
    </row>
    <row r="1879" spans="1:4">
      <c r="A1879">
        <v>1878</v>
      </c>
      <c r="C1879">
        <v>23.12</v>
      </c>
      <c r="D1879">
        <v>22.12</v>
      </c>
    </row>
    <row r="1880" spans="1:4">
      <c r="A1880">
        <v>1879</v>
      </c>
      <c r="C1880">
        <v>24.42</v>
      </c>
      <c r="D1880">
        <v>22.44</v>
      </c>
    </row>
    <row r="1881" spans="1:4">
      <c r="A1881">
        <v>1880</v>
      </c>
      <c r="C1881">
        <v>23.54</v>
      </c>
      <c r="D1881">
        <v>22.93</v>
      </c>
    </row>
    <row r="1882" spans="1:4">
      <c r="A1882">
        <v>1881</v>
      </c>
      <c r="C1882">
        <v>22.82</v>
      </c>
      <c r="D1882">
        <v>21.93</v>
      </c>
    </row>
    <row r="1883" spans="1:4">
      <c r="A1883">
        <v>1882</v>
      </c>
      <c r="C1883">
        <v>22.29</v>
      </c>
      <c r="D1883">
        <v>21.6</v>
      </c>
    </row>
    <row r="1884" spans="1:4">
      <c r="A1884">
        <v>1883</v>
      </c>
      <c r="C1884">
        <v>21.36</v>
      </c>
      <c r="D1884">
        <v>19.34</v>
      </c>
    </row>
    <row r="1885" spans="1:4">
      <c r="A1885">
        <v>1884</v>
      </c>
      <c r="C1885">
        <v>20.2</v>
      </c>
      <c r="D1885">
        <v>19.59</v>
      </c>
    </row>
    <row r="1886" spans="1:4">
      <c r="A1886">
        <v>1885</v>
      </c>
      <c r="C1886">
        <v>20.89</v>
      </c>
      <c r="D1886">
        <v>20.25</v>
      </c>
    </row>
    <row r="1887" spans="1:4">
      <c r="A1887">
        <v>1886</v>
      </c>
      <c r="C1887">
        <v>21.65</v>
      </c>
      <c r="D1887">
        <v>20.75</v>
      </c>
    </row>
    <row r="1888" spans="1:4">
      <c r="A1888">
        <v>1887</v>
      </c>
      <c r="C1888">
        <v>21.84</v>
      </c>
      <c r="D1888">
        <v>20.54</v>
      </c>
    </row>
    <row r="1889" spans="1:4">
      <c r="A1889">
        <v>1888</v>
      </c>
      <c r="C1889">
        <v>20.18</v>
      </c>
      <c r="D1889">
        <v>19.52</v>
      </c>
    </row>
    <row r="1890" spans="1:4">
      <c r="A1890">
        <v>1889</v>
      </c>
      <c r="C1890">
        <v>19.899999999999999</v>
      </c>
      <c r="D1890">
        <v>18.829999999999998</v>
      </c>
    </row>
    <row r="1891" spans="1:4">
      <c r="A1891">
        <v>1890</v>
      </c>
      <c r="C1891">
        <v>19.75</v>
      </c>
      <c r="D1891">
        <v>18.739999999999998</v>
      </c>
    </row>
    <row r="1892" spans="1:4">
      <c r="A1892">
        <v>1891</v>
      </c>
      <c r="C1892">
        <v>19.37</v>
      </c>
      <c r="D1892">
        <v>18.920000000000002</v>
      </c>
    </row>
    <row r="1893" spans="1:4">
      <c r="A1893">
        <v>1892</v>
      </c>
      <c r="C1893">
        <v>20.39</v>
      </c>
      <c r="D1893">
        <v>19.7</v>
      </c>
    </row>
    <row r="1894" spans="1:4">
      <c r="A1894">
        <v>1893</v>
      </c>
      <c r="C1894">
        <v>21.9</v>
      </c>
      <c r="D1894">
        <v>20.96</v>
      </c>
    </row>
    <row r="1895" spans="1:4">
      <c r="A1895">
        <v>1894</v>
      </c>
      <c r="C1895">
        <v>22.96</v>
      </c>
      <c r="D1895">
        <v>22.3</v>
      </c>
    </row>
    <row r="1896" spans="1:4">
      <c r="A1896">
        <v>1895</v>
      </c>
      <c r="C1896">
        <v>23.26</v>
      </c>
      <c r="D1896">
        <v>22.28</v>
      </c>
    </row>
    <row r="1897" spans="1:4">
      <c r="A1897">
        <v>1896</v>
      </c>
      <c r="C1897">
        <v>24.91</v>
      </c>
      <c r="D1897">
        <v>23.59</v>
      </c>
    </row>
    <row r="1898" spans="1:4">
      <c r="A1898">
        <v>1897</v>
      </c>
      <c r="C1898">
        <v>23.29</v>
      </c>
      <c r="D1898">
        <v>22.09</v>
      </c>
    </row>
    <row r="1899" spans="1:4">
      <c r="A1899">
        <v>1898</v>
      </c>
      <c r="C1899">
        <v>22.12</v>
      </c>
      <c r="D1899">
        <v>21.02</v>
      </c>
    </row>
    <row r="1900" spans="1:4">
      <c r="A1900">
        <v>1899</v>
      </c>
      <c r="C1900">
        <v>22.91</v>
      </c>
      <c r="D1900">
        <v>21.58</v>
      </c>
    </row>
    <row r="1901" spans="1:4">
      <c r="A1901">
        <v>1900</v>
      </c>
      <c r="C1901">
        <v>23.6</v>
      </c>
      <c r="D1901">
        <v>22.46</v>
      </c>
    </row>
    <row r="1902" spans="1:4">
      <c r="A1902">
        <v>1901</v>
      </c>
      <c r="C1902">
        <v>23.84</v>
      </c>
      <c r="D1902">
        <v>23.07</v>
      </c>
    </row>
    <row r="1903" spans="1:4">
      <c r="A1903">
        <v>1902</v>
      </c>
      <c r="C1903">
        <v>23.07</v>
      </c>
      <c r="D1903">
        <v>21.84</v>
      </c>
    </row>
    <row r="1904" spans="1:4">
      <c r="A1904">
        <v>1903</v>
      </c>
      <c r="C1904">
        <v>23.01</v>
      </c>
      <c r="D1904">
        <v>22.19</v>
      </c>
    </row>
    <row r="1905" spans="1:4">
      <c r="A1905">
        <v>1904</v>
      </c>
      <c r="C1905">
        <v>23.87</v>
      </c>
      <c r="D1905">
        <v>22.51</v>
      </c>
    </row>
    <row r="1906" spans="1:4">
      <c r="A1906">
        <v>1905</v>
      </c>
      <c r="C1906">
        <v>25.61</v>
      </c>
      <c r="D1906">
        <v>24.16</v>
      </c>
    </row>
    <row r="1907" spans="1:4">
      <c r="A1907">
        <v>1906</v>
      </c>
      <c r="C1907">
        <v>25.23</v>
      </c>
      <c r="D1907">
        <v>23.92</v>
      </c>
    </row>
    <row r="1908" spans="1:4">
      <c r="A1908">
        <v>1907</v>
      </c>
      <c r="C1908">
        <v>24.23</v>
      </c>
      <c r="D1908">
        <v>22.98</v>
      </c>
    </row>
    <row r="1909" spans="1:4">
      <c r="A1909">
        <v>1908</v>
      </c>
      <c r="C1909">
        <v>23.13</v>
      </c>
      <c r="D1909">
        <v>21.93</v>
      </c>
    </row>
    <row r="1910" spans="1:4">
      <c r="A1910">
        <v>1909</v>
      </c>
      <c r="C1910">
        <v>23.03</v>
      </c>
      <c r="D1910">
        <v>22.48</v>
      </c>
    </row>
    <row r="1911" spans="1:4">
      <c r="A1911">
        <v>1910</v>
      </c>
      <c r="C1911">
        <v>22.45</v>
      </c>
      <c r="D1911">
        <v>20.79</v>
      </c>
    </row>
    <row r="1912" spans="1:4">
      <c r="A1912">
        <v>1911</v>
      </c>
      <c r="C1912">
        <v>20.99</v>
      </c>
      <c r="D1912">
        <v>20.13</v>
      </c>
    </row>
    <row r="1913" spans="1:4">
      <c r="A1913">
        <v>1912</v>
      </c>
      <c r="C1913">
        <v>20.48</v>
      </c>
      <c r="D1913">
        <v>19.690000000000001</v>
      </c>
    </row>
    <row r="1914" spans="1:4">
      <c r="A1914">
        <v>1913</v>
      </c>
      <c r="C1914">
        <v>21.03</v>
      </c>
      <c r="D1914">
        <v>19.829999999999998</v>
      </c>
    </row>
    <row r="1915" spans="1:4">
      <c r="A1915">
        <v>1914</v>
      </c>
      <c r="C1915">
        <v>22.26</v>
      </c>
      <c r="D1915">
        <v>20.88</v>
      </c>
    </row>
    <row r="1916" spans="1:4">
      <c r="A1916">
        <v>1915</v>
      </c>
      <c r="C1916">
        <v>21.51</v>
      </c>
      <c r="D1916">
        <v>20.73</v>
      </c>
    </row>
    <row r="1917" spans="1:4">
      <c r="A1917">
        <v>1916</v>
      </c>
      <c r="C1917">
        <v>22.57</v>
      </c>
      <c r="D1917">
        <v>20.72</v>
      </c>
    </row>
    <row r="1918" spans="1:4">
      <c r="A1918">
        <v>1917</v>
      </c>
      <c r="C1918">
        <v>22.43</v>
      </c>
      <c r="D1918">
        <v>21.64</v>
      </c>
    </row>
    <row r="1919" spans="1:4">
      <c r="A1919">
        <v>1918</v>
      </c>
      <c r="C1919">
        <v>21.53</v>
      </c>
      <c r="D1919">
        <v>20.37</v>
      </c>
    </row>
    <row r="1920" spans="1:4">
      <c r="A1920">
        <v>1919</v>
      </c>
      <c r="C1920">
        <v>20.69</v>
      </c>
      <c r="D1920">
        <v>20.239999999999998</v>
      </c>
    </row>
    <row r="1921" spans="1:4">
      <c r="A1921">
        <v>1920</v>
      </c>
      <c r="C1921">
        <v>20.54</v>
      </c>
      <c r="D1921">
        <v>19.93</v>
      </c>
    </row>
    <row r="1922" spans="1:4">
      <c r="A1922">
        <v>1921</v>
      </c>
      <c r="C1922">
        <v>20.91</v>
      </c>
      <c r="D1922">
        <v>19.84</v>
      </c>
    </row>
    <row r="1923" spans="1:4">
      <c r="A1923">
        <v>1922</v>
      </c>
      <c r="C1923">
        <v>22.15</v>
      </c>
      <c r="D1923">
        <v>21.06</v>
      </c>
    </row>
    <row r="1924" spans="1:4">
      <c r="A1924">
        <v>1923</v>
      </c>
      <c r="C1924">
        <v>24.24</v>
      </c>
      <c r="D1924">
        <v>21.91</v>
      </c>
    </row>
    <row r="1925" spans="1:4">
      <c r="A1925">
        <v>1924</v>
      </c>
      <c r="C1925">
        <v>24.85</v>
      </c>
      <c r="D1925">
        <v>22.87</v>
      </c>
    </row>
    <row r="1926" spans="1:4">
      <c r="A1926">
        <v>1925</v>
      </c>
      <c r="C1926">
        <v>24.51</v>
      </c>
      <c r="D1926">
        <v>21.63</v>
      </c>
    </row>
    <row r="1927" spans="1:4">
      <c r="A1927">
        <v>1926</v>
      </c>
      <c r="C1927">
        <v>23.28</v>
      </c>
      <c r="D1927">
        <v>22.34</v>
      </c>
    </row>
    <row r="1928" spans="1:4">
      <c r="A1928">
        <v>1927</v>
      </c>
      <c r="C1928">
        <v>22.36</v>
      </c>
      <c r="D1928">
        <v>21.85</v>
      </c>
    </row>
    <row r="1929" spans="1:4">
      <c r="A1929">
        <v>1928</v>
      </c>
      <c r="C1929">
        <v>21.31</v>
      </c>
      <c r="D1929">
        <v>19.7</v>
      </c>
    </row>
    <row r="1930" spans="1:4">
      <c r="A1930">
        <v>1929</v>
      </c>
      <c r="C1930">
        <v>20.85</v>
      </c>
      <c r="D1930">
        <v>20.13</v>
      </c>
    </row>
    <row r="1931" spans="1:4">
      <c r="A1931">
        <v>1930</v>
      </c>
      <c r="C1931">
        <v>22.12</v>
      </c>
      <c r="D1931">
        <v>20.9</v>
      </c>
    </row>
    <row r="1932" spans="1:4">
      <c r="A1932">
        <v>1931</v>
      </c>
      <c r="C1932">
        <v>23.26</v>
      </c>
      <c r="D1932">
        <v>21.84</v>
      </c>
    </row>
    <row r="1933" spans="1:4">
      <c r="A1933">
        <v>1932</v>
      </c>
      <c r="C1933">
        <v>25.84</v>
      </c>
      <c r="D1933">
        <v>23.16</v>
      </c>
    </row>
    <row r="1934" spans="1:4">
      <c r="A1934">
        <v>1933</v>
      </c>
      <c r="C1934">
        <v>25.47</v>
      </c>
      <c r="D1934">
        <v>24.41</v>
      </c>
    </row>
    <row r="1935" spans="1:4">
      <c r="A1935">
        <v>1934</v>
      </c>
      <c r="C1935">
        <v>26.17</v>
      </c>
      <c r="D1935">
        <v>24.19</v>
      </c>
    </row>
    <row r="1936" spans="1:4">
      <c r="A1936">
        <v>1935</v>
      </c>
      <c r="C1936">
        <v>27.37</v>
      </c>
      <c r="D1936">
        <v>26.22</v>
      </c>
    </row>
    <row r="1937" spans="1:4">
      <c r="A1937">
        <v>1936</v>
      </c>
      <c r="C1937">
        <v>28.73</v>
      </c>
      <c r="D1937">
        <v>27.23</v>
      </c>
    </row>
    <row r="1938" spans="1:4">
      <c r="A1938">
        <v>1937</v>
      </c>
      <c r="C1938">
        <v>31.3</v>
      </c>
      <c r="D1938">
        <v>28.92</v>
      </c>
    </row>
    <row r="1939" spans="1:4">
      <c r="A1939">
        <v>1938</v>
      </c>
      <c r="C1939">
        <v>33.340000000000003</v>
      </c>
      <c r="D1939">
        <v>31.84</v>
      </c>
    </row>
    <row r="1940" spans="1:4">
      <c r="A1940">
        <v>1939</v>
      </c>
      <c r="C1940">
        <v>44.33</v>
      </c>
      <c r="D1940">
        <v>39.770000000000003</v>
      </c>
    </row>
    <row r="1941" spans="1:4">
      <c r="A1941">
        <v>1940</v>
      </c>
      <c r="C1941">
        <v>42.17</v>
      </c>
      <c r="D1941">
        <v>38.869999999999997</v>
      </c>
    </row>
    <row r="1942" spans="1:4">
      <c r="A1942">
        <v>1941</v>
      </c>
      <c r="C1942">
        <v>44.26</v>
      </c>
      <c r="D1942">
        <v>37.5</v>
      </c>
    </row>
    <row r="1943" spans="1:4">
      <c r="A1943">
        <v>1942</v>
      </c>
      <c r="C1943">
        <v>43.76</v>
      </c>
      <c r="D1943">
        <v>41.17</v>
      </c>
    </row>
    <row r="1944" spans="1:4">
      <c r="A1944">
        <v>1943</v>
      </c>
      <c r="C1944">
        <v>49.35</v>
      </c>
      <c r="D1944">
        <v>42.66</v>
      </c>
    </row>
    <row r="1945" spans="1:4">
      <c r="A1945">
        <v>1944</v>
      </c>
      <c r="C1945">
        <v>41.49</v>
      </c>
      <c r="D1945">
        <v>37.200000000000003</v>
      </c>
    </row>
    <row r="1946" spans="1:4">
      <c r="A1946">
        <v>1945</v>
      </c>
      <c r="C1946">
        <v>37.26</v>
      </c>
      <c r="D1946">
        <v>35.81</v>
      </c>
    </row>
    <row r="1947" spans="1:4">
      <c r="A1947">
        <v>1946</v>
      </c>
      <c r="C1947">
        <v>35.74</v>
      </c>
      <c r="D1947">
        <v>34.49</v>
      </c>
    </row>
    <row r="1948" spans="1:4">
      <c r="A1948">
        <v>1947</v>
      </c>
      <c r="C1948">
        <v>36.11</v>
      </c>
      <c r="D1948">
        <v>33.99</v>
      </c>
    </row>
    <row r="1949" spans="1:4">
      <c r="A1949">
        <v>1948</v>
      </c>
      <c r="C1949">
        <v>33.08</v>
      </c>
      <c r="D1949">
        <v>31.74</v>
      </c>
    </row>
    <row r="1950" spans="1:4">
      <c r="A1950">
        <v>1949</v>
      </c>
      <c r="C1950">
        <v>34.08</v>
      </c>
      <c r="D1950">
        <v>32.29</v>
      </c>
    </row>
    <row r="1951" spans="1:4">
      <c r="A1951">
        <v>1950</v>
      </c>
      <c r="C1951">
        <v>32.64</v>
      </c>
      <c r="D1951">
        <v>31.16</v>
      </c>
    </row>
    <row r="1952" spans="1:4">
      <c r="A1952">
        <v>1951</v>
      </c>
      <c r="C1952">
        <v>32.47</v>
      </c>
      <c r="D1952">
        <v>31.15</v>
      </c>
    </row>
    <row r="1953" spans="1:4">
      <c r="A1953">
        <v>1952</v>
      </c>
      <c r="C1953">
        <v>32.159999999999997</v>
      </c>
      <c r="D1953">
        <v>30.31</v>
      </c>
    </row>
    <row r="1954" spans="1:4">
      <c r="A1954">
        <v>1953</v>
      </c>
      <c r="C1954">
        <v>34.39</v>
      </c>
      <c r="D1954">
        <v>32.64</v>
      </c>
    </row>
    <row r="1955" spans="1:4">
      <c r="A1955">
        <v>1954</v>
      </c>
      <c r="C1955">
        <v>36.18</v>
      </c>
      <c r="D1955">
        <v>34.840000000000003</v>
      </c>
    </row>
    <row r="1956" spans="1:4">
      <c r="A1956">
        <v>1955</v>
      </c>
      <c r="C1956">
        <v>35.53</v>
      </c>
      <c r="D1956">
        <v>34.479999999999997</v>
      </c>
    </row>
    <row r="1957" spans="1:4">
      <c r="A1957">
        <v>1956</v>
      </c>
      <c r="C1957">
        <v>34.17</v>
      </c>
      <c r="D1957">
        <v>31.34</v>
      </c>
    </row>
    <row r="1958" spans="1:4">
      <c r="A1958">
        <v>1957</v>
      </c>
      <c r="C1958">
        <v>32.159999999999997</v>
      </c>
      <c r="D1958">
        <v>30.83</v>
      </c>
    </row>
    <row r="1959" spans="1:4">
      <c r="A1959">
        <v>1958</v>
      </c>
      <c r="C1959">
        <v>36.56</v>
      </c>
      <c r="D1959">
        <v>32.270000000000003</v>
      </c>
    </row>
    <row r="1960" spans="1:4">
      <c r="A1960">
        <v>1959</v>
      </c>
      <c r="C1960">
        <v>36.950000000000003</v>
      </c>
      <c r="D1960">
        <v>35.24</v>
      </c>
    </row>
    <row r="1961" spans="1:4">
      <c r="A1961">
        <v>1960</v>
      </c>
      <c r="C1961">
        <v>35.32</v>
      </c>
      <c r="D1961">
        <v>32.85</v>
      </c>
    </row>
    <row r="1962" spans="1:4">
      <c r="A1962">
        <v>1961</v>
      </c>
      <c r="C1962">
        <v>35.090000000000003</v>
      </c>
      <c r="D1962">
        <v>32.44</v>
      </c>
    </row>
    <row r="1963" spans="1:4">
      <c r="A1963">
        <v>1962</v>
      </c>
      <c r="C1963">
        <v>35.61</v>
      </c>
      <c r="D1963">
        <v>34.85</v>
      </c>
    </row>
    <row r="1964" spans="1:4">
      <c r="A1964">
        <v>1963</v>
      </c>
      <c r="C1964">
        <v>35.46</v>
      </c>
      <c r="D1964">
        <v>33.89</v>
      </c>
    </row>
    <row r="1965" spans="1:4">
      <c r="A1965">
        <v>1964</v>
      </c>
      <c r="C1965">
        <v>34.659999999999997</v>
      </c>
      <c r="D1965">
        <v>32.17</v>
      </c>
    </row>
    <row r="1966" spans="1:4">
      <c r="A1966">
        <v>1965</v>
      </c>
      <c r="C1966">
        <v>32.46</v>
      </c>
      <c r="D1966">
        <v>31.3</v>
      </c>
    </row>
    <row r="1967" spans="1:4">
      <c r="A1967">
        <v>1966</v>
      </c>
      <c r="C1967">
        <v>31.84</v>
      </c>
      <c r="D1967">
        <v>30.8</v>
      </c>
    </row>
    <row r="1968" spans="1:4">
      <c r="A1968">
        <v>1967</v>
      </c>
      <c r="C1968">
        <v>32.92</v>
      </c>
      <c r="D1968">
        <v>29.45</v>
      </c>
    </row>
    <row r="1969" spans="1:4">
      <c r="A1969">
        <v>1968</v>
      </c>
      <c r="C1969">
        <v>30.02</v>
      </c>
      <c r="D1969">
        <v>28.11</v>
      </c>
    </row>
    <row r="1970" spans="1:4">
      <c r="A1970">
        <v>1969</v>
      </c>
      <c r="C1970">
        <v>31.67</v>
      </c>
      <c r="D1970">
        <v>30.31</v>
      </c>
    </row>
    <row r="1971" spans="1:4">
      <c r="A1971">
        <v>1970</v>
      </c>
      <c r="C1971">
        <v>34.770000000000003</v>
      </c>
      <c r="D1971">
        <v>33</v>
      </c>
    </row>
    <row r="1972" spans="1:4">
      <c r="A1972">
        <v>1971</v>
      </c>
      <c r="C1972">
        <v>33.590000000000003</v>
      </c>
      <c r="D1972">
        <v>32.270000000000003</v>
      </c>
    </row>
    <row r="1973" spans="1:4">
      <c r="A1973">
        <v>1972</v>
      </c>
      <c r="C1973">
        <v>34.57</v>
      </c>
      <c r="D1973">
        <v>32</v>
      </c>
    </row>
    <row r="1974" spans="1:4">
      <c r="A1974">
        <v>1973</v>
      </c>
      <c r="C1974">
        <v>32.67</v>
      </c>
      <c r="D1974">
        <v>30.46</v>
      </c>
    </row>
    <row r="1975" spans="1:4">
      <c r="A1975">
        <v>1974</v>
      </c>
      <c r="C1975">
        <v>31.21</v>
      </c>
      <c r="D1975">
        <v>30.23</v>
      </c>
    </row>
    <row r="1976" spans="1:4">
      <c r="A1976">
        <v>1975</v>
      </c>
      <c r="C1976">
        <v>31.19</v>
      </c>
      <c r="D1976">
        <v>28.72</v>
      </c>
    </row>
    <row r="1977" spans="1:4">
      <c r="A1977">
        <v>1976</v>
      </c>
      <c r="C1977">
        <v>29.54</v>
      </c>
      <c r="D1977">
        <v>28.11</v>
      </c>
    </row>
    <row r="1978" spans="1:4">
      <c r="A1978">
        <v>1977</v>
      </c>
      <c r="C1978">
        <v>28.88</v>
      </c>
      <c r="D1978">
        <v>27.43</v>
      </c>
    </row>
    <row r="1979" spans="1:4">
      <c r="A1979">
        <v>1978</v>
      </c>
      <c r="C1979">
        <v>29.05</v>
      </c>
      <c r="D1979">
        <v>27.34</v>
      </c>
    </row>
    <row r="1980" spans="1:4">
      <c r="A1980">
        <v>1979</v>
      </c>
      <c r="C1980">
        <v>31.94</v>
      </c>
      <c r="D1980">
        <v>29.04</v>
      </c>
    </row>
    <row r="1981" spans="1:4">
      <c r="A1981">
        <v>1980</v>
      </c>
      <c r="C1981">
        <v>28.02</v>
      </c>
      <c r="D1981">
        <v>26.34</v>
      </c>
    </row>
    <row r="1982" spans="1:4">
      <c r="A1982">
        <v>1981</v>
      </c>
      <c r="C1982">
        <v>27.04</v>
      </c>
      <c r="D1982">
        <v>26.26</v>
      </c>
    </row>
    <row r="1983" spans="1:4">
      <c r="A1983">
        <v>1982</v>
      </c>
      <c r="C1983">
        <v>26.46</v>
      </c>
      <c r="D1983">
        <v>25.53</v>
      </c>
    </row>
    <row r="1984" spans="1:4">
      <c r="A1984">
        <v>1983</v>
      </c>
      <c r="C1984">
        <v>25.95</v>
      </c>
      <c r="D1984">
        <v>25.03</v>
      </c>
    </row>
    <row r="1985" spans="1:4">
      <c r="A1985">
        <v>1984</v>
      </c>
      <c r="C1985">
        <v>25.43</v>
      </c>
      <c r="D1985">
        <v>24.46</v>
      </c>
    </row>
    <row r="1986" spans="1:4">
      <c r="A1986">
        <v>1985</v>
      </c>
      <c r="C1986">
        <v>24.48</v>
      </c>
      <c r="D1986">
        <v>23.5</v>
      </c>
    </row>
    <row r="1987" spans="1:4">
      <c r="A1987">
        <v>1986</v>
      </c>
      <c r="C1987">
        <v>24.42</v>
      </c>
      <c r="D1987">
        <v>23.84</v>
      </c>
    </row>
    <row r="1988" spans="1:4">
      <c r="A1988">
        <v>1987</v>
      </c>
      <c r="C1988">
        <v>23.94</v>
      </c>
      <c r="D1988">
        <v>23</v>
      </c>
    </row>
    <row r="1989" spans="1:4">
      <c r="A1989">
        <v>1988</v>
      </c>
      <c r="C1989">
        <v>24.74</v>
      </c>
      <c r="D1989">
        <v>23.75</v>
      </c>
    </row>
    <row r="1990" spans="1:4">
      <c r="A1990">
        <v>1989</v>
      </c>
      <c r="C1990">
        <v>24.56</v>
      </c>
      <c r="D1990">
        <v>22.96</v>
      </c>
    </row>
    <row r="1991" spans="1:4">
      <c r="A1991">
        <v>1990</v>
      </c>
      <c r="C1991">
        <v>25.91</v>
      </c>
      <c r="D1991">
        <v>24.29</v>
      </c>
    </row>
    <row r="1992" spans="1:4">
      <c r="A1992">
        <v>1991</v>
      </c>
      <c r="C1992">
        <v>26.46</v>
      </c>
      <c r="D1992">
        <v>25.14</v>
      </c>
    </row>
    <row r="1993" spans="1:4">
      <c r="A1993">
        <v>1992</v>
      </c>
      <c r="C1993">
        <v>25.3</v>
      </c>
      <c r="D1993">
        <v>23.6</v>
      </c>
    </row>
    <row r="1994" spans="1:4">
      <c r="A1994">
        <v>1993</v>
      </c>
      <c r="C1994">
        <v>26.38</v>
      </c>
      <c r="D1994">
        <v>25.52</v>
      </c>
    </row>
    <row r="1995" spans="1:4">
      <c r="A1995">
        <v>1994</v>
      </c>
      <c r="C1995">
        <v>25.75</v>
      </c>
      <c r="D1995">
        <v>24.08</v>
      </c>
    </row>
    <row r="1996" spans="1:4">
      <c r="A1996">
        <v>1995</v>
      </c>
      <c r="C1996">
        <v>23.15</v>
      </c>
      <c r="D1996">
        <v>22.58</v>
      </c>
    </row>
    <row r="1997" spans="1:4">
      <c r="A1997">
        <v>1996</v>
      </c>
      <c r="C1997">
        <v>24.14</v>
      </c>
      <c r="D1997">
        <v>23.35</v>
      </c>
    </row>
    <row r="1998" spans="1:4">
      <c r="A1998">
        <v>1997</v>
      </c>
      <c r="C1998">
        <v>23.85</v>
      </c>
      <c r="D1998">
        <v>23.18</v>
      </c>
    </row>
    <row r="1999" spans="1:4">
      <c r="A1999">
        <v>1998</v>
      </c>
      <c r="C1999">
        <v>25.87</v>
      </c>
      <c r="D1999">
        <v>24.58</v>
      </c>
    </row>
    <row r="2000" spans="1:4">
      <c r="A2000">
        <v>1999</v>
      </c>
      <c r="C2000">
        <v>25.58</v>
      </c>
      <c r="D2000">
        <v>24.22</v>
      </c>
    </row>
    <row r="2001" spans="1:4">
      <c r="A2001">
        <v>2000</v>
      </c>
      <c r="C2001">
        <v>25.91</v>
      </c>
      <c r="D2001">
        <v>24.66</v>
      </c>
    </row>
    <row r="2002" spans="1:4">
      <c r="A2002">
        <v>2001</v>
      </c>
      <c r="C2002">
        <v>25.93</v>
      </c>
      <c r="D2002">
        <v>25.03</v>
      </c>
    </row>
    <row r="2003" spans="1:4">
      <c r="A2003">
        <v>2002</v>
      </c>
      <c r="C2003">
        <v>25.53</v>
      </c>
      <c r="D2003">
        <v>24.23</v>
      </c>
    </row>
    <row r="2004" spans="1:4">
      <c r="A2004">
        <v>2003</v>
      </c>
      <c r="C2004">
        <v>25.06</v>
      </c>
      <c r="D2004">
        <v>23.96</v>
      </c>
    </row>
    <row r="2005" spans="1:4">
      <c r="A2005">
        <v>2004</v>
      </c>
      <c r="C2005">
        <v>23.71</v>
      </c>
      <c r="D2005">
        <v>23.19</v>
      </c>
    </row>
    <row r="2006" spans="1:4">
      <c r="A2006">
        <v>2005</v>
      </c>
      <c r="C2006">
        <v>23.34</v>
      </c>
      <c r="D2006">
        <v>22.26</v>
      </c>
    </row>
    <row r="2007" spans="1:4">
      <c r="A2007">
        <v>2006</v>
      </c>
      <c r="C2007">
        <v>23.69</v>
      </c>
      <c r="D2007">
        <v>22.48</v>
      </c>
    </row>
    <row r="2008" spans="1:4">
      <c r="A2008">
        <v>2007</v>
      </c>
      <c r="C2008">
        <v>23.28</v>
      </c>
      <c r="D2008">
        <v>22.38</v>
      </c>
    </row>
    <row r="2009" spans="1:4">
      <c r="A2009">
        <v>2008</v>
      </c>
      <c r="C2009">
        <v>23.11</v>
      </c>
      <c r="D2009">
        <v>22.62</v>
      </c>
    </row>
    <row r="2010" spans="1:4">
      <c r="A2010">
        <v>2009</v>
      </c>
      <c r="C2010">
        <v>22.42</v>
      </c>
      <c r="D2010">
        <v>22.01</v>
      </c>
    </row>
    <row r="2011" spans="1:4">
      <c r="A2011">
        <v>2010</v>
      </c>
      <c r="C2011">
        <v>22.01</v>
      </c>
      <c r="D2011">
        <v>21.59</v>
      </c>
    </row>
    <row r="2012" spans="1:4">
      <c r="A2012">
        <v>2011</v>
      </c>
      <c r="C2012">
        <v>21.59</v>
      </c>
      <c r="D2012">
        <v>21.12</v>
      </c>
    </row>
    <row r="2013" spans="1:4">
      <c r="A2013">
        <v>2012</v>
      </c>
      <c r="C2013">
        <v>23.8</v>
      </c>
      <c r="D2013">
        <v>22.46</v>
      </c>
    </row>
    <row r="2014" spans="1:4">
      <c r="A2014">
        <v>2013</v>
      </c>
      <c r="C2014">
        <v>24.2</v>
      </c>
      <c r="D2014">
        <v>22.71</v>
      </c>
    </row>
    <row r="2015" spans="1:4">
      <c r="A2015">
        <v>2014</v>
      </c>
      <c r="C2015">
        <v>22.43</v>
      </c>
      <c r="D2015">
        <v>21.33</v>
      </c>
    </row>
    <row r="2016" spans="1:4">
      <c r="A2016">
        <v>2015</v>
      </c>
      <c r="C2016">
        <v>21.53</v>
      </c>
      <c r="D2016">
        <v>20.399999999999999</v>
      </c>
    </row>
    <row r="2017" spans="1:4">
      <c r="A2017">
        <v>2016</v>
      </c>
      <c r="C2017">
        <v>22.15</v>
      </c>
      <c r="D2017">
        <v>21.35</v>
      </c>
    </row>
    <row r="2018" spans="1:4">
      <c r="A2018">
        <v>2017</v>
      </c>
      <c r="C2018">
        <v>22.29</v>
      </c>
      <c r="D2018">
        <v>21.28</v>
      </c>
    </row>
    <row r="2019" spans="1:4">
      <c r="A2019">
        <v>2018</v>
      </c>
      <c r="C2019">
        <v>22.42</v>
      </c>
      <c r="D2019">
        <v>20.66</v>
      </c>
    </row>
    <row r="2020" spans="1:4">
      <c r="A2020">
        <v>2019</v>
      </c>
      <c r="C2020">
        <v>22.78</v>
      </c>
      <c r="D2020">
        <v>21.78</v>
      </c>
    </row>
    <row r="2021" spans="1:4">
      <c r="A2021">
        <v>2020</v>
      </c>
      <c r="C2021">
        <v>22.84</v>
      </c>
      <c r="D2021">
        <v>21.92</v>
      </c>
    </row>
    <row r="2022" spans="1:4">
      <c r="A2022">
        <v>2021</v>
      </c>
      <c r="C2022">
        <v>24.04</v>
      </c>
      <c r="D2022">
        <v>23.24</v>
      </c>
    </row>
    <row r="2023" spans="1:4">
      <c r="A2023">
        <v>2022</v>
      </c>
      <c r="C2023">
        <v>23.74</v>
      </c>
      <c r="D2023">
        <v>22.58</v>
      </c>
    </row>
    <row r="2024" spans="1:4">
      <c r="A2024">
        <v>2023</v>
      </c>
      <c r="C2024">
        <v>23.6</v>
      </c>
      <c r="D2024">
        <v>22.87</v>
      </c>
    </row>
    <row r="2025" spans="1:4">
      <c r="A2025">
        <v>2024</v>
      </c>
      <c r="C2025">
        <v>23.55</v>
      </c>
      <c r="D2025">
        <v>22.13</v>
      </c>
    </row>
    <row r="2026" spans="1:4">
      <c r="A2026">
        <v>2025</v>
      </c>
      <c r="C2026">
        <v>23.07</v>
      </c>
      <c r="D2026">
        <v>22.22</v>
      </c>
    </row>
    <row r="2027" spans="1:4">
      <c r="A2027">
        <v>2026</v>
      </c>
      <c r="C2027">
        <v>23.83</v>
      </c>
      <c r="D2027">
        <v>22.76</v>
      </c>
    </row>
    <row r="2028" spans="1:4">
      <c r="A2028">
        <v>2027</v>
      </c>
      <c r="C2028">
        <v>23.54</v>
      </c>
      <c r="D2028">
        <v>21.68</v>
      </c>
    </row>
    <row r="2029" spans="1:4">
      <c r="A2029">
        <v>2028</v>
      </c>
      <c r="C2029">
        <v>21.34</v>
      </c>
      <c r="D2029">
        <v>20.74</v>
      </c>
    </row>
    <row r="2030" spans="1:4">
      <c r="A2030">
        <v>2029</v>
      </c>
      <c r="C2030">
        <v>21.57</v>
      </c>
      <c r="D2030">
        <v>20.74</v>
      </c>
    </row>
    <row r="2031" spans="1:4">
      <c r="A2031">
        <v>2030</v>
      </c>
      <c r="C2031">
        <v>21.88</v>
      </c>
      <c r="D2031">
        <v>21.11</v>
      </c>
    </row>
    <row r="2032" spans="1:4">
      <c r="A2032">
        <v>2031</v>
      </c>
      <c r="C2032">
        <v>24.99</v>
      </c>
      <c r="D2032">
        <v>20.69</v>
      </c>
    </row>
    <row r="2033" spans="1:4">
      <c r="A2033">
        <v>2032</v>
      </c>
      <c r="C2033">
        <v>26.88</v>
      </c>
      <c r="D2033">
        <v>23.22</v>
      </c>
    </row>
    <row r="2034" spans="1:4">
      <c r="A2034">
        <v>2033</v>
      </c>
      <c r="C2034">
        <v>22.7</v>
      </c>
      <c r="D2034">
        <v>21.09</v>
      </c>
    </row>
    <row r="2035" spans="1:4">
      <c r="A2035">
        <v>2034</v>
      </c>
      <c r="C2035">
        <v>21.43</v>
      </c>
      <c r="D2035">
        <v>20.95</v>
      </c>
    </row>
    <row r="2036" spans="1:4">
      <c r="A2036">
        <v>2035</v>
      </c>
      <c r="C2036">
        <v>25.15</v>
      </c>
      <c r="D2036">
        <v>22.69</v>
      </c>
    </row>
    <row r="2037" spans="1:4">
      <c r="A2037">
        <v>2036</v>
      </c>
      <c r="C2037">
        <v>26.19</v>
      </c>
      <c r="D2037">
        <v>24.51</v>
      </c>
    </row>
    <row r="2038" spans="1:4">
      <c r="A2038">
        <v>2037</v>
      </c>
      <c r="C2038">
        <v>27.32</v>
      </c>
      <c r="D2038">
        <v>25.34</v>
      </c>
    </row>
    <row r="2039" spans="1:4">
      <c r="A2039">
        <v>2038</v>
      </c>
      <c r="C2039">
        <v>26.54</v>
      </c>
      <c r="D2039">
        <v>24.24</v>
      </c>
    </row>
    <row r="2040" spans="1:4">
      <c r="A2040">
        <v>2039</v>
      </c>
      <c r="C2040">
        <v>24.67</v>
      </c>
      <c r="D2040">
        <v>23.07</v>
      </c>
    </row>
    <row r="2041" spans="1:4">
      <c r="A2041">
        <v>2040</v>
      </c>
      <c r="C2041">
        <v>24.04</v>
      </c>
      <c r="D2041">
        <v>21.78</v>
      </c>
    </row>
    <row r="2042" spans="1:4">
      <c r="A2042">
        <v>2041</v>
      </c>
      <c r="C2042">
        <v>22.44</v>
      </c>
      <c r="D2042">
        <v>21.44</v>
      </c>
    </row>
    <row r="2043" spans="1:4">
      <c r="A2043">
        <v>2042</v>
      </c>
      <c r="C2043">
        <v>21.17</v>
      </c>
      <c r="D2043">
        <v>20.55</v>
      </c>
    </row>
    <row r="2044" spans="1:4">
      <c r="A2044">
        <v>2043</v>
      </c>
      <c r="C2044">
        <v>21.92</v>
      </c>
      <c r="D2044">
        <v>21.32</v>
      </c>
    </row>
    <row r="2045" spans="1:4">
      <c r="A2045">
        <v>2044</v>
      </c>
      <c r="C2045">
        <v>22.79</v>
      </c>
      <c r="D2045">
        <v>21.54</v>
      </c>
    </row>
    <row r="2046" spans="1:4">
      <c r="A2046">
        <v>2045</v>
      </c>
      <c r="C2046">
        <v>24.59</v>
      </c>
      <c r="D2046">
        <v>23.83</v>
      </c>
    </row>
    <row r="2047" spans="1:4">
      <c r="A2047">
        <v>2046</v>
      </c>
      <c r="C2047">
        <v>24.94</v>
      </c>
      <c r="D2047">
        <v>22.62</v>
      </c>
    </row>
    <row r="2048" spans="1:4">
      <c r="A2048">
        <v>2047</v>
      </c>
      <c r="C2048">
        <v>23.96</v>
      </c>
      <c r="D2048">
        <v>21.9</v>
      </c>
    </row>
    <row r="2049" spans="1:4">
      <c r="A2049">
        <v>2048</v>
      </c>
      <c r="C2049">
        <v>24.44</v>
      </c>
      <c r="D2049">
        <v>22.75</v>
      </c>
    </row>
    <row r="2050" spans="1:4">
      <c r="A2050">
        <v>2049</v>
      </c>
      <c r="C2050">
        <v>23.11</v>
      </c>
      <c r="D2050">
        <v>21.42</v>
      </c>
    </row>
    <row r="2051" spans="1:4">
      <c r="A2051">
        <v>2050</v>
      </c>
      <c r="C2051">
        <v>22.25</v>
      </c>
      <c r="D2051">
        <v>21.35</v>
      </c>
    </row>
    <row r="2052" spans="1:4">
      <c r="A2052">
        <v>2051</v>
      </c>
      <c r="C2052">
        <v>22.42</v>
      </c>
      <c r="D2052">
        <v>20.82</v>
      </c>
    </row>
    <row r="2053" spans="1:4">
      <c r="A2053">
        <v>2052</v>
      </c>
      <c r="C2053">
        <v>21.59</v>
      </c>
      <c r="D2053">
        <v>20.71</v>
      </c>
    </row>
    <row r="2054" spans="1:4">
      <c r="A2054">
        <v>2053</v>
      </c>
      <c r="C2054">
        <v>21.06</v>
      </c>
      <c r="D2054">
        <v>19.88</v>
      </c>
    </row>
    <row r="2055" spans="1:4">
      <c r="A2055">
        <v>2054</v>
      </c>
      <c r="C2055">
        <v>20.95</v>
      </c>
      <c r="D2055">
        <v>20.350000000000001</v>
      </c>
    </row>
    <row r="2056" spans="1:4">
      <c r="A2056">
        <v>2055</v>
      </c>
      <c r="C2056">
        <v>21.12</v>
      </c>
      <c r="D2056">
        <v>20.239999999999998</v>
      </c>
    </row>
    <row r="2057" spans="1:4">
      <c r="A2057">
        <v>2056</v>
      </c>
      <c r="C2057">
        <v>20.49</v>
      </c>
      <c r="D2057">
        <v>19.55</v>
      </c>
    </row>
    <row r="2058" spans="1:4">
      <c r="A2058">
        <v>2057</v>
      </c>
      <c r="C2058">
        <v>20.81</v>
      </c>
      <c r="D2058">
        <v>19.97</v>
      </c>
    </row>
    <row r="2059" spans="1:4">
      <c r="A2059">
        <v>2058</v>
      </c>
      <c r="C2059">
        <v>20.22</v>
      </c>
      <c r="D2059">
        <v>19.27</v>
      </c>
    </row>
    <row r="2060" spans="1:4">
      <c r="A2060">
        <v>2059</v>
      </c>
      <c r="C2060">
        <v>20.77</v>
      </c>
      <c r="D2060">
        <v>19.559999999999999</v>
      </c>
    </row>
    <row r="2061" spans="1:4">
      <c r="A2061">
        <v>2060</v>
      </c>
      <c r="C2061">
        <v>20.57</v>
      </c>
      <c r="D2061">
        <v>19.510000000000002</v>
      </c>
    </row>
    <row r="2062" spans="1:4">
      <c r="A2062">
        <v>2061</v>
      </c>
      <c r="C2062">
        <v>19.89</v>
      </c>
      <c r="D2062">
        <v>19.399999999999999</v>
      </c>
    </row>
    <row r="2063" spans="1:4">
      <c r="A2063">
        <v>2062</v>
      </c>
      <c r="C2063">
        <v>19.559999999999999</v>
      </c>
      <c r="D2063">
        <v>18.98</v>
      </c>
    </row>
    <row r="2064" spans="1:4">
      <c r="A2064">
        <v>2063</v>
      </c>
      <c r="C2064">
        <v>18.84</v>
      </c>
      <c r="D2064">
        <v>18.38</v>
      </c>
    </row>
    <row r="2065" spans="1:4">
      <c r="A2065">
        <v>2064</v>
      </c>
      <c r="C2065">
        <v>19.399999999999999</v>
      </c>
      <c r="D2065">
        <v>18.739999999999998</v>
      </c>
    </row>
    <row r="2066" spans="1:4">
      <c r="A2066">
        <v>2065</v>
      </c>
      <c r="C2066">
        <v>18.66</v>
      </c>
      <c r="D2066">
        <v>18.09</v>
      </c>
    </row>
    <row r="2067" spans="1:4">
      <c r="A2067">
        <v>2066</v>
      </c>
      <c r="C2067">
        <v>18.75</v>
      </c>
      <c r="D2067">
        <v>18.329999999999998</v>
      </c>
    </row>
    <row r="2068" spans="1:4">
      <c r="A2068">
        <v>2067</v>
      </c>
      <c r="C2068">
        <v>18.84</v>
      </c>
      <c r="D2068">
        <v>18.14</v>
      </c>
    </row>
    <row r="2069" spans="1:4">
      <c r="A2069">
        <v>2068</v>
      </c>
      <c r="C2069">
        <v>18.38</v>
      </c>
      <c r="D2069">
        <v>17.62</v>
      </c>
    </row>
    <row r="2070" spans="1:4">
      <c r="A2070">
        <v>2069</v>
      </c>
      <c r="C2070">
        <v>18.72</v>
      </c>
      <c r="D2070">
        <v>18.04</v>
      </c>
    </row>
    <row r="2071" spans="1:4">
      <c r="A2071">
        <v>2070</v>
      </c>
      <c r="C2071">
        <v>18.440000000000001</v>
      </c>
      <c r="D2071">
        <v>17.809999999999999</v>
      </c>
    </row>
    <row r="2072" spans="1:4">
      <c r="A2072">
        <v>2071</v>
      </c>
      <c r="C2072">
        <v>18.16</v>
      </c>
      <c r="D2072">
        <v>17.55</v>
      </c>
    </row>
    <row r="2073" spans="1:4">
      <c r="A2073">
        <v>2072</v>
      </c>
      <c r="C2073">
        <v>17.510000000000002</v>
      </c>
      <c r="D2073">
        <v>17.02</v>
      </c>
    </row>
    <row r="2074" spans="1:4">
      <c r="A2074">
        <v>2073</v>
      </c>
      <c r="C2074">
        <v>19.5</v>
      </c>
      <c r="D2074">
        <v>18.61</v>
      </c>
    </row>
    <row r="2075" spans="1:4">
      <c r="A2075">
        <v>2074</v>
      </c>
      <c r="C2075">
        <v>19.41</v>
      </c>
      <c r="D2075">
        <v>19.12</v>
      </c>
    </row>
    <row r="2076" spans="1:4">
      <c r="A2076">
        <v>2075</v>
      </c>
      <c r="C2076">
        <v>20.47</v>
      </c>
      <c r="D2076">
        <v>19.399999999999999</v>
      </c>
    </row>
    <row r="2077" spans="1:4">
      <c r="A2077">
        <v>2076</v>
      </c>
      <c r="C2077">
        <v>20.09</v>
      </c>
      <c r="D2077">
        <v>19.46</v>
      </c>
    </row>
    <row r="2078" spans="1:4">
      <c r="A2078">
        <v>2077</v>
      </c>
      <c r="C2078">
        <v>19.399999999999999</v>
      </c>
      <c r="D2078">
        <v>18.78</v>
      </c>
    </row>
    <row r="2079" spans="1:4">
      <c r="A2079">
        <v>2078</v>
      </c>
      <c r="C2079">
        <v>20.46</v>
      </c>
      <c r="D2079">
        <v>19.57</v>
      </c>
    </row>
    <row r="2080" spans="1:4">
      <c r="A2080">
        <v>2079</v>
      </c>
      <c r="C2080">
        <v>19.73</v>
      </c>
      <c r="D2080">
        <v>19.3</v>
      </c>
    </row>
    <row r="2081" spans="1:4">
      <c r="A2081">
        <v>2080</v>
      </c>
      <c r="C2081">
        <v>19.28</v>
      </c>
      <c r="D2081">
        <v>18.170000000000002</v>
      </c>
    </row>
    <row r="2082" spans="1:4">
      <c r="A2082">
        <v>2081</v>
      </c>
      <c r="C2082">
        <v>20.350000000000001</v>
      </c>
      <c r="D2082">
        <v>18.559999999999999</v>
      </c>
    </row>
    <row r="2083" spans="1:4">
      <c r="A2083">
        <v>2082</v>
      </c>
      <c r="C2083">
        <v>20.190000000000001</v>
      </c>
      <c r="D2083">
        <v>19.309999999999999</v>
      </c>
    </row>
    <row r="2084" spans="1:4">
      <c r="A2084">
        <v>2083</v>
      </c>
      <c r="C2084">
        <v>20.2</v>
      </c>
      <c r="D2084">
        <v>19.47</v>
      </c>
    </row>
    <row r="2085" spans="1:4">
      <c r="A2085">
        <v>2084</v>
      </c>
      <c r="C2085">
        <v>19.03</v>
      </c>
      <c r="D2085">
        <v>18.059999999999999</v>
      </c>
    </row>
    <row r="2086" spans="1:4">
      <c r="A2086">
        <v>2085</v>
      </c>
      <c r="C2086">
        <v>19.03</v>
      </c>
      <c r="D2086">
        <v>17.899999999999999</v>
      </c>
    </row>
    <row r="2087" spans="1:4">
      <c r="A2087">
        <v>2086</v>
      </c>
      <c r="C2087">
        <v>19.8</v>
      </c>
      <c r="D2087">
        <v>17.82</v>
      </c>
    </row>
    <row r="2088" spans="1:4">
      <c r="A2088">
        <v>2087</v>
      </c>
      <c r="C2088">
        <v>18.96</v>
      </c>
      <c r="D2088">
        <v>17.73</v>
      </c>
    </row>
    <row r="2089" spans="1:4">
      <c r="A2089">
        <v>2088</v>
      </c>
      <c r="C2089">
        <v>20.09</v>
      </c>
      <c r="D2089">
        <v>19.34</v>
      </c>
    </row>
    <row r="2090" spans="1:4">
      <c r="A2090">
        <v>2089</v>
      </c>
      <c r="C2090">
        <v>20.329999999999998</v>
      </c>
      <c r="D2090">
        <v>19.2</v>
      </c>
    </row>
    <row r="2091" spans="1:4">
      <c r="A2091">
        <v>2090</v>
      </c>
      <c r="C2091">
        <v>20.86</v>
      </c>
      <c r="D2091">
        <v>19.71</v>
      </c>
    </row>
    <row r="2092" spans="1:4">
      <c r="A2092">
        <v>2091</v>
      </c>
      <c r="C2092">
        <v>21.7</v>
      </c>
      <c r="D2092">
        <v>20.86</v>
      </c>
    </row>
    <row r="2093" spans="1:4">
      <c r="A2093">
        <v>2092</v>
      </c>
      <c r="C2093">
        <v>22.14</v>
      </c>
      <c r="D2093">
        <v>20.67</v>
      </c>
    </row>
    <row r="2094" spans="1:4">
      <c r="A2094">
        <v>2093</v>
      </c>
      <c r="C2094">
        <v>24.5</v>
      </c>
      <c r="D2094">
        <v>22.91</v>
      </c>
    </row>
    <row r="2095" spans="1:4">
      <c r="A2095">
        <v>2094</v>
      </c>
      <c r="C2095">
        <v>24.03</v>
      </c>
      <c r="D2095">
        <v>21.64</v>
      </c>
    </row>
    <row r="2096" spans="1:4">
      <c r="A2096">
        <v>2095</v>
      </c>
      <c r="C2096">
        <v>22.03</v>
      </c>
      <c r="D2096">
        <v>19.91</v>
      </c>
    </row>
    <row r="2097" spans="1:4">
      <c r="A2097">
        <v>2096</v>
      </c>
      <c r="C2097">
        <v>20.51</v>
      </c>
      <c r="D2097">
        <v>19.91</v>
      </c>
    </row>
    <row r="2098" spans="1:4">
      <c r="A2098">
        <v>2097</v>
      </c>
      <c r="C2098">
        <v>20.96</v>
      </c>
      <c r="D2098">
        <v>20.05</v>
      </c>
    </row>
    <row r="2099" spans="1:4">
      <c r="A2099">
        <v>2098</v>
      </c>
      <c r="C2099">
        <v>22.57</v>
      </c>
      <c r="D2099">
        <v>20.83</v>
      </c>
    </row>
    <row r="2100" spans="1:4">
      <c r="A2100">
        <v>2099</v>
      </c>
      <c r="C2100">
        <v>22.59</v>
      </c>
      <c r="D2100">
        <v>21.64</v>
      </c>
    </row>
    <row r="2101" spans="1:4">
      <c r="A2101">
        <v>2100</v>
      </c>
      <c r="C2101">
        <v>21.31</v>
      </c>
      <c r="D2101">
        <v>20.21</v>
      </c>
    </row>
    <row r="2102" spans="1:4">
      <c r="A2102">
        <v>2101</v>
      </c>
      <c r="C2102">
        <v>21.62</v>
      </c>
      <c r="D2102">
        <v>20.83</v>
      </c>
    </row>
    <row r="2103" spans="1:4">
      <c r="A2103">
        <v>2102</v>
      </c>
      <c r="C2103">
        <v>22.71</v>
      </c>
      <c r="D2103">
        <v>21.77</v>
      </c>
    </row>
    <row r="2104" spans="1:4">
      <c r="A2104">
        <v>2103</v>
      </c>
      <c r="C2104">
        <v>22.25</v>
      </c>
      <c r="D2104">
        <v>20.67</v>
      </c>
    </row>
    <row r="2105" spans="1:4">
      <c r="A2105">
        <v>2104</v>
      </c>
      <c r="C2105">
        <v>20.079999999999998</v>
      </c>
      <c r="D2105">
        <v>19.2</v>
      </c>
    </row>
    <row r="2106" spans="1:4">
      <c r="A2106">
        <v>2105</v>
      </c>
      <c r="C2106">
        <v>19.649999999999999</v>
      </c>
      <c r="D2106">
        <v>18.5</v>
      </c>
    </row>
    <row r="2107" spans="1:4">
      <c r="A2107">
        <v>2106</v>
      </c>
      <c r="C2107">
        <v>19.309999999999999</v>
      </c>
      <c r="D2107">
        <v>18.48</v>
      </c>
    </row>
    <row r="2108" spans="1:4">
      <c r="A2108">
        <v>2107</v>
      </c>
      <c r="C2108">
        <v>18.57</v>
      </c>
      <c r="D2108">
        <v>17.7</v>
      </c>
    </row>
    <row r="2109" spans="1:4">
      <c r="A2109">
        <v>2108</v>
      </c>
      <c r="C2109">
        <v>19.420000000000002</v>
      </c>
      <c r="D2109">
        <v>18.760000000000002</v>
      </c>
    </row>
    <row r="2110" spans="1:4">
      <c r="A2110">
        <v>2109</v>
      </c>
      <c r="C2110">
        <v>20.11</v>
      </c>
      <c r="D2110">
        <v>18.989999999999998</v>
      </c>
    </row>
    <row r="2111" spans="1:4">
      <c r="A2111">
        <v>2110</v>
      </c>
      <c r="C2111">
        <v>20.71</v>
      </c>
      <c r="D2111">
        <v>19.54</v>
      </c>
    </row>
    <row r="2112" spans="1:4">
      <c r="A2112">
        <v>2111</v>
      </c>
      <c r="C2112">
        <v>19.16</v>
      </c>
      <c r="D2112">
        <v>18.190000000000001</v>
      </c>
    </row>
    <row r="2113" spans="1:4">
      <c r="A2113">
        <v>2112</v>
      </c>
      <c r="C2113">
        <v>19.03</v>
      </c>
      <c r="D2113">
        <v>18.22</v>
      </c>
    </row>
    <row r="2114" spans="1:4">
      <c r="A2114">
        <v>2113</v>
      </c>
      <c r="C2114">
        <v>20.77</v>
      </c>
      <c r="D2114">
        <v>20.07</v>
      </c>
    </row>
    <row r="2115" spans="1:4">
      <c r="A2115">
        <v>2114</v>
      </c>
      <c r="C2115">
        <v>20.79</v>
      </c>
      <c r="D2115">
        <v>19.73</v>
      </c>
    </row>
    <row r="2116" spans="1:4">
      <c r="A2116">
        <v>2115</v>
      </c>
      <c r="C2116">
        <v>21.58</v>
      </c>
      <c r="D2116">
        <v>20.420000000000002</v>
      </c>
    </row>
    <row r="2117" spans="1:4">
      <c r="A2117">
        <v>2116</v>
      </c>
      <c r="C2117">
        <v>20.260000000000002</v>
      </c>
      <c r="D2117">
        <v>19.43</v>
      </c>
    </row>
    <row r="2118" spans="1:4">
      <c r="A2118">
        <v>2117</v>
      </c>
      <c r="C2118">
        <v>23.37</v>
      </c>
      <c r="D2118">
        <v>20.62</v>
      </c>
    </row>
    <row r="2119" spans="1:4">
      <c r="A2119">
        <v>2118</v>
      </c>
      <c r="C2119">
        <v>24.82</v>
      </c>
      <c r="D2119">
        <v>23.31</v>
      </c>
    </row>
    <row r="2120" spans="1:4">
      <c r="A2120">
        <v>2119</v>
      </c>
      <c r="C2120">
        <v>23.77</v>
      </c>
      <c r="D2120">
        <v>22.46</v>
      </c>
    </row>
    <row r="2121" spans="1:4">
      <c r="A2121">
        <v>2120</v>
      </c>
      <c r="C2121">
        <v>24.64</v>
      </c>
      <c r="D2121">
        <v>22.94</v>
      </c>
    </row>
    <row r="2122" spans="1:4">
      <c r="A2122">
        <v>2121</v>
      </c>
      <c r="C2122">
        <v>26.15</v>
      </c>
      <c r="D2122">
        <v>22.98</v>
      </c>
    </row>
    <row r="2123" spans="1:4">
      <c r="A2123">
        <v>2122</v>
      </c>
      <c r="C2123">
        <v>24.28</v>
      </c>
      <c r="D2123">
        <v>23.05</v>
      </c>
    </row>
    <row r="2124" spans="1:4">
      <c r="A2124">
        <v>2123</v>
      </c>
      <c r="C2124">
        <v>24.5</v>
      </c>
      <c r="D2124">
        <v>22.81</v>
      </c>
    </row>
    <row r="2125" spans="1:4">
      <c r="A2125">
        <v>2124</v>
      </c>
      <c r="C2125">
        <v>25.5</v>
      </c>
      <c r="D2125">
        <v>23.85</v>
      </c>
    </row>
    <row r="2126" spans="1:4">
      <c r="A2126">
        <v>2125</v>
      </c>
      <c r="C2126">
        <v>25.56</v>
      </c>
      <c r="D2126">
        <v>23.97</v>
      </c>
    </row>
    <row r="2127" spans="1:4">
      <c r="A2127">
        <v>2126</v>
      </c>
      <c r="C2127">
        <v>28.78</v>
      </c>
      <c r="D2127">
        <v>25.8</v>
      </c>
    </row>
    <row r="2128" spans="1:4">
      <c r="A2128">
        <v>2127</v>
      </c>
      <c r="C2128">
        <v>25.92</v>
      </c>
      <c r="D2128">
        <v>24.6</v>
      </c>
    </row>
    <row r="2129" spans="1:4">
      <c r="A2129">
        <v>2128</v>
      </c>
      <c r="C2129">
        <v>24.81</v>
      </c>
      <c r="D2129">
        <v>24.06</v>
      </c>
    </row>
    <row r="2130" spans="1:4">
      <c r="A2130">
        <v>2129</v>
      </c>
      <c r="C2130">
        <v>26.08</v>
      </c>
      <c r="D2130">
        <v>24.65</v>
      </c>
    </row>
    <row r="2131" spans="1:4">
      <c r="A2131">
        <v>2130</v>
      </c>
      <c r="C2131">
        <v>27.56</v>
      </c>
      <c r="D2131">
        <v>26</v>
      </c>
    </row>
    <row r="2132" spans="1:4">
      <c r="A2132">
        <v>2131</v>
      </c>
      <c r="C2132">
        <v>28.5</v>
      </c>
      <c r="D2132">
        <v>26.84</v>
      </c>
    </row>
    <row r="2133" spans="1:4">
      <c r="A2133">
        <v>2132</v>
      </c>
      <c r="C2133">
        <v>29.02</v>
      </c>
      <c r="D2133">
        <v>26.46</v>
      </c>
    </row>
    <row r="2134" spans="1:4">
      <c r="A2134">
        <v>2133</v>
      </c>
      <c r="C2134">
        <v>27.92</v>
      </c>
      <c r="D2134">
        <v>25.49</v>
      </c>
    </row>
    <row r="2135" spans="1:4">
      <c r="A2135">
        <v>2134</v>
      </c>
      <c r="C2135">
        <v>30.98</v>
      </c>
      <c r="D2135">
        <v>28.41</v>
      </c>
    </row>
    <row r="2136" spans="1:4">
      <c r="A2136">
        <v>2135</v>
      </c>
      <c r="C2136">
        <v>29.24</v>
      </c>
      <c r="D2136">
        <v>26.29</v>
      </c>
    </row>
    <row r="2137" spans="1:4">
      <c r="A2137">
        <v>2136</v>
      </c>
      <c r="C2137">
        <v>25.88</v>
      </c>
      <c r="D2137">
        <v>24.88</v>
      </c>
    </row>
    <row r="2138" spans="1:4">
      <c r="A2138">
        <v>2137</v>
      </c>
      <c r="C2138">
        <v>27.16</v>
      </c>
      <c r="D2138">
        <v>25.63</v>
      </c>
    </row>
    <row r="2139" spans="1:4">
      <c r="A2139">
        <v>2138</v>
      </c>
      <c r="C2139">
        <v>29.78</v>
      </c>
      <c r="D2139">
        <v>27.56</v>
      </c>
    </row>
    <row r="2140" spans="1:4">
      <c r="A2140">
        <v>2139</v>
      </c>
      <c r="C2140">
        <v>31.03</v>
      </c>
      <c r="D2140">
        <v>28.76</v>
      </c>
    </row>
    <row r="2141" spans="1:4">
      <c r="A2141">
        <v>2140</v>
      </c>
      <c r="C2141">
        <v>27.3</v>
      </c>
      <c r="D2141">
        <v>25.68</v>
      </c>
    </row>
    <row r="2142" spans="1:4">
      <c r="A2142">
        <v>2141</v>
      </c>
      <c r="C2142">
        <v>28.78</v>
      </c>
      <c r="D2142">
        <v>27.88</v>
      </c>
    </row>
    <row r="2143" spans="1:4">
      <c r="A2143">
        <v>2142</v>
      </c>
      <c r="C2143">
        <v>30.34</v>
      </c>
      <c r="D2143">
        <v>27.79</v>
      </c>
    </row>
    <row r="2144" spans="1:4">
      <c r="A2144">
        <v>2143</v>
      </c>
      <c r="C2144">
        <v>34.17</v>
      </c>
      <c r="D2144">
        <v>30.77</v>
      </c>
    </row>
    <row r="2145" spans="1:4">
      <c r="A2145">
        <v>2144</v>
      </c>
      <c r="C2145">
        <v>36.35</v>
      </c>
      <c r="D2145">
        <v>33.85</v>
      </c>
    </row>
    <row r="2146" spans="1:4">
      <c r="A2146">
        <v>2145</v>
      </c>
      <c r="C2146">
        <v>34.299999999999997</v>
      </c>
      <c r="D2146">
        <v>32.409999999999997</v>
      </c>
    </row>
    <row r="2147" spans="1:4">
      <c r="A2147">
        <v>2146</v>
      </c>
      <c r="C2147">
        <v>38.380000000000003</v>
      </c>
      <c r="D2147">
        <v>34.86</v>
      </c>
    </row>
    <row r="2148" spans="1:4">
      <c r="A2148">
        <v>2147</v>
      </c>
      <c r="C2148">
        <v>36.82</v>
      </c>
      <c r="D2148">
        <v>35.200000000000003</v>
      </c>
    </row>
    <row r="2149" spans="1:4">
      <c r="A2149">
        <v>2148</v>
      </c>
      <c r="C2149">
        <v>36.729999999999997</v>
      </c>
      <c r="D2149">
        <v>33.619999999999997</v>
      </c>
    </row>
    <row r="2150" spans="1:4">
      <c r="A2150">
        <v>2149</v>
      </c>
      <c r="C2150">
        <v>35.42</v>
      </c>
      <c r="D2150">
        <v>33.450000000000003</v>
      </c>
    </row>
    <row r="2151" spans="1:4">
      <c r="A2151">
        <v>2150</v>
      </c>
      <c r="C2151">
        <v>38.17</v>
      </c>
      <c r="D2151">
        <v>35.979999999999997</v>
      </c>
    </row>
    <row r="2152" spans="1:4">
      <c r="A2152">
        <v>2151</v>
      </c>
      <c r="C2152">
        <v>42.58</v>
      </c>
      <c r="D2152">
        <v>38.57</v>
      </c>
    </row>
    <row r="2153" spans="1:4">
      <c r="A2153">
        <v>2152</v>
      </c>
      <c r="C2153">
        <v>46.13</v>
      </c>
      <c r="D2153">
        <v>42.05</v>
      </c>
    </row>
    <row r="2154" spans="1:4">
      <c r="A2154">
        <v>2153</v>
      </c>
      <c r="C2154">
        <v>48.46</v>
      </c>
      <c r="D2154">
        <v>39.83</v>
      </c>
    </row>
    <row r="2155" spans="1:4">
      <c r="A2155">
        <v>2154</v>
      </c>
      <c r="C2155">
        <v>42.05</v>
      </c>
      <c r="D2155">
        <v>38.89</v>
      </c>
    </row>
    <row r="2156" spans="1:4">
      <c r="A2156">
        <v>2155</v>
      </c>
      <c r="C2156">
        <v>38.799999999999997</v>
      </c>
      <c r="D2156">
        <v>35.51</v>
      </c>
    </row>
    <row r="2157" spans="1:4">
      <c r="A2157">
        <v>2156</v>
      </c>
      <c r="C2157">
        <v>33.89</v>
      </c>
      <c r="D2157">
        <v>31.19</v>
      </c>
    </row>
    <row r="2158" spans="1:4">
      <c r="A2158">
        <v>2157</v>
      </c>
      <c r="C2158">
        <v>32.770000000000003</v>
      </c>
      <c r="D2158">
        <v>30.6</v>
      </c>
    </row>
    <row r="2159" spans="1:4">
      <c r="A2159">
        <v>2158</v>
      </c>
      <c r="C2159">
        <v>33.68</v>
      </c>
      <c r="D2159">
        <v>32.03</v>
      </c>
    </row>
    <row r="2160" spans="1:4">
      <c r="A2160">
        <v>2159</v>
      </c>
      <c r="C2160">
        <v>36.950000000000003</v>
      </c>
      <c r="D2160">
        <v>32.770000000000003</v>
      </c>
    </row>
    <row r="2161" spans="1:4">
      <c r="A2161">
        <v>2160</v>
      </c>
      <c r="C2161">
        <v>43.93</v>
      </c>
      <c r="D2161">
        <v>36.86</v>
      </c>
    </row>
    <row r="2162" spans="1:4">
      <c r="A2162">
        <v>2161</v>
      </c>
      <c r="C2162">
        <v>45.21</v>
      </c>
      <c r="D2162">
        <v>41.77</v>
      </c>
    </row>
    <row r="2163" spans="1:4">
      <c r="A2163">
        <v>2162</v>
      </c>
      <c r="C2163">
        <v>43.06</v>
      </c>
      <c r="D2163">
        <v>40.28</v>
      </c>
    </row>
    <row r="2164" spans="1:4">
      <c r="A2164">
        <v>2163</v>
      </c>
      <c r="C2164">
        <v>41.37</v>
      </c>
      <c r="D2164">
        <v>38.65</v>
      </c>
    </row>
    <row r="2165" spans="1:4">
      <c r="A2165">
        <v>2164</v>
      </c>
      <c r="C2165">
        <v>39.06</v>
      </c>
      <c r="D2165">
        <v>36.19</v>
      </c>
    </row>
    <row r="2166" spans="1:4">
      <c r="A2166">
        <v>2165</v>
      </c>
      <c r="C2166">
        <v>37.479999999999997</v>
      </c>
      <c r="D2166">
        <v>34.69</v>
      </c>
    </row>
    <row r="2167" spans="1:4">
      <c r="A2167">
        <v>2166</v>
      </c>
      <c r="C2167">
        <v>37.520000000000003</v>
      </c>
      <c r="D2167">
        <v>36.83</v>
      </c>
    </row>
    <row r="2168" spans="1:4">
      <c r="A2168">
        <v>2167</v>
      </c>
      <c r="C2168">
        <v>37.31</v>
      </c>
      <c r="D2168">
        <v>34.200000000000003</v>
      </c>
    </row>
    <row r="2169" spans="1:4">
      <c r="A2169">
        <v>2168</v>
      </c>
      <c r="C2169">
        <v>35.99</v>
      </c>
      <c r="D2169">
        <v>32.35</v>
      </c>
    </row>
    <row r="2170" spans="1:4">
      <c r="A2170">
        <v>2169</v>
      </c>
      <c r="C2170">
        <v>32.1</v>
      </c>
      <c r="D2170">
        <v>29.43</v>
      </c>
    </row>
    <row r="2171" spans="1:4">
      <c r="A2171">
        <v>2170</v>
      </c>
      <c r="C2171">
        <v>29.95</v>
      </c>
      <c r="D2171">
        <v>28.01</v>
      </c>
    </row>
    <row r="2172" spans="1:4">
      <c r="A2172">
        <v>2171</v>
      </c>
      <c r="C2172">
        <v>29.73</v>
      </c>
      <c r="D2172">
        <v>28.29</v>
      </c>
    </row>
    <row r="2173" spans="1:4">
      <c r="A2173">
        <v>2172</v>
      </c>
      <c r="C2173">
        <v>30.22</v>
      </c>
      <c r="D2173">
        <v>29.18</v>
      </c>
    </row>
    <row r="2174" spans="1:4">
      <c r="A2174">
        <v>2173</v>
      </c>
      <c r="C2174">
        <v>30.06</v>
      </c>
      <c r="D2174">
        <v>28.07</v>
      </c>
    </row>
    <row r="2175" spans="1:4">
      <c r="A2175">
        <v>2174</v>
      </c>
      <c r="C2175">
        <v>28.64</v>
      </c>
      <c r="D2175">
        <v>27.61</v>
      </c>
    </row>
    <row r="2176" spans="1:4">
      <c r="A2176">
        <v>2175</v>
      </c>
      <c r="C2176">
        <v>29.54</v>
      </c>
      <c r="D2176">
        <v>28.08</v>
      </c>
    </row>
    <row r="2177" spans="1:4">
      <c r="A2177">
        <v>2176</v>
      </c>
      <c r="C2177">
        <v>31.93</v>
      </c>
      <c r="D2177">
        <v>29.63</v>
      </c>
    </row>
    <row r="2178" spans="1:4">
      <c r="A2178">
        <v>2177</v>
      </c>
      <c r="C2178">
        <v>30.8</v>
      </c>
      <c r="D2178">
        <v>29.53</v>
      </c>
    </row>
    <row r="2179" spans="1:4">
      <c r="A2179">
        <v>2178</v>
      </c>
      <c r="C2179">
        <v>33.6</v>
      </c>
      <c r="D2179">
        <v>31.19</v>
      </c>
    </row>
    <row r="2180" spans="1:4">
      <c r="A2180">
        <v>2179</v>
      </c>
      <c r="C2180">
        <v>35.42</v>
      </c>
      <c r="D2180">
        <v>33.21</v>
      </c>
    </row>
    <row r="2181" spans="1:4">
      <c r="A2181">
        <v>2180</v>
      </c>
      <c r="C2181">
        <v>33.64</v>
      </c>
      <c r="D2181">
        <v>31.93</v>
      </c>
    </row>
    <row r="2182" spans="1:4">
      <c r="A2182">
        <v>2181</v>
      </c>
      <c r="C2182">
        <v>39.97</v>
      </c>
      <c r="D2182">
        <v>37.119999999999997</v>
      </c>
    </row>
    <row r="2183" spans="1:4">
      <c r="A2183">
        <v>2182</v>
      </c>
      <c r="C2183">
        <v>39.71</v>
      </c>
      <c r="D2183">
        <v>37.049999999999997</v>
      </c>
    </row>
    <row r="2184" spans="1:4">
      <c r="A2184">
        <v>2183</v>
      </c>
      <c r="C2184">
        <v>40.409999999999997</v>
      </c>
      <c r="D2184">
        <v>38.21</v>
      </c>
    </row>
    <row r="2185" spans="1:4">
      <c r="A2185">
        <v>2184</v>
      </c>
      <c r="C2185">
        <v>37.35</v>
      </c>
      <c r="D2185">
        <v>35.99</v>
      </c>
    </row>
    <row r="2186" spans="1:4">
      <c r="A2186">
        <v>2185</v>
      </c>
      <c r="C2186">
        <v>39.630000000000003</v>
      </c>
      <c r="D2186">
        <v>36.04</v>
      </c>
    </row>
    <row r="2187" spans="1:4">
      <c r="A2187">
        <v>2186</v>
      </c>
      <c r="C2187">
        <v>35.979999999999997</v>
      </c>
      <c r="D2187">
        <v>35.08</v>
      </c>
    </row>
    <row r="2188" spans="1:4">
      <c r="A2188">
        <v>2187</v>
      </c>
      <c r="C2188">
        <v>34.81</v>
      </c>
      <c r="D2188">
        <v>33.72</v>
      </c>
    </row>
    <row r="2189" spans="1:4">
      <c r="A2189">
        <v>2188</v>
      </c>
      <c r="C2189">
        <v>37.74</v>
      </c>
      <c r="D2189">
        <v>36.1</v>
      </c>
    </row>
    <row r="2190" spans="1:4">
      <c r="A2190">
        <v>2189</v>
      </c>
      <c r="C2190">
        <v>38.520000000000003</v>
      </c>
      <c r="D2190">
        <v>35.82</v>
      </c>
    </row>
    <row r="2191" spans="1:4">
      <c r="A2191">
        <v>2190</v>
      </c>
      <c r="C2191">
        <v>38.549999999999997</v>
      </c>
      <c r="D2191">
        <v>36.64</v>
      </c>
    </row>
    <row r="2192" spans="1:4">
      <c r="A2192">
        <v>2191</v>
      </c>
      <c r="C2192">
        <v>38.06</v>
      </c>
      <c r="D2192">
        <v>35.79</v>
      </c>
    </row>
    <row r="2193" spans="1:4">
      <c r="A2193">
        <v>2192</v>
      </c>
      <c r="C2193">
        <v>39.71</v>
      </c>
      <c r="D2193">
        <v>36.96</v>
      </c>
    </row>
    <row r="2194" spans="1:4">
      <c r="A2194">
        <v>2193</v>
      </c>
      <c r="C2194">
        <v>40.700000000000003</v>
      </c>
      <c r="D2194">
        <v>38.92</v>
      </c>
    </row>
    <row r="2195" spans="1:4">
      <c r="A2195">
        <v>2194</v>
      </c>
      <c r="C2195">
        <v>40.229999999999997</v>
      </c>
      <c r="D2195">
        <v>38.72</v>
      </c>
    </row>
    <row r="2196" spans="1:4">
      <c r="A2196">
        <v>2195</v>
      </c>
      <c r="C2196">
        <v>41.18</v>
      </c>
      <c r="D2196">
        <v>39.26</v>
      </c>
    </row>
    <row r="2197" spans="1:4">
      <c r="A2197">
        <v>2196</v>
      </c>
      <c r="C2197">
        <v>41.34</v>
      </c>
      <c r="D2197">
        <v>39.57</v>
      </c>
    </row>
    <row r="2198" spans="1:4">
      <c r="A2198">
        <v>2197</v>
      </c>
      <c r="C2198">
        <v>39.92</v>
      </c>
      <c r="D2198">
        <v>36.79</v>
      </c>
    </row>
    <row r="2199" spans="1:4">
      <c r="A2199">
        <v>2198</v>
      </c>
      <c r="C2199">
        <v>36.15</v>
      </c>
      <c r="D2199">
        <v>34.6</v>
      </c>
    </row>
    <row r="2200" spans="1:4">
      <c r="A2200">
        <v>2199</v>
      </c>
      <c r="C2200">
        <v>36.97</v>
      </c>
      <c r="D2200">
        <v>33.96</v>
      </c>
    </row>
    <row r="2201" spans="1:4">
      <c r="A2201">
        <v>2200</v>
      </c>
      <c r="C2201">
        <v>41.86</v>
      </c>
      <c r="D2201">
        <v>38.89</v>
      </c>
    </row>
    <row r="2202" spans="1:4">
      <c r="A2202">
        <v>2201</v>
      </c>
      <c r="C2202">
        <v>37.61</v>
      </c>
      <c r="D2202">
        <v>33.770000000000003</v>
      </c>
    </row>
    <row r="2203" spans="1:4">
      <c r="A2203">
        <v>2202</v>
      </c>
      <c r="C2203">
        <v>36.97</v>
      </c>
      <c r="D2203">
        <v>34.42</v>
      </c>
    </row>
    <row r="2204" spans="1:4">
      <c r="A2204">
        <v>2203</v>
      </c>
      <c r="C2204">
        <v>37.75</v>
      </c>
      <c r="D2204">
        <v>36.11</v>
      </c>
    </row>
    <row r="2205" spans="1:4">
      <c r="A2205">
        <v>2204</v>
      </c>
      <c r="C2205">
        <v>40.29</v>
      </c>
      <c r="D2205">
        <v>38.67</v>
      </c>
    </row>
    <row r="2206" spans="1:4">
      <c r="A2206">
        <v>2205</v>
      </c>
      <c r="C2206">
        <v>42.95</v>
      </c>
      <c r="D2206">
        <v>41.04</v>
      </c>
    </row>
    <row r="2207" spans="1:4">
      <c r="A2207">
        <v>2206</v>
      </c>
      <c r="C2207">
        <v>43.44</v>
      </c>
      <c r="D2207">
        <v>39.96</v>
      </c>
    </row>
    <row r="2208" spans="1:4">
      <c r="A2208">
        <v>2207</v>
      </c>
      <c r="C2208">
        <v>42.58</v>
      </c>
      <c r="D2208">
        <v>41.21</v>
      </c>
    </row>
    <row r="2209" spans="1:4">
      <c r="A2209">
        <v>2208</v>
      </c>
      <c r="C2209">
        <v>39.39</v>
      </c>
      <c r="D2209">
        <v>37.54</v>
      </c>
    </row>
    <row r="2210" spans="1:4">
      <c r="A2210">
        <v>2209</v>
      </c>
      <c r="C2210">
        <v>36.53</v>
      </c>
      <c r="D2210">
        <v>35.200000000000003</v>
      </c>
    </row>
    <row r="2211" spans="1:4">
      <c r="A2211">
        <v>2210</v>
      </c>
      <c r="C2211">
        <v>37.18</v>
      </c>
      <c r="D2211">
        <v>36.020000000000003</v>
      </c>
    </row>
    <row r="2212" spans="1:4">
      <c r="A2212">
        <v>2211</v>
      </c>
      <c r="C2212">
        <v>34.71</v>
      </c>
      <c r="D2212">
        <v>33.79</v>
      </c>
    </row>
    <row r="2213" spans="1:4">
      <c r="A2213">
        <v>2212</v>
      </c>
      <c r="C2213">
        <v>36.270000000000003</v>
      </c>
      <c r="D2213">
        <v>34.909999999999997</v>
      </c>
    </row>
    <row r="2214" spans="1:4">
      <c r="A2214">
        <v>2213</v>
      </c>
      <c r="C2214">
        <v>35.130000000000003</v>
      </c>
      <c r="D2214">
        <v>33.93</v>
      </c>
    </row>
    <row r="2215" spans="1:4">
      <c r="A2215">
        <v>2214</v>
      </c>
      <c r="C2215">
        <v>34.729999999999997</v>
      </c>
      <c r="D2215">
        <v>33.340000000000003</v>
      </c>
    </row>
    <row r="2216" spans="1:4">
      <c r="A2216">
        <v>2215</v>
      </c>
      <c r="C2216">
        <v>35.549999999999997</v>
      </c>
      <c r="D2216">
        <v>33</v>
      </c>
    </row>
    <row r="2217" spans="1:4">
      <c r="A2217">
        <v>2216</v>
      </c>
      <c r="C2217">
        <v>34.76</v>
      </c>
      <c r="D2217">
        <v>33.61</v>
      </c>
    </row>
    <row r="2218" spans="1:4">
      <c r="A2218">
        <v>2217</v>
      </c>
      <c r="C2218">
        <v>35.61</v>
      </c>
      <c r="D2218">
        <v>33.200000000000003</v>
      </c>
    </row>
    <row r="2219" spans="1:4">
      <c r="A2219">
        <v>2218</v>
      </c>
      <c r="C2219">
        <v>34.43</v>
      </c>
      <c r="D2219">
        <v>32.53</v>
      </c>
    </row>
    <row r="2220" spans="1:4">
      <c r="A2220">
        <v>2219</v>
      </c>
      <c r="C2220">
        <v>33.369999999999997</v>
      </c>
      <c r="D2220">
        <v>29.88</v>
      </c>
    </row>
    <row r="2221" spans="1:4">
      <c r="A2221">
        <v>2220</v>
      </c>
      <c r="C2221">
        <v>31.67</v>
      </c>
      <c r="D2221">
        <v>30.31</v>
      </c>
    </row>
    <row r="2222" spans="1:4">
      <c r="A2222">
        <v>2221</v>
      </c>
      <c r="C2222">
        <v>33.53</v>
      </c>
      <c r="D2222">
        <v>31.53</v>
      </c>
    </row>
    <row r="2223" spans="1:4">
      <c r="A2223">
        <v>2222</v>
      </c>
      <c r="C2223">
        <v>32.5</v>
      </c>
      <c r="D2223">
        <v>30.79</v>
      </c>
    </row>
    <row r="2224" spans="1:4">
      <c r="A2224">
        <v>2223</v>
      </c>
      <c r="C2224">
        <v>31.57</v>
      </c>
      <c r="D2224">
        <v>29.69</v>
      </c>
    </row>
    <row r="2225" spans="1:4">
      <c r="A2225">
        <v>2224</v>
      </c>
      <c r="C2225">
        <v>31.7</v>
      </c>
      <c r="D2225">
        <v>28.62</v>
      </c>
    </row>
    <row r="2226" spans="1:4">
      <c r="A2226">
        <v>2225</v>
      </c>
      <c r="C2226">
        <v>30.9</v>
      </c>
      <c r="D2226">
        <v>28.83</v>
      </c>
    </row>
    <row r="2227" spans="1:4">
      <c r="A2227">
        <v>2226</v>
      </c>
      <c r="C2227">
        <v>31.72</v>
      </c>
      <c r="D2227">
        <v>30.43</v>
      </c>
    </row>
    <row r="2228" spans="1:4">
      <c r="A2228">
        <v>2227</v>
      </c>
      <c r="C2228">
        <v>32.6</v>
      </c>
      <c r="D2228">
        <v>30.71</v>
      </c>
    </row>
    <row r="2229" spans="1:4">
      <c r="A2229">
        <v>2228</v>
      </c>
      <c r="C2229">
        <v>31.85</v>
      </c>
      <c r="D2229">
        <v>30.76</v>
      </c>
    </row>
    <row r="2230" spans="1:4">
      <c r="A2230">
        <v>2229</v>
      </c>
      <c r="C2230">
        <v>31.03</v>
      </c>
      <c r="D2230">
        <v>29.1</v>
      </c>
    </row>
    <row r="2231" spans="1:4">
      <c r="A2231">
        <v>2230</v>
      </c>
      <c r="C2231">
        <v>31.64</v>
      </c>
      <c r="D2231">
        <v>30.41</v>
      </c>
    </row>
    <row r="2232" spans="1:4">
      <c r="A2232">
        <v>2231</v>
      </c>
      <c r="C2232">
        <v>31.2</v>
      </c>
      <c r="D2232">
        <v>29.75</v>
      </c>
    </row>
    <row r="2233" spans="1:4">
      <c r="A2233">
        <v>2232</v>
      </c>
      <c r="C2233">
        <v>31.9</v>
      </c>
      <c r="D2233">
        <v>30.5</v>
      </c>
    </row>
    <row r="2234" spans="1:4">
      <c r="A2234">
        <v>2233</v>
      </c>
      <c r="C2234">
        <v>29.76</v>
      </c>
      <c r="D2234">
        <v>28.65</v>
      </c>
    </row>
    <row r="2235" spans="1:4">
      <c r="A2235">
        <v>2234</v>
      </c>
      <c r="C2235">
        <v>28.23</v>
      </c>
      <c r="D2235">
        <v>26.44</v>
      </c>
    </row>
    <row r="2236" spans="1:4">
      <c r="A2236">
        <v>2235</v>
      </c>
      <c r="C2236">
        <v>27.66</v>
      </c>
      <c r="D2236">
        <v>26.73</v>
      </c>
    </row>
    <row r="2237" spans="1:4">
      <c r="A2237">
        <v>2236</v>
      </c>
      <c r="C2237">
        <v>28.15</v>
      </c>
      <c r="D2237">
        <v>26.63</v>
      </c>
    </row>
    <row r="2238" spans="1:4">
      <c r="A2238">
        <v>2237</v>
      </c>
      <c r="C2238">
        <v>26.93</v>
      </c>
      <c r="D2238">
        <v>25.06</v>
      </c>
    </row>
    <row r="2239" spans="1:4">
      <c r="A2239">
        <v>2238</v>
      </c>
      <c r="C2239">
        <v>24.75</v>
      </c>
      <c r="D2239">
        <v>23.41</v>
      </c>
    </row>
    <row r="2240" spans="1:4">
      <c r="A2240">
        <v>2239</v>
      </c>
      <c r="C2240">
        <v>24.22</v>
      </c>
      <c r="D2240">
        <v>23.05</v>
      </c>
    </row>
    <row r="2241" spans="1:4">
      <c r="A2241">
        <v>2240</v>
      </c>
      <c r="C2241">
        <v>25.42</v>
      </c>
      <c r="D2241">
        <v>23.62</v>
      </c>
    </row>
    <row r="2242" spans="1:4">
      <c r="A2242">
        <v>2241</v>
      </c>
      <c r="C2242">
        <v>26.15</v>
      </c>
      <c r="D2242">
        <v>24.56</v>
      </c>
    </row>
    <row r="2243" spans="1:4">
      <c r="A2243">
        <v>2242</v>
      </c>
      <c r="C2243">
        <v>27.42</v>
      </c>
      <c r="D2243">
        <v>23.97</v>
      </c>
    </row>
    <row r="2244" spans="1:4">
      <c r="A2244">
        <v>2243</v>
      </c>
      <c r="C2244">
        <v>27.7</v>
      </c>
      <c r="D2244">
        <v>26.84</v>
      </c>
    </row>
    <row r="2245" spans="1:4">
      <c r="A2245">
        <v>2244</v>
      </c>
      <c r="C2245">
        <v>28.61</v>
      </c>
      <c r="D2245">
        <v>27.28</v>
      </c>
    </row>
    <row r="2246" spans="1:4">
      <c r="A2246">
        <v>2245</v>
      </c>
      <c r="C2246">
        <v>28.41</v>
      </c>
      <c r="D2246">
        <v>27.47</v>
      </c>
    </row>
    <row r="2247" spans="1:4">
      <c r="A2247">
        <v>2246</v>
      </c>
      <c r="C2247">
        <v>29.51</v>
      </c>
      <c r="D2247">
        <v>28.27</v>
      </c>
    </row>
    <row r="2248" spans="1:4">
      <c r="A2248">
        <v>2247</v>
      </c>
      <c r="C2248">
        <v>30.2</v>
      </c>
      <c r="D2248">
        <v>29.26</v>
      </c>
    </row>
    <row r="2249" spans="1:4">
      <c r="A2249">
        <v>2248</v>
      </c>
      <c r="C2249">
        <v>30.64</v>
      </c>
      <c r="D2249">
        <v>28.77</v>
      </c>
    </row>
    <row r="2250" spans="1:4">
      <c r="A2250">
        <v>2249</v>
      </c>
      <c r="C2250">
        <v>31.2</v>
      </c>
      <c r="D2250">
        <v>29.99</v>
      </c>
    </row>
    <row r="2251" spans="1:4">
      <c r="A2251">
        <v>2250</v>
      </c>
      <c r="C2251">
        <v>30.49</v>
      </c>
      <c r="D2251">
        <v>28.65</v>
      </c>
    </row>
    <row r="2252" spans="1:4">
      <c r="A2252">
        <v>2251</v>
      </c>
      <c r="C2252">
        <v>29</v>
      </c>
      <c r="D2252">
        <v>27.55</v>
      </c>
    </row>
    <row r="2253" spans="1:4">
      <c r="A2253">
        <v>2252</v>
      </c>
      <c r="C2253">
        <v>28.16</v>
      </c>
      <c r="D2253">
        <v>27.23</v>
      </c>
    </row>
    <row r="2254" spans="1:4">
      <c r="A2254">
        <v>2253</v>
      </c>
      <c r="C2254">
        <v>28.67</v>
      </c>
      <c r="D2254">
        <v>27.56</v>
      </c>
    </row>
    <row r="2255" spans="1:4">
      <c r="A2255">
        <v>2254</v>
      </c>
      <c r="C2255">
        <v>28.29</v>
      </c>
      <c r="D2255">
        <v>26.22</v>
      </c>
    </row>
    <row r="2256" spans="1:4">
      <c r="A2256">
        <v>2255</v>
      </c>
      <c r="C2256">
        <v>26.82</v>
      </c>
      <c r="D2256">
        <v>25.9</v>
      </c>
    </row>
    <row r="2257" spans="1:4">
      <c r="A2257">
        <v>2256</v>
      </c>
      <c r="C2257">
        <v>28.55</v>
      </c>
      <c r="D2257">
        <v>27.29</v>
      </c>
    </row>
    <row r="2258" spans="1:4">
      <c r="A2258">
        <v>2257</v>
      </c>
      <c r="C2258">
        <v>30.84</v>
      </c>
      <c r="D2258">
        <v>27.88</v>
      </c>
    </row>
    <row r="2259" spans="1:4">
      <c r="A2259">
        <v>2258</v>
      </c>
      <c r="C2259">
        <v>28.75</v>
      </c>
      <c r="D2259">
        <v>26.59</v>
      </c>
    </row>
    <row r="2260" spans="1:4">
      <c r="A2260">
        <v>2259</v>
      </c>
      <c r="C2260">
        <v>27.69</v>
      </c>
      <c r="D2260">
        <v>25.87</v>
      </c>
    </row>
    <row r="2261" spans="1:4">
      <c r="A2261">
        <v>2260</v>
      </c>
      <c r="C2261">
        <v>26.82</v>
      </c>
      <c r="D2261">
        <v>26.38</v>
      </c>
    </row>
    <row r="2262" spans="1:4">
      <c r="A2262">
        <v>2261</v>
      </c>
      <c r="C2262">
        <v>27.57</v>
      </c>
      <c r="D2262">
        <v>26.16</v>
      </c>
    </row>
    <row r="2263" spans="1:4">
      <c r="A2263">
        <v>2262</v>
      </c>
      <c r="C2263">
        <v>29.97</v>
      </c>
      <c r="D2263">
        <v>27.52</v>
      </c>
    </row>
    <row r="2264" spans="1:4">
      <c r="A2264">
        <v>2263</v>
      </c>
      <c r="C2264">
        <v>30.83</v>
      </c>
      <c r="D2264">
        <v>29.47</v>
      </c>
    </row>
    <row r="2265" spans="1:4">
      <c r="A2265">
        <v>2264</v>
      </c>
      <c r="C2265">
        <v>29.62</v>
      </c>
      <c r="D2265">
        <v>28.6</v>
      </c>
    </row>
    <row r="2266" spans="1:4">
      <c r="A2266">
        <v>2265</v>
      </c>
      <c r="C2266">
        <v>28.74</v>
      </c>
      <c r="D2266">
        <v>25.32</v>
      </c>
    </row>
    <row r="2267" spans="1:4">
      <c r="A2267">
        <v>2266</v>
      </c>
      <c r="C2267">
        <v>25.55</v>
      </c>
      <c r="D2267">
        <v>24.68</v>
      </c>
    </row>
    <row r="2268" spans="1:4">
      <c r="A2268">
        <v>2267</v>
      </c>
      <c r="C2268">
        <v>25.42</v>
      </c>
      <c r="D2268">
        <v>24.29</v>
      </c>
    </row>
    <row r="2269" spans="1:4">
      <c r="A2269">
        <v>2268</v>
      </c>
      <c r="C2269">
        <v>25.69</v>
      </c>
      <c r="D2269">
        <v>24.91</v>
      </c>
    </row>
    <row r="2270" spans="1:4">
      <c r="A2270">
        <v>2269</v>
      </c>
      <c r="C2270">
        <v>25.76</v>
      </c>
      <c r="D2270">
        <v>25.07</v>
      </c>
    </row>
    <row r="2271" spans="1:4">
      <c r="A2271">
        <v>2270</v>
      </c>
      <c r="C2271">
        <v>24.9</v>
      </c>
      <c r="D2271">
        <v>24.02</v>
      </c>
    </row>
    <row r="2272" spans="1:4">
      <c r="A2272">
        <v>2271</v>
      </c>
      <c r="C2272">
        <v>24.69</v>
      </c>
      <c r="D2272">
        <v>24.15</v>
      </c>
    </row>
    <row r="2273" spans="1:4">
      <c r="A2273">
        <v>2272</v>
      </c>
      <c r="C2273">
        <v>25.48</v>
      </c>
      <c r="D2273">
        <v>24.68</v>
      </c>
    </row>
    <row r="2274" spans="1:4">
      <c r="A2274">
        <v>2273</v>
      </c>
      <c r="C2274">
        <v>25.09</v>
      </c>
      <c r="D2274">
        <v>24.38</v>
      </c>
    </row>
    <row r="2275" spans="1:4">
      <c r="A2275">
        <v>2274</v>
      </c>
      <c r="C2275">
        <v>26.01</v>
      </c>
      <c r="D2275">
        <v>24.85</v>
      </c>
    </row>
    <row r="2276" spans="1:4">
      <c r="A2276">
        <v>2275</v>
      </c>
      <c r="C2276">
        <v>25.8</v>
      </c>
      <c r="D2276">
        <v>24.69</v>
      </c>
    </row>
    <row r="2277" spans="1:4">
      <c r="A2277">
        <v>2276</v>
      </c>
      <c r="C2277">
        <v>26</v>
      </c>
      <c r="D2277">
        <v>25.2</v>
      </c>
    </row>
    <row r="2278" spans="1:4">
      <c r="A2278">
        <v>2277</v>
      </c>
      <c r="C2278">
        <v>27.7</v>
      </c>
      <c r="D2278">
        <v>26.73</v>
      </c>
    </row>
    <row r="2279" spans="1:4">
      <c r="A2279">
        <v>2278</v>
      </c>
      <c r="C2279">
        <v>29.08</v>
      </c>
      <c r="D2279">
        <v>27.77</v>
      </c>
    </row>
    <row r="2280" spans="1:4">
      <c r="A2280">
        <v>2279</v>
      </c>
      <c r="C2280">
        <v>29.19</v>
      </c>
      <c r="D2280">
        <v>27.35</v>
      </c>
    </row>
    <row r="2281" spans="1:4">
      <c r="A2281">
        <v>2280</v>
      </c>
      <c r="C2281">
        <v>32.409999999999997</v>
      </c>
      <c r="D2281">
        <v>28.45</v>
      </c>
    </row>
    <row r="2282" spans="1:4">
      <c r="A2282">
        <v>2281</v>
      </c>
      <c r="C2282">
        <v>35.33</v>
      </c>
      <c r="D2282">
        <v>32.97</v>
      </c>
    </row>
    <row r="2283" spans="1:4">
      <c r="A2283">
        <v>2282</v>
      </c>
      <c r="C2283">
        <v>34.47</v>
      </c>
      <c r="D2283">
        <v>31.82</v>
      </c>
    </row>
    <row r="2284" spans="1:4">
      <c r="A2284">
        <v>2283</v>
      </c>
      <c r="C2284">
        <v>33.24</v>
      </c>
      <c r="D2284">
        <v>31.05</v>
      </c>
    </row>
    <row r="2285" spans="1:4">
      <c r="A2285">
        <v>2284</v>
      </c>
      <c r="C2285">
        <v>31.5</v>
      </c>
      <c r="D2285">
        <v>30.66</v>
      </c>
    </row>
    <row r="2286" spans="1:4">
      <c r="A2286">
        <v>2285</v>
      </c>
      <c r="C2286">
        <v>31.66</v>
      </c>
      <c r="D2286">
        <v>30.61</v>
      </c>
    </row>
    <row r="2287" spans="1:4">
      <c r="A2287">
        <v>2286</v>
      </c>
      <c r="C2287">
        <v>32.450000000000003</v>
      </c>
      <c r="D2287">
        <v>30.87</v>
      </c>
    </row>
    <row r="2288" spans="1:4">
      <c r="A2288">
        <v>2287</v>
      </c>
      <c r="C2288">
        <v>33.369999999999997</v>
      </c>
      <c r="D2288">
        <v>32.700000000000003</v>
      </c>
    </row>
    <row r="2289" spans="1:4">
      <c r="A2289">
        <v>2288</v>
      </c>
      <c r="C2289">
        <v>33.22</v>
      </c>
      <c r="D2289">
        <v>31.98</v>
      </c>
    </row>
    <row r="2290" spans="1:4">
      <c r="A2290">
        <v>2289</v>
      </c>
      <c r="C2290">
        <v>34.24</v>
      </c>
      <c r="D2290">
        <v>33.119999999999997</v>
      </c>
    </row>
    <row r="2291" spans="1:4">
      <c r="A2291">
        <v>2290</v>
      </c>
      <c r="C2291">
        <v>34.31</v>
      </c>
      <c r="D2291">
        <v>33.19</v>
      </c>
    </row>
    <row r="2292" spans="1:4">
      <c r="A2292">
        <v>2291</v>
      </c>
      <c r="C2292">
        <v>35.659999999999997</v>
      </c>
      <c r="D2292">
        <v>33.99</v>
      </c>
    </row>
    <row r="2293" spans="1:4">
      <c r="A2293">
        <v>2292</v>
      </c>
      <c r="C2293">
        <v>33.97</v>
      </c>
      <c r="D2293">
        <v>32.72</v>
      </c>
    </row>
    <row r="2294" spans="1:4">
      <c r="A2294">
        <v>2293</v>
      </c>
      <c r="C2294">
        <v>34.33</v>
      </c>
      <c r="D2294">
        <v>33.770000000000003</v>
      </c>
    </row>
    <row r="2295" spans="1:4">
      <c r="A2295">
        <v>2294</v>
      </c>
      <c r="C2295">
        <v>35.200000000000003</v>
      </c>
      <c r="D2295">
        <v>33.33</v>
      </c>
    </row>
    <row r="2296" spans="1:4">
      <c r="A2296">
        <v>2295</v>
      </c>
      <c r="C2296">
        <v>33.94</v>
      </c>
      <c r="D2296">
        <v>32.42</v>
      </c>
    </row>
    <row r="2297" spans="1:4">
      <c r="A2297">
        <v>2296</v>
      </c>
      <c r="C2297">
        <v>32.119999999999997</v>
      </c>
      <c r="D2297">
        <v>31.11</v>
      </c>
    </row>
    <row r="2298" spans="1:4">
      <c r="A2298">
        <v>2297</v>
      </c>
      <c r="C2298">
        <v>31.72</v>
      </c>
      <c r="D2298">
        <v>31.13</v>
      </c>
    </row>
    <row r="2299" spans="1:4">
      <c r="A2299">
        <v>2298</v>
      </c>
      <c r="C2299">
        <v>31.27</v>
      </c>
      <c r="D2299">
        <v>30.86</v>
      </c>
    </row>
    <row r="2300" spans="1:4">
      <c r="A2300">
        <v>2299</v>
      </c>
      <c r="C2300">
        <v>31.65</v>
      </c>
      <c r="D2300">
        <v>30.16</v>
      </c>
    </row>
    <row r="2301" spans="1:4">
      <c r="A2301">
        <v>2300</v>
      </c>
      <c r="C2301">
        <v>32.31</v>
      </c>
      <c r="D2301">
        <v>31.46</v>
      </c>
    </row>
    <row r="2302" spans="1:4">
      <c r="A2302">
        <v>2301</v>
      </c>
      <c r="C2302">
        <v>33.06</v>
      </c>
      <c r="D2302">
        <v>31.6</v>
      </c>
    </row>
    <row r="2303" spans="1:4">
      <c r="A2303">
        <v>2302</v>
      </c>
      <c r="C2303">
        <v>32.21</v>
      </c>
      <c r="D2303">
        <v>31.75</v>
      </c>
    </row>
    <row r="2304" spans="1:4">
      <c r="A2304">
        <v>2303</v>
      </c>
      <c r="C2304">
        <v>31.85</v>
      </c>
      <c r="D2304">
        <v>30.47</v>
      </c>
    </row>
    <row r="2305" spans="1:4">
      <c r="A2305">
        <v>2304</v>
      </c>
      <c r="C2305">
        <v>29.84</v>
      </c>
      <c r="D2305">
        <v>29.06</v>
      </c>
    </row>
    <row r="2306" spans="1:4">
      <c r="A2306">
        <v>2305</v>
      </c>
      <c r="C2306">
        <v>30.52</v>
      </c>
      <c r="D2306">
        <v>29.71</v>
      </c>
    </row>
    <row r="2307" spans="1:4">
      <c r="A2307">
        <v>2306</v>
      </c>
      <c r="C2307">
        <v>31.98</v>
      </c>
      <c r="D2307">
        <v>30.98</v>
      </c>
    </row>
    <row r="2308" spans="1:4">
      <c r="A2308">
        <v>2307</v>
      </c>
      <c r="C2308">
        <v>31.33</v>
      </c>
      <c r="D2308">
        <v>30.38</v>
      </c>
    </row>
    <row r="2309" spans="1:4">
      <c r="A2309">
        <v>2308</v>
      </c>
      <c r="C2309">
        <v>31.53</v>
      </c>
      <c r="D2309">
        <v>30.69</v>
      </c>
    </row>
    <row r="2310" spans="1:4">
      <c r="A2310">
        <v>2309</v>
      </c>
      <c r="C2310">
        <v>32.81</v>
      </c>
      <c r="D2310">
        <v>30.84</v>
      </c>
    </row>
    <row r="2311" spans="1:4">
      <c r="A2311">
        <v>2310</v>
      </c>
      <c r="C2311">
        <v>33.85</v>
      </c>
      <c r="D2311">
        <v>33.08</v>
      </c>
    </row>
    <row r="2312" spans="1:4">
      <c r="A2312">
        <v>2311</v>
      </c>
      <c r="C2312">
        <v>33.75</v>
      </c>
      <c r="D2312">
        <v>32.97</v>
      </c>
    </row>
    <row r="2313" spans="1:4">
      <c r="A2313">
        <v>2312</v>
      </c>
      <c r="C2313">
        <v>34.4</v>
      </c>
      <c r="D2313">
        <v>33.32</v>
      </c>
    </row>
    <row r="2314" spans="1:4">
      <c r="A2314">
        <v>2313</v>
      </c>
      <c r="C2314">
        <v>32.979999999999997</v>
      </c>
      <c r="D2314">
        <v>31.67</v>
      </c>
    </row>
    <row r="2315" spans="1:4">
      <c r="A2315">
        <v>2314</v>
      </c>
      <c r="C2315">
        <v>31.25</v>
      </c>
      <c r="D2315">
        <v>30.45</v>
      </c>
    </row>
    <row r="2316" spans="1:4">
      <c r="A2316">
        <v>2315</v>
      </c>
      <c r="C2316">
        <v>32.619999999999997</v>
      </c>
      <c r="D2316">
        <v>31.67</v>
      </c>
    </row>
    <row r="2317" spans="1:4">
      <c r="A2317">
        <v>2316</v>
      </c>
      <c r="C2317">
        <v>31.51</v>
      </c>
      <c r="D2317">
        <v>30.24</v>
      </c>
    </row>
    <row r="2318" spans="1:4">
      <c r="A2318">
        <v>2317</v>
      </c>
      <c r="C2318">
        <v>31.54</v>
      </c>
      <c r="D2318">
        <v>30.4</v>
      </c>
    </row>
    <row r="2319" spans="1:4">
      <c r="A2319">
        <v>2318</v>
      </c>
      <c r="C2319">
        <v>32</v>
      </c>
      <c r="D2319">
        <v>30.41</v>
      </c>
    </row>
    <row r="2320" spans="1:4">
      <c r="A2320">
        <v>2319</v>
      </c>
      <c r="C2320">
        <v>29.7</v>
      </c>
      <c r="D2320">
        <v>28.44</v>
      </c>
    </row>
    <row r="2321" spans="1:4">
      <c r="A2321">
        <v>2320</v>
      </c>
      <c r="C2321">
        <v>31</v>
      </c>
      <c r="D2321">
        <v>30.33</v>
      </c>
    </row>
    <row r="2322" spans="1:4">
      <c r="A2322">
        <v>2321</v>
      </c>
      <c r="C2322">
        <v>30.5</v>
      </c>
      <c r="D2322">
        <v>28.75</v>
      </c>
    </row>
    <row r="2323" spans="1:4">
      <c r="A2323">
        <v>2322</v>
      </c>
      <c r="C2323">
        <v>28.79</v>
      </c>
      <c r="D2323">
        <v>27.89</v>
      </c>
    </row>
    <row r="2324" spans="1:4">
      <c r="A2324">
        <v>2323</v>
      </c>
      <c r="C2324">
        <v>29.1</v>
      </c>
      <c r="D2324">
        <v>27.62</v>
      </c>
    </row>
    <row r="2325" spans="1:4">
      <c r="A2325">
        <v>2324</v>
      </c>
      <c r="C2325">
        <v>28.25</v>
      </c>
      <c r="D2325">
        <v>27.58</v>
      </c>
    </row>
    <row r="2326" spans="1:4">
      <c r="A2326">
        <v>2325</v>
      </c>
      <c r="C2326">
        <v>30.21</v>
      </c>
      <c r="D2326">
        <v>28.57</v>
      </c>
    </row>
    <row r="2327" spans="1:4">
      <c r="A2327">
        <v>2326</v>
      </c>
      <c r="C2327">
        <v>29.58</v>
      </c>
      <c r="D2327">
        <v>28.18</v>
      </c>
    </row>
    <row r="2328" spans="1:4">
      <c r="A2328">
        <v>2327</v>
      </c>
      <c r="C2328">
        <v>28.12</v>
      </c>
      <c r="D2328">
        <v>27.45</v>
      </c>
    </row>
    <row r="2329" spans="1:4">
      <c r="A2329">
        <v>2328</v>
      </c>
      <c r="C2329">
        <v>28.44</v>
      </c>
      <c r="D2329">
        <v>27.54</v>
      </c>
    </row>
    <row r="2330" spans="1:4">
      <c r="A2330">
        <v>2329</v>
      </c>
      <c r="C2330">
        <v>30.04</v>
      </c>
      <c r="D2330">
        <v>28.35</v>
      </c>
    </row>
    <row r="2331" spans="1:4">
      <c r="A2331">
        <v>2330</v>
      </c>
      <c r="C2331">
        <v>28.86</v>
      </c>
      <c r="D2331">
        <v>27.68</v>
      </c>
    </row>
    <row r="2332" spans="1:4">
      <c r="A2332">
        <v>2331</v>
      </c>
      <c r="C2332">
        <v>27.94</v>
      </c>
      <c r="D2332">
        <v>26.86</v>
      </c>
    </row>
    <row r="2333" spans="1:4">
      <c r="A2333">
        <v>2332</v>
      </c>
      <c r="C2333">
        <v>27.23</v>
      </c>
      <c r="D2333">
        <v>26.13</v>
      </c>
    </row>
    <row r="2334" spans="1:4">
      <c r="A2334">
        <v>2333</v>
      </c>
      <c r="C2334">
        <v>27.13</v>
      </c>
      <c r="D2334">
        <v>25.51</v>
      </c>
    </row>
    <row r="2335" spans="1:4">
      <c r="A2335">
        <v>2334</v>
      </c>
      <c r="C2335">
        <v>25.2</v>
      </c>
      <c r="D2335">
        <v>24.31</v>
      </c>
    </row>
    <row r="2336" spans="1:4">
      <c r="A2336">
        <v>2335</v>
      </c>
      <c r="C2336">
        <v>25</v>
      </c>
      <c r="D2336">
        <v>23.32</v>
      </c>
    </row>
    <row r="2337" spans="1:4">
      <c r="A2337">
        <v>2336</v>
      </c>
      <c r="C2337">
        <v>23.42</v>
      </c>
      <c r="D2337">
        <v>22.44</v>
      </c>
    </row>
    <row r="2338" spans="1:4">
      <c r="A2338">
        <v>2337</v>
      </c>
      <c r="C2338">
        <v>22.85</v>
      </c>
      <c r="D2338">
        <v>21.95</v>
      </c>
    </row>
    <row r="2339" spans="1:4">
      <c r="A2339">
        <v>2338</v>
      </c>
      <c r="C2339">
        <v>22.38</v>
      </c>
      <c r="D2339">
        <v>21.33</v>
      </c>
    </row>
    <row r="2340" spans="1:4">
      <c r="A2340">
        <v>2339</v>
      </c>
      <c r="C2340">
        <v>22.35</v>
      </c>
      <c r="D2340">
        <v>21.56</v>
      </c>
    </row>
    <row r="2341" spans="1:4">
      <c r="A2341">
        <v>2340</v>
      </c>
      <c r="C2341">
        <v>21.86</v>
      </c>
      <c r="D2341">
        <v>20.260000000000002</v>
      </c>
    </row>
    <row r="2342" spans="1:4">
      <c r="A2342">
        <v>2341</v>
      </c>
      <c r="C2342">
        <v>21.07</v>
      </c>
      <c r="D2342">
        <v>20.68</v>
      </c>
    </row>
    <row r="2343" spans="1:4">
      <c r="A2343">
        <v>2342</v>
      </c>
      <c r="C2343">
        <v>21.27</v>
      </c>
      <c r="D2343">
        <v>20.309999999999999</v>
      </c>
    </row>
    <row r="2344" spans="1:4">
      <c r="A2344">
        <v>2343</v>
      </c>
      <c r="C2344">
        <v>20.89</v>
      </c>
      <c r="D2344">
        <v>20.36</v>
      </c>
    </row>
    <row r="2345" spans="1:4">
      <c r="A2345">
        <v>2344</v>
      </c>
      <c r="C2345">
        <v>20.96</v>
      </c>
      <c r="D2345">
        <v>20.65</v>
      </c>
    </row>
    <row r="2346" spans="1:4">
      <c r="A2346">
        <v>2345</v>
      </c>
      <c r="C2346">
        <v>21.33</v>
      </c>
      <c r="D2346">
        <v>20.46</v>
      </c>
    </row>
    <row r="2347" spans="1:4">
      <c r="A2347">
        <v>2346</v>
      </c>
      <c r="C2347">
        <v>21.56</v>
      </c>
      <c r="D2347">
        <v>20.87</v>
      </c>
    </row>
    <row r="2348" spans="1:4">
      <c r="A2348">
        <v>2347</v>
      </c>
      <c r="C2348">
        <v>22.33</v>
      </c>
      <c r="D2348">
        <v>21.32</v>
      </c>
    </row>
    <row r="2349" spans="1:4">
      <c r="A2349">
        <v>2348</v>
      </c>
      <c r="C2349">
        <v>21.42</v>
      </c>
      <c r="D2349">
        <v>20.63</v>
      </c>
    </row>
    <row r="2350" spans="1:4">
      <c r="A2350">
        <v>2349</v>
      </c>
      <c r="C2350">
        <v>21.71</v>
      </c>
      <c r="D2350">
        <v>21.06</v>
      </c>
    </row>
    <row r="2351" spans="1:4">
      <c r="A2351">
        <v>2350</v>
      </c>
      <c r="C2351">
        <v>21.35</v>
      </c>
      <c r="D2351">
        <v>20.399999999999999</v>
      </c>
    </row>
    <row r="2352" spans="1:4">
      <c r="A2352">
        <v>2351</v>
      </c>
      <c r="C2352">
        <v>21.58</v>
      </c>
      <c r="D2352">
        <v>20.94</v>
      </c>
    </row>
    <row r="2353" spans="1:4">
      <c r="A2353">
        <v>2352</v>
      </c>
      <c r="C2353">
        <v>21.66</v>
      </c>
      <c r="D2353">
        <v>20.7</v>
      </c>
    </row>
    <row r="2354" spans="1:4">
      <c r="A2354">
        <v>2353</v>
      </c>
      <c r="C2354">
        <v>20.93</v>
      </c>
      <c r="D2354">
        <v>19.66</v>
      </c>
    </row>
    <row r="2355" spans="1:4">
      <c r="A2355">
        <v>2354</v>
      </c>
      <c r="C2355">
        <v>20.02</v>
      </c>
      <c r="D2355">
        <v>19.39</v>
      </c>
    </row>
    <row r="2356" spans="1:4">
      <c r="A2356">
        <v>2355</v>
      </c>
      <c r="C2356">
        <v>20.05</v>
      </c>
      <c r="D2356">
        <v>19.350000000000001</v>
      </c>
    </row>
    <row r="2357" spans="1:4">
      <c r="A2357">
        <v>2356</v>
      </c>
      <c r="C2357">
        <v>20.29</v>
      </c>
      <c r="D2357">
        <v>19.82</v>
      </c>
    </row>
    <row r="2358" spans="1:4">
      <c r="A2358">
        <v>2357</v>
      </c>
      <c r="C2358">
        <v>19.79</v>
      </c>
      <c r="D2358">
        <v>19.22</v>
      </c>
    </row>
    <row r="2359" spans="1:4">
      <c r="A2359">
        <v>2358</v>
      </c>
      <c r="C2359">
        <v>19.420000000000002</v>
      </c>
      <c r="D2359">
        <v>18.239999999999998</v>
      </c>
    </row>
    <row r="2360" spans="1:4">
      <c r="A2360">
        <v>2359</v>
      </c>
      <c r="C2360">
        <v>20.69</v>
      </c>
      <c r="D2360">
        <v>19.45</v>
      </c>
    </row>
    <row r="2361" spans="1:4">
      <c r="A2361">
        <v>2360</v>
      </c>
      <c r="C2361">
        <v>21.68</v>
      </c>
      <c r="D2361">
        <v>20.3</v>
      </c>
    </row>
    <row r="2362" spans="1:4">
      <c r="A2362">
        <v>2361</v>
      </c>
      <c r="C2362">
        <v>21.72</v>
      </c>
      <c r="D2362">
        <v>21.21</v>
      </c>
    </row>
    <row r="2363" spans="1:4">
      <c r="A2363">
        <v>2362</v>
      </c>
      <c r="C2363">
        <v>21</v>
      </c>
      <c r="D2363">
        <v>19.559999999999999</v>
      </c>
    </row>
    <row r="2364" spans="1:4">
      <c r="A2364">
        <v>2363</v>
      </c>
      <c r="C2364">
        <v>20.079999999999998</v>
      </c>
      <c r="D2364">
        <v>19.14</v>
      </c>
    </row>
    <row r="2365" spans="1:4">
      <c r="A2365">
        <v>2364</v>
      </c>
      <c r="C2365">
        <v>20.75</v>
      </c>
      <c r="D2365">
        <v>19.66</v>
      </c>
    </row>
    <row r="2366" spans="1:4">
      <c r="A2366">
        <v>2365</v>
      </c>
      <c r="C2366">
        <v>20.350000000000001</v>
      </c>
      <c r="D2366">
        <v>19.79</v>
      </c>
    </row>
    <row r="2367" spans="1:4">
      <c r="A2367">
        <v>2366</v>
      </c>
      <c r="C2367">
        <v>20.74</v>
      </c>
      <c r="D2367">
        <v>19.66</v>
      </c>
    </row>
    <row r="2368" spans="1:4">
      <c r="A2368">
        <v>2367</v>
      </c>
      <c r="C2368">
        <v>19.829999999999998</v>
      </c>
      <c r="D2368">
        <v>19.440000000000001</v>
      </c>
    </row>
    <row r="2369" spans="1:4">
      <c r="A2369">
        <v>2368</v>
      </c>
      <c r="C2369">
        <v>20.98</v>
      </c>
      <c r="D2369">
        <v>20.059999999999999</v>
      </c>
    </row>
    <row r="2370" spans="1:4">
      <c r="A2370">
        <v>2369</v>
      </c>
      <c r="C2370">
        <v>21.22</v>
      </c>
      <c r="D2370">
        <v>20.7</v>
      </c>
    </row>
    <row r="2371" spans="1:4">
      <c r="A2371">
        <v>2370</v>
      </c>
      <c r="C2371">
        <v>20.95</v>
      </c>
      <c r="D2371">
        <v>20.5</v>
      </c>
    </row>
    <row r="2372" spans="1:4">
      <c r="A2372">
        <v>2371</v>
      </c>
      <c r="C2372">
        <v>21.39</v>
      </c>
      <c r="D2372">
        <v>20.81</v>
      </c>
    </row>
    <row r="2373" spans="1:4">
      <c r="A2373">
        <v>2372</v>
      </c>
      <c r="C2373">
        <v>21.44</v>
      </c>
      <c r="D2373">
        <v>20.16</v>
      </c>
    </row>
    <row r="2374" spans="1:4">
      <c r="A2374">
        <v>2373</v>
      </c>
      <c r="C2374">
        <v>22.81</v>
      </c>
      <c r="D2374">
        <v>22.12</v>
      </c>
    </row>
    <row r="2375" spans="1:4">
      <c r="A2375">
        <v>2374</v>
      </c>
      <c r="C2375">
        <v>21.87</v>
      </c>
      <c r="D2375">
        <v>20.64</v>
      </c>
    </row>
    <row r="2376" spans="1:4">
      <c r="A2376">
        <v>2375</v>
      </c>
      <c r="C2376">
        <v>20.72</v>
      </c>
      <c r="D2376">
        <v>20.100000000000001</v>
      </c>
    </row>
    <row r="2377" spans="1:4">
      <c r="A2377">
        <v>2376</v>
      </c>
      <c r="C2377">
        <v>21.04</v>
      </c>
      <c r="D2377">
        <v>20.39</v>
      </c>
    </row>
    <row r="2378" spans="1:4">
      <c r="A2378">
        <v>2377</v>
      </c>
      <c r="C2378">
        <v>20.9</v>
      </c>
      <c r="D2378">
        <v>20.5</v>
      </c>
    </row>
    <row r="2379" spans="1:4">
      <c r="A2379">
        <v>2378</v>
      </c>
      <c r="C2379">
        <v>21.28</v>
      </c>
      <c r="D2379">
        <v>20.22</v>
      </c>
    </row>
    <row r="2380" spans="1:4">
      <c r="A2380">
        <v>2379</v>
      </c>
      <c r="C2380">
        <v>20.55</v>
      </c>
      <c r="D2380">
        <v>19.78</v>
      </c>
    </row>
    <row r="2381" spans="1:4">
      <c r="A2381">
        <v>2380</v>
      </c>
      <c r="C2381">
        <v>20.329999999999998</v>
      </c>
      <c r="D2381">
        <v>19.739999999999998</v>
      </c>
    </row>
    <row r="2382" spans="1:4">
      <c r="A2382">
        <v>2381</v>
      </c>
      <c r="C2382">
        <v>19.989999999999998</v>
      </c>
      <c r="D2382">
        <v>19.510000000000002</v>
      </c>
    </row>
    <row r="2383" spans="1:4">
      <c r="A2383">
        <v>2382</v>
      </c>
      <c r="C2383">
        <v>19.59</v>
      </c>
      <c r="D2383">
        <v>18.89</v>
      </c>
    </row>
    <row r="2384" spans="1:4">
      <c r="A2384">
        <v>2383</v>
      </c>
      <c r="C2384">
        <v>20.99</v>
      </c>
      <c r="D2384">
        <v>20.16</v>
      </c>
    </row>
    <row r="2385" spans="1:4">
      <c r="A2385">
        <v>2384</v>
      </c>
      <c r="C2385">
        <v>20.89</v>
      </c>
      <c r="D2385">
        <v>20.239999999999998</v>
      </c>
    </row>
    <row r="2386" spans="1:4">
      <c r="A2386">
        <v>2385</v>
      </c>
      <c r="C2386">
        <v>21.25</v>
      </c>
      <c r="D2386">
        <v>20.48</v>
      </c>
    </row>
    <row r="2387" spans="1:4">
      <c r="A2387">
        <v>2386</v>
      </c>
      <c r="C2387">
        <v>20.47</v>
      </c>
      <c r="D2387">
        <v>19.399999999999999</v>
      </c>
    </row>
    <row r="2388" spans="1:4">
      <c r="A2388">
        <v>2387</v>
      </c>
      <c r="C2388">
        <v>19.64</v>
      </c>
      <c r="D2388">
        <v>18.87</v>
      </c>
    </row>
    <row r="2389" spans="1:4">
      <c r="A2389">
        <v>2388</v>
      </c>
      <c r="C2389">
        <v>19.63</v>
      </c>
      <c r="D2389">
        <v>19.21</v>
      </c>
    </row>
    <row r="2390" spans="1:4">
      <c r="A2390">
        <v>2389</v>
      </c>
      <c r="C2390">
        <v>20.8</v>
      </c>
      <c r="D2390">
        <v>19.29</v>
      </c>
    </row>
    <row r="2391" spans="1:4">
      <c r="A2391">
        <v>2390</v>
      </c>
      <c r="C2391">
        <v>19.399999999999999</v>
      </c>
      <c r="D2391">
        <v>18.84</v>
      </c>
    </row>
    <row r="2392" spans="1:4">
      <c r="A2392">
        <v>2391</v>
      </c>
      <c r="C2392">
        <v>19.73</v>
      </c>
      <c r="D2392">
        <v>18.86</v>
      </c>
    </row>
    <row r="2393" spans="1:4">
      <c r="A2393">
        <v>2392</v>
      </c>
      <c r="C2393">
        <v>20.32</v>
      </c>
      <c r="D2393">
        <v>19.84</v>
      </c>
    </row>
    <row r="2394" spans="1:4">
      <c r="A2394">
        <v>2393</v>
      </c>
      <c r="C2394">
        <v>20.05</v>
      </c>
      <c r="D2394">
        <v>19.37</v>
      </c>
    </row>
    <row r="2395" spans="1:4">
      <c r="A2395">
        <v>2394</v>
      </c>
      <c r="C2395">
        <v>19.63</v>
      </c>
      <c r="D2395">
        <v>18.93</v>
      </c>
    </row>
    <row r="2396" spans="1:4">
      <c r="A2396">
        <v>2395</v>
      </c>
      <c r="C2396">
        <v>19.5</v>
      </c>
      <c r="D2396">
        <v>19.05</v>
      </c>
    </row>
    <row r="2397" spans="1:4">
      <c r="A2397">
        <v>2396</v>
      </c>
      <c r="C2397">
        <v>18.89</v>
      </c>
      <c r="D2397">
        <v>18.260000000000002</v>
      </c>
    </row>
    <row r="2398" spans="1:4">
      <c r="A2398">
        <v>2397</v>
      </c>
      <c r="C2398">
        <v>19.670000000000002</v>
      </c>
      <c r="D2398">
        <v>18.7</v>
      </c>
    </row>
    <row r="2399" spans="1:4">
      <c r="A2399">
        <v>2398</v>
      </c>
      <c r="C2399">
        <v>19.93</v>
      </c>
      <c r="D2399">
        <v>19.38</v>
      </c>
    </row>
    <row r="2400" spans="1:4">
      <c r="A2400">
        <v>2399</v>
      </c>
      <c r="C2400">
        <v>20.149999999999999</v>
      </c>
      <c r="D2400">
        <v>19.66</v>
      </c>
    </row>
    <row r="2401" spans="1:4">
      <c r="A2401">
        <v>2400</v>
      </c>
      <c r="C2401">
        <v>20.45</v>
      </c>
      <c r="D2401">
        <v>19.8</v>
      </c>
    </row>
    <row r="2402" spans="1:4">
      <c r="A2402">
        <v>2401</v>
      </c>
      <c r="C2402">
        <v>20.2</v>
      </c>
      <c r="D2402">
        <v>19.100000000000001</v>
      </c>
    </row>
    <row r="2403" spans="1:4">
      <c r="A2403">
        <v>2402</v>
      </c>
      <c r="C2403">
        <v>20.36</v>
      </c>
      <c r="D2403">
        <v>19.78</v>
      </c>
    </row>
    <row r="2404" spans="1:4">
      <c r="A2404">
        <v>2403</v>
      </c>
      <c r="C2404">
        <v>20.07</v>
      </c>
      <c r="D2404">
        <v>19.100000000000001</v>
      </c>
    </row>
    <row r="2405" spans="1:4">
      <c r="A2405">
        <v>2404</v>
      </c>
      <c r="C2405">
        <v>19.600000000000001</v>
      </c>
      <c r="D2405">
        <v>18.600000000000001</v>
      </c>
    </row>
    <row r="2406" spans="1:4">
      <c r="A2406">
        <v>2405</v>
      </c>
      <c r="C2406">
        <v>18.649999999999999</v>
      </c>
      <c r="D2406">
        <v>17.88</v>
      </c>
    </row>
    <row r="2407" spans="1:4">
      <c r="A2407">
        <v>2406</v>
      </c>
      <c r="C2407">
        <v>18.88</v>
      </c>
      <c r="D2407">
        <v>17.649999999999999</v>
      </c>
    </row>
    <row r="2408" spans="1:4">
      <c r="A2408">
        <v>2407</v>
      </c>
      <c r="C2408">
        <v>18.760000000000002</v>
      </c>
      <c r="D2408">
        <v>18.25</v>
      </c>
    </row>
    <row r="2409" spans="1:4">
      <c r="A2409">
        <v>2408</v>
      </c>
      <c r="C2409">
        <v>19.5</v>
      </c>
      <c r="D2409">
        <v>18.32</v>
      </c>
    </row>
    <row r="2410" spans="1:4">
      <c r="A2410">
        <v>2409</v>
      </c>
      <c r="C2410">
        <v>19.03</v>
      </c>
      <c r="D2410">
        <v>18.73</v>
      </c>
    </row>
    <row r="2411" spans="1:4">
      <c r="A2411">
        <v>2410</v>
      </c>
      <c r="C2411">
        <v>19.579999999999998</v>
      </c>
      <c r="D2411">
        <v>18.36</v>
      </c>
    </row>
    <row r="2412" spans="1:4">
      <c r="A2412">
        <v>2411</v>
      </c>
      <c r="C2412">
        <v>20.77</v>
      </c>
      <c r="D2412">
        <v>20.059999999999999</v>
      </c>
    </row>
    <row r="2413" spans="1:4">
      <c r="A2413">
        <v>2412</v>
      </c>
      <c r="C2413">
        <v>22.86</v>
      </c>
      <c r="D2413">
        <v>21.25</v>
      </c>
    </row>
    <row r="2414" spans="1:4">
      <c r="A2414">
        <v>2413</v>
      </c>
      <c r="C2414">
        <v>22.68</v>
      </c>
      <c r="D2414">
        <v>21.36</v>
      </c>
    </row>
    <row r="2415" spans="1:4">
      <c r="A2415">
        <v>2414</v>
      </c>
      <c r="C2415">
        <v>23.89</v>
      </c>
      <c r="D2415">
        <v>21.48</v>
      </c>
    </row>
    <row r="2416" spans="1:4">
      <c r="A2416">
        <v>2415</v>
      </c>
      <c r="C2416">
        <v>21.72</v>
      </c>
      <c r="D2416">
        <v>20.09</v>
      </c>
    </row>
    <row r="2417" spans="1:4">
      <c r="A2417">
        <v>2416</v>
      </c>
      <c r="C2417">
        <v>20.21</v>
      </c>
      <c r="D2417">
        <v>19.48</v>
      </c>
    </row>
    <row r="2418" spans="1:4">
      <c r="A2418">
        <v>2417</v>
      </c>
      <c r="C2418">
        <v>20.309999999999999</v>
      </c>
      <c r="D2418">
        <v>19.510000000000002</v>
      </c>
    </row>
    <row r="2419" spans="1:4">
      <c r="A2419">
        <v>2418</v>
      </c>
      <c r="C2419">
        <v>19.55</v>
      </c>
      <c r="D2419">
        <v>17.75</v>
      </c>
    </row>
    <row r="2420" spans="1:4">
      <c r="A2420">
        <v>2419</v>
      </c>
      <c r="C2420">
        <v>18.989999999999998</v>
      </c>
      <c r="D2420">
        <v>18.05</v>
      </c>
    </row>
    <row r="2421" spans="1:4">
      <c r="A2421">
        <v>2420</v>
      </c>
      <c r="C2421">
        <v>18.96</v>
      </c>
      <c r="D2421">
        <v>18.2</v>
      </c>
    </row>
    <row r="2422" spans="1:4">
      <c r="A2422">
        <v>2421</v>
      </c>
      <c r="C2422">
        <v>18.940000000000001</v>
      </c>
      <c r="D2422">
        <v>18.149999999999999</v>
      </c>
    </row>
    <row r="2423" spans="1:4">
      <c r="A2423">
        <v>2422</v>
      </c>
      <c r="C2423">
        <v>18.850000000000001</v>
      </c>
      <c r="D2423">
        <v>18.010000000000002</v>
      </c>
    </row>
    <row r="2424" spans="1:4">
      <c r="A2424">
        <v>2423</v>
      </c>
      <c r="C2424">
        <v>18.38</v>
      </c>
      <c r="D2424">
        <v>17.79</v>
      </c>
    </row>
    <row r="2425" spans="1:4">
      <c r="A2425">
        <v>2424</v>
      </c>
      <c r="C2425">
        <v>18.329999999999998</v>
      </c>
      <c r="D2425">
        <v>17.809999999999999</v>
      </c>
    </row>
    <row r="2426" spans="1:4">
      <c r="A2426">
        <v>2425</v>
      </c>
      <c r="C2426">
        <v>18.18</v>
      </c>
      <c r="D2426">
        <v>17.64</v>
      </c>
    </row>
    <row r="2427" spans="1:4">
      <c r="A2427">
        <v>2426</v>
      </c>
      <c r="C2427">
        <v>18.63</v>
      </c>
      <c r="D2427">
        <v>17.73</v>
      </c>
    </row>
    <row r="2428" spans="1:4">
      <c r="A2428">
        <v>2427</v>
      </c>
      <c r="C2428">
        <v>19.579999999999998</v>
      </c>
      <c r="D2428">
        <v>19.21</v>
      </c>
    </row>
    <row r="2429" spans="1:4">
      <c r="A2429">
        <v>2428</v>
      </c>
      <c r="C2429">
        <v>20.3</v>
      </c>
      <c r="D2429">
        <v>19.45</v>
      </c>
    </row>
    <row r="2430" spans="1:4">
      <c r="A2430">
        <v>2429</v>
      </c>
      <c r="C2430">
        <v>19.93</v>
      </c>
      <c r="D2430">
        <v>19.09</v>
      </c>
    </row>
    <row r="2431" spans="1:4">
      <c r="A2431">
        <v>2430</v>
      </c>
      <c r="C2431">
        <v>19.59</v>
      </c>
      <c r="D2431">
        <v>18.45</v>
      </c>
    </row>
    <row r="2432" spans="1:4">
      <c r="A2432">
        <v>2431</v>
      </c>
      <c r="C2432">
        <v>18.75</v>
      </c>
      <c r="D2432">
        <v>18.52</v>
      </c>
    </row>
    <row r="2433" spans="1:4">
      <c r="A2433">
        <v>2432</v>
      </c>
      <c r="C2433">
        <v>19.829999999999998</v>
      </c>
      <c r="D2433">
        <v>18.95</v>
      </c>
    </row>
    <row r="2434" spans="1:4">
      <c r="A2434">
        <v>2433</v>
      </c>
      <c r="C2434">
        <v>19.579999999999998</v>
      </c>
      <c r="D2434">
        <v>19.21</v>
      </c>
    </row>
    <row r="2435" spans="1:4">
      <c r="A2435">
        <v>2434</v>
      </c>
      <c r="C2435">
        <v>19.64</v>
      </c>
      <c r="D2435">
        <v>18.7</v>
      </c>
    </row>
    <row r="2436" spans="1:4">
      <c r="A2436">
        <v>2435</v>
      </c>
      <c r="C2436">
        <v>18.690000000000001</v>
      </c>
      <c r="D2436">
        <v>18.149999999999999</v>
      </c>
    </row>
    <row r="2437" spans="1:4">
      <c r="A2437">
        <v>2436</v>
      </c>
      <c r="C2437">
        <v>18.59</v>
      </c>
      <c r="D2437">
        <v>18.25</v>
      </c>
    </row>
    <row r="2438" spans="1:4">
      <c r="A2438">
        <v>2437</v>
      </c>
      <c r="C2438">
        <v>19.14</v>
      </c>
      <c r="D2438">
        <v>18.45</v>
      </c>
    </row>
    <row r="2439" spans="1:4">
      <c r="A2439">
        <v>2438</v>
      </c>
      <c r="C2439">
        <v>20.149999999999999</v>
      </c>
      <c r="D2439">
        <v>19.260000000000002</v>
      </c>
    </row>
    <row r="2440" spans="1:4">
      <c r="A2440">
        <v>2439</v>
      </c>
      <c r="C2440">
        <v>20.02</v>
      </c>
      <c r="D2440">
        <v>19.190000000000001</v>
      </c>
    </row>
    <row r="2441" spans="1:4">
      <c r="A2441">
        <v>2440</v>
      </c>
      <c r="C2441">
        <v>20.66</v>
      </c>
      <c r="D2441">
        <v>18.510000000000002</v>
      </c>
    </row>
    <row r="2442" spans="1:4">
      <c r="A2442">
        <v>2441</v>
      </c>
      <c r="C2442">
        <v>19.350000000000001</v>
      </c>
      <c r="D2442">
        <v>18.850000000000001</v>
      </c>
    </row>
    <row r="2443" spans="1:4">
      <c r="A2443">
        <v>2442</v>
      </c>
      <c r="C2443">
        <v>18.940000000000001</v>
      </c>
      <c r="D2443">
        <v>17.95</v>
      </c>
    </row>
    <row r="2444" spans="1:4">
      <c r="A2444">
        <v>2443</v>
      </c>
      <c r="C2444">
        <v>18.239999999999998</v>
      </c>
      <c r="D2444">
        <v>17.98</v>
      </c>
    </row>
    <row r="2445" spans="1:4">
      <c r="A2445">
        <v>2444</v>
      </c>
      <c r="C2445">
        <v>18.149999999999999</v>
      </c>
      <c r="D2445">
        <v>17.559999999999999</v>
      </c>
    </row>
    <row r="2446" spans="1:4">
      <c r="A2446">
        <v>2445</v>
      </c>
      <c r="C2446">
        <v>17.86</v>
      </c>
      <c r="D2446">
        <v>17.52</v>
      </c>
    </row>
    <row r="2447" spans="1:4">
      <c r="A2447">
        <v>2446</v>
      </c>
      <c r="C2447">
        <v>20.03</v>
      </c>
      <c r="D2447">
        <v>19.03</v>
      </c>
    </row>
    <row r="2448" spans="1:4">
      <c r="A2448">
        <v>2447</v>
      </c>
      <c r="C2448">
        <v>19.97</v>
      </c>
      <c r="D2448">
        <v>19.309999999999999</v>
      </c>
    </row>
    <row r="2449" spans="1:4">
      <c r="A2449">
        <v>2448</v>
      </c>
      <c r="C2449">
        <v>21.26</v>
      </c>
      <c r="D2449">
        <v>19.440000000000001</v>
      </c>
    </row>
    <row r="2450" spans="1:4">
      <c r="A2450">
        <v>2449</v>
      </c>
      <c r="C2450">
        <v>22.27</v>
      </c>
      <c r="D2450">
        <v>21.04</v>
      </c>
    </row>
    <row r="2451" spans="1:4">
      <c r="A2451">
        <v>2450</v>
      </c>
      <c r="C2451">
        <v>22.73</v>
      </c>
      <c r="D2451">
        <v>21.85</v>
      </c>
    </row>
    <row r="2452" spans="1:4">
      <c r="A2452">
        <v>2451</v>
      </c>
      <c r="C2452">
        <v>22.85</v>
      </c>
      <c r="D2452">
        <v>21.64</v>
      </c>
    </row>
    <row r="2453" spans="1:4">
      <c r="A2453">
        <v>2452</v>
      </c>
      <c r="C2453">
        <v>23.26</v>
      </c>
      <c r="D2453">
        <v>22.03</v>
      </c>
    </row>
    <row r="2454" spans="1:4">
      <c r="A2454">
        <v>2453</v>
      </c>
      <c r="C2454">
        <v>22.82</v>
      </c>
      <c r="D2454">
        <v>20.99</v>
      </c>
    </row>
    <row r="2455" spans="1:4">
      <c r="A2455">
        <v>2454</v>
      </c>
      <c r="C2455">
        <v>21.45</v>
      </c>
      <c r="D2455">
        <v>20.71</v>
      </c>
    </row>
    <row r="2456" spans="1:4">
      <c r="A2456">
        <v>2455</v>
      </c>
      <c r="C2456">
        <v>20.09</v>
      </c>
      <c r="D2456">
        <v>18.95</v>
      </c>
    </row>
    <row r="2457" spans="1:4">
      <c r="A2457">
        <v>2456</v>
      </c>
      <c r="C2457">
        <v>20.69</v>
      </c>
      <c r="D2457">
        <v>19.45</v>
      </c>
    </row>
    <row r="2458" spans="1:4">
      <c r="A2458">
        <v>2457</v>
      </c>
      <c r="C2458">
        <v>20.14</v>
      </c>
      <c r="D2458">
        <v>19.399999999999999</v>
      </c>
    </row>
    <row r="2459" spans="1:4">
      <c r="A2459">
        <v>2458</v>
      </c>
      <c r="C2459">
        <v>19.61</v>
      </c>
      <c r="D2459">
        <v>19.079999999999998</v>
      </c>
    </row>
    <row r="2460" spans="1:4">
      <c r="A2460">
        <v>2459</v>
      </c>
      <c r="C2460">
        <v>19.28</v>
      </c>
      <c r="D2460">
        <v>18.260000000000002</v>
      </c>
    </row>
    <row r="2461" spans="1:4">
      <c r="A2461">
        <v>2460</v>
      </c>
      <c r="C2461">
        <v>18.920000000000002</v>
      </c>
      <c r="D2461">
        <v>18.420000000000002</v>
      </c>
    </row>
    <row r="2462" spans="1:4">
      <c r="A2462">
        <v>2461</v>
      </c>
      <c r="C2462">
        <v>17.91</v>
      </c>
      <c r="D2462">
        <v>17.420000000000002</v>
      </c>
    </row>
    <row r="2463" spans="1:4">
      <c r="A2463">
        <v>2462</v>
      </c>
      <c r="C2463">
        <v>17.79</v>
      </c>
      <c r="D2463">
        <v>17.2</v>
      </c>
    </row>
    <row r="2464" spans="1:4">
      <c r="A2464">
        <v>2463</v>
      </c>
      <c r="C2464">
        <v>17.96</v>
      </c>
      <c r="D2464">
        <v>16.98</v>
      </c>
    </row>
    <row r="2465" spans="1:4">
      <c r="A2465">
        <v>2464</v>
      </c>
      <c r="C2465">
        <v>18.05</v>
      </c>
      <c r="D2465">
        <v>16.86</v>
      </c>
    </row>
    <row r="2466" spans="1:4">
      <c r="A2466">
        <v>2465</v>
      </c>
      <c r="C2466">
        <v>17.850000000000001</v>
      </c>
      <c r="D2466">
        <v>16.97</v>
      </c>
    </row>
    <row r="2467" spans="1:4">
      <c r="A2467">
        <v>2466</v>
      </c>
      <c r="C2467">
        <v>18.07</v>
      </c>
      <c r="D2467">
        <v>17.04</v>
      </c>
    </row>
    <row r="2468" spans="1:4">
      <c r="A2468">
        <v>2467</v>
      </c>
      <c r="C2468">
        <v>17.23</v>
      </c>
      <c r="D2468">
        <v>16.190000000000001</v>
      </c>
    </row>
    <row r="2469" spans="1:4">
      <c r="A2469">
        <v>2468</v>
      </c>
      <c r="C2469">
        <v>17.98</v>
      </c>
      <c r="D2469">
        <v>17.100000000000001</v>
      </c>
    </row>
    <row r="2470" spans="1:4">
      <c r="A2470">
        <v>2469</v>
      </c>
      <c r="C2470">
        <v>18.510000000000002</v>
      </c>
      <c r="D2470">
        <v>17.48</v>
      </c>
    </row>
    <row r="2471" spans="1:4">
      <c r="A2471">
        <v>2470</v>
      </c>
      <c r="C2471">
        <v>18.68</v>
      </c>
      <c r="D2471">
        <v>17.670000000000002</v>
      </c>
    </row>
    <row r="2472" spans="1:4">
      <c r="A2472">
        <v>2471</v>
      </c>
      <c r="C2472">
        <v>18.18</v>
      </c>
      <c r="D2472">
        <v>17.739999999999998</v>
      </c>
    </row>
    <row r="2473" spans="1:4">
      <c r="A2473">
        <v>2472</v>
      </c>
      <c r="C2473">
        <v>17.89</v>
      </c>
      <c r="D2473">
        <v>16.77</v>
      </c>
    </row>
    <row r="2474" spans="1:4">
      <c r="A2474">
        <v>2473</v>
      </c>
      <c r="C2474">
        <v>17.02</v>
      </c>
      <c r="D2474">
        <v>16.34</v>
      </c>
    </row>
    <row r="2475" spans="1:4">
      <c r="A2475">
        <v>2474</v>
      </c>
      <c r="C2475">
        <v>16.760000000000002</v>
      </c>
      <c r="D2475">
        <v>16.010000000000002</v>
      </c>
    </row>
    <row r="2476" spans="1:4">
      <c r="A2476">
        <v>2475</v>
      </c>
      <c r="C2476">
        <v>16.190000000000001</v>
      </c>
      <c r="D2476">
        <v>15.79</v>
      </c>
    </row>
    <row r="2477" spans="1:4">
      <c r="A2477">
        <v>2476</v>
      </c>
      <c r="C2477">
        <v>16.7</v>
      </c>
      <c r="D2477">
        <v>16.22</v>
      </c>
    </row>
    <row r="2478" spans="1:4">
      <c r="A2478">
        <v>2477</v>
      </c>
      <c r="C2478">
        <v>16.78</v>
      </c>
      <c r="D2478">
        <v>16.45</v>
      </c>
    </row>
    <row r="2479" spans="1:4">
      <c r="A2479">
        <v>2478</v>
      </c>
      <c r="C2479">
        <v>17.32</v>
      </c>
      <c r="D2479">
        <v>16.55</v>
      </c>
    </row>
    <row r="2480" spans="1:4">
      <c r="A2480">
        <v>2479</v>
      </c>
      <c r="C2480">
        <v>17.37</v>
      </c>
      <c r="D2480">
        <v>16.62</v>
      </c>
    </row>
    <row r="2481" spans="1:4">
      <c r="A2481">
        <v>2480</v>
      </c>
      <c r="C2481">
        <v>16.93</v>
      </c>
      <c r="D2481">
        <v>16.5</v>
      </c>
    </row>
    <row r="2482" spans="1:4">
      <c r="A2482">
        <v>2481</v>
      </c>
      <c r="C2482">
        <v>17.88</v>
      </c>
      <c r="D2482">
        <v>17.53</v>
      </c>
    </row>
    <row r="2483" spans="1:4">
      <c r="A2483">
        <v>2482</v>
      </c>
      <c r="C2483">
        <v>18.53</v>
      </c>
      <c r="D2483">
        <v>17.5</v>
      </c>
    </row>
    <row r="2484" spans="1:4">
      <c r="A2484">
        <v>2483</v>
      </c>
      <c r="C2484">
        <v>17.850000000000001</v>
      </c>
      <c r="D2484">
        <v>16.55</v>
      </c>
    </row>
    <row r="2485" spans="1:4">
      <c r="A2485">
        <v>2484</v>
      </c>
      <c r="C2485">
        <v>17.13</v>
      </c>
      <c r="D2485">
        <v>16.43</v>
      </c>
    </row>
    <row r="2486" spans="1:4">
      <c r="A2486">
        <v>2485</v>
      </c>
      <c r="C2486">
        <v>17</v>
      </c>
      <c r="D2486">
        <v>16.170000000000002</v>
      </c>
    </row>
    <row r="2487" spans="1:4">
      <c r="A2487">
        <v>2486</v>
      </c>
      <c r="C2487">
        <v>19.36</v>
      </c>
      <c r="D2487">
        <v>18.04</v>
      </c>
    </row>
    <row r="2488" spans="1:4">
      <c r="A2488">
        <v>2487</v>
      </c>
      <c r="C2488">
        <v>19.170000000000002</v>
      </c>
      <c r="D2488">
        <v>17.78</v>
      </c>
    </row>
    <row r="2489" spans="1:4">
      <c r="A2489">
        <v>2488</v>
      </c>
      <c r="C2489">
        <v>19.510000000000002</v>
      </c>
      <c r="D2489">
        <v>18.649999999999999</v>
      </c>
    </row>
    <row r="2490" spans="1:4">
      <c r="A2490">
        <v>2489</v>
      </c>
      <c r="C2490">
        <v>19.61</v>
      </c>
      <c r="D2490">
        <v>18.46</v>
      </c>
    </row>
    <row r="2491" spans="1:4">
      <c r="A2491">
        <v>2490</v>
      </c>
      <c r="C2491">
        <v>19.399999999999999</v>
      </c>
      <c r="D2491">
        <v>18.82</v>
      </c>
    </row>
    <row r="2492" spans="1:4">
      <c r="A2492">
        <v>2491</v>
      </c>
      <c r="C2492">
        <v>18.98</v>
      </c>
      <c r="D2492">
        <v>17.190000000000001</v>
      </c>
    </row>
    <row r="2493" spans="1:4">
      <c r="A2493">
        <v>2492</v>
      </c>
      <c r="C2493">
        <v>17.87</v>
      </c>
      <c r="D2493">
        <v>16.399999999999999</v>
      </c>
    </row>
    <row r="2494" spans="1:4">
      <c r="A2494">
        <v>2493</v>
      </c>
      <c r="C2494">
        <v>17.260000000000002</v>
      </c>
      <c r="D2494">
        <v>16.02</v>
      </c>
    </row>
    <row r="2495" spans="1:4">
      <c r="A2495">
        <v>2494</v>
      </c>
      <c r="C2495">
        <v>16.62</v>
      </c>
      <c r="D2495">
        <v>16.16</v>
      </c>
    </row>
    <row r="2496" spans="1:4">
      <c r="A2496">
        <v>2495</v>
      </c>
      <c r="C2496">
        <v>17.03</v>
      </c>
      <c r="D2496">
        <v>16.170000000000002</v>
      </c>
    </row>
    <row r="2497" spans="1:4">
      <c r="A2497">
        <v>2496</v>
      </c>
      <c r="C2497">
        <v>16.89</v>
      </c>
      <c r="D2497">
        <v>16.170000000000002</v>
      </c>
    </row>
    <row r="2498" spans="1:4">
      <c r="A2498">
        <v>2497</v>
      </c>
      <c r="C2498">
        <v>16.68</v>
      </c>
      <c r="D2498">
        <v>15.77</v>
      </c>
    </row>
    <row r="2499" spans="1:4">
      <c r="A2499">
        <v>2498</v>
      </c>
      <c r="C2499">
        <v>16.829999999999998</v>
      </c>
      <c r="D2499">
        <v>16.29</v>
      </c>
    </row>
    <row r="2500" spans="1:4">
      <c r="A2500">
        <v>2499</v>
      </c>
      <c r="C2500">
        <v>17.32</v>
      </c>
      <c r="D2500">
        <v>16.5</v>
      </c>
    </row>
    <row r="2501" spans="1:4">
      <c r="A2501">
        <v>2500</v>
      </c>
      <c r="C2501">
        <v>17.59</v>
      </c>
      <c r="D2501">
        <v>16.52</v>
      </c>
    </row>
    <row r="2502" spans="1:4">
      <c r="A2502">
        <v>2501</v>
      </c>
      <c r="C2502">
        <v>17.8</v>
      </c>
      <c r="D2502">
        <v>16.559999999999999</v>
      </c>
    </row>
    <row r="2503" spans="1:4">
      <c r="A2503">
        <v>2502</v>
      </c>
      <c r="C2503">
        <v>18.27</v>
      </c>
      <c r="D2503">
        <v>17.579999999999998</v>
      </c>
    </row>
    <row r="2504" spans="1:4">
      <c r="A2504">
        <v>2503</v>
      </c>
      <c r="C2504">
        <v>17.95</v>
      </c>
      <c r="D2504">
        <v>16.510000000000002</v>
      </c>
    </row>
    <row r="2505" spans="1:4">
      <c r="A2505">
        <v>2504</v>
      </c>
      <c r="C2505">
        <v>16.98</v>
      </c>
      <c r="D2505">
        <v>16.09</v>
      </c>
    </row>
    <row r="2506" spans="1:4">
      <c r="A2506">
        <v>2505</v>
      </c>
      <c r="C2506">
        <v>17.420000000000002</v>
      </c>
      <c r="D2506">
        <v>15.79</v>
      </c>
    </row>
    <row r="2507" spans="1:4">
      <c r="A2507">
        <v>2506</v>
      </c>
      <c r="C2507">
        <v>17.45</v>
      </c>
      <c r="D2507">
        <v>15.9</v>
      </c>
    </row>
    <row r="2508" spans="1:4">
      <c r="A2508">
        <v>2507</v>
      </c>
      <c r="C2508">
        <v>16.27</v>
      </c>
      <c r="D2508">
        <v>15.52</v>
      </c>
    </row>
    <row r="2509" spans="1:4">
      <c r="A2509">
        <v>2508</v>
      </c>
      <c r="C2509">
        <v>16.190000000000001</v>
      </c>
      <c r="D2509">
        <v>14.66</v>
      </c>
    </row>
    <row r="2510" spans="1:4">
      <c r="A2510">
        <v>2509</v>
      </c>
      <c r="C2510">
        <v>16.809999999999999</v>
      </c>
      <c r="D2510">
        <v>15.71</v>
      </c>
    </row>
    <row r="2511" spans="1:4">
      <c r="A2511">
        <v>2510</v>
      </c>
      <c r="C2511">
        <v>17.309999999999999</v>
      </c>
      <c r="D2511">
        <v>16.61</v>
      </c>
    </row>
    <row r="2512" spans="1:4">
      <c r="A2512">
        <v>2511</v>
      </c>
      <c r="C2512">
        <v>17.399999999999999</v>
      </c>
      <c r="D2512">
        <v>16.29</v>
      </c>
    </row>
    <row r="2513" spans="1:4">
      <c r="A2513">
        <v>2512</v>
      </c>
      <c r="C2513">
        <v>16.77</v>
      </c>
      <c r="D2513">
        <v>16.239999999999998</v>
      </c>
    </row>
    <row r="2514" spans="1:4">
      <c r="A2514">
        <v>2513</v>
      </c>
      <c r="C2514">
        <v>17.489999999999998</v>
      </c>
      <c r="D2514">
        <v>16.63</v>
      </c>
    </row>
    <row r="2515" spans="1:4">
      <c r="A2515">
        <v>2514</v>
      </c>
      <c r="C2515">
        <v>17.86</v>
      </c>
      <c r="D2515">
        <v>17.07</v>
      </c>
    </row>
    <row r="2516" spans="1:4">
      <c r="A2516">
        <v>2515</v>
      </c>
      <c r="C2516">
        <v>17.97</v>
      </c>
      <c r="D2516">
        <v>17.2</v>
      </c>
    </row>
    <row r="2517" spans="1:4">
      <c r="A2517">
        <v>2516</v>
      </c>
      <c r="C2517">
        <v>18.86</v>
      </c>
      <c r="D2517">
        <v>17.41</v>
      </c>
    </row>
    <row r="2518" spans="1:4">
      <c r="A2518">
        <v>2517</v>
      </c>
      <c r="C2518">
        <v>18.68</v>
      </c>
      <c r="D2518">
        <v>17.54</v>
      </c>
    </row>
    <row r="2519" spans="1:4">
      <c r="A2519">
        <v>2518</v>
      </c>
      <c r="C2519">
        <v>18.489999999999998</v>
      </c>
      <c r="D2519">
        <v>17.440000000000001</v>
      </c>
    </row>
    <row r="2520" spans="1:4">
      <c r="A2520">
        <v>2519</v>
      </c>
      <c r="C2520">
        <v>17.670000000000002</v>
      </c>
      <c r="D2520">
        <v>16.190000000000001</v>
      </c>
    </row>
    <row r="2521" spans="1:4">
      <c r="A2521">
        <v>2520</v>
      </c>
      <c r="C2521">
        <v>16.75</v>
      </c>
      <c r="D2521">
        <v>15.5</v>
      </c>
    </row>
    <row r="2522" spans="1:4">
      <c r="A2522">
        <v>2521</v>
      </c>
      <c r="C2522">
        <v>15.68</v>
      </c>
      <c r="D2522">
        <v>15.32</v>
      </c>
    </row>
    <row r="2523" spans="1:4">
      <c r="A2523">
        <v>2522</v>
      </c>
      <c r="C2523">
        <v>16.88</v>
      </c>
      <c r="D2523">
        <v>15.57</v>
      </c>
    </row>
    <row r="2524" spans="1:4">
      <c r="A2524">
        <v>2523</v>
      </c>
      <c r="C2524">
        <v>17.46</v>
      </c>
      <c r="D2524">
        <v>16.79</v>
      </c>
    </row>
    <row r="2525" spans="1:4">
      <c r="A2525">
        <v>2524</v>
      </c>
      <c r="C2525">
        <v>18.329999999999998</v>
      </c>
      <c r="D2525">
        <v>16.53</v>
      </c>
    </row>
    <row r="2526" spans="1:4">
      <c r="A2526">
        <v>2525</v>
      </c>
      <c r="C2526">
        <v>17.3</v>
      </c>
      <c r="D2526">
        <v>16.399999999999999</v>
      </c>
    </row>
    <row r="2527" spans="1:4">
      <c r="A2527">
        <v>2526</v>
      </c>
      <c r="C2527">
        <v>17.309999999999999</v>
      </c>
      <c r="D2527">
        <v>15.49</v>
      </c>
    </row>
    <row r="2528" spans="1:4">
      <c r="A2528">
        <v>2527</v>
      </c>
      <c r="C2528">
        <v>15.44</v>
      </c>
      <c r="D2528">
        <v>14.9</v>
      </c>
    </row>
    <row r="2529" spans="1:4">
      <c r="A2529">
        <v>2528</v>
      </c>
      <c r="C2529">
        <v>16.13</v>
      </c>
      <c r="D2529">
        <v>15.09</v>
      </c>
    </row>
    <row r="2530" spans="1:4">
      <c r="A2530">
        <v>2529</v>
      </c>
      <c r="C2530">
        <v>15.63</v>
      </c>
      <c r="D2530">
        <v>14.24</v>
      </c>
    </row>
    <row r="2531" spans="1:4">
      <c r="A2531">
        <v>2530</v>
      </c>
      <c r="C2531">
        <v>14.87</v>
      </c>
      <c r="D2531">
        <v>14.01</v>
      </c>
    </row>
    <row r="2532" spans="1:4">
      <c r="A2532">
        <v>2531</v>
      </c>
      <c r="C2532">
        <v>15.05</v>
      </c>
      <c r="D2532">
        <v>14.56</v>
      </c>
    </row>
    <row r="2533" spans="1:4">
      <c r="A2533">
        <v>2532</v>
      </c>
      <c r="C2533">
        <v>15.78</v>
      </c>
      <c r="D2533">
        <v>14.52</v>
      </c>
    </row>
    <row r="2534" spans="1:4">
      <c r="A2534">
        <v>2533</v>
      </c>
      <c r="C2534">
        <v>15.44</v>
      </c>
      <c r="D2534">
        <v>14.74</v>
      </c>
    </row>
    <row r="2535" spans="1:4">
      <c r="A2535">
        <v>2534</v>
      </c>
      <c r="C2535">
        <v>17.059999999999999</v>
      </c>
      <c r="D2535">
        <v>15.29</v>
      </c>
    </row>
    <row r="2536" spans="1:4">
      <c r="A2536">
        <v>2535</v>
      </c>
      <c r="C2536">
        <v>17.66</v>
      </c>
      <c r="D2536">
        <v>16.79</v>
      </c>
    </row>
    <row r="2537" spans="1:4">
      <c r="A2537">
        <v>2536</v>
      </c>
      <c r="C2537">
        <v>17.350000000000001</v>
      </c>
      <c r="D2537">
        <v>16.55</v>
      </c>
    </row>
    <row r="2538" spans="1:4">
      <c r="A2538">
        <v>2537</v>
      </c>
      <c r="C2538">
        <v>17.559999999999999</v>
      </c>
      <c r="D2538">
        <v>16.670000000000002</v>
      </c>
    </row>
    <row r="2539" spans="1:4">
      <c r="A2539">
        <v>2538</v>
      </c>
      <c r="C2539">
        <v>17.78</v>
      </c>
      <c r="D2539">
        <v>17.170000000000002</v>
      </c>
    </row>
    <row r="2540" spans="1:4">
      <c r="A2540">
        <v>2539</v>
      </c>
      <c r="C2540">
        <v>18.059999999999999</v>
      </c>
      <c r="D2540">
        <v>17.46</v>
      </c>
    </row>
    <row r="2541" spans="1:4">
      <c r="A2541">
        <v>2540</v>
      </c>
      <c r="C2541">
        <v>17.989999999999998</v>
      </c>
      <c r="D2541">
        <v>17.600000000000001</v>
      </c>
    </row>
    <row r="2542" spans="1:4">
      <c r="A2542">
        <v>2541</v>
      </c>
      <c r="C2542">
        <v>17.71</v>
      </c>
      <c r="D2542">
        <v>15.94</v>
      </c>
    </row>
    <row r="2543" spans="1:4">
      <c r="A2543">
        <v>2542</v>
      </c>
      <c r="C2543">
        <v>16.82</v>
      </c>
      <c r="D2543">
        <v>16.12</v>
      </c>
    </row>
    <row r="2544" spans="1:4">
      <c r="A2544">
        <v>2543</v>
      </c>
      <c r="C2544">
        <v>16.760000000000002</v>
      </c>
      <c r="D2544">
        <v>15.84</v>
      </c>
    </row>
    <row r="2545" spans="1:4">
      <c r="A2545">
        <v>2544</v>
      </c>
      <c r="C2545">
        <v>16.16</v>
      </c>
      <c r="D2545">
        <v>15.26</v>
      </c>
    </row>
    <row r="2546" spans="1:4">
      <c r="A2546">
        <v>2545</v>
      </c>
      <c r="C2546">
        <v>15.72</v>
      </c>
      <c r="D2546">
        <v>15.23</v>
      </c>
    </row>
    <row r="2547" spans="1:4">
      <c r="A2547">
        <v>2546</v>
      </c>
      <c r="C2547">
        <v>16.03</v>
      </c>
      <c r="D2547">
        <v>14.86</v>
      </c>
    </row>
    <row r="2548" spans="1:4">
      <c r="A2548">
        <v>2547</v>
      </c>
      <c r="C2548">
        <v>15.96</v>
      </c>
      <c r="D2548">
        <v>15.32</v>
      </c>
    </row>
    <row r="2549" spans="1:4">
      <c r="A2549">
        <v>2548</v>
      </c>
      <c r="C2549">
        <v>15.76</v>
      </c>
      <c r="D2549">
        <v>15.3</v>
      </c>
    </row>
    <row r="2550" spans="1:4">
      <c r="A2550">
        <v>2549</v>
      </c>
      <c r="C2550">
        <v>15.97</v>
      </c>
      <c r="D2550">
        <v>15.2</v>
      </c>
    </row>
    <row r="2551" spans="1:4">
      <c r="A2551">
        <v>2550</v>
      </c>
      <c r="C2551">
        <v>16.55</v>
      </c>
      <c r="D2551">
        <v>15.82</v>
      </c>
    </row>
    <row r="2552" spans="1:4">
      <c r="A2552">
        <v>2551</v>
      </c>
      <c r="C2552">
        <v>16.78</v>
      </c>
      <c r="D2552">
        <v>16.25</v>
      </c>
    </row>
    <row r="2553" spans="1:4">
      <c r="A2553">
        <v>2552</v>
      </c>
      <c r="C2553">
        <v>16.760000000000002</v>
      </c>
      <c r="D2553">
        <v>15.77</v>
      </c>
    </row>
    <row r="2554" spans="1:4">
      <c r="A2554">
        <v>2553</v>
      </c>
      <c r="C2554">
        <v>16.05</v>
      </c>
      <c r="D2554">
        <v>14.93</v>
      </c>
    </row>
    <row r="2555" spans="1:4">
      <c r="A2555">
        <v>2554</v>
      </c>
      <c r="C2555">
        <v>15.33</v>
      </c>
      <c r="D2555">
        <v>14.69</v>
      </c>
    </row>
    <row r="2556" spans="1:4">
      <c r="A2556">
        <v>2555</v>
      </c>
      <c r="C2556">
        <v>14.77</v>
      </c>
      <c r="D2556">
        <v>13.8</v>
      </c>
    </row>
    <row r="2557" spans="1:4">
      <c r="A2557">
        <v>2556</v>
      </c>
      <c r="C2557">
        <v>15.05</v>
      </c>
      <c r="D2557">
        <v>14.4</v>
      </c>
    </row>
    <row r="2558" spans="1:4">
      <c r="A2558">
        <v>2557</v>
      </c>
      <c r="C2558">
        <v>14.89</v>
      </c>
      <c r="D2558">
        <v>14.18</v>
      </c>
    </row>
    <row r="2559" spans="1:4">
      <c r="A2559">
        <v>2558</v>
      </c>
      <c r="C2559">
        <v>15.27</v>
      </c>
      <c r="D2559">
        <v>14.47</v>
      </c>
    </row>
    <row r="2560" spans="1:4">
      <c r="A2560">
        <v>2559</v>
      </c>
      <c r="C2560">
        <v>14.5</v>
      </c>
      <c r="D2560">
        <v>14.19</v>
      </c>
    </row>
    <row r="2561" spans="1:4">
      <c r="A2561">
        <v>2560</v>
      </c>
      <c r="C2561">
        <v>14.82</v>
      </c>
      <c r="D2561">
        <v>13.83</v>
      </c>
    </row>
    <row r="2562" spans="1:4">
      <c r="A2562">
        <v>2561</v>
      </c>
      <c r="C2562">
        <v>15.83</v>
      </c>
      <c r="D2562">
        <v>14.54</v>
      </c>
    </row>
    <row r="2563" spans="1:4">
      <c r="A2563">
        <v>2562</v>
      </c>
      <c r="C2563">
        <v>16.739999999999998</v>
      </c>
      <c r="D2563">
        <v>15.56</v>
      </c>
    </row>
    <row r="2564" spans="1:4">
      <c r="A2564">
        <v>2563</v>
      </c>
      <c r="C2564">
        <v>18.7</v>
      </c>
      <c r="D2564">
        <v>16.11</v>
      </c>
    </row>
    <row r="2565" spans="1:4">
      <c r="A2565">
        <v>2564</v>
      </c>
      <c r="C2565">
        <v>20.69</v>
      </c>
      <c r="D2565">
        <v>17.63</v>
      </c>
    </row>
    <row r="2566" spans="1:4">
      <c r="A2566">
        <v>2565</v>
      </c>
      <c r="C2566">
        <v>20.079999999999998</v>
      </c>
      <c r="D2566">
        <v>18.059999999999999</v>
      </c>
    </row>
    <row r="2567" spans="1:4">
      <c r="A2567">
        <v>2566</v>
      </c>
      <c r="C2567">
        <v>21.39</v>
      </c>
      <c r="D2567">
        <v>18.86</v>
      </c>
    </row>
    <row r="2568" spans="1:4">
      <c r="A2568">
        <v>2567</v>
      </c>
      <c r="C2568">
        <v>20.94</v>
      </c>
      <c r="D2568">
        <v>19.86</v>
      </c>
    </row>
    <row r="2569" spans="1:4">
      <c r="A2569">
        <v>2568</v>
      </c>
      <c r="C2569">
        <v>19.55</v>
      </c>
      <c r="D2569">
        <v>17.98</v>
      </c>
    </row>
    <row r="2570" spans="1:4">
      <c r="A2570">
        <v>2569</v>
      </c>
      <c r="C2570">
        <v>19.23</v>
      </c>
      <c r="D2570">
        <v>18.350000000000001</v>
      </c>
    </row>
    <row r="2571" spans="1:4">
      <c r="A2571">
        <v>2570</v>
      </c>
      <c r="C2571">
        <v>19.25</v>
      </c>
      <c r="D2571">
        <v>17.89</v>
      </c>
    </row>
    <row r="2572" spans="1:4">
      <c r="A2572">
        <v>2571</v>
      </c>
      <c r="C2572">
        <v>22.67</v>
      </c>
      <c r="D2572">
        <v>20.61</v>
      </c>
    </row>
    <row r="2573" spans="1:4">
      <c r="A2573">
        <v>2572</v>
      </c>
      <c r="C2573">
        <v>21.33</v>
      </c>
      <c r="D2573">
        <v>20.010000000000002</v>
      </c>
    </row>
    <row r="2574" spans="1:4">
      <c r="A2574">
        <v>2573</v>
      </c>
      <c r="C2574">
        <v>20.83</v>
      </c>
      <c r="D2574">
        <v>19.45</v>
      </c>
    </row>
    <row r="2575" spans="1:4">
      <c r="A2575">
        <v>2574</v>
      </c>
      <c r="C2575">
        <v>19.579999999999998</v>
      </c>
      <c r="D2575">
        <v>17.61</v>
      </c>
    </row>
    <row r="2576" spans="1:4">
      <c r="A2576">
        <v>2575</v>
      </c>
      <c r="C2576">
        <v>18.23</v>
      </c>
      <c r="D2576">
        <v>16.670000000000002</v>
      </c>
    </row>
    <row r="2577" spans="1:4">
      <c r="A2577">
        <v>2576</v>
      </c>
      <c r="C2577">
        <v>17.170000000000002</v>
      </c>
      <c r="D2577">
        <v>16.29</v>
      </c>
    </row>
    <row r="2578" spans="1:4">
      <c r="A2578">
        <v>2577</v>
      </c>
      <c r="C2578">
        <v>16.8</v>
      </c>
      <c r="D2578">
        <v>16.13</v>
      </c>
    </row>
    <row r="2579" spans="1:4">
      <c r="A2579">
        <v>2578</v>
      </c>
      <c r="C2579">
        <v>16.96</v>
      </c>
      <c r="D2579">
        <v>16.23</v>
      </c>
    </row>
    <row r="2580" spans="1:4">
      <c r="A2580">
        <v>2579</v>
      </c>
      <c r="C2580">
        <v>17.25</v>
      </c>
      <c r="D2580">
        <v>16.649999999999999</v>
      </c>
    </row>
    <row r="2581" spans="1:4">
      <c r="A2581">
        <v>2580</v>
      </c>
      <c r="C2581">
        <v>16.55</v>
      </c>
      <c r="D2581">
        <v>15.21</v>
      </c>
    </row>
    <row r="2582" spans="1:4">
      <c r="A2582">
        <v>2581</v>
      </c>
      <c r="C2582">
        <v>16.64</v>
      </c>
      <c r="D2582">
        <v>14.81</v>
      </c>
    </row>
    <row r="2583" spans="1:4">
      <c r="A2583">
        <v>2582</v>
      </c>
      <c r="C2583">
        <v>15.53</v>
      </c>
      <c r="D2583">
        <v>15.07</v>
      </c>
    </row>
    <row r="2584" spans="1:4">
      <c r="A2584">
        <v>2583</v>
      </c>
      <c r="C2584">
        <v>16.36</v>
      </c>
      <c r="D2584">
        <v>15.34</v>
      </c>
    </row>
    <row r="2585" spans="1:4">
      <c r="A2585">
        <v>2584</v>
      </c>
      <c r="C2585">
        <v>16.82</v>
      </c>
      <c r="D2585">
        <v>14.96</v>
      </c>
    </row>
    <row r="2586" spans="1:4">
      <c r="A2586">
        <v>2585</v>
      </c>
      <c r="C2586">
        <v>16.12</v>
      </c>
      <c r="D2586">
        <v>15</v>
      </c>
    </row>
    <row r="2587" spans="1:4">
      <c r="A2587">
        <v>2586</v>
      </c>
      <c r="C2587">
        <v>17.98</v>
      </c>
      <c r="D2587">
        <v>15.29</v>
      </c>
    </row>
    <row r="2588" spans="1:4">
      <c r="A2588">
        <v>2587</v>
      </c>
      <c r="C2588">
        <v>17.71</v>
      </c>
      <c r="D2588">
        <v>15.6</v>
      </c>
    </row>
    <row r="2589" spans="1:4">
      <c r="A2589">
        <v>2588</v>
      </c>
      <c r="C2589">
        <v>16.78</v>
      </c>
      <c r="D2589">
        <v>15.22</v>
      </c>
    </row>
    <row r="2590" spans="1:4">
      <c r="A2590">
        <v>2589</v>
      </c>
      <c r="C2590">
        <v>15.69</v>
      </c>
      <c r="D2590">
        <v>14.77</v>
      </c>
    </row>
    <row r="2591" spans="1:4">
      <c r="A2591">
        <v>2590</v>
      </c>
      <c r="C2591">
        <v>16.079999999999998</v>
      </c>
      <c r="D2591">
        <v>15.33</v>
      </c>
    </row>
    <row r="2592" spans="1:4">
      <c r="A2592">
        <v>2591</v>
      </c>
      <c r="C2592">
        <v>16.72</v>
      </c>
      <c r="D2592">
        <v>14.79</v>
      </c>
    </row>
    <row r="2593" spans="1:4">
      <c r="A2593">
        <v>2592</v>
      </c>
      <c r="C2593">
        <v>16.940000000000001</v>
      </c>
      <c r="D2593">
        <v>15.55</v>
      </c>
    </row>
    <row r="2594" spans="1:4">
      <c r="A2594">
        <v>2593</v>
      </c>
      <c r="C2594">
        <v>15.98</v>
      </c>
      <c r="D2594">
        <v>13.86</v>
      </c>
    </row>
    <row r="2595" spans="1:4">
      <c r="A2595">
        <v>2594</v>
      </c>
      <c r="C2595">
        <v>14.56</v>
      </c>
      <c r="D2595">
        <v>13.89</v>
      </c>
    </row>
    <row r="2596" spans="1:4">
      <c r="A2596">
        <v>2595</v>
      </c>
      <c r="C2596">
        <v>15.22</v>
      </c>
      <c r="D2596">
        <v>14.39</v>
      </c>
    </row>
    <row r="2597" spans="1:4">
      <c r="A2597">
        <v>2596</v>
      </c>
      <c r="C2597">
        <v>15.17</v>
      </c>
      <c r="D2597">
        <v>14.37</v>
      </c>
    </row>
    <row r="2598" spans="1:4">
      <c r="A2598">
        <v>2597</v>
      </c>
      <c r="C2598">
        <v>16.54</v>
      </c>
      <c r="D2598">
        <v>15.55</v>
      </c>
    </row>
    <row r="2599" spans="1:4">
      <c r="A2599">
        <v>2598</v>
      </c>
      <c r="C2599">
        <v>17.27</v>
      </c>
      <c r="D2599">
        <v>15.87</v>
      </c>
    </row>
    <row r="2600" spans="1:4">
      <c r="A2600">
        <v>2599</v>
      </c>
      <c r="C2600">
        <v>17.23</v>
      </c>
      <c r="D2600">
        <v>16.14</v>
      </c>
    </row>
    <row r="2601" spans="1:4">
      <c r="A2601">
        <v>2600</v>
      </c>
      <c r="C2601">
        <v>17.72</v>
      </c>
      <c r="D2601">
        <v>16.61</v>
      </c>
    </row>
    <row r="2602" spans="1:4">
      <c r="A2602">
        <v>2601</v>
      </c>
      <c r="C2602">
        <v>17.13</v>
      </c>
      <c r="D2602">
        <v>15.97</v>
      </c>
    </row>
    <row r="2603" spans="1:4">
      <c r="A2603">
        <v>2602</v>
      </c>
      <c r="C2603">
        <v>16.55</v>
      </c>
      <c r="D2603">
        <v>15.64</v>
      </c>
    </row>
    <row r="2604" spans="1:4">
      <c r="A2604">
        <v>2603</v>
      </c>
      <c r="C2604">
        <v>17.670000000000002</v>
      </c>
      <c r="D2604">
        <v>16.45</v>
      </c>
    </row>
    <row r="2605" spans="1:4">
      <c r="A2605">
        <v>2604</v>
      </c>
      <c r="C2605">
        <v>18.170000000000002</v>
      </c>
      <c r="D2605">
        <v>16.440000000000001</v>
      </c>
    </row>
    <row r="2606" spans="1:4">
      <c r="A2606">
        <v>2605</v>
      </c>
      <c r="C2606">
        <v>20.2</v>
      </c>
      <c r="D2606">
        <v>18.989999999999998</v>
      </c>
    </row>
    <row r="2607" spans="1:4">
      <c r="A2607">
        <v>2606</v>
      </c>
      <c r="C2607">
        <v>19.28</v>
      </c>
      <c r="D2607">
        <v>17.940000000000001</v>
      </c>
    </row>
    <row r="2608" spans="1:4">
      <c r="A2608">
        <v>2607</v>
      </c>
      <c r="C2608">
        <v>20.41</v>
      </c>
      <c r="D2608">
        <v>18.14</v>
      </c>
    </row>
    <row r="2609" spans="1:4">
      <c r="A2609">
        <v>2608</v>
      </c>
      <c r="C2609">
        <v>18.920000000000002</v>
      </c>
      <c r="D2609">
        <v>17.97</v>
      </c>
    </row>
    <row r="2610" spans="1:4">
      <c r="A2610">
        <v>2609</v>
      </c>
      <c r="C2610">
        <v>19.27</v>
      </c>
      <c r="D2610">
        <v>18.059999999999999</v>
      </c>
    </row>
    <row r="2611" spans="1:4">
      <c r="A2611">
        <v>2610</v>
      </c>
      <c r="C2611">
        <v>20.45</v>
      </c>
      <c r="D2611">
        <v>19.649999999999999</v>
      </c>
    </row>
    <row r="2612" spans="1:4">
      <c r="A2612">
        <v>2611</v>
      </c>
      <c r="C2612">
        <v>19.7</v>
      </c>
      <c r="D2612">
        <v>19.14</v>
      </c>
    </row>
    <row r="2613" spans="1:4">
      <c r="A2613">
        <v>2612</v>
      </c>
      <c r="C2613">
        <v>18.93</v>
      </c>
      <c r="D2613">
        <v>17.579999999999998</v>
      </c>
    </row>
    <row r="2614" spans="1:4">
      <c r="A2614">
        <v>2613</v>
      </c>
      <c r="C2614">
        <v>19.25</v>
      </c>
      <c r="D2614">
        <v>18.55</v>
      </c>
    </row>
    <row r="2615" spans="1:4">
      <c r="A2615">
        <v>2614</v>
      </c>
      <c r="C2615">
        <v>18.739999999999998</v>
      </c>
      <c r="D2615">
        <v>18</v>
      </c>
    </row>
    <row r="2616" spans="1:4">
      <c r="A2616">
        <v>2615</v>
      </c>
      <c r="C2616">
        <v>18.82</v>
      </c>
      <c r="D2616">
        <v>17.96</v>
      </c>
    </row>
    <row r="2617" spans="1:4">
      <c r="A2617">
        <v>2616</v>
      </c>
      <c r="C2617">
        <v>18.420000000000002</v>
      </c>
      <c r="D2617">
        <v>15.73</v>
      </c>
    </row>
    <row r="2618" spans="1:4">
      <c r="A2618">
        <v>2617</v>
      </c>
      <c r="C2618">
        <v>16.3</v>
      </c>
      <c r="D2618">
        <v>15.78</v>
      </c>
    </row>
    <row r="2619" spans="1:4">
      <c r="A2619">
        <v>2618</v>
      </c>
      <c r="C2619">
        <v>15.86</v>
      </c>
      <c r="D2619">
        <v>15.19</v>
      </c>
    </row>
    <row r="2620" spans="1:4">
      <c r="A2620">
        <v>2619</v>
      </c>
      <c r="C2620">
        <v>15.65</v>
      </c>
      <c r="D2620">
        <v>15.39</v>
      </c>
    </row>
    <row r="2621" spans="1:4">
      <c r="A2621">
        <v>2620</v>
      </c>
      <c r="C2621">
        <v>16.96</v>
      </c>
      <c r="D2621">
        <v>16.190000000000001</v>
      </c>
    </row>
    <row r="2622" spans="1:4">
      <c r="A2622">
        <v>2621</v>
      </c>
      <c r="C2622">
        <v>16.7</v>
      </c>
      <c r="D2622">
        <v>15.95</v>
      </c>
    </row>
    <row r="2623" spans="1:4">
      <c r="A2623">
        <v>2622</v>
      </c>
      <c r="C2623">
        <v>17.04</v>
      </c>
      <c r="D2623">
        <v>16.16</v>
      </c>
    </row>
    <row r="2624" spans="1:4">
      <c r="A2624">
        <v>2623</v>
      </c>
      <c r="C2624">
        <v>16.899999999999999</v>
      </c>
      <c r="D2624">
        <v>15.82</v>
      </c>
    </row>
    <row r="2625" spans="1:4">
      <c r="A2625">
        <v>2624</v>
      </c>
      <c r="C2625">
        <v>16.7</v>
      </c>
      <c r="D2625">
        <v>15.33</v>
      </c>
    </row>
    <row r="2626" spans="1:4">
      <c r="A2626">
        <v>2625</v>
      </c>
      <c r="C2626">
        <v>15.88</v>
      </c>
      <c r="D2626">
        <v>15</v>
      </c>
    </row>
    <row r="2627" spans="1:4">
      <c r="A2627">
        <v>2626</v>
      </c>
      <c r="C2627">
        <v>15.46</v>
      </c>
      <c r="D2627">
        <v>14.56</v>
      </c>
    </row>
    <row r="2628" spans="1:4">
      <c r="A2628">
        <v>2627</v>
      </c>
      <c r="C2628">
        <v>15.35</v>
      </c>
      <c r="D2628">
        <v>14.92</v>
      </c>
    </row>
    <row r="2629" spans="1:4">
      <c r="A2629">
        <v>2628</v>
      </c>
      <c r="C2629">
        <v>16.36</v>
      </c>
      <c r="D2629">
        <v>15.54</v>
      </c>
    </row>
    <row r="2630" spans="1:4">
      <c r="A2630">
        <v>2629</v>
      </c>
      <c r="C2630">
        <v>15.35</v>
      </c>
      <c r="D2630">
        <v>14.72</v>
      </c>
    </row>
    <row r="2631" spans="1:4">
      <c r="A2631">
        <v>2630</v>
      </c>
      <c r="C2631">
        <v>15.22</v>
      </c>
      <c r="D2631">
        <v>14.48</v>
      </c>
    </row>
    <row r="2632" spans="1:4">
      <c r="A2632">
        <v>2631</v>
      </c>
      <c r="C2632">
        <v>15.58</v>
      </c>
      <c r="D2632">
        <v>15</v>
      </c>
    </row>
    <row r="2633" spans="1:4">
      <c r="A2633">
        <v>2632</v>
      </c>
      <c r="C2633">
        <v>15.25</v>
      </c>
      <c r="D2633">
        <v>14.51</v>
      </c>
    </row>
    <row r="2634" spans="1:4">
      <c r="A2634">
        <v>2633</v>
      </c>
      <c r="C2634">
        <v>15.62</v>
      </c>
      <c r="D2634">
        <v>14.96</v>
      </c>
    </row>
    <row r="2635" spans="1:4">
      <c r="A2635">
        <v>2634</v>
      </c>
      <c r="C2635">
        <v>15.64</v>
      </c>
      <c r="D2635">
        <v>14.31</v>
      </c>
    </row>
    <row r="2636" spans="1:4">
      <c r="A2636">
        <v>2635</v>
      </c>
      <c r="C2636">
        <v>14.82</v>
      </c>
      <c r="D2636">
        <v>13.75</v>
      </c>
    </row>
    <row r="2637" spans="1:4">
      <c r="A2637">
        <v>2636</v>
      </c>
      <c r="C2637">
        <v>14.97</v>
      </c>
      <c r="D2637">
        <v>14.16</v>
      </c>
    </row>
    <row r="2638" spans="1:4">
      <c r="A2638">
        <v>2637</v>
      </c>
      <c r="C2638">
        <v>15.29</v>
      </c>
      <c r="D2638">
        <v>14.47</v>
      </c>
    </row>
    <row r="2639" spans="1:4">
      <c r="A2639">
        <v>2638</v>
      </c>
      <c r="C2639">
        <v>16.13</v>
      </c>
      <c r="D2639">
        <v>15.19</v>
      </c>
    </row>
    <row r="2640" spans="1:4">
      <c r="A2640">
        <v>2639</v>
      </c>
      <c r="C2640">
        <v>16.28</v>
      </c>
      <c r="D2640">
        <v>15.22</v>
      </c>
    </row>
    <row r="2641" spans="1:4">
      <c r="A2641">
        <v>2640</v>
      </c>
      <c r="C2641">
        <v>15.73</v>
      </c>
      <c r="D2641">
        <v>14.25</v>
      </c>
    </row>
    <row r="2642" spans="1:4">
      <c r="A2642">
        <v>2641</v>
      </c>
      <c r="C2642">
        <v>15.57</v>
      </c>
      <c r="D2642">
        <v>14.41</v>
      </c>
    </row>
    <row r="2643" spans="1:4">
      <c r="A2643">
        <v>2642</v>
      </c>
      <c r="C2643">
        <v>15.45</v>
      </c>
      <c r="D2643">
        <v>14.8</v>
      </c>
    </row>
    <row r="2644" spans="1:4">
      <c r="A2644">
        <v>2643</v>
      </c>
      <c r="C2644">
        <v>16.75</v>
      </c>
      <c r="D2644">
        <v>16.13</v>
      </c>
    </row>
    <row r="2645" spans="1:4">
      <c r="A2645">
        <v>2644</v>
      </c>
      <c r="C2645">
        <v>16.47</v>
      </c>
      <c r="D2645">
        <v>15.59</v>
      </c>
    </row>
    <row r="2646" spans="1:4">
      <c r="A2646">
        <v>2645</v>
      </c>
      <c r="C2646">
        <v>16.36</v>
      </c>
      <c r="D2646">
        <v>15.5</v>
      </c>
    </row>
    <row r="2647" spans="1:4">
      <c r="A2647">
        <v>2646</v>
      </c>
      <c r="C2647">
        <v>16.03</v>
      </c>
      <c r="D2647">
        <v>15.71</v>
      </c>
    </row>
    <row r="2648" spans="1:4">
      <c r="A2648">
        <v>2647</v>
      </c>
      <c r="C2648">
        <v>15.61</v>
      </c>
      <c r="D2648">
        <v>14.61</v>
      </c>
    </row>
    <row r="2649" spans="1:4">
      <c r="A2649">
        <v>2648</v>
      </c>
      <c r="C2649">
        <v>15.08</v>
      </c>
      <c r="D2649">
        <v>14.28</v>
      </c>
    </row>
    <row r="2650" spans="1:4">
      <c r="A2650">
        <v>2649</v>
      </c>
      <c r="C2650">
        <v>16.59</v>
      </c>
      <c r="D2650">
        <v>13.34</v>
      </c>
    </row>
    <row r="2651" spans="1:4">
      <c r="A2651">
        <v>2650</v>
      </c>
      <c r="C2651">
        <v>14.73</v>
      </c>
      <c r="D2651">
        <v>13.6</v>
      </c>
    </row>
    <row r="2652" spans="1:4">
      <c r="A2652">
        <v>2651</v>
      </c>
      <c r="C2652">
        <v>14.58</v>
      </c>
      <c r="D2652">
        <v>13.95</v>
      </c>
    </row>
    <row r="2653" spans="1:4">
      <c r="A2653">
        <v>2652</v>
      </c>
      <c r="C2653">
        <v>15.83</v>
      </c>
      <c r="D2653">
        <v>14.86</v>
      </c>
    </row>
    <row r="2654" spans="1:4">
      <c r="A2654">
        <v>2653</v>
      </c>
      <c r="C2654">
        <v>15.57</v>
      </c>
      <c r="D2654">
        <v>13.98</v>
      </c>
    </row>
    <row r="2655" spans="1:4">
      <c r="A2655">
        <v>2654</v>
      </c>
      <c r="C2655">
        <v>16.46</v>
      </c>
      <c r="D2655">
        <v>13.91</v>
      </c>
    </row>
    <row r="2656" spans="1:4">
      <c r="A2656">
        <v>2655</v>
      </c>
      <c r="C2656">
        <v>17.100000000000001</v>
      </c>
      <c r="D2656">
        <v>15.29</v>
      </c>
    </row>
    <row r="2657" spans="1:4">
      <c r="A2657">
        <v>2656</v>
      </c>
      <c r="C2657">
        <v>16.940000000000001</v>
      </c>
      <c r="D2657">
        <v>15.82</v>
      </c>
    </row>
    <row r="2658" spans="1:4">
      <c r="A2658">
        <v>2657</v>
      </c>
      <c r="C2658">
        <v>17.93</v>
      </c>
      <c r="D2658">
        <v>16.98</v>
      </c>
    </row>
    <row r="2659" spans="1:4">
      <c r="A2659">
        <v>2658</v>
      </c>
      <c r="C2659">
        <v>17.34</v>
      </c>
      <c r="D2659">
        <v>16.3</v>
      </c>
    </row>
    <row r="2660" spans="1:4">
      <c r="A2660">
        <v>2659</v>
      </c>
      <c r="C2660">
        <v>17.41</v>
      </c>
      <c r="D2660">
        <v>15.94</v>
      </c>
    </row>
    <row r="2661" spans="1:4">
      <c r="A2661">
        <v>2660</v>
      </c>
      <c r="C2661">
        <v>16.12</v>
      </c>
      <c r="D2661">
        <v>15.42</v>
      </c>
    </row>
    <row r="2662" spans="1:4">
      <c r="A2662">
        <v>2661</v>
      </c>
      <c r="C2662">
        <v>15.89</v>
      </c>
      <c r="D2662">
        <v>15.27</v>
      </c>
    </row>
    <row r="2663" spans="1:4">
      <c r="A2663">
        <v>2662</v>
      </c>
      <c r="C2663">
        <v>16.579999999999998</v>
      </c>
      <c r="D2663">
        <v>15.22</v>
      </c>
    </row>
    <row r="2664" spans="1:4">
      <c r="A2664">
        <v>2663</v>
      </c>
      <c r="C2664">
        <v>16.05</v>
      </c>
      <c r="D2664">
        <v>15.28</v>
      </c>
    </row>
    <row r="2665" spans="1:4">
      <c r="A2665">
        <v>2664</v>
      </c>
      <c r="C2665">
        <v>16.649999999999999</v>
      </c>
      <c r="D2665">
        <v>15.82</v>
      </c>
    </row>
    <row r="2666" spans="1:4">
      <c r="A2666">
        <v>2665</v>
      </c>
      <c r="C2666">
        <v>18.41</v>
      </c>
      <c r="D2666">
        <v>16.170000000000002</v>
      </c>
    </row>
    <row r="2667" spans="1:4">
      <c r="A2667">
        <v>2666</v>
      </c>
      <c r="C2667">
        <v>19.68</v>
      </c>
      <c r="D2667">
        <v>18.18</v>
      </c>
    </row>
    <row r="2668" spans="1:4">
      <c r="A2668">
        <v>2667</v>
      </c>
      <c r="C2668">
        <v>19.97</v>
      </c>
      <c r="D2668">
        <v>18.63</v>
      </c>
    </row>
    <row r="2669" spans="1:4">
      <c r="A2669">
        <v>2668</v>
      </c>
      <c r="C2669">
        <v>18.86</v>
      </c>
      <c r="D2669">
        <v>17.25</v>
      </c>
    </row>
    <row r="2670" spans="1:4">
      <c r="A2670">
        <v>2669</v>
      </c>
      <c r="C2670">
        <v>18.489999999999998</v>
      </c>
      <c r="D2670">
        <v>17.84</v>
      </c>
    </row>
    <row r="2671" spans="1:4">
      <c r="A2671">
        <v>2670</v>
      </c>
      <c r="C2671">
        <v>19.3</v>
      </c>
      <c r="D2671">
        <v>18.36</v>
      </c>
    </row>
    <row r="2672" spans="1:4">
      <c r="A2672">
        <v>2671</v>
      </c>
      <c r="C2672">
        <v>19.25</v>
      </c>
      <c r="D2672">
        <v>17.97</v>
      </c>
    </row>
    <row r="2673" spans="1:4">
      <c r="A2673">
        <v>2672</v>
      </c>
      <c r="C2673">
        <v>19.28</v>
      </c>
      <c r="D2673">
        <v>17.420000000000002</v>
      </c>
    </row>
    <row r="2674" spans="1:4">
      <c r="A2674">
        <v>2673</v>
      </c>
      <c r="C2674">
        <v>17.28</v>
      </c>
      <c r="D2674">
        <v>16.16</v>
      </c>
    </row>
    <row r="2675" spans="1:4">
      <c r="A2675">
        <v>2674</v>
      </c>
      <c r="C2675">
        <v>17.55</v>
      </c>
      <c r="D2675">
        <v>16.13</v>
      </c>
    </row>
    <row r="2676" spans="1:4">
      <c r="A2676">
        <v>2675</v>
      </c>
      <c r="C2676">
        <v>17.55</v>
      </c>
      <c r="D2676">
        <v>16.309999999999999</v>
      </c>
    </row>
    <row r="2677" spans="1:4">
      <c r="A2677">
        <v>2676</v>
      </c>
      <c r="C2677">
        <v>17.04</v>
      </c>
      <c r="D2677">
        <v>15.78</v>
      </c>
    </row>
    <row r="2678" spans="1:4">
      <c r="A2678">
        <v>2677</v>
      </c>
      <c r="C2678">
        <v>16.71</v>
      </c>
      <c r="D2678">
        <v>15.79</v>
      </c>
    </row>
    <row r="2679" spans="1:4">
      <c r="A2679">
        <v>2678</v>
      </c>
      <c r="C2679">
        <v>15.81</v>
      </c>
      <c r="D2679">
        <v>15.33</v>
      </c>
    </row>
    <row r="2680" spans="1:4">
      <c r="A2680">
        <v>2679</v>
      </c>
      <c r="C2680">
        <v>15.76</v>
      </c>
      <c r="D2680">
        <v>14.81</v>
      </c>
    </row>
    <row r="2681" spans="1:4">
      <c r="A2681">
        <v>2680</v>
      </c>
      <c r="C2681">
        <v>15.22</v>
      </c>
      <c r="D2681">
        <v>14.76</v>
      </c>
    </row>
    <row r="2682" spans="1:4">
      <c r="A2682">
        <v>2681</v>
      </c>
      <c r="C2682">
        <v>15.02</v>
      </c>
      <c r="D2682">
        <v>14.67</v>
      </c>
    </row>
    <row r="2683" spans="1:4">
      <c r="A2683">
        <v>2682</v>
      </c>
      <c r="C2683">
        <v>15.58</v>
      </c>
      <c r="D2683">
        <v>15.3</v>
      </c>
    </row>
    <row r="2684" spans="1:4">
      <c r="A2684">
        <v>2683</v>
      </c>
      <c r="C2684">
        <v>15.85</v>
      </c>
      <c r="D2684">
        <v>15.28</v>
      </c>
    </row>
    <row r="2685" spans="1:4">
      <c r="A2685">
        <v>2684</v>
      </c>
      <c r="C2685">
        <v>15.39</v>
      </c>
      <c r="D2685">
        <v>14.72</v>
      </c>
    </row>
    <row r="2686" spans="1:4">
      <c r="A2686">
        <v>2685</v>
      </c>
      <c r="C2686">
        <v>15.05</v>
      </c>
      <c r="D2686">
        <v>14.18</v>
      </c>
    </row>
    <row r="2687" spans="1:4">
      <c r="A2687">
        <v>2686</v>
      </c>
      <c r="C2687">
        <v>14.38</v>
      </c>
      <c r="D2687">
        <v>13.79</v>
      </c>
    </row>
    <row r="2688" spans="1:4">
      <c r="A2688">
        <v>2687</v>
      </c>
      <c r="C2688">
        <v>14.64</v>
      </c>
      <c r="D2688">
        <v>14.03</v>
      </c>
    </row>
    <row r="2689" spans="1:4">
      <c r="A2689">
        <v>2688</v>
      </c>
      <c r="C2689">
        <v>14.31</v>
      </c>
      <c r="D2689">
        <v>13.88</v>
      </c>
    </row>
    <row r="2690" spans="1:4">
      <c r="A2690">
        <v>2689</v>
      </c>
      <c r="C2690">
        <v>14.41</v>
      </c>
      <c r="D2690">
        <v>13.7</v>
      </c>
    </row>
    <row r="2691" spans="1:4">
      <c r="A2691">
        <v>2690</v>
      </c>
      <c r="C2691">
        <v>14.23</v>
      </c>
      <c r="D2691">
        <v>13.69</v>
      </c>
    </row>
    <row r="2692" spans="1:4">
      <c r="A2692">
        <v>2691</v>
      </c>
      <c r="C2692">
        <v>13.78</v>
      </c>
      <c r="D2692">
        <v>13.16</v>
      </c>
    </row>
    <row r="2693" spans="1:4">
      <c r="A2693">
        <v>2692</v>
      </c>
      <c r="C2693">
        <v>13.89</v>
      </c>
      <c r="D2693">
        <v>13.5</v>
      </c>
    </row>
    <row r="2694" spans="1:4">
      <c r="A2694">
        <v>2693</v>
      </c>
      <c r="C2694">
        <v>14.67</v>
      </c>
      <c r="D2694">
        <v>13.68</v>
      </c>
    </row>
    <row r="2695" spans="1:4">
      <c r="A2695">
        <v>2694</v>
      </c>
      <c r="C2695">
        <v>14.66</v>
      </c>
      <c r="D2695">
        <v>14.27</v>
      </c>
    </row>
    <row r="2696" spans="1:4">
      <c r="A2696">
        <v>2695</v>
      </c>
      <c r="C2696">
        <v>14.43</v>
      </c>
      <c r="D2696">
        <v>13.93</v>
      </c>
    </row>
    <row r="2697" spans="1:4">
      <c r="A2697">
        <v>2696</v>
      </c>
      <c r="C2697">
        <v>15.29</v>
      </c>
      <c r="D2697">
        <v>13.98</v>
      </c>
    </row>
    <row r="2698" spans="1:4">
      <c r="A2698">
        <v>2697</v>
      </c>
      <c r="C2698">
        <v>15.98</v>
      </c>
      <c r="D2698">
        <v>13.38</v>
      </c>
    </row>
    <row r="2699" spans="1:4">
      <c r="A2699">
        <v>2698</v>
      </c>
      <c r="C2699">
        <v>15.3</v>
      </c>
      <c r="D2699">
        <v>13.95</v>
      </c>
    </row>
    <row r="2700" spans="1:4">
      <c r="A2700">
        <v>2699</v>
      </c>
      <c r="C2700">
        <v>15.08</v>
      </c>
      <c r="D2700">
        <v>14.61</v>
      </c>
    </row>
    <row r="2701" spans="1:4">
      <c r="A2701">
        <v>2700</v>
      </c>
      <c r="C2701">
        <v>14.94</v>
      </c>
      <c r="D2701">
        <v>14.08</v>
      </c>
    </row>
    <row r="2702" spans="1:4">
      <c r="A2702">
        <v>2701</v>
      </c>
      <c r="C2702">
        <v>15.09</v>
      </c>
      <c r="D2702">
        <v>14.55</v>
      </c>
    </row>
    <row r="2703" spans="1:4">
      <c r="A2703">
        <v>2702</v>
      </c>
      <c r="C2703">
        <v>14.84</v>
      </c>
      <c r="D2703">
        <v>13.69</v>
      </c>
    </row>
    <row r="2704" spans="1:4">
      <c r="A2704">
        <v>2703</v>
      </c>
      <c r="C2704">
        <v>14.14</v>
      </c>
      <c r="D2704">
        <v>13.2</v>
      </c>
    </row>
    <row r="2705" spans="1:4">
      <c r="A2705">
        <v>2704</v>
      </c>
      <c r="C2705">
        <v>13.67</v>
      </c>
      <c r="D2705">
        <v>13.2</v>
      </c>
    </row>
    <row r="2706" spans="1:4">
      <c r="A2706">
        <v>2705</v>
      </c>
      <c r="C2706">
        <v>13.11</v>
      </c>
      <c r="D2706">
        <v>12.6</v>
      </c>
    </row>
    <row r="2707" spans="1:4">
      <c r="A2707">
        <v>2706</v>
      </c>
      <c r="C2707">
        <v>13.45</v>
      </c>
      <c r="D2707">
        <v>12.99</v>
      </c>
    </row>
    <row r="2708" spans="1:4">
      <c r="A2708">
        <v>2707</v>
      </c>
      <c r="C2708">
        <v>14.19</v>
      </c>
      <c r="D2708">
        <v>13.51</v>
      </c>
    </row>
    <row r="2709" spans="1:4">
      <c r="A2709">
        <v>2708</v>
      </c>
      <c r="C2709">
        <v>14.1</v>
      </c>
      <c r="D2709">
        <v>13.24</v>
      </c>
    </row>
    <row r="2710" spans="1:4">
      <c r="A2710">
        <v>2709</v>
      </c>
      <c r="C2710">
        <v>14.66</v>
      </c>
      <c r="D2710">
        <v>13.32</v>
      </c>
    </row>
    <row r="2711" spans="1:4">
      <c r="A2711">
        <v>2710</v>
      </c>
      <c r="C2711">
        <v>15.52</v>
      </c>
      <c r="D2711">
        <v>13.78</v>
      </c>
    </row>
    <row r="2712" spans="1:4">
      <c r="A2712">
        <v>2711</v>
      </c>
      <c r="C2712">
        <v>15.27</v>
      </c>
      <c r="D2712">
        <v>14.28</v>
      </c>
    </row>
    <row r="2713" spans="1:4">
      <c r="A2713">
        <v>2712</v>
      </c>
      <c r="C2713">
        <v>15.69</v>
      </c>
      <c r="D2713">
        <v>14.91</v>
      </c>
    </row>
    <row r="2714" spans="1:4">
      <c r="A2714">
        <v>2713</v>
      </c>
      <c r="C2714">
        <v>15.63</v>
      </c>
      <c r="D2714">
        <v>13.92</v>
      </c>
    </row>
    <row r="2715" spans="1:4">
      <c r="A2715">
        <v>2714</v>
      </c>
      <c r="C2715">
        <v>16.559999999999999</v>
      </c>
      <c r="D2715">
        <v>15.22</v>
      </c>
    </row>
    <row r="2716" spans="1:4">
      <c r="A2716">
        <v>2715</v>
      </c>
      <c r="C2716">
        <v>16.489999999999998</v>
      </c>
      <c r="D2716">
        <v>14.72</v>
      </c>
    </row>
    <row r="2717" spans="1:4">
      <c r="A2717">
        <v>2716</v>
      </c>
      <c r="C2717">
        <v>16.16</v>
      </c>
      <c r="D2717">
        <v>14.64</v>
      </c>
    </row>
    <row r="2718" spans="1:4">
      <c r="A2718">
        <v>2717</v>
      </c>
      <c r="C2718">
        <v>16.32</v>
      </c>
      <c r="D2718">
        <v>14.32</v>
      </c>
    </row>
    <row r="2719" spans="1:4">
      <c r="A2719">
        <v>2718</v>
      </c>
      <c r="C2719">
        <v>15.53</v>
      </c>
      <c r="D2719">
        <v>14.8</v>
      </c>
    </row>
    <row r="2720" spans="1:4">
      <c r="A2720">
        <v>2719</v>
      </c>
      <c r="C2720">
        <v>15.19</v>
      </c>
      <c r="D2720">
        <v>14.28</v>
      </c>
    </row>
    <row r="2721" spans="1:4">
      <c r="A2721">
        <v>2720</v>
      </c>
      <c r="C2721">
        <v>15.41</v>
      </c>
      <c r="D2721">
        <v>14.31</v>
      </c>
    </row>
    <row r="2722" spans="1:4">
      <c r="A2722">
        <v>2721</v>
      </c>
      <c r="C2722">
        <v>16.71</v>
      </c>
      <c r="D2722">
        <v>16.02</v>
      </c>
    </row>
    <row r="2723" spans="1:4">
      <c r="A2723">
        <v>2722</v>
      </c>
      <c r="C2723">
        <v>16.87</v>
      </c>
      <c r="D2723">
        <v>15.97</v>
      </c>
    </row>
    <row r="2724" spans="1:4">
      <c r="A2724">
        <v>2723</v>
      </c>
      <c r="C2724">
        <v>16.53</v>
      </c>
      <c r="D2724">
        <v>15.66</v>
      </c>
    </row>
    <row r="2725" spans="1:4">
      <c r="A2725">
        <v>2724</v>
      </c>
      <c r="C2725">
        <v>16.05</v>
      </c>
      <c r="D2725">
        <v>15.36</v>
      </c>
    </row>
    <row r="2726" spans="1:4">
      <c r="A2726">
        <v>2725</v>
      </c>
      <c r="C2726">
        <v>16.29</v>
      </c>
      <c r="D2726">
        <v>14.96</v>
      </c>
    </row>
    <row r="2727" spans="1:4">
      <c r="A2727">
        <v>2726</v>
      </c>
      <c r="C2727">
        <v>16.760000000000002</v>
      </c>
      <c r="D2727">
        <v>16.18</v>
      </c>
    </row>
    <row r="2728" spans="1:4">
      <c r="A2728">
        <v>2727</v>
      </c>
      <c r="C2728">
        <v>16.32</v>
      </c>
      <c r="D2728">
        <v>15.21</v>
      </c>
    </row>
    <row r="2729" spans="1:4">
      <c r="A2729">
        <v>2728</v>
      </c>
      <c r="C2729">
        <v>15.18</v>
      </c>
      <c r="D2729">
        <v>13.79</v>
      </c>
    </row>
    <row r="2730" spans="1:4">
      <c r="A2730">
        <v>2729</v>
      </c>
      <c r="C2730">
        <v>14.02</v>
      </c>
      <c r="D2730">
        <v>12.95</v>
      </c>
    </row>
    <row r="2731" spans="1:4">
      <c r="A2731">
        <v>2730</v>
      </c>
      <c r="C2731">
        <v>14.1</v>
      </c>
      <c r="D2731">
        <v>13.23</v>
      </c>
    </row>
    <row r="2732" spans="1:4">
      <c r="A2732">
        <v>2731</v>
      </c>
      <c r="C2732">
        <v>14.48</v>
      </c>
      <c r="D2732">
        <v>13.68</v>
      </c>
    </row>
    <row r="2733" spans="1:4">
      <c r="A2733">
        <v>2732</v>
      </c>
      <c r="C2733">
        <v>13.96</v>
      </c>
      <c r="D2733">
        <v>12.89</v>
      </c>
    </row>
    <row r="2734" spans="1:4">
      <c r="A2734">
        <v>2733</v>
      </c>
      <c r="C2734">
        <v>13.51</v>
      </c>
      <c r="D2734">
        <v>12.79</v>
      </c>
    </row>
    <row r="2735" spans="1:4">
      <c r="A2735">
        <v>2734</v>
      </c>
      <c r="C2735">
        <v>13.12</v>
      </c>
      <c r="D2735">
        <v>12.64</v>
      </c>
    </row>
    <row r="2736" spans="1:4">
      <c r="A2736">
        <v>2735</v>
      </c>
      <c r="C2736">
        <v>13.48</v>
      </c>
      <c r="D2736">
        <v>13.04</v>
      </c>
    </row>
    <row r="2737" spans="1:4">
      <c r="A2737">
        <v>2736</v>
      </c>
      <c r="C2737">
        <v>14.06</v>
      </c>
      <c r="D2737">
        <v>13.25</v>
      </c>
    </row>
    <row r="2738" spans="1:4">
      <c r="A2738">
        <v>2737</v>
      </c>
      <c r="C2738">
        <v>13.67</v>
      </c>
      <c r="D2738">
        <v>13.2</v>
      </c>
    </row>
    <row r="2739" spans="1:4">
      <c r="A2739">
        <v>2738</v>
      </c>
      <c r="C2739">
        <v>13.39</v>
      </c>
      <c r="D2739">
        <v>12.77</v>
      </c>
    </row>
    <row r="2740" spans="1:4">
      <c r="A2740">
        <v>2739</v>
      </c>
      <c r="C2740">
        <v>13.29</v>
      </c>
      <c r="D2740">
        <v>12.96</v>
      </c>
    </row>
    <row r="2741" spans="1:4">
      <c r="A2741">
        <v>2740</v>
      </c>
      <c r="C2741">
        <v>13.83</v>
      </c>
      <c r="D2741">
        <v>12.77</v>
      </c>
    </row>
    <row r="2742" spans="1:4">
      <c r="A2742">
        <v>2741</v>
      </c>
      <c r="C2742">
        <v>13.71</v>
      </c>
      <c r="D2742">
        <v>12.94</v>
      </c>
    </row>
    <row r="2743" spans="1:4">
      <c r="A2743">
        <v>2742</v>
      </c>
      <c r="C2743">
        <v>12.91</v>
      </c>
      <c r="D2743">
        <v>12.57</v>
      </c>
    </row>
    <row r="2744" spans="1:4">
      <c r="A2744">
        <v>2743</v>
      </c>
      <c r="C2744">
        <v>12.89</v>
      </c>
      <c r="D2744">
        <v>12.56</v>
      </c>
    </row>
    <row r="2745" spans="1:4">
      <c r="A2745">
        <v>2744</v>
      </c>
      <c r="C2745">
        <v>12.9</v>
      </c>
      <c r="D2745">
        <v>12.59</v>
      </c>
    </row>
    <row r="2746" spans="1:4">
      <c r="A2746">
        <v>2745</v>
      </c>
      <c r="C2746">
        <v>13.69</v>
      </c>
      <c r="D2746">
        <v>12.93</v>
      </c>
    </row>
    <row r="2747" spans="1:4">
      <c r="A2747">
        <v>2746</v>
      </c>
      <c r="C2747">
        <v>13.38</v>
      </c>
      <c r="D2747">
        <v>13.07</v>
      </c>
    </row>
    <row r="2748" spans="1:4">
      <c r="A2748">
        <v>2747</v>
      </c>
      <c r="C2748">
        <v>13.12</v>
      </c>
      <c r="D2748">
        <v>12.77</v>
      </c>
    </row>
    <row r="2749" spans="1:4">
      <c r="A2749">
        <v>2748</v>
      </c>
      <c r="C2749">
        <v>13.04</v>
      </c>
      <c r="D2749">
        <v>12.72</v>
      </c>
    </row>
    <row r="2750" spans="1:4">
      <c r="A2750">
        <v>2749</v>
      </c>
      <c r="C2750">
        <v>13.06</v>
      </c>
      <c r="D2750">
        <v>12.4</v>
      </c>
    </row>
    <row r="2751" spans="1:4">
      <c r="A2751">
        <v>2750</v>
      </c>
      <c r="C2751">
        <v>13.4</v>
      </c>
      <c r="D2751">
        <v>12.93</v>
      </c>
    </row>
    <row r="2752" spans="1:4">
      <c r="A2752">
        <v>2751</v>
      </c>
      <c r="C2752">
        <v>13.74</v>
      </c>
      <c r="D2752">
        <v>12.96</v>
      </c>
    </row>
    <row r="2753" spans="1:4">
      <c r="A2753">
        <v>2752</v>
      </c>
      <c r="C2753">
        <v>13.68</v>
      </c>
      <c r="D2753">
        <v>13.18</v>
      </c>
    </row>
    <row r="2754" spans="1:4">
      <c r="A2754">
        <v>2753</v>
      </c>
      <c r="C2754">
        <v>13.71</v>
      </c>
      <c r="D2754">
        <v>12.77</v>
      </c>
    </row>
    <row r="2755" spans="1:4">
      <c r="A2755">
        <v>2754</v>
      </c>
      <c r="C2755">
        <v>13.15</v>
      </c>
      <c r="D2755">
        <v>12.68</v>
      </c>
    </row>
    <row r="2756" spans="1:4">
      <c r="A2756">
        <v>2755</v>
      </c>
      <c r="C2756">
        <v>12.61</v>
      </c>
      <c r="D2756">
        <v>12.13</v>
      </c>
    </row>
    <row r="2757" spans="1:4">
      <c r="A2757">
        <v>2756</v>
      </c>
      <c r="C2757">
        <v>12.97</v>
      </c>
      <c r="D2757">
        <v>12.21</v>
      </c>
    </row>
    <row r="2758" spans="1:4">
      <c r="A2758">
        <v>2757</v>
      </c>
      <c r="C2758">
        <v>12.88</v>
      </c>
      <c r="D2758">
        <v>12.23</v>
      </c>
    </row>
    <row r="2759" spans="1:4">
      <c r="A2759">
        <v>2758</v>
      </c>
      <c r="C2759">
        <v>12.59</v>
      </c>
      <c r="D2759">
        <v>11.96</v>
      </c>
    </row>
    <row r="2760" spans="1:4">
      <c r="A2760">
        <v>2759</v>
      </c>
      <c r="C2760">
        <v>12.75</v>
      </c>
      <c r="D2760">
        <v>11.87</v>
      </c>
    </row>
    <row r="2761" spans="1:4">
      <c r="A2761">
        <v>2760</v>
      </c>
      <c r="C2761">
        <v>12.34</v>
      </c>
      <c r="D2761">
        <v>11.77</v>
      </c>
    </row>
    <row r="2762" spans="1:4">
      <c r="A2762">
        <v>2761</v>
      </c>
      <c r="C2762">
        <v>12</v>
      </c>
      <c r="D2762">
        <v>11.37</v>
      </c>
    </row>
    <row r="2763" spans="1:4">
      <c r="A2763">
        <v>2762</v>
      </c>
      <c r="C2763">
        <v>11.71</v>
      </c>
      <c r="D2763">
        <v>11.37</v>
      </c>
    </row>
    <row r="2764" spans="1:4">
      <c r="A2764">
        <v>2763</v>
      </c>
      <c r="C2764">
        <v>11.64</v>
      </c>
      <c r="D2764">
        <v>11.14</v>
      </c>
    </row>
    <row r="2765" spans="1:4">
      <c r="A2765">
        <v>2764</v>
      </c>
      <c r="C2765">
        <v>12.16</v>
      </c>
      <c r="D2765">
        <v>11.53</v>
      </c>
    </row>
    <row r="2766" spans="1:4">
      <c r="A2766">
        <v>2765</v>
      </c>
      <c r="C2766">
        <v>12.4</v>
      </c>
      <c r="D2766">
        <v>11.97</v>
      </c>
    </row>
    <row r="2767" spans="1:4">
      <c r="A2767">
        <v>2766</v>
      </c>
      <c r="C2767">
        <v>11.79</v>
      </c>
      <c r="D2767">
        <v>11.61</v>
      </c>
    </row>
    <row r="2768" spans="1:4">
      <c r="A2768">
        <v>2767</v>
      </c>
      <c r="C2768">
        <v>12.61</v>
      </c>
      <c r="D2768">
        <v>12.18</v>
      </c>
    </row>
    <row r="2769" spans="1:4">
      <c r="A2769">
        <v>2768</v>
      </c>
      <c r="C2769">
        <v>13.29</v>
      </c>
      <c r="D2769">
        <v>12.42</v>
      </c>
    </row>
    <row r="2770" spans="1:4">
      <c r="A2770">
        <v>2769</v>
      </c>
      <c r="C2770">
        <v>14.23</v>
      </c>
      <c r="D2770">
        <v>13.25</v>
      </c>
    </row>
    <row r="2771" spans="1:4">
      <c r="A2771">
        <v>2770</v>
      </c>
      <c r="C2771">
        <v>14.45</v>
      </c>
      <c r="D2771">
        <v>13.93</v>
      </c>
    </row>
    <row r="2772" spans="1:4">
      <c r="A2772">
        <v>2771</v>
      </c>
      <c r="C2772">
        <v>14.09</v>
      </c>
      <c r="D2772">
        <v>13.26</v>
      </c>
    </row>
    <row r="2773" spans="1:4">
      <c r="A2773">
        <v>2772</v>
      </c>
      <c r="C2773">
        <v>14.09</v>
      </c>
      <c r="D2773">
        <v>13.33</v>
      </c>
    </row>
    <row r="2774" spans="1:4">
      <c r="A2774">
        <v>2773</v>
      </c>
      <c r="C2774">
        <v>13.51</v>
      </c>
      <c r="D2774">
        <v>12.94</v>
      </c>
    </row>
    <row r="2775" spans="1:4">
      <c r="A2775">
        <v>2774</v>
      </c>
      <c r="C2775">
        <v>13.93</v>
      </c>
      <c r="D2775">
        <v>12.94</v>
      </c>
    </row>
    <row r="2776" spans="1:4">
      <c r="A2776">
        <v>2775</v>
      </c>
      <c r="C2776">
        <v>13.68</v>
      </c>
      <c r="D2776">
        <v>13.05</v>
      </c>
    </row>
    <row r="2777" spans="1:4">
      <c r="A2777">
        <v>2776</v>
      </c>
      <c r="C2777">
        <v>13.94</v>
      </c>
      <c r="D2777">
        <v>12.54</v>
      </c>
    </row>
    <row r="2778" spans="1:4">
      <c r="A2778">
        <v>2777</v>
      </c>
      <c r="C2778">
        <v>12.86</v>
      </c>
      <c r="D2778">
        <v>12.37</v>
      </c>
    </row>
    <row r="2779" spans="1:4">
      <c r="A2779">
        <v>2778</v>
      </c>
      <c r="C2779">
        <v>12.82</v>
      </c>
      <c r="D2779">
        <v>12.29</v>
      </c>
    </row>
    <row r="2780" spans="1:4">
      <c r="A2780">
        <v>2779</v>
      </c>
      <c r="C2780">
        <v>13.15</v>
      </c>
      <c r="D2780">
        <v>12.3</v>
      </c>
    </row>
    <row r="2781" spans="1:4">
      <c r="A2781">
        <v>2780</v>
      </c>
      <c r="C2781">
        <v>13.21</v>
      </c>
      <c r="D2781">
        <v>12.41</v>
      </c>
    </row>
    <row r="2782" spans="1:4">
      <c r="A2782">
        <v>2781</v>
      </c>
      <c r="C2782">
        <v>14.11</v>
      </c>
      <c r="D2782">
        <v>13.28</v>
      </c>
    </row>
    <row r="2783" spans="1:4">
      <c r="A2783">
        <v>2782</v>
      </c>
      <c r="C2783">
        <v>14.46</v>
      </c>
      <c r="D2783">
        <v>13.4</v>
      </c>
    </row>
    <row r="2784" spans="1:4">
      <c r="A2784">
        <v>2783</v>
      </c>
      <c r="C2784">
        <v>14.75</v>
      </c>
      <c r="D2784">
        <v>14.17</v>
      </c>
    </row>
    <row r="2785" spans="1:4">
      <c r="A2785">
        <v>2784</v>
      </c>
      <c r="C2785">
        <v>14.36</v>
      </c>
      <c r="D2785">
        <v>13.88</v>
      </c>
    </row>
    <row r="2786" spans="1:4">
      <c r="A2786">
        <v>2785</v>
      </c>
      <c r="C2786">
        <v>13.84</v>
      </c>
      <c r="D2786">
        <v>13.06</v>
      </c>
    </row>
    <row r="2787" spans="1:4">
      <c r="A2787">
        <v>2786</v>
      </c>
      <c r="C2787">
        <v>13.57</v>
      </c>
      <c r="D2787">
        <v>12.96</v>
      </c>
    </row>
    <row r="2788" spans="1:4">
      <c r="A2788">
        <v>2787</v>
      </c>
      <c r="C2788">
        <v>13.56</v>
      </c>
      <c r="D2788">
        <v>12.83</v>
      </c>
    </row>
    <row r="2789" spans="1:4">
      <c r="A2789">
        <v>2788</v>
      </c>
      <c r="C2789">
        <v>13.63</v>
      </c>
      <c r="D2789">
        <v>12.79</v>
      </c>
    </row>
    <row r="2790" spans="1:4">
      <c r="A2790">
        <v>2789</v>
      </c>
      <c r="C2790">
        <v>13.02</v>
      </c>
      <c r="D2790">
        <v>12.02</v>
      </c>
    </row>
    <row r="2791" spans="1:4">
      <c r="A2791">
        <v>2790</v>
      </c>
      <c r="C2791">
        <v>12.06</v>
      </c>
      <c r="D2791">
        <v>11.52</v>
      </c>
    </row>
    <row r="2792" spans="1:4">
      <c r="A2792">
        <v>2791</v>
      </c>
      <c r="C2792">
        <v>12.12</v>
      </c>
      <c r="D2792">
        <v>11.72</v>
      </c>
    </row>
    <row r="2793" spans="1:4">
      <c r="A2793">
        <v>2792</v>
      </c>
      <c r="C2793">
        <v>11.97</v>
      </c>
      <c r="D2793">
        <v>10.9</v>
      </c>
    </row>
    <row r="2794" spans="1:4">
      <c r="A2794">
        <v>2793</v>
      </c>
      <c r="C2794">
        <v>11.75</v>
      </c>
      <c r="D2794">
        <v>11.36</v>
      </c>
    </row>
    <row r="2795" spans="1:4">
      <c r="A2795">
        <v>2794</v>
      </c>
      <c r="C2795">
        <v>11.67</v>
      </c>
      <c r="D2795">
        <v>11.45</v>
      </c>
    </row>
    <row r="2796" spans="1:4">
      <c r="A2796">
        <v>2795</v>
      </c>
      <c r="C2796">
        <v>12.02</v>
      </c>
      <c r="D2796">
        <v>11.41</v>
      </c>
    </row>
    <row r="2797" spans="1:4">
      <c r="A2797">
        <v>2796</v>
      </c>
      <c r="C2797">
        <v>11.99</v>
      </c>
      <c r="D2797">
        <v>11.38</v>
      </c>
    </row>
    <row r="2798" spans="1:4">
      <c r="A2798">
        <v>2797</v>
      </c>
      <c r="C2798">
        <v>11.82</v>
      </c>
      <c r="D2798">
        <v>11.25</v>
      </c>
    </row>
    <row r="2799" spans="1:4">
      <c r="A2799">
        <v>2798</v>
      </c>
      <c r="C2799">
        <v>11.86</v>
      </c>
      <c r="D2799">
        <v>11.18</v>
      </c>
    </row>
    <row r="2800" spans="1:4">
      <c r="A2800">
        <v>2799</v>
      </c>
      <c r="C2800">
        <v>11.76</v>
      </c>
      <c r="D2800">
        <v>11.13</v>
      </c>
    </row>
    <row r="2801" spans="1:4">
      <c r="A2801">
        <v>2800</v>
      </c>
      <c r="C2801">
        <v>11.5</v>
      </c>
      <c r="D2801">
        <v>11.03</v>
      </c>
    </row>
    <row r="2802" spans="1:4">
      <c r="A2802">
        <v>2801</v>
      </c>
      <c r="C2802">
        <v>11.91</v>
      </c>
      <c r="D2802">
        <v>11.21</v>
      </c>
    </row>
    <row r="2803" spans="1:4">
      <c r="A2803">
        <v>2802</v>
      </c>
      <c r="C2803">
        <v>12.12</v>
      </c>
      <c r="D2803">
        <v>11.18</v>
      </c>
    </row>
    <row r="2804" spans="1:4">
      <c r="A2804">
        <v>2803</v>
      </c>
      <c r="C2804">
        <v>13.2</v>
      </c>
      <c r="D2804">
        <v>12.09</v>
      </c>
    </row>
    <row r="2805" spans="1:4">
      <c r="A2805">
        <v>2804</v>
      </c>
      <c r="C2805">
        <v>12.94</v>
      </c>
      <c r="D2805">
        <v>12.3</v>
      </c>
    </row>
    <row r="2806" spans="1:4">
      <c r="A2806">
        <v>2805</v>
      </c>
      <c r="C2806">
        <v>12.51</v>
      </c>
      <c r="D2806">
        <v>11.48</v>
      </c>
    </row>
    <row r="2807" spans="1:4">
      <c r="A2807">
        <v>2806</v>
      </c>
      <c r="C2807">
        <v>11.78</v>
      </c>
      <c r="D2807">
        <v>10.92</v>
      </c>
    </row>
    <row r="2808" spans="1:4">
      <c r="A2808">
        <v>2807</v>
      </c>
      <c r="C2808">
        <v>12.5</v>
      </c>
      <c r="D2808">
        <v>11.73</v>
      </c>
    </row>
    <row r="2809" spans="1:4">
      <c r="A2809">
        <v>2808</v>
      </c>
      <c r="C2809">
        <v>12.1</v>
      </c>
      <c r="D2809">
        <v>11.66</v>
      </c>
    </row>
    <row r="2810" spans="1:4">
      <c r="A2810">
        <v>2809</v>
      </c>
      <c r="C2810">
        <v>12.91</v>
      </c>
      <c r="D2810">
        <v>12.2</v>
      </c>
    </row>
    <row r="2811" spans="1:4">
      <c r="A2811">
        <v>2810</v>
      </c>
      <c r="C2811">
        <v>13.07</v>
      </c>
      <c r="D2811">
        <v>12.23</v>
      </c>
    </row>
    <row r="2812" spans="1:4">
      <c r="A2812">
        <v>2811</v>
      </c>
      <c r="C2812">
        <v>12.5</v>
      </c>
      <c r="D2812">
        <v>11.94</v>
      </c>
    </row>
    <row r="2813" spans="1:4">
      <c r="A2813">
        <v>2812</v>
      </c>
      <c r="C2813">
        <v>12.6</v>
      </c>
      <c r="D2813">
        <v>12.05</v>
      </c>
    </row>
    <row r="2814" spans="1:4">
      <c r="A2814">
        <v>2813</v>
      </c>
      <c r="C2814">
        <v>12.5</v>
      </c>
      <c r="D2814">
        <v>11.95</v>
      </c>
    </row>
    <row r="2815" spans="1:4">
      <c r="A2815">
        <v>2814</v>
      </c>
      <c r="C2815">
        <v>12.72</v>
      </c>
      <c r="D2815">
        <v>12.2</v>
      </c>
    </row>
    <row r="2816" spans="1:4">
      <c r="A2816">
        <v>2815</v>
      </c>
      <c r="C2816">
        <v>12.97</v>
      </c>
      <c r="D2816">
        <v>12.42</v>
      </c>
    </row>
    <row r="2817" spans="1:4">
      <c r="A2817">
        <v>2816</v>
      </c>
      <c r="C2817">
        <v>12.98</v>
      </c>
      <c r="D2817">
        <v>12.11</v>
      </c>
    </row>
    <row r="2818" spans="1:4">
      <c r="A2818">
        <v>2817</v>
      </c>
      <c r="C2818">
        <v>12.99</v>
      </c>
      <c r="D2818">
        <v>12.36</v>
      </c>
    </row>
    <row r="2819" spans="1:4">
      <c r="A2819">
        <v>2818</v>
      </c>
      <c r="C2819">
        <v>13.22</v>
      </c>
      <c r="D2819">
        <v>12.33</v>
      </c>
    </row>
    <row r="2820" spans="1:4">
      <c r="A2820">
        <v>2819</v>
      </c>
      <c r="C2820">
        <v>13.81</v>
      </c>
      <c r="D2820">
        <v>13.19</v>
      </c>
    </row>
    <row r="2821" spans="1:4">
      <c r="A2821">
        <v>2820</v>
      </c>
      <c r="C2821">
        <v>13.67</v>
      </c>
      <c r="D2821">
        <v>13.2</v>
      </c>
    </row>
    <row r="2822" spans="1:4">
      <c r="A2822">
        <v>2821</v>
      </c>
      <c r="C2822">
        <v>13.67</v>
      </c>
      <c r="D2822">
        <v>13.08</v>
      </c>
    </row>
    <row r="2823" spans="1:4">
      <c r="A2823">
        <v>2822</v>
      </c>
      <c r="C2823">
        <v>13.98</v>
      </c>
      <c r="D2823">
        <v>13.33</v>
      </c>
    </row>
    <row r="2824" spans="1:4">
      <c r="A2824">
        <v>2823</v>
      </c>
      <c r="C2824">
        <v>14.28</v>
      </c>
      <c r="D2824">
        <v>13.15</v>
      </c>
    </row>
    <row r="2825" spans="1:4">
      <c r="A2825">
        <v>2824</v>
      </c>
      <c r="C2825">
        <v>14.89</v>
      </c>
      <c r="D2825">
        <v>13.88</v>
      </c>
    </row>
    <row r="2826" spans="1:4">
      <c r="A2826">
        <v>2825</v>
      </c>
      <c r="C2826">
        <v>13.88</v>
      </c>
      <c r="D2826">
        <v>12.97</v>
      </c>
    </row>
    <row r="2827" spans="1:4">
      <c r="A2827">
        <v>2826</v>
      </c>
      <c r="C2827">
        <v>14.01</v>
      </c>
      <c r="D2827">
        <v>13.44</v>
      </c>
    </row>
    <row r="2828" spans="1:4">
      <c r="A2828">
        <v>2827</v>
      </c>
      <c r="C2828">
        <v>14.68</v>
      </c>
      <c r="D2828">
        <v>13.38</v>
      </c>
    </row>
    <row r="2829" spans="1:4">
      <c r="A2829">
        <v>2828</v>
      </c>
      <c r="C2829">
        <v>14.47</v>
      </c>
      <c r="D2829">
        <v>13.64</v>
      </c>
    </row>
    <row r="2830" spans="1:4">
      <c r="A2830">
        <v>2829</v>
      </c>
      <c r="C2830">
        <v>14.1</v>
      </c>
      <c r="D2830">
        <v>13.57</v>
      </c>
    </row>
    <row r="2831" spans="1:4">
      <c r="A2831">
        <v>2830</v>
      </c>
      <c r="C2831">
        <v>14.38</v>
      </c>
      <c r="D2831">
        <v>12.92</v>
      </c>
    </row>
    <row r="2832" spans="1:4">
      <c r="A2832">
        <v>2831</v>
      </c>
      <c r="C2832">
        <v>14.76</v>
      </c>
      <c r="D2832">
        <v>13.96</v>
      </c>
    </row>
    <row r="2833" spans="1:4">
      <c r="A2833">
        <v>2832</v>
      </c>
      <c r="C2833">
        <v>14.11</v>
      </c>
      <c r="D2833">
        <v>13.66</v>
      </c>
    </row>
    <row r="2834" spans="1:4">
      <c r="A2834">
        <v>2833</v>
      </c>
      <c r="C2834">
        <v>13.76</v>
      </c>
      <c r="D2834">
        <v>12.89</v>
      </c>
    </row>
    <row r="2835" spans="1:4">
      <c r="A2835">
        <v>2834</v>
      </c>
      <c r="C2835">
        <v>12.96</v>
      </c>
      <c r="D2835">
        <v>12.3</v>
      </c>
    </row>
    <row r="2836" spans="1:4">
      <c r="A2836">
        <v>2835</v>
      </c>
      <c r="C2836">
        <v>12.65</v>
      </c>
      <c r="D2836">
        <v>11.52</v>
      </c>
    </row>
    <row r="2837" spans="1:4">
      <c r="A2837">
        <v>2836</v>
      </c>
      <c r="C2837">
        <v>12.46</v>
      </c>
      <c r="D2837">
        <v>11.82</v>
      </c>
    </row>
    <row r="2838" spans="1:4">
      <c r="A2838">
        <v>2837</v>
      </c>
      <c r="C2838">
        <v>12.83</v>
      </c>
      <c r="D2838">
        <v>11.2</v>
      </c>
    </row>
    <row r="2839" spans="1:4">
      <c r="A2839">
        <v>2838</v>
      </c>
      <c r="C2839">
        <v>13.44</v>
      </c>
      <c r="D2839">
        <v>11.27</v>
      </c>
    </row>
    <row r="2840" spans="1:4">
      <c r="A2840">
        <v>2839</v>
      </c>
      <c r="C2840">
        <v>14.6</v>
      </c>
      <c r="D2840">
        <v>12.67</v>
      </c>
    </row>
    <row r="2841" spans="1:4">
      <c r="A2841">
        <v>2840</v>
      </c>
      <c r="C2841">
        <v>18.05</v>
      </c>
      <c r="D2841">
        <v>14.71</v>
      </c>
    </row>
    <row r="2842" spans="1:4">
      <c r="A2842">
        <v>2841</v>
      </c>
      <c r="C2842">
        <v>18.59</v>
      </c>
      <c r="D2842">
        <v>16.41</v>
      </c>
    </row>
    <row r="2843" spans="1:4">
      <c r="A2843">
        <v>2842</v>
      </c>
      <c r="C2843">
        <v>15.97</v>
      </c>
      <c r="D2843">
        <v>14.81</v>
      </c>
    </row>
    <row r="2844" spans="1:4">
      <c r="A2844">
        <v>2843</v>
      </c>
      <c r="C2844">
        <v>17.25</v>
      </c>
      <c r="D2844">
        <v>14.52</v>
      </c>
    </row>
    <row r="2845" spans="1:4">
      <c r="A2845">
        <v>2844</v>
      </c>
      <c r="C2845">
        <v>16.22</v>
      </c>
      <c r="D2845">
        <v>14.26</v>
      </c>
    </row>
    <row r="2846" spans="1:4">
      <c r="A2846">
        <v>2845</v>
      </c>
      <c r="C2846">
        <v>16.32</v>
      </c>
      <c r="D2846">
        <v>14.2</v>
      </c>
    </row>
    <row r="2847" spans="1:4">
      <c r="A2847">
        <v>2846</v>
      </c>
      <c r="C2847">
        <v>15.47</v>
      </c>
      <c r="D2847">
        <v>14.6</v>
      </c>
    </row>
    <row r="2848" spans="1:4">
      <c r="A2848">
        <v>2847</v>
      </c>
      <c r="C2848">
        <v>15.15</v>
      </c>
      <c r="D2848">
        <v>14.27</v>
      </c>
    </row>
    <row r="2849" spans="1:4">
      <c r="A2849">
        <v>2848</v>
      </c>
      <c r="C2849">
        <v>15.93</v>
      </c>
      <c r="D2849">
        <v>14.43</v>
      </c>
    </row>
    <row r="2850" spans="1:4">
      <c r="A2850">
        <v>2849</v>
      </c>
      <c r="C2850">
        <v>16.87</v>
      </c>
      <c r="D2850">
        <v>14.19</v>
      </c>
    </row>
    <row r="2851" spans="1:4">
      <c r="A2851">
        <v>2850</v>
      </c>
      <c r="C2851">
        <v>16.920000000000002</v>
      </c>
      <c r="D2851">
        <v>15.26</v>
      </c>
    </row>
    <row r="2852" spans="1:4">
      <c r="A2852">
        <v>2851</v>
      </c>
      <c r="C2852">
        <v>16.010000000000002</v>
      </c>
      <c r="D2852">
        <v>15.08</v>
      </c>
    </row>
    <row r="2853" spans="1:4">
      <c r="A2853">
        <v>2852</v>
      </c>
      <c r="C2853">
        <v>15.31</v>
      </c>
      <c r="D2853">
        <v>14.53</v>
      </c>
    </row>
    <row r="2854" spans="1:4">
      <c r="A2854">
        <v>2853</v>
      </c>
      <c r="C2854">
        <v>15.38</v>
      </c>
      <c r="D2854">
        <v>13.7</v>
      </c>
    </row>
    <row r="2855" spans="1:4">
      <c r="A2855">
        <v>2854</v>
      </c>
      <c r="C2855">
        <v>15.82</v>
      </c>
      <c r="D2855">
        <v>13.43</v>
      </c>
    </row>
    <row r="2856" spans="1:4">
      <c r="A2856">
        <v>2855</v>
      </c>
      <c r="C2856">
        <v>14.06</v>
      </c>
      <c r="D2856">
        <v>13.11</v>
      </c>
    </row>
    <row r="2857" spans="1:4">
      <c r="A2857">
        <v>2856</v>
      </c>
      <c r="C2857">
        <v>14.56</v>
      </c>
      <c r="D2857">
        <v>13.53</v>
      </c>
    </row>
    <row r="2858" spans="1:4">
      <c r="A2858">
        <v>2857</v>
      </c>
      <c r="C2858">
        <v>15.11</v>
      </c>
      <c r="D2858">
        <v>14.03</v>
      </c>
    </row>
    <row r="2859" spans="1:4">
      <c r="A2859">
        <v>2858</v>
      </c>
      <c r="C2859">
        <v>15.8</v>
      </c>
      <c r="D2859">
        <v>14.31</v>
      </c>
    </row>
    <row r="2860" spans="1:4">
      <c r="A2860">
        <v>2859</v>
      </c>
      <c r="C2860">
        <v>16.23</v>
      </c>
      <c r="D2860">
        <v>14.16</v>
      </c>
    </row>
    <row r="2861" spans="1:4">
      <c r="A2861">
        <v>2860</v>
      </c>
      <c r="C2861">
        <v>17.7</v>
      </c>
      <c r="D2861">
        <v>15.4</v>
      </c>
    </row>
    <row r="2862" spans="1:4">
      <c r="A2862">
        <v>2861</v>
      </c>
      <c r="C2862">
        <v>16.87</v>
      </c>
      <c r="D2862">
        <v>15.67</v>
      </c>
    </row>
    <row r="2863" spans="1:4">
      <c r="A2863">
        <v>2862</v>
      </c>
      <c r="C2863">
        <v>16.21</v>
      </c>
      <c r="D2863">
        <v>14.45</v>
      </c>
    </row>
    <row r="2864" spans="1:4">
      <c r="A2864">
        <v>2863</v>
      </c>
      <c r="C2864">
        <v>14.13</v>
      </c>
      <c r="D2864">
        <v>13.3</v>
      </c>
    </row>
    <row r="2865" spans="1:4">
      <c r="A2865">
        <v>2864</v>
      </c>
      <c r="C2865">
        <v>14.02</v>
      </c>
      <c r="D2865">
        <v>13.25</v>
      </c>
    </row>
    <row r="2866" spans="1:4">
      <c r="A2866">
        <v>2865</v>
      </c>
      <c r="C2866">
        <v>13.73</v>
      </c>
      <c r="D2866">
        <v>13.07</v>
      </c>
    </row>
    <row r="2867" spans="1:4">
      <c r="A2867">
        <v>2866</v>
      </c>
      <c r="C2867">
        <v>13.45</v>
      </c>
      <c r="D2867">
        <v>12.75</v>
      </c>
    </row>
    <row r="2868" spans="1:4">
      <c r="A2868">
        <v>2867</v>
      </c>
      <c r="C2868">
        <v>13.3</v>
      </c>
      <c r="D2868">
        <v>12.53</v>
      </c>
    </row>
    <row r="2869" spans="1:4">
      <c r="A2869">
        <v>2868</v>
      </c>
      <c r="C2869">
        <v>13.11</v>
      </c>
      <c r="D2869">
        <v>12.58</v>
      </c>
    </row>
    <row r="2870" spans="1:4">
      <c r="A2870">
        <v>2869</v>
      </c>
      <c r="C2870">
        <v>12.38</v>
      </c>
      <c r="D2870">
        <v>11.65</v>
      </c>
    </row>
    <row r="2871" spans="1:4">
      <c r="A2871">
        <v>2870</v>
      </c>
      <c r="C2871">
        <v>12.43</v>
      </c>
      <c r="D2871">
        <v>12.06</v>
      </c>
    </row>
    <row r="2872" spans="1:4">
      <c r="A2872">
        <v>2871</v>
      </c>
      <c r="C2872">
        <v>13.45</v>
      </c>
      <c r="D2872">
        <v>12.67</v>
      </c>
    </row>
    <row r="2873" spans="1:4">
      <c r="A2873">
        <v>2872</v>
      </c>
      <c r="C2873">
        <v>13.34</v>
      </c>
      <c r="D2873">
        <v>12.17</v>
      </c>
    </row>
    <row r="2874" spans="1:4">
      <c r="A2874">
        <v>2873</v>
      </c>
      <c r="C2874">
        <v>12.43</v>
      </c>
      <c r="D2874">
        <v>11.8</v>
      </c>
    </row>
    <row r="2875" spans="1:4">
      <c r="A2875">
        <v>2874</v>
      </c>
      <c r="C2875">
        <v>12.49</v>
      </c>
      <c r="D2875">
        <v>11.52</v>
      </c>
    </row>
    <row r="2876" spans="1:4">
      <c r="A2876">
        <v>2875</v>
      </c>
      <c r="C2876">
        <v>13</v>
      </c>
      <c r="D2876">
        <v>12.21</v>
      </c>
    </row>
    <row r="2877" spans="1:4">
      <c r="A2877">
        <v>2876</v>
      </c>
      <c r="C2877">
        <v>12.43</v>
      </c>
      <c r="D2877">
        <v>11.47</v>
      </c>
    </row>
    <row r="2878" spans="1:4">
      <c r="A2878">
        <v>2877</v>
      </c>
      <c r="C2878">
        <v>12.83</v>
      </c>
      <c r="D2878">
        <v>12.05</v>
      </c>
    </row>
    <row r="2879" spans="1:4">
      <c r="A2879">
        <v>2878</v>
      </c>
      <c r="C2879">
        <v>13.07</v>
      </c>
      <c r="D2879">
        <v>12.06</v>
      </c>
    </row>
    <row r="2880" spans="1:4">
      <c r="A2880">
        <v>2879</v>
      </c>
      <c r="C2880">
        <v>12.4</v>
      </c>
      <c r="D2880">
        <v>11.9</v>
      </c>
    </row>
    <row r="2881" spans="1:4">
      <c r="A2881">
        <v>2880</v>
      </c>
      <c r="C2881">
        <v>12.12</v>
      </c>
      <c r="D2881">
        <v>11.31</v>
      </c>
    </row>
    <row r="2882" spans="1:4">
      <c r="A2882">
        <v>2881</v>
      </c>
      <c r="C2882">
        <v>12.02</v>
      </c>
      <c r="D2882">
        <v>11.52</v>
      </c>
    </row>
    <row r="2883" spans="1:4">
      <c r="A2883">
        <v>2882</v>
      </c>
      <c r="C2883">
        <v>11.96</v>
      </c>
      <c r="D2883">
        <v>11.05</v>
      </c>
    </row>
    <row r="2884" spans="1:4">
      <c r="A2884">
        <v>2883</v>
      </c>
      <c r="C2884">
        <v>11.36</v>
      </c>
      <c r="D2884">
        <v>11.04</v>
      </c>
    </row>
    <row r="2885" spans="1:4">
      <c r="A2885">
        <v>2884</v>
      </c>
      <c r="C2885">
        <v>11.64</v>
      </c>
      <c r="D2885">
        <v>10.78</v>
      </c>
    </row>
    <row r="2886" spans="1:4">
      <c r="A2886">
        <v>2885</v>
      </c>
      <c r="C2886">
        <v>12.53</v>
      </c>
      <c r="D2886">
        <v>11.31</v>
      </c>
    </row>
    <row r="2887" spans="1:4">
      <c r="A2887">
        <v>2886</v>
      </c>
      <c r="C2887">
        <v>11.67</v>
      </c>
      <c r="D2887">
        <v>11.01</v>
      </c>
    </row>
    <row r="2888" spans="1:4">
      <c r="A2888">
        <v>2887</v>
      </c>
      <c r="C2888">
        <v>11.31</v>
      </c>
      <c r="D2888">
        <v>10.81</v>
      </c>
    </row>
    <row r="2889" spans="1:4">
      <c r="A2889">
        <v>2888</v>
      </c>
      <c r="C2889">
        <v>12.13</v>
      </c>
      <c r="D2889">
        <v>10.96</v>
      </c>
    </row>
    <row r="2890" spans="1:4">
      <c r="A2890">
        <v>2889</v>
      </c>
      <c r="C2890">
        <v>12.32</v>
      </c>
      <c r="D2890">
        <v>11.95</v>
      </c>
    </row>
    <row r="2891" spans="1:4">
      <c r="A2891">
        <v>2890</v>
      </c>
      <c r="C2891">
        <v>12.78</v>
      </c>
      <c r="D2891">
        <v>12.38</v>
      </c>
    </row>
    <row r="2892" spans="1:4">
      <c r="A2892">
        <v>2891</v>
      </c>
      <c r="C2892">
        <v>12.31</v>
      </c>
      <c r="D2892">
        <v>11.55</v>
      </c>
    </row>
    <row r="2893" spans="1:4">
      <c r="A2893">
        <v>2892</v>
      </c>
      <c r="C2893">
        <v>11.78</v>
      </c>
      <c r="D2893">
        <v>11.44</v>
      </c>
    </row>
    <row r="2894" spans="1:4">
      <c r="A2894">
        <v>2893</v>
      </c>
      <c r="C2894">
        <v>12.1</v>
      </c>
      <c r="D2894">
        <v>11.5</v>
      </c>
    </row>
    <row r="2895" spans="1:4">
      <c r="A2895">
        <v>2894</v>
      </c>
      <c r="C2895">
        <v>11.92</v>
      </c>
      <c r="D2895">
        <v>11.38</v>
      </c>
    </row>
    <row r="2896" spans="1:4">
      <c r="A2896">
        <v>2895</v>
      </c>
      <c r="C2896">
        <v>12.41</v>
      </c>
      <c r="D2896">
        <v>11.53</v>
      </c>
    </row>
    <row r="2897" spans="1:4">
      <c r="A2897">
        <v>2896</v>
      </c>
      <c r="C2897">
        <v>12.33</v>
      </c>
      <c r="D2897">
        <v>11.54</v>
      </c>
    </row>
    <row r="2898" spans="1:4">
      <c r="A2898">
        <v>2897</v>
      </c>
      <c r="C2898">
        <v>13.92</v>
      </c>
      <c r="D2898">
        <v>12.48</v>
      </c>
    </row>
    <row r="2899" spans="1:4">
      <c r="A2899">
        <v>2898</v>
      </c>
      <c r="C2899">
        <v>12.29</v>
      </c>
      <c r="D2899">
        <v>11.09</v>
      </c>
    </row>
    <row r="2900" spans="1:4">
      <c r="A2900">
        <v>2899</v>
      </c>
      <c r="C2900">
        <v>11.41</v>
      </c>
      <c r="D2900">
        <v>10.53</v>
      </c>
    </row>
    <row r="2901" spans="1:4">
      <c r="A2901">
        <v>2900</v>
      </c>
      <c r="C2901">
        <v>11.37</v>
      </c>
      <c r="D2901">
        <v>10.85</v>
      </c>
    </row>
    <row r="2902" spans="1:4">
      <c r="A2902">
        <v>2901</v>
      </c>
      <c r="C2902">
        <v>11.44</v>
      </c>
      <c r="D2902">
        <v>10.8</v>
      </c>
    </row>
    <row r="2903" spans="1:4">
      <c r="A2903">
        <v>2902</v>
      </c>
      <c r="C2903">
        <v>11.13</v>
      </c>
      <c r="D2903">
        <v>10.5</v>
      </c>
    </row>
    <row r="2904" spans="1:4">
      <c r="A2904">
        <v>2903</v>
      </c>
      <c r="C2904">
        <v>10.9</v>
      </c>
      <c r="D2904">
        <v>10.130000000000001</v>
      </c>
    </row>
    <row r="2905" spans="1:4">
      <c r="A2905">
        <v>2904</v>
      </c>
      <c r="C2905">
        <v>11.09</v>
      </c>
      <c r="D2905">
        <v>10.77</v>
      </c>
    </row>
    <row r="2906" spans="1:4">
      <c r="A2906">
        <v>2905</v>
      </c>
      <c r="C2906">
        <v>10.79</v>
      </c>
      <c r="D2906">
        <v>10.36</v>
      </c>
    </row>
    <row r="2907" spans="1:4">
      <c r="A2907">
        <v>2906</v>
      </c>
      <c r="C2907">
        <v>10.94</v>
      </c>
      <c r="D2907">
        <v>9.8800000000000008</v>
      </c>
    </row>
    <row r="2908" spans="1:4">
      <c r="A2908">
        <v>2907</v>
      </c>
      <c r="C2908">
        <v>11.21</v>
      </c>
      <c r="D2908">
        <v>10.23</v>
      </c>
    </row>
    <row r="2909" spans="1:4">
      <c r="A2909">
        <v>2908</v>
      </c>
      <c r="C2909">
        <v>11.05</v>
      </c>
      <c r="D2909">
        <v>10.51</v>
      </c>
    </row>
    <row r="2910" spans="1:4">
      <c r="A2910">
        <v>2909</v>
      </c>
      <c r="C2910">
        <v>11.28</v>
      </c>
      <c r="D2910">
        <v>10.7</v>
      </c>
    </row>
    <row r="2911" spans="1:4">
      <c r="A2911">
        <v>2910</v>
      </c>
      <c r="C2911">
        <v>11.25</v>
      </c>
      <c r="D2911">
        <v>10.92</v>
      </c>
    </row>
    <row r="2912" spans="1:4">
      <c r="A2912">
        <v>2911</v>
      </c>
      <c r="C2912">
        <v>11.03</v>
      </c>
      <c r="D2912">
        <v>10.34</v>
      </c>
    </row>
    <row r="2913" spans="1:4">
      <c r="A2913">
        <v>2912</v>
      </c>
      <c r="C2913">
        <v>10.58</v>
      </c>
      <c r="D2913">
        <v>10.27</v>
      </c>
    </row>
    <row r="2914" spans="1:4">
      <c r="A2914">
        <v>2913</v>
      </c>
      <c r="C2914">
        <v>11.73</v>
      </c>
      <c r="D2914">
        <v>10.24</v>
      </c>
    </row>
    <row r="2915" spans="1:4">
      <c r="A2915">
        <v>2914</v>
      </c>
      <c r="C2915">
        <v>12.23</v>
      </c>
      <c r="D2915">
        <v>11.36</v>
      </c>
    </row>
    <row r="2916" spans="1:4">
      <c r="A2916">
        <v>2915</v>
      </c>
      <c r="C2916">
        <v>12.03</v>
      </c>
      <c r="D2916">
        <v>11.69</v>
      </c>
    </row>
    <row r="2917" spans="1:4">
      <c r="A2917">
        <v>2916</v>
      </c>
      <c r="C2917">
        <v>12.01</v>
      </c>
      <c r="D2917">
        <v>11.62</v>
      </c>
    </row>
    <row r="2918" spans="1:4">
      <c r="A2918">
        <v>2917</v>
      </c>
      <c r="C2918">
        <v>12.57</v>
      </c>
      <c r="D2918">
        <v>11.99</v>
      </c>
    </row>
    <row r="2919" spans="1:4">
      <c r="A2919">
        <v>2918</v>
      </c>
      <c r="C2919">
        <v>12.92</v>
      </c>
      <c r="D2919">
        <v>11.82</v>
      </c>
    </row>
    <row r="2920" spans="1:4">
      <c r="A2920">
        <v>2919</v>
      </c>
      <c r="C2920">
        <v>13.29</v>
      </c>
      <c r="D2920">
        <v>12.56</v>
      </c>
    </row>
    <row r="2921" spans="1:4">
      <c r="A2921">
        <v>2920</v>
      </c>
      <c r="C2921">
        <v>12.78</v>
      </c>
      <c r="D2921">
        <v>12.24</v>
      </c>
    </row>
    <row r="2922" spans="1:4">
      <c r="A2922">
        <v>2921</v>
      </c>
      <c r="C2922">
        <v>12.56</v>
      </c>
      <c r="D2922">
        <v>11.51</v>
      </c>
    </row>
    <row r="2923" spans="1:4">
      <c r="A2923">
        <v>2922</v>
      </c>
      <c r="C2923">
        <v>12.94</v>
      </c>
      <c r="D2923">
        <v>11.88</v>
      </c>
    </row>
    <row r="2924" spans="1:4">
      <c r="A2924">
        <v>2923</v>
      </c>
      <c r="C2924">
        <v>12.98</v>
      </c>
      <c r="D2924">
        <v>12.18</v>
      </c>
    </row>
    <row r="2925" spans="1:4">
      <c r="A2925">
        <v>2924</v>
      </c>
      <c r="C2925">
        <v>12.99</v>
      </c>
      <c r="D2925">
        <v>12.08</v>
      </c>
    </row>
    <row r="2926" spans="1:4">
      <c r="A2926">
        <v>2925</v>
      </c>
      <c r="C2926">
        <v>13.89</v>
      </c>
      <c r="D2926">
        <v>12.28</v>
      </c>
    </row>
    <row r="2927" spans="1:4">
      <c r="A2927">
        <v>2926</v>
      </c>
      <c r="C2927">
        <v>13.76</v>
      </c>
      <c r="D2927">
        <v>12.78</v>
      </c>
    </row>
    <row r="2928" spans="1:4">
      <c r="A2928">
        <v>2927</v>
      </c>
      <c r="C2928">
        <v>13.88</v>
      </c>
      <c r="D2928">
        <v>13.01</v>
      </c>
    </row>
    <row r="2929" spans="1:4">
      <c r="A2929">
        <v>2928</v>
      </c>
      <c r="C2929">
        <v>13.85</v>
      </c>
      <c r="D2929">
        <v>12.61</v>
      </c>
    </row>
    <row r="2930" spans="1:4">
      <c r="A2930">
        <v>2929</v>
      </c>
      <c r="C2930">
        <v>13.89</v>
      </c>
      <c r="D2930">
        <v>13.2</v>
      </c>
    </row>
    <row r="2931" spans="1:4">
      <c r="A2931">
        <v>2930</v>
      </c>
      <c r="C2931">
        <v>14.05</v>
      </c>
      <c r="D2931">
        <v>13.3</v>
      </c>
    </row>
    <row r="2932" spans="1:4">
      <c r="A2932">
        <v>2931</v>
      </c>
      <c r="C2932">
        <v>14.18</v>
      </c>
      <c r="D2932">
        <v>13</v>
      </c>
    </row>
    <row r="2933" spans="1:4">
      <c r="A2933">
        <v>2932</v>
      </c>
      <c r="C2933">
        <v>14.12</v>
      </c>
      <c r="D2933">
        <v>13.66</v>
      </c>
    </row>
    <row r="2934" spans="1:4">
      <c r="A2934">
        <v>2933</v>
      </c>
      <c r="C2934">
        <v>14.2</v>
      </c>
      <c r="D2934">
        <v>13.65</v>
      </c>
    </row>
    <row r="2935" spans="1:4">
      <c r="A2935">
        <v>2934</v>
      </c>
      <c r="C2935">
        <v>14.41</v>
      </c>
      <c r="D2935">
        <v>13.38</v>
      </c>
    </row>
    <row r="2936" spans="1:4">
      <c r="A2936">
        <v>2935</v>
      </c>
      <c r="C2936">
        <v>14.18</v>
      </c>
      <c r="D2936">
        <v>13.47</v>
      </c>
    </row>
    <row r="2937" spans="1:4">
      <c r="A2937">
        <v>2936</v>
      </c>
      <c r="C2937">
        <v>13.63</v>
      </c>
      <c r="D2937">
        <v>12.56</v>
      </c>
    </row>
    <row r="2938" spans="1:4">
      <c r="A2938">
        <v>2937</v>
      </c>
      <c r="C2938">
        <v>13.37</v>
      </c>
      <c r="D2938">
        <v>12.31</v>
      </c>
    </row>
    <row r="2939" spans="1:4">
      <c r="A2939">
        <v>2938</v>
      </c>
      <c r="C2939">
        <v>13.72</v>
      </c>
      <c r="D2939">
        <v>13.03</v>
      </c>
    </row>
    <row r="2940" spans="1:4">
      <c r="A2940">
        <v>2939</v>
      </c>
      <c r="C2940">
        <v>14.18</v>
      </c>
      <c r="D2940">
        <v>12.9</v>
      </c>
    </row>
    <row r="2941" spans="1:4">
      <c r="A2941">
        <v>2940</v>
      </c>
      <c r="C2941">
        <v>13.2</v>
      </c>
      <c r="D2941">
        <v>12.44</v>
      </c>
    </row>
    <row r="2942" spans="1:4">
      <c r="A2942">
        <v>2941</v>
      </c>
      <c r="C2942">
        <v>12.94</v>
      </c>
      <c r="D2942">
        <v>12.37</v>
      </c>
    </row>
    <row r="2943" spans="1:4">
      <c r="A2943">
        <v>2942</v>
      </c>
      <c r="C2943">
        <v>12.65</v>
      </c>
      <c r="D2943">
        <v>11.96</v>
      </c>
    </row>
    <row r="2944" spans="1:4">
      <c r="A2944">
        <v>2943</v>
      </c>
      <c r="C2944">
        <v>11.89</v>
      </c>
      <c r="D2944">
        <v>11.45</v>
      </c>
    </row>
    <row r="2945" spans="1:4">
      <c r="A2945">
        <v>2944</v>
      </c>
      <c r="C2945">
        <v>12.48</v>
      </c>
      <c r="D2945">
        <v>11.75</v>
      </c>
    </row>
    <row r="2946" spans="1:4">
      <c r="A2946">
        <v>2945</v>
      </c>
      <c r="C2946">
        <v>13.26</v>
      </c>
      <c r="D2946">
        <v>12.67</v>
      </c>
    </row>
    <row r="2947" spans="1:4">
      <c r="A2947">
        <v>2946</v>
      </c>
      <c r="C2947">
        <v>13.17</v>
      </c>
      <c r="D2947">
        <v>12.28</v>
      </c>
    </row>
    <row r="2948" spans="1:4">
      <c r="A2948">
        <v>2947</v>
      </c>
      <c r="C2948">
        <v>11.93</v>
      </c>
      <c r="D2948">
        <v>11.07</v>
      </c>
    </row>
    <row r="2949" spans="1:4">
      <c r="A2949">
        <v>2948</v>
      </c>
      <c r="C2949">
        <v>12.46</v>
      </c>
      <c r="D2949">
        <v>12.04</v>
      </c>
    </row>
    <row r="2950" spans="1:4">
      <c r="A2950">
        <v>2949</v>
      </c>
      <c r="C2950">
        <v>12.96</v>
      </c>
      <c r="D2950">
        <v>11.83</v>
      </c>
    </row>
    <row r="2951" spans="1:4">
      <c r="A2951">
        <v>2950</v>
      </c>
      <c r="C2951">
        <v>13.91</v>
      </c>
      <c r="D2951">
        <v>12.96</v>
      </c>
    </row>
    <row r="2952" spans="1:4">
      <c r="A2952">
        <v>2951</v>
      </c>
      <c r="C2952">
        <v>14.39</v>
      </c>
      <c r="D2952">
        <v>13.31</v>
      </c>
    </row>
    <row r="2953" spans="1:4">
      <c r="A2953">
        <v>2952</v>
      </c>
      <c r="C2953">
        <v>13.88</v>
      </c>
      <c r="D2953">
        <v>12.75</v>
      </c>
    </row>
    <row r="2954" spans="1:4">
      <c r="A2954">
        <v>2953</v>
      </c>
      <c r="C2954">
        <v>13.47</v>
      </c>
      <c r="D2954">
        <v>12.64</v>
      </c>
    </row>
    <row r="2955" spans="1:4">
      <c r="A2955">
        <v>2954</v>
      </c>
      <c r="C2955">
        <v>13.46</v>
      </c>
      <c r="D2955">
        <v>12.51</v>
      </c>
    </row>
    <row r="2956" spans="1:4">
      <c r="A2956">
        <v>2955</v>
      </c>
      <c r="C2956">
        <v>12.98</v>
      </c>
      <c r="D2956">
        <v>12.37</v>
      </c>
    </row>
    <row r="2957" spans="1:4">
      <c r="A2957">
        <v>2956</v>
      </c>
      <c r="C2957">
        <v>13.23</v>
      </c>
      <c r="D2957">
        <v>12.15</v>
      </c>
    </row>
    <row r="2958" spans="1:4">
      <c r="A2958">
        <v>2957</v>
      </c>
      <c r="C2958">
        <v>12.44</v>
      </c>
      <c r="D2958">
        <v>11.92</v>
      </c>
    </row>
    <row r="2959" spans="1:4">
      <c r="A2959">
        <v>2958</v>
      </c>
      <c r="C2959">
        <v>12.62</v>
      </c>
      <c r="D2959">
        <v>11.98</v>
      </c>
    </row>
    <row r="2960" spans="1:4">
      <c r="A2960">
        <v>2959</v>
      </c>
      <c r="C2960">
        <v>13.21</v>
      </c>
      <c r="D2960">
        <v>12.11</v>
      </c>
    </row>
    <row r="2961" spans="1:4">
      <c r="A2961">
        <v>2960</v>
      </c>
      <c r="C2961">
        <v>14.58</v>
      </c>
      <c r="D2961">
        <v>12.97</v>
      </c>
    </row>
    <row r="2962" spans="1:4">
      <c r="A2962">
        <v>2961</v>
      </c>
      <c r="C2962">
        <v>15.63</v>
      </c>
      <c r="D2962">
        <v>14.04</v>
      </c>
    </row>
    <row r="2963" spans="1:4">
      <c r="A2963">
        <v>2962</v>
      </c>
      <c r="C2963">
        <v>14.82</v>
      </c>
      <c r="D2963">
        <v>14.3</v>
      </c>
    </row>
    <row r="2964" spans="1:4">
      <c r="A2964">
        <v>2963</v>
      </c>
      <c r="C2964">
        <v>15.61</v>
      </c>
      <c r="D2964">
        <v>14.87</v>
      </c>
    </row>
    <row r="2965" spans="1:4">
      <c r="A2965">
        <v>2964</v>
      </c>
      <c r="C2965">
        <v>15.7</v>
      </c>
      <c r="D2965">
        <v>15.06</v>
      </c>
    </row>
    <row r="2966" spans="1:4">
      <c r="A2966">
        <v>2965</v>
      </c>
      <c r="C2966">
        <v>16.27</v>
      </c>
      <c r="D2966">
        <v>15.04</v>
      </c>
    </row>
    <row r="2967" spans="1:4">
      <c r="A2967">
        <v>2966</v>
      </c>
      <c r="C2967">
        <v>17.190000000000001</v>
      </c>
      <c r="D2967">
        <v>15.98</v>
      </c>
    </row>
    <row r="2968" spans="1:4">
      <c r="A2968">
        <v>2967</v>
      </c>
      <c r="C2968">
        <v>16.03</v>
      </c>
      <c r="D2968">
        <v>14.83</v>
      </c>
    </row>
    <row r="2969" spans="1:4">
      <c r="A2969">
        <v>2968</v>
      </c>
      <c r="C2969">
        <v>15.3</v>
      </c>
      <c r="D2969">
        <v>14.58</v>
      </c>
    </row>
    <row r="2970" spans="1:4">
      <c r="A2970">
        <v>2969</v>
      </c>
      <c r="C2970">
        <v>15.4</v>
      </c>
      <c r="D2970">
        <v>14.79</v>
      </c>
    </row>
    <row r="2971" spans="1:4">
      <c r="A2971">
        <v>2970</v>
      </c>
      <c r="C2971">
        <v>15.86</v>
      </c>
      <c r="D2971">
        <v>13.47</v>
      </c>
    </row>
    <row r="2972" spans="1:4">
      <c r="A2972">
        <v>2971</v>
      </c>
      <c r="C2972">
        <v>16.190000000000001</v>
      </c>
      <c r="D2972">
        <v>13.98</v>
      </c>
    </row>
    <row r="2973" spans="1:4">
      <c r="A2973">
        <v>2972</v>
      </c>
      <c r="C2973">
        <v>16.27</v>
      </c>
      <c r="D2973">
        <v>15.26</v>
      </c>
    </row>
    <row r="2974" spans="1:4">
      <c r="A2974">
        <v>2973</v>
      </c>
      <c r="C2974">
        <v>16.440000000000001</v>
      </c>
      <c r="D2974">
        <v>14.61</v>
      </c>
    </row>
    <row r="2975" spans="1:4">
      <c r="A2975">
        <v>2974</v>
      </c>
      <c r="C2975">
        <v>15.3</v>
      </c>
      <c r="D2975">
        <v>14.2</v>
      </c>
    </row>
    <row r="2976" spans="1:4">
      <c r="A2976">
        <v>2975</v>
      </c>
      <c r="C2976">
        <v>14.88</v>
      </c>
      <c r="D2976">
        <v>13.72</v>
      </c>
    </row>
    <row r="2977" spans="1:4">
      <c r="A2977">
        <v>2976</v>
      </c>
      <c r="C2977">
        <v>16.3</v>
      </c>
      <c r="D2977">
        <v>14.57</v>
      </c>
    </row>
    <row r="2978" spans="1:4">
      <c r="A2978">
        <v>2977</v>
      </c>
      <c r="C2978">
        <v>15.61</v>
      </c>
      <c r="D2978">
        <v>14.11</v>
      </c>
    </row>
    <row r="2979" spans="1:4">
      <c r="A2979">
        <v>2978</v>
      </c>
      <c r="C2979">
        <v>15.39</v>
      </c>
      <c r="D2979">
        <v>13.93</v>
      </c>
    </row>
    <row r="2980" spans="1:4">
      <c r="A2980">
        <v>2979</v>
      </c>
      <c r="C2980">
        <v>15.66</v>
      </c>
      <c r="D2980">
        <v>14.65</v>
      </c>
    </row>
    <row r="2981" spans="1:4">
      <c r="A2981">
        <v>2980</v>
      </c>
      <c r="C2981">
        <v>14.99</v>
      </c>
      <c r="D2981">
        <v>13.38</v>
      </c>
    </row>
    <row r="2982" spans="1:4">
      <c r="A2982">
        <v>2981</v>
      </c>
      <c r="C2982">
        <v>13.23</v>
      </c>
      <c r="D2982">
        <v>12.5</v>
      </c>
    </row>
    <row r="2983" spans="1:4">
      <c r="A2983">
        <v>2982</v>
      </c>
      <c r="C2983">
        <v>13.62</v>
      </c>
      <c r="D2983">
        <v>12.69</v>
      </c>
    </row>
    <row r="2984" spans="1:4">
      <c r="A2984">
        <v>2983</v>
      </c>
      <c r="C2984">
        <v>13.65</v>
      </c>
      <c r="D2984">
        <v>12.76</v>
      </c>
    </row>
    <row r="2985" spans="1:4">
      <c r="A2985">
        <v>2984</v>
      </c>
      <c r="C2985">
        <v>13.61</v>
      </c>
      <c r="D2985">
        <v>13.04</v>
      </c>
    </row>
    <row r="2986" spans="1:4">
      <c r="A2986">
        <v>2985</v>
      </c>
      <c r="C2986">
        <v>13.36</v>
      </c>
      <c r="D2986">
        <v>12.42</v>
      </c>
    </row>
    <row r="2987" spans="1:4">
      <c r="A2987">
        <v>2986</v>
      </c>
      <c r="C2987">
        <v>13.17</v>
      </c>
      <c r="D2987">
        <v>11.73</v>
      </c>
    </row>
    <row r="2988" spans="1:4">
      <c r="A2988">
        <v>2987</v>
      </c>
      <c r="C2988">
        <v>11.96</v>
      </c>
      <c r="D2988">
        <v>11.63</v>
      </c>
    </row>
    <row r="2989" spans="1:4">
      <c r="A2989">
        <v>2988</v>
      </c>
      <c r="C2989">
        <v>12.34</v>
      </c>
      <c r="D2989">
        <v>11.77</v>
      </c>
    </row>
    <row r="2990" spans="1:4">
      <c r="A2990">
        <v>2989</v>
      </c>
      <c r="C2990">
        <v>12.69</v>
      </c>
      <c r="D2990">
        <v>11.7</v>
      </c>
    </row>
    <row r="2991" spans="1:4">
      <c r="A2991">
        <v>2990</v>
      </c>
      <c r="C2991">
        <v>12.68</v>
      </c>
      <c r="D2991">
        <v>12.17</v>
      </c>
    </row>
    <row r="2992" spans="1:4">
      <c r="A2992">
        <v>2991</v>
      </c>
      <c r="C2992">
        <v>12.2</v>
      </c>
      <c r="D2992">
        <v>11.25</v>
      </c>
    </row>
    <row r="2993" spans="1:4">
      <c r="A2993">
        <v>2992</v>
      </c>
      <c r="C2993">
        <v>11.67</v>
      </c>
      <c r="D2993">
        <v>10.96</v>
      </c>
    </row>
    <row r="2994" spans="1:4">
      <c r="A2994">
        <v>2993</v>
      </c>
      <c r="C2994">
        <v>11.38</v>
      </c>
      <c r="D2994">
        <v>10.71</v>
      </c>
    </row>
    <row r="2995" spans="1:4">
      <c r="A2995">
        <v>2994</v>
      </c>
      <c r="C2995">
        <v>11.1</v>
      </c>
      <c r="D2995">
        <v>10.5</v>
      </c>
    </row>
    <row r="2996" spans="1:4">
      <c r="A2996">
        <v>2995</v>
      </c>
      <c r="C2996">
        <v>11.03</v>
      </c>
      <c r="D2996">
        <v>10.67</v>
      </c>
    </row>
    <row r="2997" spans="1:4">
      <c r="A2997">
        <v>2996</v>
      </c>
      <c r="C2997">
        <v>11.24</v>
      </c>
      <c r="D2997">
        <v>10.88</v>
      </c>
    </row>
    <row r="2998" spans="1:4">
      <c r="A2998">
        <v>2997</v>
      </c>
      <c r="C2998">
        <v>11.99</v>
      </c>
      <c r="D2998">
        <v>11.33</v>
      </c>
    </row>
    <row r="2999" spans="1:4">
      <c r="A2999">
        <v>2998</v>
      </c>
      <c r="C2999">
        <v>11.96</v>
      </c>
      <c r="D2999">
        <v>11.61</v>
      </c>
    </row>
    <row r="3000" spans="1:4">
      <c r="A3000">
        <v>2999</v>
      </c>
      <c r="C3000">
        <v>12.13</v>
      </c>
      <c r="D3000">
        <v>11.55</v>
      </c>
    </row>
    <row r="3001" spans="1:4">
      <c r="A3001">
        <v>3000</v>
      </c>
      <c r="C3001">
        <v>12.23</v>
      </c>
      <c r="D3001">
        <v>11.14</v>
      </c>
    </row>
    <row r="3002" spans="1:4">
      <c r="A3002">
        <v>3001</v>
      </c>
      <c r="C3002">
        <v>11.23</v>
      </c>
      <c r="D3002">
        <v>10.94</v>
      </c>
    </row>
    <row r="3003" spans="1:4">
      <c r="A3003">
        <v>3002</v>
      </c>
      <c r="C3003">
        <v>11.68</v>
      </c>
      <c r="D3003">
        <v>11.4</v>
      </c>
    </row>
    <row r="3004" spans="1:4">
      <c r="A3004">
        <v>3003</v>
      </c>
      <c r="C3004">
        <v>11.59</v>
      </c>
      <c r="D3004">
        <v>10.96</v>
      </c>
    </row>
    <row r="3005" spans="1:4">
      <c r="A3005">
        <v>3004</v>
      </c>
      <c r="C3005">
        <v>12.44</v>
      </c>
      <c r="D3005">
        <v>11.45</v>
      </c>
    </row>
    <row r="3006" spans="1:4">
      <c r="A3006">
        <v>3005</v>
      </c>
      <c r="C3006">
        <v>12.41</v>
      </c>
      <c r="D3006">
        <v>11.73</v>
      </c>
    </row>
    <row r="3007" spans="1:4">
      <c r="A3007">
        <v>3006</v>
      </c>
      <c r="C3007">
        <v>12.2</v>
      </c>
      <c r="D3007">
        <v>11.56</v>
      </c>
    </row>
    <row r="3008" spans="1:4">
      <c r="A3008">
        <v>3007</v>
      </c>
      <c r="C3008">
        <v>11.81</v>
      </c>
      <c r="D3008">
        <v>10.83</v>
      </c>
    </row>
    <row r="3009" spans="1:4">
      <c r="A3009">
        <v>3008</v>
      </c>
      <c r="C3009">
        <v>11.42</v>
      </c>
      <c r="D3009">
        <v>10.57</v>
      </c>
    </row>
    <row r="3010" spans="1:4">
      <c r="A3010">
        <v>3009</v>
      </c>
      <c r="C3010">
        <v>10.79</v>
      </c>
      <c r="D3010">
        <v>10.39</v>
      </c>
    </row>
    <row r="3011" spans="1:4">
      <c r="A3011">
        <v>3010</v>
      </c>
      <c r="C3011">
        <v>11.11</v>
      </c>
      <c r="D3011">
        <v>10.37</v>
      </c>
    </row>
    <row r="3012" spans="1:4">
      <c r="A3012">
        <v>3011</v>
      </c>
      <c r="C3012">
        <v>10.75</v>
      </c>
      <c r="D3012">
        <v>10.15</v>
      </c>
    </row>
    <row r="3013" spans="1:4">
      <c r="A3013">
        <v>3012</v>
      </c>
      <c r="C3013">
        <v>11.38</v>
      </c>
      <c r="D3013">
        <v>10.65</v>
      </c>
    </row>
    <row r="3014" spans="1:4">
      <c r="A3014">
        <v>3013</v>
      </c>
      <c r="C3014">
        <v>11.45</v>
      </c>
      <c r="D3014">
        <v>11</v>
      </c>
    </row>
    <row r="3015" spans="1:4">
      <c r="A3015">
        <v>3014</v>
      </c>
      <c r="C3015">
        <v>11.07</v>
      </c>
      <c r="D3015">
        <v>10.34</v>
      </c>
    </row>
    <row r="3016" spans="1:4">
      <c r="A3016">
        <v>3015</v>
      </c>
      <c r="C3016">
        <v>10.89</v>
      </c>
      <c r="D3016">
        <v>10.28</v>
      </c>
    </row>
    <row r="3017" spans="1:4">
      <c r="A3017">
        <v>3016</v>
      </c>
      <c r="C3017">
        <v>10.48</v>
      </c>
      <c r="D3017">
        <v>10.24</v>
      </c>
    </row>
    <row r="3018" spans="1:4">
      <c r="A3018">
        <v>3017</v>
      </c>
      <c r="C3018">
        <v>11.65</v>
      </c>
      <c r="D3018">
        <v>10.83</v>
      </c>
    </row>
    <row r="3019" spans="1:4">
      <c r="A3019">
        <v>3018</v>
      </c>
      <c r="C3019">
        <v>11.64</v>
      </c>
      <c r="D3019">
        <v>11.26</v>
      </c>
    </row>
    <row r="3020" spans="1:4">
      <c r="A3020">
        <v>3019</v>
      </c>
      <c r="C3020">
        <v>11.67</v>
      </c>
      <c r="D3020">
        <v>11.14</v>
      </c>
    </row>
    <row r="3021" spans="1:4">
      <c r="A3021">
        <v>3020</v>
      </c>
      <c r="C3021">
        <v>12.07</v>
      </c>
      <c r="D3021">
        <v>11.55</v>
      </c>
    </row>
    <row r="3022" spans="1:4">
      <c r="A3022">
        <v>3021</v>
      </c>
      <c r="C3022">
        <v>12.51</v>
      </c>
      <c r="D3022">
        <v>10.99</v>
      </c>
    </row>
    <row r="3023" spans="1:4">
      <c r="A3023">
        <v>3022</v>
      </c>
      <c r="C3023">
        <v>11.71</v>
      </c>
      <c r="D3023">
        <v>10.97</v>
      </c>
    </row>
    <row r="3024" spans="1:4">
      <c r="A3024">
        <v>3023</v>
      </c>
      <c r="C3024">
        <v>11.84</v>
      </c>
      <c r="D3024">
        <v>11.31</v>
      </c>
    </row>
    <row r="3025" spans="1:4">
      <c r="A3025">
        <v>3024</v>
      </c>
      <c r="C3025">
        <v>11.5</v>
      </c>
      <c r="D3025">
        <v>10.81</v>
      </c>
    </row>
    <row r="3026" spans="1:4">
      <c r="A3026">
        <v>3025</v>
      </c>
      <c r="C3026">
        <v>11.35</v>
      </c>
      <c r="D3026">
        <v>10.98</v>
      </c>
    </row>
    <row r="3027" spans="1:4">
      <c r="A3027">
        <v>3026</v>
      </c>
      <c r="C3027">
        <v>11.39</v>
      </c>
      <c r="D3027">
        <v>10.84</v>
      </c>
    </row>
    <row r="3028" spans="1:4">
      <c r="A3028">
        <v>3027</v>
      </c>
      <c r="C3028">
        <v>11.16</v>
      </c>
      <c r="D3028">
        <v>10.83</v>
      </c>
    </row>
    <row r="3029" spans="1:4">
      <c r="A3029">
        <v>3028</v>
      </c>
      <c r="C3029">
        <v>11.38</v>
      </c>
      <c r="D3029">
        <v>10.94</v>
      </c>
    </row>
    <row r="3030" spans="1:4">
      <c r="A3030">
        <v>3029</v>
      </c>
      <c r="C3030">
        <v>11.61</v>
      </c>
      <c r="D3030">
        <v>11.11</v>
      </c>
    </row>
    <row r="3031" spans="1:4">
      <c r="A3031">
        <v>3030</v>
      </c>
      <c r="C3031">
        <v>12.46</v>
      </c>
      <c r="D3031">
        <v>11.87</v>
      </c>
    </row>
    <row r="3032" spans="1:4">
      <c r="A3032">
        <v>3031</v>
      </c>
      <c r="C3032">
        <v>12.7</v>
      </c>
      <c r="D3032">
        <v>12.2</v>
      </c>
    </row>
    <row r="3033" spans="1:4">
      <c r="A3033">
        <v>3032</v>
      </c>
      <c r="C3033">
        <v>12.34</v>
      </c>
      <c r="D3033">
        <v>11.65</v>
      </c>
    </row>
    <row r="3034" spans="1:4">
      <c r="A3034">
        <v>3033</v>
      </c>
      <c r="C3034">
        <v>14.56</v>
      </c>
      <c r="D3034">
        <v>11.89</v>
      </c>
    </row>
    <row r="3035" spans="1:4">
      <c r="A3035">
        <v>3034</v>
      </c>
      <c r="C3035">
        <v>14.48</v>
      </c>
      <c r="D3035">
        <v>13.58</v>
      </c>
    </row>
    <row r="3036" spans="1:4">
      <c r="A3036">
        <v>3035</v>
      </c>
      <c r="C3036">
        <v>13.83</v>
      </c>
      <c r="D3036">
        <v>13.14</v>
      </c>
    </row>
    <row r="3037" spans="1:4">
      <c r="A3037">
        <v>3036</v>
      </c>
      <c r="C3037">
        <v>13.38</v>
      </c>
      <c r="D3037">
        <v>12.62</v>
      </c>
    </row>
    <row r="3038" spans="1:4">
      <c r="A3038">
        <v>3037</v>
      </c>
      <c r="C3038">
        <v>12.91</v>
      </c>
      <c r="D3038">
        <v>12.19</v>
      </c>
    </row>
    <row r="3039" spans="1:4">
      <c r="A3039">
        <v>3038</v>
      </c>
      <c r="C3039">
        <v>12.33</v>
      </c>
      <c r="D3039">
        <v>11.72</v>
      </c>
    </row>
    <row r="3040" spans="1:4">
      <c r="A3040">
        <v>3039</v>
      </c>
      <c r="C3040">
        <v>12.46</v>
      </c>
      <c r="D3040">
        <v>12.07</v>
      </c>
    </row>
    <row r="3041" spans="1:4">
      <c r="A3041">
        <v>3040</v>
      </c>
      <c r="C3041">
        <v>13.06</v>
      </c>
      <c r="D3041">
        <v>12.45</v>
      </c>
    </row>
    <row r="3042" spans="1:4">
      <c r="A3042">
        <v>3041</v>
      </c>
      <c r="C3042">
        <v>13.03</v>
      </c>
      <c r="D3042">
        <v>12.34</v>
      </c>
    </row>
    <row r="3043" spans="1:4">
      <c r="A3043">
        <v>3042</v>
      </c>
      <c r="C3043">
        <v>13.47</v>
      </c>
      <c r="D3043">
        <v>12.48</v>
      </c>
    </row>
    <row r="3044" spans="1:4">
      <c r="A3044">
        <v>3043</v>
      </c>
      <c r="C3044">
        <v>13.7</v>
      </c>
      <c r="D3044">
        <v>12.64</v>
      </c>
    </row>
    <row r="3045" spans="1:4">
      <c r="A3045">
        <v>3044</v>
      </c>
      <c r="C3045">
        <v>13.43</v>
      </c>
      <c r="D3045">
        <v>12.99</v>
      </c>
    </row>
    <row r="3046" spans="1:4">
      <c r="A3046">
        <v>3045</v>
      </c>
      <c r="C3046">
        <v>13.67</v>
      </c>
      <c r="D3046">
        <v>12.97</v>
      </c>
    </row>
    <row r="3047" spans="1:4">
      <c r="A3047">
        <v>3046</v>
      </c>
      <c r="C3047">
        <v>13.61</v>
      </c>
      <c r="D3047">
        <v>12.76</v>
      </c>
    </row>
    <row r="3048" spans="1:4">
      <c r="A3048">
        <v>3047</v>
      </c>
      <c r="C3048">
        <v>13.15</v>
      </c>
      <c r="D3048">
        <v>12.27</v>
      </c>
    </row>
    <row r="3049" spans="1:4">
      <c r="A3049">
        <v>3048</v>
      </c>
      <c r="C3049">
        <v>13.73</v>
      </c>
      <c r="D3049">
        <v>12.69</v>
      </c>
    </row>
    <row r="3050" spans="1:4">
      <c r="A3050">
        <v>3049</v>
      </c>
      <c r="C3050">
        <v>13.7</v>
      </c>
      <c r="D3050">
        <v>13.05</v>
      </c>
    </row>
    <row r="3051" spans="1:4">
      <c r="A3051">
        <v>3050</v>
      </c>
      <c r="C3051">
        <v>13.15</v>
      </c>
      <c r="D3051">
        <v>12.01</v>
      </c>
    </row>
    <row r="3052" spans="1:4">
      <c r="A3052">
        <v>3051</v>
      </c>
      <c r="C3052">
        <v>12.95</v>
      </c>
      <c r="D3052">
        <v>12.21</v>
      </c>
    </row>
    <row r="3053" spans="1:4">
      <c r="A3053">
        <v>3052</v>
      </c>
      <c r="C3053">
        <v>12.29</v>
      </c>
      <c r="D3053">
        <v>11.13</v>
      </c>
    </row>
    <row r="3054" spans="1:4">
      <c r="A3054">
        <v>3053</v>
      </c>
      <c r="C3054">
        <v>12.21</v>
      </c>
      <c r="D3054">
        <v>11.52</v>
      </c>
    </row>
    <row r="3055" spans="1:4">
      <c r="A3055">
        <v>3054</v>
      </c>
      <c r="C3055">
        <v>12.64</v>
      </c>
      <c r="D3055">
        <v>12.28</v>
      </c>
    </row>
    <row r="3056" spans="1:4">
      <c r="A3056">
        <v>3055</v>
      </c>
      <c r="C3056">
        <v>12.3</v>
      </c>
      <c r="D3056">
        <v>11.68</v>
      </c>
    </row>
    <row r="3057" spans="1:4">
      <c r="A3057">
        <v>3056</v>
      </c>
      <c r="C3057">
        <v>11.97</v>
      </c>
      <c r="D3057">
        <v>11.58</v>
      </c>
    </row>
    <row r="3058" spans="1:4">
      <c r="A3058">
        <v>3057</v>
      </c>
      <c r="C3058">
        <v>12.06</v>
      </c>
      <c r="D3058">
        <v>11.42</v>
      </c>
    </row>
    <row r="3059" spans="1:4">
      <c r="A3059">
        <v>3058</v>
      </c>
      <c r="C3059">
        <v>11.83</v>
      </c>
      <c r="D3059">
        <v>11.4</v>
      </c>
    </row>
    <row r="3060" spans="1:4">
      <c r="A3060">
        <v>3059</v>
      </c>
      <c r="C3060">
        <v>12.36</v>
      </c>
      <c r="D3060">
        <v>11.71</v>
      </c>
    </row>
    <row r="3061" spans="1:4">
      <c r="A3061">
        <v>3060</v>
      </c>
      <c r="C3061">
        <v>12.07</v>
      </c>
      <c r="D3061">
        <v>11.52</v>
      </c>
    </row>
    <row r="3062" spans="1:4">
      <c r="A3062">
        <v>3061</v>
      </c>
      <c r="C3062">
        <v>11.95</v>
      </c>
      <c r="D3062">
        <v>11.56</v>
      </c>
    </row>
    <row r="3063" spans="1:4">
      <c r="A3063">
        <v>3062</v>
      </c>
      <c r="C3063">
        <v>12.1</v>
      </c>
      <c r="D3063">
        <v>11.36</v>
      </c>
    </row>
    <row r="3064" spans="1:4">
      <c r="A3064">
        <v>3063</v>
      </c>
      <c r="C3064">
        <v>12.91</v>
      </c>
      <c r="D3064">
        <v>12.22</v>
      </c>
    </row>
    <row r="3065" spans="1:4">
      <c r="A3065">
        <v>3064</v>
      </c>
      <c r="C3065">
        <v>13.34</v>
      </c>
      <c r="D3065">
        <v>12.64</v>
      </c>
    </row>
    <row r="3066" spans="1:4">
      <c r="A3066">
        <v>3065</v>
      </c>
      <c r="C3066">
        <v>13.34</v>
      </c>
      <c r="D3066">
        <v>12.26</v>
      </c>
    </row>
    <row r="3067" spans="1:4">
      <c r="A3067">
        <v>3066</v>
      </c>
      <c r="C3067">
        <v>12.69</v>
      </c>
      <c r="D3067">
        <v>12.01</v>
      </c>
    </row>
    <row r="3068" spans="1:4">
      <c r="A3068">
        <v>3067</v>
      </c>
      <c r="C3068">
        <v>12.6</v>
      </c>
      <c r="D3068">
        <v>11.79</v>
      </c>
    </row>
    <row r="3069" spans="1:4">
      <c r="A3069">
        <v>3068</v>
      </c>
      <c r="C3069">
        <v>11.75</v>
      </c>
      <c r="D3069">
        <v>10.89</v>
      </c>
    </row>
    <row r="3070" spans="1:4">
      <c r="A3070">
        <v>3069</v>
      </c>
      <c r="C3070">
        <v>11.72</v>
      </c>
      <c r="D3070">
        <v>10.53</v>
      </c>
    </row>
    <row r="3071" spans="1:4">
      <c r="A3071">
        <v>3070</v>
      </c>
      <c r="C3071">
        <v>11.54</v>
      </c>
      <c r="D3071">
        <v>10.98</v>
      </c>
    </row>
    <row r="3072" spans="1:4">
      <c r="A3072">
        <v>3071</v>
      </c>
      <c r="C3072">
        <v>12.05</v>
      </c>
      <c r="D3072">
        <v>10.57</v>
      </c>
    </row>
    <row r="3073" spans="1:4">
      <c r="A3073">
        <v>3072</v>
      </c>
      <c r="C3073">
        <v>12.2</v>
      </c>
      <c r="D3073">
        <v>11.53</v>
      </c>
    </row>
    <row r="3074" spans="1:4">
      <c r="A3074">
        <v>3073</v>
      </c>
      <c r="C3074">
        <v>12.21</v>
      </c>
      <c r="D3074">
        <v>10.79</v>
      </c>
    </row>
    <row r="3075" spans="1:4">
      <c r="A3075">
        <v>3074</v>
      </c>
      <c r="C3075">
        <v>11.89</v>
      </c>
      <c r="D3075">
        <v>11.17</v>
      </c>
    </row>
    <row r="3076" spans="1:4">
      <c r="A3076">
        <v>3075</v>
      </c>
      <c r="C3076">
        <v>11.79</v>
      </c>
      <c r="D3076">
        <v>11.11</v>
      </c>
    </row>
    <row r="3077" spans="1:4">
      <c r="A3077">
        <v>3076</v>
      </c>
      <c r="C3077">
        <v>11.57</v>
      </c>
      <c r="D3077">
        <v>11.11</v>
      </c>
    </row>
    <row r="3078" spans="1:4">
      <c r="A3078">
        <v>3077</v>
      </c>
      <c r="C3078">
        <v>11.48</v>
      </c>
      <c r="D3078">
        <v>11.09</v>
      </c>
    </row>
    <row r="3079" spans="1:4">
      <c r="A3079">
        <v>3078</v>
      </c>
      <c r="C3079">
        <v>11.72</v>
      </c>
      <c r="D3079">
        <v>11.41</v>
      </c>
    </row>
    <row r="3080" spans="1:4">
      <c r="A3080">
        <v>3079</v>
      </c>
      <c r="C3080">
        <v>11.9</v>
      </c>
      <c r="D3080">
        <v>11.38</v>
      </c>
    </row>
    <row r="3081" spans="1:4">
      <c r="A3081">
        <v>3080</v>
      </c>
      <c r="C3081">
        <v>11.57</v>
      </c>
      <c r="D3081">
        <v>10.79</v>
      </c>
    </row>
    <row r="3082" spans="1:4">
      <c r="A3082">
        <v>3081</v>
      </c>
      <c r="C3082">
        <v>11.73</v>
      </c>
      <c r="D3082">
        <v>10.7</v>
      </c>
    </row>
    <row r="3083" spans="1:4">
      <c r="A3083">
        <v>3082</v>
      </c>
      <c r="C3083">
        <v>11.65</v>
      </c>
      <c r="D3083">
        <v>11.27</v>
      </c>
    </row>
    <row r="3084" spans="1:4">
      <c r="A3084">
        <v>3083</v>
      </c>
      <c r="C3084">
        <v>11.62</v>
      </c>
      <c r="D3084">
        <v>11.03</v>
      </c>
    </row>
    <row r="3085" spans="1:4">
      <c r="A3085">
        <v>3084</v>
      </c>
      <c r="C3085">
        <v>11.8</v>
      </c>
      <c r="D3085">
        <v>11.09</v>
      </c>
    </row>
    <row r="3086" spans="1:4">
      <c r="A3086">
        <v>3085</v>
      </c>
      <c r="C3086">
        <v>11.36</v>
      </c>
      <c r="D3086">
        <v>11.06</v>
      </c>
    </row>
    <row r="3087" spans="1:4">
      <c r="A3087">
        <v>3086</v>
      </c>
      <c r="C3087">
        <v>11.74</v>
      </c>
      <c r="D3087">
        <v>11.25</v>
      </c>
    </row>
    <row r="3088" spans="1:4">
      <c r="A3088">
        <v>3087</v>
      </c>
      <c r="C3088">
        <v>12.31</v>
      </c>
      <c r="D3088">
        <v>11.2</v>
      </c>
    </row>
    <row r="3089" spans="1:4">
      <c r="A3089">
        <v>3088</v>
      </c>
      <c r="C3089">
        <v>12.49</v>
      </c>
      <c r="D3089">
        <v>12.04</v>
      </c>
    </row>
    <row r="3090" spans="1:4">
      <c r="A3090">
        <v>3089</v>
      </c>
      <c r="C3090">
        <v>13.06</v>
      </c>
      <c r="D3090">
        <v>12.06</v>
      </c>
    </row>
    <row r="3091" spans="1:4">
      <c r="A3091">
        <v>3090</v>
      </c>
      <c r="C3091">
        <v>13.09</v>
      </c>
      <c r="D3091">
        <v>12.66</v>
      </c>
    </row>
    <row r="3092" spans="1:4">
      <c r="A3092">
        <v>3091</v>
      </c>
      <c r="C3092">
        <v>13</v>
      </c>
      <c r="D3092">
        <v>12.28</v>
      </c>
    </row>
    <row r="3093" spans="1:4">
      <c r="A3093">
        <v>3092</v>
      </c>
      <c r="C3093">
        <v>13.02</v>
      </c>
      <c r="D3093">
        <v>12.27</v>
      </c>
    </row>
    <row r="3094" spans="1:4">
      <c r="A3094">
        <v>3093</v>
      </c>
      <c r="C3094">
        <v>12.55</v>
      </c>
      <c r="D3094">
        <v>11.31</v>
      </c>
    </row>
    <row r="3095" spans="1:4">
      <c r="A3095">
        <v>3094</v>
      </c>
      <c r="C3095">
        <v>11.8</v>
      </c>
      <c r="D3095">
        <v>11.23</v>
      </c>
    </row>
    <row r="3096" spans="1:4">
      <c r="A3096">
        <v>3095</v>
      </c>
      <c r="C3096">
        <v>11.67</v>
      </c>
      <c r="D3096">
        <v>11.02</v>
      </c>
    </row>
    <row r="3097" spans="1:4">
      <c r="A3097">
        <v>3096</v>
      </c>
      <c r="C3097">
        <v>11.98</v>
      </c>
      <c r="D3097">
        <v>11.19</v>
      </c>
    </row>
    <row r="3098" spans="1:4">
      <c r="A3098">
        <v>3097</v>
      </c>
      <c r="C3098">
        <v>12.42</v>
      </c>
      <c r="D3098">
        <v>11.67</v>
      </c>
    </row>
    <row r="3099" spans="1:4">
      <c r="A3099">
        <v>3098</v>
      </c>
      <c r="C3099">
        <v>12.19</v>
      </c>
      <c r="D3099">
        <v>11.59</v>
      </c>
    </row>
    <row r="3100" spans="1:4">
      <c r="A3100">
        <v>3099</v>
      </c>
      <c r="C3100">
        <v>11.79</v>
      </c>
      <c r="D3100">
        <v>11.34</v>
      </c>
    </row>
    <row r="3101" spans="1:4">
      <c r="A3101">
        <v>3100</v>
      </c>
      <c r="C3101">
        <v>12.52</v>
      </c>
      <c r="D3101">
        <v>11.55</v>
      </c>
    </row>
    <row r="3102" spans="1:4">
      <c r="A3102">
        <v>3101</v>
      </c>
      <c r="C3102">
        <v>12.13</v>
      </c>
      <c r="D3102">
        <v>11.42</v>
      </c>
    </row>
    <row r="3103" spans="1:4">
      <c r="A3103">
        <v>3102</v>
      </c>
      <c r="C3103">
        <v>12.59</v>
      </c>
      <c r="D3103">
        <v>11.75</v>
      </c>
    </row>
    <row r="3104" spans="1:4">
      <c r="A3104">
        <v>3103</v>
      </c>
      <c r="C3104">
        <v>12.27</v>
      </c>
      <c r="D3104">
        <v>11.93</v>
      </c>
    </row>
    <row r="3105" spans="1:4">
      <c r="A3105">
        <v>3104</v>
      </c>
      <c r="C3105">
        <v>12.45</v>
      </c>
      <c r="D3105">
        <v>11.95</v>
      </c>
    </row>
    <row r="3106" spans="1:4">
      <c r="A3106">
        <v>3105</v>
      </c>
      <c r="C3106">
        <v>12.16</v>
      </c>
      <c r="D3106">
        <v>11.71</v>
      </c>
    </row>
    <row r="3107" spans="1:4">
      <c r="A3107">
        <v>3106</v>
      </c>
      <c r="C3107">
        <v>11.62</v>
      </c>
      <c r="D3107">
        <v>11.18</v>
      </c>
    </row>
    <row r="3108" spans="1:4">
      <c r="A3108">
        <v>3107</v>
      </c>
      <c r="C3108">
        <v>12.06</v>
      </c>
      <c r="D3108">
        <v>11.81</v>
      </c>
    </row>
    <row r="3109" spans="1:4">
      <c r="A3109">
        <v>3108</v>
      </c>
      <c r="C3109">
        <v>12.15</v>
      </c>
      <c r="D3109">
        <v>11.88</v>
      </c>
    </row>
    <row r="3110" spans="1:4">
      <c r="A3110">
        <v>3109</v>
      </c>
      <c r="C3110">
        <v>12.32</v>
      </c>
      <c r="D3110">
        <v>11.78</v>
      </c>
    </row>
    <row r="3111" spans="1:4">
      <c r="A3111">
        <v>3110</v>
      </c>
      <c r="C3111">
        <v>12.92</v>
      </c>
      <c r="D3111">
        <v>11.99</v>
      </c>
    </row>
    <row r="3112" spans="1:4">
      <c r="A3112">
        <v>3111</v>
      </c>
      <c r="C3112">
        <v>14.26</v>
      </c>
      <c r="D3112">
        <v>12.71</v>
      </c>
    </row>
    <row r="3113" spans="1:4">
      <c r="A3113">
        <v>3112</v>
      </c>
      <c r="C3113">
        <v>15.13</v>
      </c>
      <c r="D3113">
        <v>13.44</v>
      </c>
    </row>
    <row r="3114" spans="1:4">
      <c r="A3114">
        <v>3113</v>
      </c>
      <c r="C3114">
        <v>13.61</v>
      </c>
      <c r="D3114">
        <v>12.98</v>
      </c>
    </row>
    <row r="3115" spans="1:4">
      <c r="A3115">
        <v>3114</v>
      </c>
      <c r="C3115">
        <v>16.260000000000002</v>
      </c>
      <c r="D3115">
        <v>13.39</v>
      </c>
    </row>
    <row r="3116" spans="1:4">
      <c r="A3116">
        <v>3115</v>
      </c>
      <c r="C3116">
        <v>17.09</v>
      </c>
      <c r="D3116">
        <v>14.96</v>
      </c>
    </row>
    <row r="3117" spans="1:4">
      <c r="A3117">
        <v>3116</v>
      </c>
      <c r="C3117">
        <v>18.010000000000002</v>
      </c>
      <c r="D3117">
        <v>15.9</v>
      </c>
    </row>
    <row r="3118" spans="1:4">
      <c r="A3118">
        <v>3117</v>
      </c>
      <c r="C3118">
        <v>19.62</v>
      </c>
      <c r="D3118">
        <v>16.73</v>
      </c>
    </row>
    <row r="3119" spans="1:4">
      <c r="A3119">
        <v>3118</v>
      </c>
      <c r="C3119">
        <v>18.260000000000002</v>
      </c>
      <c r="D3119">
        <v>15.36</v>
      </c>
    </row>
    <row r="3120" spans="1:4">
      <c r="A3120">
        <v>3119</v>
      </c>
      <c r="C3120">
        <v>19.87</v>
      </c>
      <c r="D3120">
        <v>17.13</v>
      </c>
    </row>
    <row r="3121" spans="1:4">
      <c r="A3121">
        <v>3120</v>
      </c>
      <c r="C3121">
        <v>16.670000000000002</v>
      </c>
      <c r="D3121">
        <v>15.31</v>
      </c>
    </row>
    <row r="3122" spans="1:4">
      <c r="A3122">
        <v>3121</v>
      </c>
      <c r="C3122">
        <v>15.04</v>
      </c>
      <c r="D3122">
        <v>14.26</v>
      </c>
    </row>
    <row r="3123" spans="1:4">
      <c r="A3123">
        <v>3122</v>
      </c>
      <c r="C3123">
        <v>18.72</v>
      </c>
      <c r="D3123">
        <v>15.39</v>
      </c>
    </row>
    <row r="3124" spans="1:4">
      <c r="A3124">
        <v>3123</v>
      </c>
      <c r="C3124">
        <v>18.09</v>
      </c>
      <c r="D3124">
        <v>16.41</v>
      </c>
    </row>
    <row r="3125" spans="1:4">
      <c r="A3125">
        <v>3124</v>
      </c>
      <c r="C3125">
        <v>16.559999999999999</v>
      </c>
      <c r="D3125">
        <v>14.48</v>
      </c>
    </row>
    <row r="3126" spans="1:4">
      <c r="A3126">
        <v>3125</v>
      </c>
      <c r="C3126">
        <v>14.97</v>
      </c>
      <c r="D3126">
        <v>13.92</v>
      </c>
    </row>
    <row r="3127" spans="1:4">
      <c r="A3127">
        <v>3126</v>
      </c>
      <c r="C3127">
        <v>17.14</v>
      </c>
      <c r="D3127">
        <v>14.97</v>
      </c>
    </row>
    <row r="3128" spans="1:4">
      <c r="A3128">
        <v>3127</v>
      </c>
      <c r="C3128">
        <v>18.559999999999999</v>
      </c>
      <c r="D3128">
        <v>16.649999999999999</v>
      </c>
    </row>
    <row r="3129" spans="1:4">
      <c r="A3129">
        <v>3128</v>
      </c>
      <c r="C3129">
        <v>17.86</v>
      </c>
      <c r="D3129">
        <v>16.07</v>
      </c>
    </row>
    <row r="3130" spans="1:4">
      <c r="A3130">
        <v>3129</v>
      </c>
      <c r="C3130">
        <v>20.75</v>
      </c>
      <c r="D3130">
        <v>17.88</v>
      </c>
    </row>
    <row r="3131" spans="1:4">
      <c r="A3131">
        <v>3130</v>
      </c>
      <c r="C3131">
        <v>18.45</v>
      </c>
      <c r="D3131">
        <v>17.07</v>
      </c>
    </row>
    <row r="3132" spans="1:4">
      <c r="A3132">
        <v>3131</v>
      </c>
      <c r="C3132">
        <v>21.25</v>
      </c>
      <c r="D3132">
        <v>17.89</v>
      </c>
    </row>
    <row r="3133" spans="1:4">
      <c r="A3133">
        <v>3132</v>
      </c>
      <c r="C3133">
        <v>23.81</v>
      </c>
      <c r="D3133">
        <v>20.27</v>
      </c>
    </row>
    <row r="3134" spans="1:4">
      <c r="A3134">
        <v>3133</v>
      </c>
      <c r="C3134">
        <v>23.49</v>
      </c>
      <c r="D3134">
        <v>21.45</v>
      </c>
    </row>
    <row r="3135" spans="1:4">
      <c r="A3135">
        <v>3134</v>
      </c>
      <c r="C3135">
        <v>21.14</v>
      </c>
      <c r="D3135">
        <v>15.65</v>
      </c>
    </row>
    <row r="3136" spans="1:4">
      <c r="A3136">
        <v>3135</v>
      </c>
      <c r="C3136">
        <v>18.13</v>
      </c>
      <c r="D3136">
        <v>16.52</v>
      </c>
    </row>
    <row r="3137" spans="1:4">
      <c r="A3137">
        <v>3136</v>
      </c>
      <c r="C3137">
        <v>18.100000000000001</v>
      </c>
      <c r="D3137">
        <v>15.73</v>
      </c>
    </row>
    <row r="3138" spans="1:4">
      <c r="A3138">
        <v>3137</v>
      </c>
      <c r="C3138">
        <v>17.649999999999999</v>
      </c>
      <c r="D3138">
        <v>16.39</v>
      </c>
    </row>
    <row r="3139" spans="1:4">
      <c r="A3139">
        <v>3138</v>
      </c>
      <c r="C3139">
        <v>16.72</v>
      </c>
      <c r="D3139">
        <v>14.88</v>
      </c>
    </row>
    <row r="3140" spans="1:4">
      <c r="A3140">
        <v>3139</v>
      </c>
      <c r="C3140">
        <v>16.66</v>
      </c>
      <c r="D3140">
        <v>15.56</v>
      </c>
    </row>
    <row r="3141" spans="1:4">
      <c r="A3141">
        <v>3140</v>
      </c>
      <c r="C3141">
        <v>16.579999999999998</v>
      </c>
      <c r="D3141">
        <v>14.94</v>
      </c>
    </row>
    <row r="3142" spans="1:4">
      <c r="A3142">
        <v>3141</v>
      </c>
      <c r="C3142">
        <v>16.61</v>
      </c>
      <c r="D3142">
        <v>15.49</v>
      </c>
    </row>
    <row r="3143" spans="1:4">
      <c r="A3143">
        <v>3142</v>
      </c>
      <c r="C3143">
        <v>16.55</v>
      </c>
      <c r="D3143">
        <v>15.27</v>
      </c>
    </row>
    <row r="3144" spans="1:4">
      <c r="A3144">
        <v>3143</v>
      </c>
      <c r="C3144">
        <v>17</v>
      </c>
      <c r="D3144">
        <v>15.78</v>
      </c>
    </row>
    <row r="3145" spans="1:4">
      <c r="A3145">
        <v>3144</v>
      </c>
      <c r="C3145">
        <v>15.3</v>
      </c>
      <c r="D3145">
        <v>12.93</v>
      </c>
    </row>
    <row r="3146" spans="1:4">
      <c r="A3146">
        <v>3145</v>
      </c>
      <c r="C3146">
        <v>13.47</v>
      </c>
      <c r="D3146">
        <v>12.74</v>
      </c>
    </row>
    <row r="3147" spans="1:4">
      <c r="A3147">
        <v>3146</v>
      </c>
      <c r="C3147">
        <v>13.51</v>
      </c>
      <c r="D3147">
        <v>12.77</v>
      </c>
    </row>
    <row r="3148" spans="1:4">
      <c r="A3148">
        <v>3147</v>
      </c>
      <c r="C3148">
        <v>14.77</v>
      </c>
      <c r="D3148">
        <v>13.86</v>
      </c>
    </row>
    <row r="3149" spans="1:4">
      <c r="A3149">
        <v>3148</v>
      </c>
      <c r="C3149">
        <v>14.04</v>
      </c>
      <c r="D3149">
        <v>13.25</v>
      </c>
    </row>
    <row r="3150" spans="1:4">
      <c r="A3150">
        <v>3149</v>
      </c>
      <c r="C3150">
        <v>14.45</v>
      </c>
      <c r="D3150">
        <v>13.43</v>
      </c>
    </row>
    <row r="3151" spans="1:4">
      <c r="A3151">
        <v>3150</v>
      </c>
      <c r="C3151">
        <v>14.5</v>
      </c>
      <c r="D3151">
        <v>13.67</v>
      </c>
    </row>
    <row r="3152" spans="1:4">
      <c r="A3152">
        <v>3151</v>
      </c>
      <c r="C3152">
        <v>14.68</v>
      </c>
      <c r="D3152">
        <v>13.1</v>
      </c>
    </row>
    <row r="3153" spans="1:4">
      <c r="A3153">
        <v>3152</v>
      </c>
      <c r="C3153">
        <v>14.85</v>
      </c>
      <c r="D3153">
        <v>13.26</v>
      </c>
    </row>
    <row r="3154" spans="1:4">
      <c r="A3154">
        <v>3153</v>
      </c>
      <c r="C3154">
        <v>17.829999999999998</v>
      </c>
      <c r="D3154">
        <v>15.17</v>
      </c>
    </row>
    <row r="3155" spans="1:4">
      <c r="A3155">
        <v>3154</v>
      </c>
      <c r="C3155">
        <v>18.79</v>
      </c>
      <c r="D3155">
        <v>17.28</v>
      </c>
    </row>
    <row r="3156" spans="1:4">
      <c r="A3156">
        <v>3155</v>
      </c>
      <c r="C3156">
        <v>18.760000000000002</v>
      </c>
      <c r="D3156">
        <v>17.75</v>
      </c>
    </row>
    <row r="3157" spans="1:4">
      <c r="A3157">
        <v>3156</v>
      </c>
      <c r="C3157">
        <v>19.579999999999998</v>
      </c>
      <c r="D3157">
        <v>17.66</v>
      </c>
    </row>
    <row r="3158" spans="1:4">
      <c r="A3158">
        <v>3157</v>
      </c>
      <c r="C3158">
        <v>17.62</v>
      </c>
      <c r="D3158">
        <v>14.47</v>
      </c>
    </row>
    <row r="3159" spans="1:4">
      <c r="A3159">
        <v>3158</v>
      </c>
      <c r="C3159">
        <v>16.37</v>
      </c>
      <c r="D3159">
        <v>14.87</v>
      </c>
    </row>
    <row r="3160" spans="1:4">
      <c r="A3160">
        <v>3159</v>
      </c>
      <c r="C3160">
        <v>17.559999999999999</v>
      </c>
      <c r="D3160">
        <v>16.23</v>
      </c>
    </row>
    <row r="3161" spans="1:4">
      <c r="A3161">
        <v>3160</v>
      </c>
      <c r="C3161">
        <v>17.079999999999998</v>
      </c>
      <c r="D3161">
        <v>14.89</v>
      </c>
    </row>
    <row r="3162" spans="1:4">
      <c r="A3162">
        <v>3161</v>
      </c>
      <c r="C3162">
        <v>15.68</v>
      </c>
      <c r="D3162">
        <v>14.31</v>
      </c>
    </row>
    <row r="3163" spans="1:4">
      <c r="A3163">
        <v>3162</v>
      </c>
      <c r="C3163">
        <v>15.21</v>
      </c>
      <c r="D3163">
        <v>14.09</v>
      </c>
    </row>
    <row r="3164" spans="1:4">
      <c r="A3164">
        <v>3163</v>
      </c>
      <c r="C3164">
        <v>15.39</v>
      </c>
      <c r="D3164">
        <v>14.07</v>
      </c>
    </row>
    <row r="3165" spans="1:4">
      <c r="A3165">
        <v>3164</v>
      </c>
      <c r="C3165">
        <v>14.75</v>
      </c>
      <c r="D3165">
        <v>14.06</v>
      </c>
    </row>
    <row r="3166" spans="1:4">
      <c r="A3166">
        <v>3165</v>
      </c>
      <c r="C3166">
        <v>15.13</v>
      </c>
      <c r="D3166">
        <v>14.86</v>
      </c>
    </row>
    <row r="3167" spans="1:4">
      <c r="A3167">
        <v>3166</v>
      </c>
      <c r="C3167">
        <v>16.149999999999999</v>
      </c>
      <c r="D3167">
        <v>15.03</v>
      </c>
    </row>
    <row r="3168" spans="1:4">
      <c r="A3168">
        <v>3167</v>
      </c>
      <c r="C3168">
        <v>14.93</v>
      </c>
      <c r="D3168">
        <v>13.92</v>
      </c>
    </row>
    <row r="3169" spans="1:4">
      <c r="A3169">
        <v>3168</v>
      </c>
      <c r="C3169">
        <v>15.19</v>
      </c>
      <c r="D3169">
        <v>14.2</v>
      </c>
    </row>
    <row r="3170" spans="1:4">
      <c r="A3170">
        <v>3169</v>
      </c>
      <c r="C3170">
        <v>14.91</v>
      </c>
      <c r="D3170">
        <v>13.65</v>
      </c>
    </row>
    <row r="3171" spans="1:4">
      <c r="A3171">
        <v>3170</v>
      </c>
      <c r="C3171">
        <v>15.53</v>
      </c>
      <c r="D3171">
        <v>14.97</v>
      </c>
    </row>
    <row r="3172" spans="1:4">
      <c r="A3172">
        <v>3171</v>
      </c>
      <c r="C3172">
        <v>15.55</v>
      </c>
      <c r="D3172">
        <v>14.86</v>
      </c>
    </row>
    <row r="3173" spans="1:4">
      <c r="A3173">
        <v>3172</v>
      </c>
      <c r="C3173">
        <v>15.41</v>
      </c>
      <c r="D3173">
        <v>14.07</v>
      </c>
    </row>
    <row r="3174" spans="1:4">
      <c r="A3174">
        <v>3173</v>
      </c>
      <c r="C3174">
        <v>15.73</v>
      </c>
      <c r="D3174">
        <v>14.45</v>
      </c>
    </row>
    <row r="3175" spans="1:4">
      <c r="A3175">
        <v>3174</v>
      </c>
      <c r="C3175">
        <v>14.85</v>
      </c>
      <c r="D3175">
        <v>14.3</v>
      </c>
    </row>
    <row r="3176" spans="1:4">
      <c r="A3176">
        <v>3175</v>
      </c>
      <c r="C3176">
        <v>14.43</v>
      </c>
      <c r="D3176">
        <v>13.41</v>
      </c>
    </row>
    <row r="3177" spans="1:4">
      <c r="A3177">
        <v>3176</v>
      </c>
      <c r="C3177">
        <v>13.72</v>
      </c>
      <c r="D3177">
        <v>13.15</v>
      </c>
    </row>
    <row r="3178" spans="1:4">
      <c r="A3178">
        <v>3177</v>
      </c>
      <c r="C3178">
        <v>12.95</v>
      </c>
      <c r="D3178">
        <v>12.11</v>
      </c>
    </row>
    <row r="3179" spans="1:4">
      <c r="A3179">
        <v>3178</v>
      </c>
      <c r="C3179">
        <v>12.72</v>
      </c>
      <c r="D3179">
        <v>12.21</v>
      </c>
    </row>
    <row r="3180" spans="1:4">
      <c r="A3180">
        <v>3179</v>
      </c>
      <c r="C3180">
        <v>12.52</v>
      </c>
      <c r="D3180">
        <v>11.57</v>
      </c>
    </row>
    <row r="3181" spans="1:4">
      <c r="A3181">
        <v>3180</v>
      </c>
      <c r="C3181">
        <v>12.62</v>
      </c>
      <c r="D3181">
        <v>12.21</v>
      </c>
    </row>
    <row r="3182" spans="1:4">
      <c r="A3182">
        <v>3181</v>
      </c>
      <c r="C3182">
        <v>12.42</v>
      </c>
      <c r="D3182">
        <v>11.93</v>
      </c>
    </row>
    <row r="3183" spans="1:4">
      <c r="A3183">
        <v>3182</v>
      </c>
      <c r="C3183">
        <v>12.73</v>
      </c>
      <c r="D3183">
        <v>12.16</v>
      </c>
    </row>
    <row r="3184" spans="1:4">
      <c r="A3184">
        <v>3183</v>
      </c>
      <c r="C3184">
        <v>12.58</v>
      </c>
      <c r="D3184">
        <v>12.21</v>
      </c>
    </row>
    <row r="3185" spans="1:4">
      <c r="A3185">
        <v>3184</v>
      </c>
      <c r="C3185">
        <v>12.47</v>
      </c>
      <c r="D3185">
        <v>12.08</v>
      </c>
    </row>
    <row r="3186" spans="1:4">
      <c r="A3186">
        <v>3185</v>
      </c>
      <c r="C3186">
        <v>12.92</v>
      </c>
      <c r="D3186">
        <v>12.07</v>
      </c>
    </row>
    <row r="3187" spans="1:4">
      <c r="A3187">
        <v>3186</v>
      </c>
      <c r="C3187">
        <v>12.83</v>
      </c>
      <c r="D3187">
        <v>12.21</v>
      </c>
    </row>
    <row r="3188" spans="1:4">
      <c r="A3188">
        <v>3187</v>
      </c>
      <c r="C3188">
        <v>12.35</v>
      </c>
      <c r="D3188">
        <v>12.1</v>
      </c>
    </row>
    <row r="3189" spans="1:4">
      <c r="A3189">
        <v>3188</v>
      </c>
      <c r="C3189">
        <v>12.33</v>
      </c>
      <c r="D3189">
        <v>12.07</v>
      </c>
    </row>
    <row r="3190" spans="1:4">
      <c r="A3190">
        <v>3189</v>
      </c>
      <c r="C3190">
        <v>12.33</v>
      </c>
      <c r="D3190">
        <v>11.91</v>
      </c>
    </row>
    <row r="3191" spans="1:4">
      <c r="A3191">
        <v>3190</v>
      </c>
      <c r="C3191">
        <v>12.86</v>
      </c>
      <c r="D3191">
        <v>12.43</v>
      </c>
    </row>
    <row r="3192" spans="1:4">
      <c r="A3192">
        <v>3191</v>
      </c>
      <c r="C3192">
        <v>13.88</v>
      </c>
      <c r="D3192">
        <v>13.06</v>
      </c>
    </row>
    <row r="3193" spans="1:4">
      <c r="A3193">
        <v>3192</v>
      </c>
      <c r="C3193">
        <v>14.49</v>
      </c>
      <c r="D3193">
        <v>13.67</v>
      </c>
    </row>
    <row r="3194" spans="1:4">
      <c r="A3194">
        <v>3193</v>
      </c>
      <c r="C3194">
        <v>13.8</v>
      </c>
      <c r="D3194">
        <v>13.05</v>
      </c>
    </row>
    <row r="3195" spans="1:4">
      <c r="A3195">
        <v>3194</v>
      </c>
      <c r="C3195">
        <v>13.95</v>
      </c>
      <c r="D3195">
        <v>12.75</v>
      </c>
    </row>
    <row r="3196" spans="1:4">
      <c r="A3196">
        <v>3195</v>
      </c>
      <c r="C3196">
        <v>13.14</v>
      </c>
      <c r="D3196">
        <v>11.55</v>
      </c>
    </row>
    <row r="3197" spans="1:4">
      <c r="A3197">
        <v>3196</v>
      </c>
      <c r="C3197">
        <v>11.56</v>
      </c>
      <c r="D3197">
        <v>10.99</v>
      </c>
    </row>
    <row r="3198" spans="1:4">
      <c r="A3198">
        <v>3197</v>
      </c>
      <c r="C3198">
        <v>12.02</v>
      </c>
      <c r="D3198">
        <v>10.74</v>
      </c>
    </row>
    <row r="3199" spans="1:4">
      <c r="A3199">
        <v>3198</v>
      </c>
      <c r="C3199">
        <v>12.54</v>
      </c>
      <c r="D3199">
        <v>11.4</v>
      </c>
    </row>
    <row r="3200" spans="1:4">
      <c r="A3200">
        <v>3199</v>
      </c>
      <c r="C3200">
        <v>12.41</v>
      </c>
      <c r="D3200">
        <v>11.58</v>
      </c>
    </row>
    <row r="3201" spans="1:4">
      <c r="A3201">
        <v>3200</v>
      </c>
      <c r="C3201">
        <v>12.69</v>
      </c>
      <c r="D3201">
        <v>11.86</v>
      </c>
    </row>
    <row r="3202" spans="1:4">
      <c r="A3202">
        <v>3201</v>
      </c>
      <c r="C3202">
        <v>11.75</v>
      </c>
      <c r="D3202">
        <v>11.34</v>
      </c>
    </row>
    <row r="3203" spans="1:4">
      <c r="A3203">
        <v>3202</v>
      </c>
      <c r="C3203">
        <v>12.6</v>
      </c>
      <c r="D3203">
        <v>11.28</v>
      </c>
    </row>
    <row r="3204" spans="1:4">
      <c r="A3204">
        <v>3203</v>
      </c>
      <c r="C3204">
        <v>13.28</v>
      </c>
      <c r="D3204">
        <v>12.47</v>
      </c>
    </row>
    <row r="3205" spans="1:4">
      <c r="A3205">
        <v>3204</v>
      </c>
      <c r="C3205">
        <v>13.41</v>
      </c>
      <c r="D3205">
        <v>11.93</v>
      </c>
    </row>
    <row r="3206" spans="1:4">
      <c r="A3206">
        <v>3205</v>
      </c>
      <c r="C3206">
        <v>12.23</v>
      </c>
      <c r="D3206">
        <v>11.51</v>
      </c>
    </row>
    <row r="3207" spans="1:4">
      <c r="A3207">
        <v>3206</v>
      </c>
      <c r="C3207">
        <v>11.9</v>
      </c>
      <c r="D3207">
        <v>11.42</v>
      </c>
    </row>
    <row r="3208" spans="1:4">
      <c r="A3208">
        <v>3207</v>
      </c>
      <c r="C3208">
        <v>12.06</v>
      </c>
      <c r="D3208">
        <v>11.59</v>
      </c>
    </row>
    <row r="3209" spans="1:4">
      <c r="A3209">
        <v>3208</v>
      </c>
      <c r="C3209">
        <v>12.1</v>
      </c>
      <c r="D3209">
        <v>11.72</v>
      </c>
    </row>
    <row r="3210" spans="1:4">
      <c r="A3210">
        <v>3209</v>
      </c>
      <c r="C3210">
        <v>12.72</v>
      </c>
      <c r="D3210">
        <v>12.11</v>
      </c>
    </row>
    <row r="3211" spans="1:4">
      <c r="A3211">
        <v>3210</v>
      </c>
      <c r="C3211">
        <v>12.91</v>
      </c>
      <c r="D3211">
        <v>11.97</v>
      </c>
    </row>
    <row r="3212" spans="1:4">
      <c r="A3212">
        <v>3211</v>
      </c>
      <c r="C3212">
        <v>12.64</v>
      </c>
      <c r="D3212">
        <v>11.62</v>
      </c>
    </row>
    <row r="3213" spans="1:4">
      <c r="A3213">
        <v>3212</v>
      </c>
      <c r="C3213">
        <v>12.06</v>
      </c>
      <c r="D3213">
        <v>11.65</v>
      </c>
    </row>
    <row r="3214" spans="1:4">
      <c r="A3214">
        <v>3213</v>
      </c>
      <c r="C3214">
        <v>12.17</v>
      </c>
      <c r="D3214">
        <v>11.55</v>
      </c>
    </row>
    <row r="3215" spans="1:4">
      <c r="A3215">
        <v>3214</v>
      </c>
      <c r="C3215">
        <v>12.09</v>
      </c>
      <c r="D3215">
        <v>11.58</v>
      </c>
    </row>
    <row r="3216" spans="1:4">
      <c r="A3216">
        <v>3215</v>
      </c>
      <c r="C3216">
        <v>11.89</v>
      </c>
      <c r="D3216">
        <v>11.47</v>
      </c>
    </row>
    <row r="3217" spans="1:4">
      <c r="A3217">
        <v>3216</v>
      </c>
      <c r="C3217">
        <v>12.03</v>
      </c>
      <c r="D3217">
        <v>11.31</v>
      </c>
    </row>
    <row r="3218" spans="1:4">
      <c r="A3218">
        <v>3217</v>
      </c>
      <c r="C3218">
        <v>11.51</v>
      </c>
      <c r="D3218">
        <v>11.09</v>
      </c>
    </row>
    <row r="3219" spans="1:4">
      <c r="A3219">
        <v>3218</v>
      </c>
      <c r="C3219">
        <v>11.35</v>
      </c>
      <c r="D3219">
        <v>10.75</v>
      </c>
    </row>
    <row r="3220" spans="1:4">
      <c r="A3220">
        <v>3219</v>
      </c>
      <c r="C3220">
        <v>11.2</v>
      </c>
      <c r="D3220">
        <v>10.91</v>
      </c>
    </row>
    <row r="3221" spans="1:4">
      <c r="A3221">
        <v>3220</v>
      </c>
      <c r="C3221">
        <v>12.03</v>
      </c>
      <c r="D3221">
        <v>11.35</v>
      </c>
    </row>
    <row r="3222" spans="1:4">
      <c r="A3222">
        <v>3221</v>
      </c>
      <c r="C3222">
        <v>11.83</v>
      </c>
      <c r="D3222">
        <v>11.33</v>
      </c>
    </row>
    <row r="3223" spans="1:4">
      <c r="A3223">
        <v>3222</v>
      </c>
      <c r="C3223">
        <v>11.57</v>
      </c>
      <c r="D3223">
        <v>10.78</v>
      </c>
    </row>
    <row r="3224" spans="1:4">
      <c r="A3224">
        <v>3223</v>
      </c>
      <c r="C3224">
        <v>11.23</v>
      </c>
      <c r="D3224">
        <v>10.44</v>
      </c>
    </row>
    <row r="3225" spans="1:4">
      <c r="A3225">
        <v>3224</v>
      </c>
      <c r="C3225">
        <v>11.25</v>
      </c>
      <c r="D3225">
        <v>10.62</v>
      </c>
    </row>
    <row r="3226" spans="1:4">
      <c r="A3226">
        <v>3225</v>
      </c>
      <c r="C3226">
        <v>11.27</v>
      </c>
      <c r="D3226">
        <v>10.78</v>
      </c>
    </row>
    <row r="3227" spans="1:4">
      <c r="A3227">
        <v>3226</v>
      </c>
      <c r="C3227">
        <v>10.88</v>
      </c>
      <c r="D3227">
        <v>10.6</v>
      </c>
    </row>
    <row r="3228" spans="1:4">
      <c r="A3228">
        <v>3227</v>
      </c>
      <c r="C3228">
        <v>10.96</v>
      </c>
      <c r="D3228">
        <v>10.47</v>
      </c>
    </row>
    <row r="3229" spans="1:4">
      <c r="A3229">
        <v>3228</v>
      </c>
      <c r="C3229">
        <v>10.99</v>
      </c>
      <c r="D3229">
        <v>10.53</v>
      </c>
    </row>
    <row r="3230" spans="1:4">
      <c r="A3230">
        <v>3229</v>
      </c>
      <c r="C3230">
        <v>11.43</v>
      </c>
      <c r="D3230">
        <v>10.92</v>
      </c>
    </row>
    <row r="3231" spans="1:4">
      <c r="A3231">
        <v>3230</v>
      </c>
      <c r="C3231">
        <v>11.39</v>
      </c>
      <c r="D3231">
        <v>10.99</v>
      </c>
    </row>
    <row r="3232" spans="1:4">
      <c r="A3232">
        <v>3231</v>
      </c>
      <c r="C3232">
        <v>11.68</v>
      </c>
      <c r="D3232">
        <v>10.89</v>
      </c>
    </row>
    <row r="3233" spans="1:4">
      <c r="A3233">
        <v>3232</v>
      </c>
      <c r="C3233">
        <v>11.76</v>
      </c>
      <c r="D3233">
        <v>11.41</v>
      </c>
    </row>
    <row r="3234" spans="1:4">
      <c r="A3234">
        <v>3233</v>
      </c>
      <c r="C3234">
        <v>11.43</v>
      </c>
      <c r="D3234">
        <v>10.34</v>
      </c>
    </row>
    <row r="3235" spans="1:4">
      <c r="A3235">
        <v>3234</v>
      </c>
      <c r="C3235">
        <v>11.41</v>
      </c>
      <c r="D3235">
        <v>10.99</v>
      </c>
    </row>
    <row r="3236" spans="1:4">
      <c r="A3236">
        <v>3235</v>
      </c>
      <c r="C3236">
        <v>11.19</v>
      </c>
      <c r="D3236">
        <v>10.87</v>
      </c>
    </row>
    <row r="3237" spans="1:4">
      <c r="A3237">
        <v>3236</v>
      </c>
      <c r="C3237">
        <v>11.49</v>
      </c>
      <c r="D3237">
        <v>10.7</v>
      </c>
    </row>
    <row r="3238" spans="1:4">
      <c r="A3238">
        <v>3237</v>
      </c>
      <c r="C3238">
        <v>11.07</v>
      </c>
      <c r="D3238">
        <v>10.57</v>
      </c>
    </row>
    <row r="3239" spans="1:4">
      <c r="A3239">
        <v>3238</v>
      </c>
      <c r="C3239">
        <v>11.12</v>
      </c>
      <c r="D3239">
        <v>10.77</v>
      </c>
    </row>
    <row r="3240" spans="1:4">
      <c r="A3240">
        <v>3239</v>
      </c>
      <c r="C3240">
        <v>11.26</v>
      </c>
      <c r="D3240">
        <v>10.69</v>
      </c>
    </row>
    <row r="3241" spans="1:4">
      <c r="A3241">
        <v>3240</v>
      </c>
      <c r="C3241">
        <v>11.31</v>
      </c>
      <c r="D3241">
        <v>10.14</v>
      </c>
    </row>
    <row r="3242" spans="1:4">
      <c r="A3242">
        <v>3241</v>
      </c>
      <c r="C3242">
        <v>10.61</v>
      </c>
      <c r="D3242">
        <v>10.130000000000001</v>
      </c>
    </row>
    <row r="3243" spans="1:4">
      <c r="A3243">
        <v>3242</v>
      </c>
      <c r="C3243">
        <v>10.35</v>
      </c>
      <c r="D3243">
        <v>10.039999999999999</v>
      </c>
    </row>
    <row r="3244" spans="1:4">
      <c r="A3244">
        <v>3243</v>
      </c>
      <c r="C3244">
        <v>10.48</v>
      </c>
      <c r="D3244">
        <v>10.050000000000001</v>
      </c>
    </row>
    <row r="3245" spans="1:4">
      <c r="A3245">
        <v>3244</v>
      </c>
      <c r="C3245">
        <v>10.48</v>
      </c>
      <c r="D3245">
        <v>9.91</v>
      </c>
    </row>
    <row r="3246" spans="1:4">
      <c r="A3246">
        <v>3245</v>
      </c>
      <c r="C3246">
        <v>10.06</v>
      </c>
      <c r="D3246">
        <v>9.84</v>
      </c>
    </row>
    <row r="3247" spans="1:4">
      <c r="A3247">
        <v>3246</v>
      </c>
      <c r="C3247">
        <v>10.15</v>
      </c>
      <c r="D3247">
        <v>9.81</v>
      </c>
    </row>
    <row r="3248" spans="1:4">
      <c r="A3248">
        <v>3247</v>
      </c>
      <c r="C3248">
        <v>10.86</v>
      </c>
      <c r="D3248">
        <v>10.56</v>
      </c>
    </row>
    <row r="3249" spans="1:4">
      <c r="A3249">
        <v>3248</v>
      </c>
      <c r="C3249">
        <v>12.33</v>
      </c>
      <c r="D3249">
        <v>11.14</v>
      </c>
    </row>
    <row r="3250" spans="1:4">
      <c r="A3250">
        <v>3249</v>
      </c>
      <c r="C3250">
        <v>12.55</v>
      </c>
      <c r="D3250">
        <v>11.56</v>
      </c>
    </row>
    <row r="3251" spans="1:4">
      <c r="A3251">
        <v>3250</v>
      </c>
      <c r="C3251">
        <v>11.43</v>
      </c>
      <c r="D3251">
        <v>10.67</v>
      </c>
    </row>
    <row r="3252" spans="1:4">
      <c r="A3252">
        <v>3251</v>
      </c>
      <c r="C3252">
        <v>11.3</v>
      </c>
      <c r="D3252">
        <v>10.58</v>
      </c>
    </row>
    <row r="3253" spans="1:4">
      <c r="A3253">
        <v>3252</v>
      </c>
      <c r="C3253">
        <v>12.28</v>
      </c>
      <c r="D3253">
        <v>10.96</v>
      </c>
    </row>
    <row r="3254" spans="1:4">
      <c r="A3254">
        <v>3253</v>
      </c>
      <c r="C3254">
        <v>12.01</v>
      </c>
      <c r="D3254">
        <v>10.98</v>
      </c>
    </row>
    <row r="3255" spans="1:4">
      <c r="A3255">
        <v>3254</v>
      </c>
      <c r="C3255">
        <v>11.59</v>
      </c>
      <c r="D3255">
        <v>10.85</v>
      </c>
    </row>
    <row r="3256" spans="1:4">
      <c r="A3256">
        <v>3255</v>
      </c>
      <c r="C3256">
        <v>11.55</v>
      </c>
      <c r="D3256">
        <v>11.19</v>
      </c>
    </row>
    <row r="3257" spans="1:4">
      <c r="A3257">
        <v>3256</v>
      </c>
      <c r="C3257">
        <v>12.68</v>
      </c>
      <c r="D3257">
        <v>11.17</v>
      </c>
    </row>
    <row r="3258" spans="1:4">
      <c r="A3258">
        <v>3257</v>
      </c>
      <c r="C3258">
        <v>12.67</v>
      </c>
      <c r="D3258">
        <v>11.91</v>
      </c>
    </row>
    <row r="3259" spans="1:4">
      <c r="A3259">
        <v>3258</v>
      </c>
      <c r="C3259">
        <v>11.93</v>
      </c>
      <c r="D3259">
        <v>10.71</v>
      </c>
    </row>
    <row r="3260" spans="1:4">
      <c r="A3260">
        <v>3259</v>
      </c>
      <c r="C3260">
        <v>11.39</v>
      </c>
      <c r="D3260">
        <v>10.35</v>
      </c>
    </row>
    <row r="3261" spans="1:4">
      <c r="A3261">
        <v>3260</v>
      </c>
      <c r="C3261">
        <v>10.58</v>
      </c>
      <c r="D3261">
        <v>10.15</v>
      </c>
    </row>
    <row r="3262" spans="1:4">
      <c r="A3262">
        <v>3261</v>
      </c>
      <c r="C3262">
        <v>10.75</v>
      </c>
      <c r="D3262">
        <v>9.64</v>
      </c>
    </row>
    <row r="3263" spans="1:4">
      <c r="A3263">
        <v>3262</v>
      </c>
      <c r="C3263">
        <v>10.07</v>
      </c>
      <c r="D3263">
        <v>9.39</v>
      </c>
    </row>
    <row r="3264" spans="1:4">
      <c r="A3264">
        <v>3263</v>
      </c>
      <c r="C3264">
        <v>10.91</v>
      </c>
      <c r="D3264">
        <v>10.46</v>
      </c>
    </row>
    <row r="3265" spans="1:4">
      <c r="A3265">
        <v>3264</v>
      </c>
      <c r="C3265">
        <v>11.31</v>
      </c>
      <c r="D3265">
        <v>10.27</v>
      </c>
    </row>
    <row r="3266" spans="1:4">
      <c r="A3266">
        <v>3265</v>
      </c>
      <c r="C3266">
        <v>10.33</v>
      </c>
      <c r="D3266">
        <v>10.029999999999999</v>
      </c>
    </row>
    <row r="3267" spans="1:4">
      <c r="A3267">
        <v>3266</v>
      </c>
      <c r="C3267">
        <v>10.89</v>
      </c>
      <c r="D3267">
        <v>10.130000000000001</v>
      </c>
    </row>
    <row r="3268" spans="1:4">
      <c r="A3268">
        <v>3267</v>
      </c>
      <c r="C3268">
        <v>11.46</v>
      </c>
      <c r="D3268">
        <v>10.59</v>
      </c>
    </row>
    <row r="3269" spans="1:4">
      <c r="A3269">
        <v>3268</v>
      </c>
      <c r="C3269">
        <v>12.03</v>
      </c>
      <c r="D3269">
        <v>11.24</v>
      </c>
    </row>
    <row r="3270" spans="1:4">
      <c r="A3270">
        <v>3269</v>
      </c>
      <c r="C3270">
        <v>11.12</v>
      </c>
      <c r="D3270">
        <v>10.59</v>
      </c>
    </row>
    <row r="3271" spans="1:4">
      <c r="A3271">
        <v>3270</v>
      </c>
      <c r="C3271">
        <v>11.06</v>
      </c>
      <c r="D3271">
        <v>10.73</v>
      </c>
    </row>
    <row r="3272" spans="1:4">
      <c r="A3272">
        <v>3271</v>
      </c>
      <c r="C3272">
        <v>11.65</v>
      </c>
      <c r="D3272">
        <v>10.71</v>
      </c>
    </row>
    <row r="3273" spans="1:4">
      <c r="A3273">
        <v>3272</v>
      </c>
      <c r="C3273">
        <v>12.75</v>
      </c>
      <c r="D3273">
        <v>11.53</v>
      </c>
    </row>
    <row r="3274" spans="1:4">
      <c r="A3274">
        <v>3273</v>
      </c>
      <c r="C3274">
        <v>12.42</v>
      </c>
      <c r="D3274">
        <v>11.28</v>
      </c>
    </row>
    <row r="3275" spans="1:4">
      <c r="A3275">
        <v>3274</v>
      </c>
      <c r="C3275">
        <v>12.25</v>
      </c>
      <c r="D3275">
        <v>11.68</v>
      </c>
    </row>
    <row r="3276" spans="1:4">
      <c r="A3276">
        <v>3275</v>
      </c>
      <c r="C3276">
        <v>12.83</v>
      </c>
      <c r="D3276">
        <v>11.78</v>
      </c>
    </row>
    <row r="3277" spans="1:4">
      <c r="A3277">
        <v>3276</v>
      </c>
      <c r="C3277">
        <v>12.47</v>
      </c>
      <c r="D3277">
        <v>11.69</v>
      </c>
    </row>
    <row r="3278" spans="1:4">
      <c r="A3278">
        <v>3277</v>
      </c>
      <c r="C3278">
        <v>12.5</v>
      </c>
      <c r="D3278">
        <v>11.43</v>
      </c>
    </row>
    <row r="3279" spans="1:4">
      <c r="A3279">
        <v>3278</v>
      </c>
      <c r="C3279">
        <v>11.48</v>
      </c>
      <c r="D3279">
        <v>10.5</v>
      </c>
    </row>
    <row r="3280" spans="1:4">
      <c r="A3280">
        <v>3279</v>
      </c>
      <c r="C3280">
        <v>10.93</v>
      </c>
      <c r="D3280">
        <v>10.14</v>
      </c>
    </row>
    <row r="3281" spans="1:4">
      <c r="A3281">
        <v>3280</v>
      </c>
      <c r="C3281">
        <v>10.89</v>
      </c>
      <c r="D3281">
        <v>10.4</v>
      </c>
    </row>
    <row r="3282" spans="1:4">
      <c r="A3282">
        <v>3281</v>
      </c>
      <c r="C3282">
        <v>10.9</v>
      </c>
      <c r="D3282">
        <v>10.35</v>
      </c>
    </row>
    <row r="3283" spans="1:4">
      <c r="A3283">
        <v>3282</v>
      </c>
      <c r="C3283">
        <v>11.04</v>
      </c>
      <c r="D3283">
        <v>10.45</v>
      </c>
    </row>
    <row r="3284" spans="1:4">
      <c r="A3284">
        <v>3283</v>
      </c>
      <c r="C3284">
        <v>11.03</v>
      </c>
      <c r="D3284">
        <v>10.24</v>
      </c>
    </row>
    <row r="3285" spans="1:4">
      <c r="A3285">
        <v>3284</v>
      </c>
      <c r="C3285">
        <v>11.08</v>
      </c>
      <c r="D3285">
        <v>10.62</v>
      </c>
    </row>
    <row r="3286" spans="1:4">
      <c r="A3286">
        <v>3285</v>
      </c>
      <c r="C3286">
        <v>10.94</v>
      </c>
      <c r="D3286">
        <v>10.220000000000001</v>
      </c>
    </row>
    <row r="3287" spans="1:4">
      <c r="A3287">
        <v>3286</v>
      </c>
      <c r="C3287">
        <v>10.41</v>
      </c>
      <c r="D3287">
        <v>9.8699999999999992</v>
      </c>
    </row>
    <row r="3288" spans="1:4">
      <c r="A3288">
        <v>3287</v>
      </c>
      <c r="C3288">
        <v>11.38</v>
      </c>
      <c r="D3288">
        <v>9.9499999999999993</v>
      </c>
    </row>
    <row r="3289" spans="1:4">
      <c r="A3289">
        <v>3288</v>
      </c>
      <c r="C3289">
        <v>11.6</v>
      </c>
      <c r="D3289">
        <v>10.92</v>
      </c>
    </row>
    <row r="3290" spans="1:4">
      <c r="A3290">
        <v>3289</v>
      </c>
      <c r="C3290">
        <v>11.6</v>
      </c>
      <c r="D3290">
        <v>10.92</v>
      </c>
    </row>
    <row r="3291" spans="1:4">
      <c r="A3291">
        <v>3290</v>
      </c>
      <c r="C3291">
        <v>11.49</v>
      </c>
      <c r="D3291">
        <v>10.95</v>
      </c>
    </row>
    <row r="3292" spans="1:4">
      <c r="A3292">
        <v>3291</v>
      </c>
      <c r="C3292">
        <v>11.26</v>
      </c>
      <c r="D3292">
        <v>10.27</v>
      </c>
    </row>
    <row r="3293" spans="1:4">
      <c r="A3293">
        <v>3292</v>
      </c>
      <c r="C3293">
        <v>10.43</v>
      </c>
      <c r="D3293">
        <v>10.14</v>
      </c>
    </row>
    <row r="3294" spans="1:4">
      <c r="A3294">
        <v>3293</v>
      </c>
      <c r="C3294">
        <v>10.36</v>
      </c>
      <c r="D3294">
        <v>9.9600000000000009</v>
      </c>
    </row>
    <row r="3295" spans="1:4">
      <c r="A3295">
        <v>3294</v>
      </c>
      <c r="C3295">
        <v>10.7</v>
      </c>
      <c r="D3295">
        <v>10.44</v>
      </c>
    </row>
    <row r="3296" spans="1:4">
      <c r="A3296">
        <v>3295</v>
      </c>
      <c r="C3296">
        <v>10.88</v>
      </c>
      <c r="D3296">
        <v>10.44</v>
      </c>
    </row>
    <row r="3297" spans="1:4">
      <c r="A3297">
        <v>3296</v>
      </c>
      <c r="C3297">
        <v>10.56</v>
      </c>
      <c r="D3297">
        <v>10.24</v>
      </c>
    </row>
    <row r="3298" spans="1:4">
      <c r="A3298">
        <v>3297</v>
      </c>
      <c r="C3298">
        <v>10.91</v>
      </c>
      <c r="D3298">
        <v>10.4</v>
      </c>
    </row>
    <row r="3299" spans="1:4">
      <c r="A3299">
        <v>3298</v>
      </c>
      <c r="C3299">
        <v>11.56</v>
      </c>
      <c r="D3299">
        <v>10.25</v>
      </c>
    </row>
    <row r="3300" spans="1:4">
      <c r="A3300">
        <v>3299</v>
      </c>
      <c r="C3300">
        <v>11.88</v>
      </c>
      <c r="D3300">
        <v>11.3</v>
      </c>
    </row>
    <row r="3301" spans="1:4">
      <c r="A3301">
        <v>3300</v>
      </c>
      <c r="C3301">
        <v>11.42</v>
      </c>
      <c r="D3301">
        <v>10.33</v>
      </c>
    </row>
    <row r="3302" spans="1:4">
      <c r="A3302">
        <v>3301</v>
      </c>
      <c r="C3302">
        <v>10.26</v>
      </c>
      <c r="D3302">
        <v>9.6999999999999993</v>
      </c>
    </row>
    <row r="3303" spans="1:4">
      <c r="A3303">
        <v>3302</v>
      </c>
      <c r="C3303">
        <v>10.32</v>
      </c>
      <c r="D3303">
        <v>10.050000000000001</v>
      </c>
    </row>
    <row r="3304" spans="1:4">
      <c r="A3304">
        <v>3303</v>
      </c>
      <c r="C3304">
        <v>10.44</v>
      </c>
      <c r="D3304">
        <v>9.98</v>
      </c>
    </row>
    <row r="3305" spans="1:4">
      <c r="A3305">
        <v>3304</v>
      </c>
      <c r="C3305">
        <v>10.72</v>
      </c>
      <c r="D3305">
        <v>10.14</v>
      </c>
    </row>
    <row r="3306" spans="1:4">
      <c r="A3306">
        <v>3305</v>
      </c>
      <c r="C3306">
        <v>10.53</v>
      </c>
      <c r="D3306">
        <v>10.17</v>
      </c>
    </row>
    <row r="3307" spans="1:4">
      <c r="A3307">
        <v>3306</v>
      </c>
      <c r="C3307">
        <v>10.52</v>
      </c>
      <c r="D3307">
        <v>10.01</v>
      </c>
    </row>
    <row r="3308" spans="1:4">
      <c r="A3308">
        <v>3307</v>
      </c>
      <c r="C3308">
        <v>10.7</v>
      </c>
      <c r="D3308">
        <v>10.36</v>
      </c>
    </row>
    <row r="3309" spans="1:4">
      <c r="A3309">
        <v>3308</v>
      </c>
      <c r="C3309">
        <v>11.44</v>
      </c>
      <c r="D3309">
        <v>10.52</v>
      </c>
    </row>
    <row r="3310" spans="1:4">
      <c r="A3310">
        <v>3309</v>
      </c>
      <c r="C3310">
        <v>19.010000000000002</v>
      </c>
      <c r="D3310">
        <v>12.1</v>
      </c>
    </row>
    <row r="3311" spans="1:4">
      <c r="A3311">
        <v>3310</v>
      </c>
      <c r="C3311">
        <v>17.29</v>
      </c>
      <c r="D3311">
        <v>14.5</v>
      </c>
    </row>
    <row r="3312" spans="1:4">
      <c r="A3312">
        <v>3311</v>
      </c>
      <c r="C3312">
        <v>19.399999999999999</v>
      </c>
      <c r="D3312">
        <v>15.36</v>
      </c>
    </row>
    <row r="3313" spans="1:4">
      <c r="A3313">
        <v>3312</v>
      </c>
      <c r="C3313">
        <v>18.63</v>
      </c>
      <c r="D3313">
        <v>16.04</v>
      </c>
    </row>
    <row r="3314" spans="1:4">
      <c r="A3314">
        <v>3313</v>
      </c>
      <c r="C3314">
        <v>20.41</v>
      </c>
      <c r="D3314">
        <v>18.13</v>
      </c>
    </row>
    <row r="3315" spans="1:4">
      <c r="A3315">
        <v>3314</v>
      </c>
      <c r="C3315">
        <v>18.34</v>
      </c>
      <c r="D3315">
        <v>15.76</v>
      </c>
    </row>
    <row r="3316" spans="1:4">
      <c r="A3316">
        <v>3315</v>
      </c>
      <c r="C3316">
        <v>16.27</v>
      </c>
      <c r="D3316">
        <v>14.52</v>
      </c>
    </row>
    <row r="3317" spans="1:4">
      <c r="A3317">
        <v>3316</v>
      </c>
      <c r="C3317">
        <v>14.7</v>
      </c>
      <c r="D3317">
        <v>13.48</v>
      </c>
    </row>
    <row r="3318" spans="1:4">
      <c r="A3318">
        <v>3317</v>
      </c>
      <c r="C3318">
        <v>14.62</v>
      </c>
      <c r="D3318">
        <v>13.67</v>
      </c>
    </row>
    <row r="3319" spans="1:4">
      <c r="A3319">
        <v>3318</v>
      </c>
      <c r="C3319">
        <v>14.96</v>
      </c>
      <c r="D3319">
        <v>13.76</v>
      </c>
    </row>
    <row r="3320" spans="1:4">
      <c r="A3320">
        <v>3319</v>
      </c>
      <c r="C3320">
        <v>18.420000000000002</v>
      </c>
      <c r="D3320">
        <v>14.6</v>
      </c>
    </row>
    <row r="3321" spans="1:4">
      <c r="A3321">
        <v>3320</v>
      </c>
      <c r="C3321">
        <v>21.25</v>
      </c>
      <c r="D3321">
        <v>16.75</v>
      </c>
    </row>
    <row r="3322" spans="1:4">
      <c r="A3322">
        <v>3321</v>
      </c>
      <c r="C3322">
        <v>16.91</v>
      </c>
      <c r="D3322">
        <v>15.27</v>
      </c>
    </row>
    <row r="3323" spans="1:4">
      <c r="A3323">
        <v>3322</v>
      </c>
      <c r="C3323">
        <v>17.71</v>
      </c>
      <c r="D3323">
        <v>15.29</v>
      </c>
    </row>
    <row r="3324" spans="1:4">
      <c r="A3324">
        <v>3323</v>
      </c>
      <c r="C3324">
        <v>15.82</v>
      </c>
      <c r="D3324">
        <v>14.58</v>
      </c>
    </row>
    <row r="3325" spans="1:4">
      <c r="A3325">
        <v>3324</v>
      </c>
      <c r="C3325">
        <v>15.16</v>
      </c>
      <c r="D3325">
        <v>13.25</v>
      </c>
    </row>
    <row r="3326" spans="1:4">
      <c r="A3326">
        <v>3325</v>
      </c>
      <c r="C3326">
        <v>13.67</v>
      </c>
      <c r="D3326">
        <v>11.21</v>
      </c>
    </row>
    <row r="3327" spans="1:4">
      <c r="A3327">
        <v>3326</v>
      </c>
      <c r="C3327">
        <v>12.95</v>
      </c>
      <c r="D3327">
        <v>12.04</v>
      </c>
    </row>
    <row r="3328" spans="1:4">
      <c r="A3328">
        <v>3327</v>
      </c>
      <c r="C3328">
        <v>13.18</v>
      </c>
      <c r="D3328">
        <v>12.46</v>
      </c>
    </row>
    <row r="3329" spans="1:4">
      <c r="A3329">
        <v>3328</v>
      </c>
      <c r="C3329">
        <v>14.7</v>
      </c>
      <c r="D3329">
        <v>12.91</v>
      </c>
    </row>
    <row r="3330" spans="1:4">
      <c r="A3330">
        <v>3329</v>
      </c>
      <c r="C3330">
        <v>13.9</v>
      </c>
      <c r="D3330">
        <v>13.35</v>
      </c>
    </row>
    <row r="3331" spans="1:4">
      <c r="A3331">
        <v>3330</v>
      </c>
      <c r="C3331">
        <v>15.51</v>
      </c>
      <c r="D3331">
        <v>14.22</v>
      </c>
    </row>
    <row r="3332" spans="1:4">
      <c r="A3332">
        <v>3331</v>
      </c>
      <c r="C3332">
        <v>16.05</v>
      </c>
      <c r="D3332">
        <v>14.34</v>
      </c>
    </row>
    <row r="3333" spans="1:4">
      <c r="A3333">
        <v>3332</v>
      </c>
      <c r="C3333">
        <v>15.82</v>
      </c>
      <c r="D3333">
        <v>14.14</v>
      </c>
    </row>
    <row r="3334" spans="1:4">
      <c r="A3334">
        <v>3333</v>
      </c>
      <c r="C3334">
        <v>15.46</v>
      </c>
      <c r="D3334">
        <v>14.4</v>
      </c>
    </row>
    <row r="3335" spans="1:4">
      <c r="A3335">
        <v>3334</v>
      </c>
      <c r="C3335">
        <v>14.06</v>
      </c>
      <c r="D3335">
        <v>12.81</v>
      </c>
    </row>
    <row r="3336" spans="1:4">
      <c r="A3336">
        <v>3335</v>
      </c>
      <c r="C3336">
        <v>13.91</v>
      </c>
      <c r="D3336">
        <v>13.2</v>
      </c>
    </row>
    <row r="3337" spans="1:4">
      <c r="A3337">
        <v>3336</v>
      </c>
      <c r="C3337">
        <v>13.66</v>
      </c>
      <c r="D3337">
        <v>12.69</v>
      </c>
    </row>
    <row r="3338" spans="1:4">
      <c r="A3338">
        <v>3337</v>
      </c>
      <c r="C3338">
        <v>13.56</v>
      </c>
      <c r="D3338">
        <v>12.89</v>
      </c>
    </row>
    <row r="3339" spans="1:4">
      <c r="A3339">
        <v>3338</v>
      </c>
      <c r="C3339">
        <v>13.33</v>
      </c>
      <c r="D3339">
        <v>12.56</v>
      </c>
    </row>
    <row r="3340" spans="1:4">
      <c r="A3340">
        <v>3339</v>
      </c>
      <c r="C3340">
        <v>14.08</v>
      </c>
      <c r="D3340">
        <v>12.72</v>
      </c>
    </row>
    <row r="3341" spans="1:4">
      <c r="A3341">
        <v>3340</v>
      </c>
      <c r="C3341">
        <v>14.15</v>
      </c>
      <c r="D3341">
        <v>12.58</v>
      </c>
    </row>
    <row r="3342" spans="1:4">
      <c r="A3342">
        <v>3341</v>
      </c>
      <c r="C3342">
        <v>13</v>
      </c>
      <c r="D3342">
        <v>12.13</v>
      </c>
    </row>
    <row r="3343" spans="1:4">
      <c r="A3343">
        <v>3342</v>
      </c>
      <c r="C3343">
        <v>12.1</v>
      </c>
      <c r="D3343">
        <v>11.46</v>
      </c>
    </row>
    <row r="3344" spans="1:4">
      <c r="A3344">
        <v>3343</v>
      </c>
      <c r="C3344">
        <v>12.17</v>
      </c>
      <c r="D3344">
        <v>11.5</v>
      </c>
    </row>
    <row r="3345" spans="1:4">
      <c r="A3345">
        <v>3344</v>
      </c>
      <c r="C3345">
        <v>12.57</v>
      </c>
      <c r="D3345">
        <v>11.95</v>
      </c>
    </row>
    <row r="3346" spans="1:4">
      <c r="A3346">
        <v>3345</v>
      </c>
      <c r="C3346">
        <v>13.27</v>
      </c>
      <c r="D3346">
        <v>12.41</v>
      </c>
    </row>
    <row r="3347" spans="1:4">
      <c r="A3347">
        <v>3346</v>
      </c>
      <c r="C3347">
        <v>12.67</v>
      </c>
      <c r="D3347">
        <v>11.97</v>
      </c>
    </row>
    <row r="3348" spans="1:4">
      <c r="A3348">
        <v>3347</v>
      </c>
      <c r="C3348">
        <v>13.08</v>
      </c>
      <c r="D3348">
        <v>12.48</v>
      </c>
    </row>
    <row r="3349" spans="1:4">
      <c r="A3349">
        <v>3348</v>
      </c>
      <c r="C3349">
        <v>13.89</v>
      </c>
      <c r="D3349">
        <v>13.04</v>
      </c>
    </row>
    <row r="3350" spans="1:4">
      <c r="A3350">
        <v>3349</v>
      </c>
      <c r="C3350">
        <v>13.23</v>
      </c>
      <c r="D3350">
        <v>12.58</v>
      </c>
    </row>
    <row r="3351" spans="1:4">
      <c r="A3351">
        <v>3350</v>
      </c>
      <c r="C3351">
        <v>13.67</v>
      </c>
      <c r="D3351">
        <v>12.67</v>
      </c>
    </row>
    <row r="3352" spans="1:4">
      <c r="A3352">
        <v>3351</v>
      </c>
      <c r="C3352">
        <v>13.26</v>
      </c>
      <c r="D3352">
        <v>12.41</v>
      </c>
    </row>
    <row r="3353" spans="1:4">
      <c r="A3353">
        <v>3352</v>
      </c>
      <c r="C3353">
        <v>14.31</v>
      </c>
      <c r="D3353">
        <v>12.78</v>
      </c>
    </row>
    <row r="3354" spans="1:4">
      <c r="A3354">
        <v>3353</v>
      </c>
      <c r="C3354">
        <v>14.6</v>
      </c>
      <c r="D3354">
        <v>13.48</v>
      </c>
    </row>
    <row r="3355" spans="1:4">
      <c r="A3355">
        <v>3354</v>
      </c>
      <c r="C3355">
        <v>13.52</v>
      </c>
      <c r="D3355">
        <v>12.55</v>
      </c>
    </row>
    <row r="3356" spans="1:4">
      <c r="A3356">
        <v>3355</v>
      </c>
      <c r="C3356">
        <v>13.36</v>
      </c>
      <c r="D3356">
        <v>12.89</v>
      </c>
    </row>
    <row r="3357" spans="1:4">
      <c r="A3357">
        <v>3356</v>
      </c>
      <c r="C3357">
        <v>13.36</v>
      </c>
      <c r="D3357">
        <v>12.59</v>
      </c>
    </row>
    <row r="3358" spans="1:4">
      <c r="A3358">
        <v>3357</v>
      </c>
      <c r="C3358">
        <v>13.37</v>
      </c>
      <c r="D3358">
        <v>13.11</v>
      </c>
    </row>
    <row r="3359" spans="1:4">
      <c r="A3359">
        <v>3358</v>
      </c>
      <c r="C3359">
        <v>13.69</v>
      </c>
      <c r="D3359">
        <v>13.16</v>
      </c>
    </row>
    <row r="3360" spans="1:4">
      <c r="A3360">
        <v>3359</v>
      </c>
      <c r="C3360">
        <v>13.5</v>
      </c>
      <c r="D3360">
        <v>12.54</v>
      </c>
    </row>
    <row r="3361" spans="1:4">
      <c r="A3361">
        <v>3360</v>
      </c>
      <c r="C3361">
        <v>13.85</v>
      </c>
      <c r="D3361">
        <v>12.89</v>
      </c>
    </row>
    <row r="3362" spans="1:4">
      <c r="A3362">
        <v>3361</v>
      </c>
      <c r="C3362">
        <v>13.47</v>
      </c>
      <c r="D3362">
        <v>12.63</v>
      </c>
    </row>
    <row r="3363" spans="1:4">
      <c r="A3363">
        <v>3362</v>
      </c>
      <c r="C3363">
        <v>14.43</v>
      </c>
      <c r="D3363">
        <v>13.01</v>
      </c>
    </row>
    <row r="3364" spans="1:4">
      <c r="A3364">
        <v>3363</v>
      </c>
      <c r="C3364">
        <v>14.3</v>
      </c>
      <c r="D3364">
        <v>13.27</v>
      </c>
    </row>
    <row r="3365" spans="1:4">
      <c r="A3365">
        <v>3364</v>
      </c>
      <c r="C3365">
        <v>14.18</v>
      </c>
      <c r="D3365">
        <v>13.47</v>
      </c>
    </row>
    <row r="3366" spans="1:4">
      <c r="A3366">
        <v>3365</v>
      </c>
      <c r="C3366">
        <v>13.82</v>
      </c>
      <c r="D3366">
        <v>13.25</v>
      </c>
    </row>
    <row r="3367" spans="1:4">
      <c r="A3367">
        <v>3366</v>
      </c>
      <c r="C3367">
        <v>13.22</v>
      </c>
      <c r="D3367">
        <v>12.69</v>
      </c>
    </row>
    <row r="3368" spans="1:4">
      <c r="A3368">
        <v>3367</v>
      </c>
      <c r="C3368">
        <v>13.3</v>
      </c>
      <c r="D3368">
        <v>12.7</v>
      </c>
    </row>
    <row r="3369" spans="1:4">
      <c r="A3369">
        <v>3368</v>
      </c>
      <c r="C3369">
        <v>13.38</v>
      </c>
      <c r="D3369">
        <v>12.08</v>
      </c>
    </row>
    <row r="3370" spans="1:4">
      <c r="A3370">
        <v>3369</v>
      </c>
      <c r="C3370">
        <v>13.28</v>
      </c>
      <c r="D3370">
        <v>12.55</v>
      </c>
    </row>
    <row r="3371" spans="1:4">
      <c r="A3371">
        <v>3370</v>
      </c>
      <c r="C3371">
        <v>14.36</v>
      </c>
      <c r="D3371">
        <v>12.92</v>
      </c>
    </row>
    <row r="3372" spans="1:4">
      <c r="A3372">
        <v>3371</v>
      </c>
      <c r="C3372">
        <v>13.87</v>
      </c>
      <c r="D3372">
        <v>13.23</v>
      </c>
    </row>
    <row r="3373" spans="1:4">
      <c r="A3373">
        <v>3372</v>
      </c>
      <c r="C3373">
        <v>13.95</v>
      </c>
      <c r="D3373">
        <v>13.31</v>
      </c>
    </row>
    <row r="3374" spans="1:4">
      <c r="A3374">
        <v>3373</v>
      </c>
      <c r="C3374">
        <v>14.29</v>
      </c>
      <c r="D3374">
        <v>12.82</v>
      </c>
    </row>
    <row r="3375" spans="1:4">
      <c r="A3375">
        <v>3374</v>
      </c>
      <c r="C3375">
        <v>13.18</v>
      </c>
      <c r="D3375">
        <v>12.62</v>
      </c>
    </row>
    <row r="3376" spans="1:4">
      <c r="A3376">
        <v>3375</v>
      </c>
      <c r="C3376">
        <v>13.01</v>
      </c>
      <c r="D3376">
        <v>12.43</v>
      </c>
    </row>
    <row r="3377" spans="1:4">
      <c r="A3377">
        <v>3376</v>
      </c>
      <c r="C3377">
        <v>13.54</v>
      </c>
      <c r="D3377">
        <v>13.21</v>
      </c>
    </row>
    <row r="3378" spans="1:4">
      <c r="A3378">
        <v>3377</v>
      </c>
      <c r="C3378">
        <v>14.17</v>
      </c>
      <c r="D3378">
        <v>13.54</v>
      </c>
    </row>
    <row r="3379" spans="1:4">
      <c r="A3379">
        <v>3378</v>
      </c>
      <c r="C3379">
        <v>15.06</v>
      </c>
      <c r="D3379">
        <v>14.06</v>
      </c>
    </row>
    <row r="3380" spans="1:4">
      <c r="A3380">
        <v>3379</v>
      </c>
      <c r="C3380">
        <v>17.09</v>
      </c>
      <c r="D3380">
        <v>14.89</v>
      </c>
    </row>
    <row r="3381" spans="1:4">
      <c r="A3381">
        <v>3380</v>
      </c>
      <c r="C3381">
        <v>16.78</v>
      </c>
      <c r="D3381">
        <v>14.73</v>
      </c>
    </row>
    <row r="3382" spans="1:4">
      <c r="A3382">
        <v>3381</v>
      </c>
      <c r="C3382">
        <v>15.47</v>
      </c>
      <c r="D3382">
        <v>14.24</v>
      </c>
    </row>
    <row r="3383" spans="1:4">
      <c r="A3383">
        <v>3382</v>
      </c>
      <c r="C3383">
        <v>16.7</v>
      </c>
      <c r="D3383">
        <v>14.77</v>
      </c>
    </row>
    <row r="3384" spans="1:4">
      <c r="A3384">
        <v>3383</v>
      </c>
      <c r="C3384">
        <v>16.100000000000001</v>
      </c>
      <c r="D3384">
        <v>14.67</v>
      </c>
    </row>
    <row r="3385" spans="1:4">
      <c r="A3385">
        <v>3384</v>
      </c>
      <c r="C3385">
        <v>14.82</v>
      </c>
      <c r="D3385">
        <v>13.59</v>
      </c>
    </row>
    <row r="3386" spans="1:4">
      <c r="A3386">
        <v>3385</v>
      </c>
      <c r="C3386">
        <v>13.97</v>
      </c>
      <c r="D3386">
        <v>12.58</v>
      </c>
    </row>
    <row r="3387" spans="1:4">
      <c r="A3387">
        <v>3386</v>
      </c>
      <c r="C3387">
        <v>14.51</v>
      </c>
      <c r="D3387">
        <v>13.35</v>
      </c>
    </row>
    <row r="3388" spans="1:4">
      <c r="A3388">
        <v>3387</v>
      </c>
      <c r="C3388">
        <v>13.8</v>
      </c>
      <c r="D3388">
        <v>12.79</v>
      </c>
    </row>
    <row r="3389" spans="1:4">
      <c r="A3389">
        <v>3388</v>
      </c>
      <c r="C3389">
        <v>14.76</v>
      </c>
      <c r="D3389">
        <v>12.75</v>
      </c>
    </row>
    <row r="3390" spans="1:4">
      <c r="A3390">
        <v>3389</v>
      </c>
      <c r="C3390">
        <v>15.56</v>
      </c>
      <c r="D3390">
        <v>14.17</v>
      </c>
    </row>
    <row r="3391" spans="1:4">
      <c r="A3391">
        <v>3390</v>
      </c>
      <c r="C3391">
        <v>16.579999999999998</v>
      </c>
      <c r="D3391">
        <v>14.31</v>
      </c>
    </row>
    <row r="3392" spans="1:4">
      <c r="A3392">
        <v>3391</v>
      </c>
      <c r="C3392">
        <v>17.239999999999998</v>
      </c>
      <c r="D3392">
        <v>15.41</v>
      </c>
    </row>
    <row r="3393" spans="1:4">
      <c r="A3393">
        <v>3392</v>
      </c>
      <c r="C3393">
        <v>18.89</v>
      </c>
      <c r="D3393">
        <v>16.21</v>
      </c>
    </row>
    <row r="3394" spans="1:4">
      <c r="A3394">
        <v>3393</v>
      </c>
      <c r="C3394">
        <v>18.98</v>
      </c>
      <c r="D3394">
        <v>15.44</v>
      </c>
    </row>
    <row r="3395" spans="1:4">
      <c r="A3395">
        <v>3394</v>
      </c>
      <c r="C3395">
        <v>15.71</v>
      </c>
      <c r="D3395">
        <v>14.98</v>
      </c>
    </row>
    <row r="3396" spans="1:4">
      <c r="A3396">
        <v>3395</v>
      </c>
      <c r="C3396">
        <v>17.13</v>
      </c>
      <c r="D3396">
        <v>14.62</v>
      </c>
    </row>
    <row r="3397" spans="1:4">
      <c r="A3397">
        <v>3396</v>
      </c>
      <c r="C3397">
        <v>16.48</v>
      </c>
      <c r="D3397">
        <v>15.31</v>
      </c>
    </row>
    <row r="3398" spans="1:4">
      <c r="A3398">
        <v>3397</v>
      </c>
      <c r="C3398">
        <v>15.3</v>
      </c>
      <c r="D3398">
        <v>14.85</v>
      </c>
    </row>
    <row r="3399" spans="1:4">
      <c r="A3399">
        <v>3398</v>
      </c>
      <c r="C3399">
        <v>15.95</v>
      </c>
      <c r="D3399">
        <v>15.17</v>
      </c>
    </row>
    <row r="3400" spans="1:4">
      <c r="A3400">
        <v>3399</v>
      </c>
      <c r="C3400">
        <v>15.59</v>
      </c>
      <c r="D3400">
        <v>14.67</v>
      </c>
    </row>
    <row r="3401" spans="1:4">
      <c r="A3401">
        <v>3400</v>
      </c>
      <c r="C3401">
        <v>15.69</v>
      </c>
      <c r="D3401">
        <v>15.03</v>
      </c>
    </row>
    <row r="3402" spans="1:4">
      <c r="A3402">
        <v>3401</v>
      </c>
      <c r="C3402">
        <v>17.68</v>
      </c>
      <c r="D3402">
        <v>15.83</v>
      </c>
    </row>
    <row r="3403" spans="1:4">
      <c r="A3403">
        <v>3402</v>
      </c>
      <c r="C3403">
        <v>17.91</v>
      </c>
      <c r="D3403">
        <v>16.64</v>
      </c>
    </row>
    <row r="3404" spans="1:4">
      <c r="A3404">
        <v>3403</v>
      </c>
      <c r="C3404">
        <v>16.39</v>
      </c>
      <c r="D3404">
        <v>14.93</v>
      </c>
    </row>
    <row r="3405" spans="1:4">
      <c r="A3405">
        <v>3404</v>
      </c>
      <c r="C3405">
        <v>15.51</v>
      </c>
      <c r="D3405">
        <v>14.79</v>
      </c>
    </row>
    <row r="3406" spans="1:4">
      <c r="A3406">
        <v>3405</v>
      </c>
      <c r="C3406">
        <v>15.83</v>
      </c>
      <c r="D3406">
        <v>15.27</v>
      </c>
    </row>
    <row r="3407" spans="1:4">
      <c r="A3407">
        <v>3406</v>
      </c>
      <c r="C3407">
        <v>15.78</v>
      </c>
      <c r="D3407">
        <v>15.31</v>
      </c>
    </row>
    <row r="3408" spans="1:4">
      <c r="A3408">
        <v>3407</v>
      </c>
      <c r="C3408">
        <v>17.059999999999999</v>
      </c>
      <c r="D3408">
        <v>15.95</v>
      </c>
    </row>
    <row r="3409" spans="1:4">
      <c r="A3409">
        <v>3408</v>
      </c>
      <c r="C3409">
        <v>15.62</v>
      </c>
      <c r="D3409">
        <v>15.06</v>
      </c>
    </row>
    <row r="3410" spans="1:4">
      <c r="A3410">
        <v>3409</v>
      </c>
      <c r="C3410">
        <v>18.53</v>
      </c>
      <c r="D3410">
        <v>15.36</v>
      </c>
    </row>
    <row r="3411" spans="1:4">
      <c r="A3411">
        <v>3410</v>
      </c>
      <c r="C3411">
        <v>17.09</v>
      </c>
      <c r="D3411">
        <v>16.39</v>
      </c>
    </row>
    <row r="3412" spans="1:4">
      <c r="A3412">
        <v>3411</v>
      </c>
      <c r="C3412">
        <v>19.09</v>
      </c>
      <c r="D3412">
        <v>17.48</v>
      </c>
    </row>
    <row r="3413" spans="1:4">
      <c r="A3413">
        <v>3412</v>
      </c>
      <c r="C3413">
        <v>19.46</v>
      </c>
      <c r="D3413">
        <v>17.38</v>
      </c>
    </row>
    <row r="3414" spans="1:4">
      <c r="A3414">
        <v>3413</v>
      </c>
      <c r="C3414">
        <v>23.36</v>
      </c>
      <c r="D3414">
        <v>19.3</v>
      </c>
    </row>
    <row r="3415" spans="1:4">
      <c r="A3415">
        <v>3414</v>
      </c>
      <c r="C3415">
        <v>24.17</v>
      </c>
      <c r="D3415">
        <v>19.600000000000001</v>
      </c>
    </row>
    <row r="3416" spans="1:4">
      <c r="A3416">
        <v>3415</v>
      </c>
      <c r="C3416">
        <v>23.64</v>
      </c>
      <c r="D3416">
        <v>20.86</v>
      </c>
    </row>
    <row r="3417" spans="1:4">
      <c r="A3417">
        <v>3416</v>
      </c>
      <c r="C3417">
        <v>23.93</v>
      </c>
      <c r="D3417">
        <v>19.68</v>
      </c>
    </row>
    <row r="3418" spans="1:4">
      <c r="A3418">
        <v>3417</v>
      </c>
      <c r="C3418">
        <v>26.22</v>
      </c>
      <c r="D3418">
        <v>23.26</v>
      </c>
    </row>
    <row r="3419" spans="1:4">
      <c r="A3419">
        <v>3418</v>
      </c>
      <c r="C3419">
        <v>23</v>
      </c>
      <c r="D3419">
        <v>21.2</v>
      </c>
    </row>
    <row r="3420" spans="1:4">
      <c r="A3420">
        <v>3419</v>
      </c>
      <c r="C3420">
        <v>25.55</v>
      </c>
      <c r="D3420">
        <v>21.09</v>
      </c>
    </row>
    <row r="3421" spans="1:4">
      <c r="A3421">
        <v>3420</v>
      </c>
      <c r="C3421">
        <v>26.47</v>
      </c>
      <c r="D3421">
        <v>22.44</v>
      </c>
    </row>
    <row r="3422" spans="1:4">
      <c r="A3422">
        <v>3421</v>
      </c>
      <c r="C3422">
        <v>23.74</v>
      </c>
      <c r="D3422">
        <v>20.79</v>
      </c>
    </row>
    <row r="3423" spans="1:4">
      <c r="A3423">
        <v>3422</v>
      </c>
      <c r="C3423">
        <v>22.95</v>
      </c>
      <c r="D3423">
        <v>19.329999999999998</v>
      </c>
    </row>
    <row r="3424" spans="1:4">
      <c r="A3424">
        <v>3423</v>
      </c>
      <c r="C3424">
        <v>26.9</v>
      </c>
      <c r="D3424">
        <v>23.84</v>
      </c>
    </row>
    <row r="3425" spans="1:4">
      <c r="A3425">
        <v>3424</v>
      </c>
      <c r="C3425">
        <v>29.84</v>
      </c>
      <c r="D3425">
        <v>26.91</v>
      </c>
    </row>
    <row r="3426" spans="1:4">
      <c r="A3426">
        <v>3425</v>
      </c>
      <c r="C3426">
        <v>28.02</v>
      </c>
      <c r="D3426">
        <v>25.48</v>
      </c>
    </row>
    <row r="3427" spans="1:4">
      <c r="A3427">
        <v>3426</v>
      </c>
      <c r="C3427">
        <v>28.29</v>
      </c>
      <c r="D3427">
        <v>25.31</v>
      </c>
    </row>
    <row r="3428" spans="1:4">
      <c r="A3428">
        <v>3427</v>
      </c>
      <c r="C3428">
        <v>31.76</v>
      </c>
      <c r="D3428">
        <v>26.16</v>
      </c>
    </row>
    <row r="3429" spans="1:4">
      <c r="A3429">
        <v>3428</v>
      </c>
      <c r="C3429">
        <v>37.5</v>
      </c>
      <c r="D3429">
        <v>30.44</v>
      </c>
    </row>
    <row r="3430" spans="1:4">
      <c r="A3430">
        <v>3429</v>
      </c>
      <c r="C3430">
        <v>31.46</v>
      </c>
      <c r="D3430">
        <v>25.23</v>
      </c>
    </row>
    <row r="3431" spans="1:4">
      <c r="A3431">
        <v>3430</v>
      </c>
      <c r="C3431">
        <v>29.95</v>
      </c>
      <c r="D3431">
        <v>25.8</v>
      </c>
    </row>
    <row r="3432" spans="1:4">
      <c r="A3432">
        <v>3431</v>
      </c>
      <c r="C3432">
        <v>26.72</v>
      </c>
      <c r="D3432">
        <v>24.77</v>
      </c>
    </row>
    <row r="3433" spans="1:4">
      <c r="A3433">
        <v>3432</v>
      </c>
      <c r="C3433">
        <v>24.44</v>
      </c>
      <c r="D3433">
        <v>22.87</v>
      </c>
    </row>
    <row r="3434" spans="1:4">
      <c r="A3434">
        <v>3433</v>
      </c>
      <c r="C3434">
        <v>23.61</v>
      </c>
      <c r="D3434">
        <v>22.05</v>
      </c>
    </row>
    <row r="3435" spans="1:4">
      <c r="A3435">
        <v>3434</v>
      </c>
      <c r="C3435">
        <v>23.03</v>
      </c>
      <c r="D3435">
        <v>20.440000000000001</v>
      </c>
    </row>
    <row r="3436" spans="1:4">
      <c r="A3436">
        <v>3435</v>
      </c>
      <c r="C3436">
        <v>22.83</v>
      </c>
      <c r="D3436">
        <v>21.96</v>
      </c>
    </row>
    <row r="3437" spans="1:4">
      <c r="A3437">
        <v>3436</v>
      </c>
      <c r="C3437">
        <v>26.57</v>
      </c>
      <c r="D3437">
        <v>23.72</v>
      </c>
    </row>
    <row r="3438" spans="1:4">
      <c r="A3438">
        <v>3437</v>
      </c>
      <c r="C3438">
        <v>26.02</v>
      </c>
      <c r="D3438">
        <v>23.44</v>
      </c>
    </row>
    <row r="3439" spans="1:4">
      <c r="A3439">
        <v>3438</v>
      </c>
      <c r="C3439">
        <v>25.58</v>
      </c>
      <c r="D3439">
        <v>23.69</v>
      </c>
    </row>
    <row r="3440" spans="1:4">
      <c r="A3440">
        <v>3439</v>
      </c>
      <c r="C3440">
        <v>24.07</v>
      </c>
      <c r="D3440">
        <v>22.47</v>
      </c>
    </row>
    <row r="3441" spans="1:4">
      <c r="A3441">
        <v>3440</v>
      </c>
      <c r="C3441">
        <v>24.81</v>
      </c>
      <c r="D3441">
        <v>21.71</v>
      </c>
    </row>
    <row r="3442" spans="1:4">
      <c r="A3442">
        <v>3441</v>
      </c>
      <c r="C3442">
        <v>25.45</v>
      </c>
      <c r="D3442">
        <v>23.8</v>
      </c>
    </row>
    <row r="3443" spans="1:4">
      <c r="A3443">
        <v>3442</v>
      </c>
      <c r="C3443">
        <v>25.14</v>
      </c>
      <c r="D3443">
        <v>23.66</v>
      </c>
    </row>
    <row r="3444" spans="1:4">
      <c r="A3444">
        <v>3443</v>
      </c>
      <c r="C3444">
        <v>26.97</v>
      </c>
      <c r="D3444">
        <v>25.6</v>
      </c>
    </row>
    <row r="3445" spans="1:4">
      <c r="A3445">
        <v>3444</v>
      </c>
      <c r="C3445">
        <v>28.82</v>
      </c>
      <c r="D3445">
        <v>26.56</v>
      </c>
    </row>
    <row r="3446" spans="1:4">
      <c r="A3446">
        <v>3445</v>
      </c>
      <c r="C3446">
        <v>27.21</v>
      </c>
      <c r="D3446">
        <v>25.19</v>
      </c>
    </row>
    <row r="3447" spans="1:4">
      <c r="A3447">
        <v>3446</v>
      </c>
      <c r="C3447">
        <v>26.21</v>
      </c>
      <c r="D3447">
        <v>24.57</v>
      </c>
    </row>
    <row r="3448" spans="1:4">
      <c r="A3448">
        <v>3447</v>
      </c>
      <c r="C3448">
        <v>25.32</v>
      </c>
      <c r="D3448">
        <v>23.83</v>
      </c>
    </row>
    <row r="3449" spans="1:4">
      <c r="A3449">
        <v>3448</v>
      </c>
      <c r="C3449">
        <v>26.48</v>
      </c>
      <c r="D3449">
        <v>24.68</v>
      </c>
    </row>
    <row r="3450" spans="1:4">
      <c r="A3450">
        <v>3449</v>
      </c>
      <c r="C3450">
        <v>27.08</v>
      </c>
      <c r="D3450">
        <v>25.8</v>
      </c>
    </row>
    <row r="3451" spans="1:4">
      <c r="A3451">
        <v>3450</v>
      </c>
      <c r="C3451">
        <v>26.23</v>
      </c>
      <c r="D3451">
        <v>20.27</v>
      </c>
    </row>
    <row r="3452" spans="1:4">
      <c r="A3452">
        <v>3451</v>
      </c>
      <c r="C3452">
        <v>20.57</v>
      </c>
      <c r="D3452">
        <v>19.170000000000002</v>
      </c>
    </row>
    <row r="3453" spans="1:4">
      <c r="A3453">
        <v>3452</v>
      </c>
      <c r="C3453">
        <v>20.82</v>
      </c>
      <c r="D3453">
        <v>19.55</v>
      </c>
    </row>
    <row r="3454" spans="1:4">
      <c r="A3454">
        <v>3453</v>
      </c>
      <c r="C3454">
        <v>19.809999999999999</v>
      </c>
      <c r="D3454">
        <v>18.37</v>
      </c>
    </row>
    <row r="3455" spans="1:4">
      <c r="A3455">
        <v>3454</v>
      </c>
      <c r="C3455">
        <v>19.62</v>
      </c>
      <c r="D3455">
        <v>18.32</v>
      </c>
    </row>
    <row r="3456" spans="1:4">
      <c r="A3456">
        <v>3455</v>
      </c>
      <c r="C3456">
        <v>20.46</v>
      </c>
      <c r="D3456">
        <v>18.440000000000001</v>
      </c>
    </row>
    <row r="3457" spans="1:4">
      <c r="A3457">
        <v>3456</v>
      </c>
      <c r="C3457">
        <v>18.18</v>
      </c>
      <c r="D3457">
        <v>17.3</v>
      </c>
    </row>
    <row r="3458" spans="1:4">
      <c r="A3458">
        <v>3457</v>
      </c>
      <c r="C3458">
        <v>17.47</v>
      </c>
      <c r="D3458">
        <v>16.95</v>
      </c>
    </row>
    <row r="3459" spans="1:4">
      <c r="A3459">
        <v>3458</v>
      </c>
      <c r="C3459">
        <v>18.22</v>
      </c>
      <c r="D3459">
        <v>16.91</v>
      </c>
    </row>
    <row r="3460" spans="1:4">
      <c r="A3460">
        <v>3459</v>
      </c>
      <c r="C3460">
        <v>18.440000000000001</v>
      </c>
      <c r="D3460">
        <v>17.11</v>
      </c>
    </row>
    <row r="3461" spans="1:4">
      <c r="A3461">
        <v>3460</v>
      </c>
      <c r="C3461">
        <v>18.89</v>
      </c>
      <c r="D3461">
        <v>17.600000000000001</v>
      </c>
    </row>
    <row r="3462" spans="1:4">
      <c r="A3462">
        <v>3461</v>
      </c>
      <c r="C3462">
        <v>18.989999999999998</v>
      </c>
      <c r="D3462">
        <v>18.309999999999999</v>
      </c>
    </row>
    <row r="3463" spans="1:4">
      <c r="A3463">
        <v>3462</v>
      </c>
      <c r="C3463">
        <v>18.649999999999999</v>
      </c>
      <c r="D3463">
        <v>18.260000000000002</v>
      </c>
    </row>
    <row r="3464" spans="1:4">
      <c r="A3464">
        <v>3463</v>
      </c>
      <c r="C3464">
        <v>17.559999999999999</v>
      </c>
      <c r="D3464">
        <v>16.440000000000001</v>
      </c>
    </row>
    <row r="3465" spans="1:4">
      <c r="A3465">
        <v>3464</v>
      </c>
      <c r="C3465">
        <v>17.829999999999998</v>
      </c>
      <c r="D3465">
        <v>17.32</v>
      </c>
    </row>
    <row r="3466" spans="1:4">
      <c r="A3466">
        <v>3465</v>
      </c>
      <c r="C3466">
        <v>17.28</v>
      </c>
      <c r="D3466">
        <v>16.09</v>
      </c>
    </row>
    <row r="3467" spans="1:4">
      <c r="A3467">
        <v>3466</v>
      </c>
      <c r="C3467">
        <v>17.350000000000001</v>
      </c>
      <c r="D3467">
        <v>16.39</v>
      </c>
    </row>
    <row r="3468" spans="1:4">
      <c r="A3468">
        <v>3467</v>
      </c>
      <c r="C3468">
        <v>19.73</v>
      </c>
      <c r="D3468">
        <v>16.079999999999998</v>
      </c>
    </row>
    <row r="3469" spans="1:4">
      <c r="A3469">
        <v>3468</v>
      </c>
      <c r="C3469">
        <v>18.739999999999998</v>
      </c>
      <c r="D3469">
        <v>17.489999999999998</v>
      </c>
    </row>
    <row r="3470" spans="1:4">
      <c r="A3470">
        <v>3469</v>
      </c>
      <c r="C3470">
        <v>20.010000000000002</v>
      </c>
      <c r="D3470">
        <v>17.95</v>
      </c>
    </row>
    <row r="3471" spans="1:4">
      <c r="A3471">
        <v>3470</v>
      </c>
      <c r="C3471">
        <v>20.75</v>
      </c>
      <c r="D3471">
        <v>19.73</v>
      </c>
    </row>
    <row r="3472" spans="1:4">
      <c r="A3472">
        <v>3471</v>
      </c>
      <c r="C3472">
        <v>20.11</v>
      </c>
      <c r="D3472">
        <v>18.28</v>
      </c>
    </row>
    <row r="3473" spans="1:4">
      <c r="A3473">
        <v>3472</v>
      </c>
      <c r="C3473">
        <v>19.559999999999999</v>
      </c>
      <c r="D3473">
        <v>17.73</v>
      </c>
    </row>
    <row r="3474" spans="1:4">
      <c r="A3474">
        <v>3473</v>
      </c>
      <c r="C3474">
        <v>22.96</v>
      </c>
      <c r="D3474">
        <v>19.02</v>
      </c>
    </row>
    <row r="3475" spans="1:4">
      <c r="A3475">
        <v>3474</v>
      </c>
      <c r="C3475">
        <v>23.94</v>
      </c>
      <c r="D3475">
        <v>21.38</v>
      </c>
    </row>
    <row r="3476" spans="1:4">
      <c r="A3476">
        <v>3475</v>
      </c>
      <c r="C3476">
        <v>21.43</v>
      </c>
      <c r="D3476">
        <v>20.13</v>
      </c>
    </row>
    <row r="3477" spans="1:4">
      <c r="A3477">
        <v>3476</v>
      </c>
      <c r="C3477">
        <v>24.15</v>
      </c>
      <c r="D3477">
        <v>20.59</v>
      </c>
    </row>
    <row r="3478" spans="1:4">
      <c r="A3478">
        <v>3477</v>
      </c>
      <c r="C3478">
        <v>22.4</v>
      </c>
      <c r="D3478">
        <v>20.04</v>
      </c>
    </row>
    <row r="3479" spans="1:4">
      <c r="A3479">
        <v>3478</v>
      </c>
      <c r="C3479">
        <v>20.97</v>
      </c>
      <c r="D3479">
        <v>19.48</v>
      </c>
    </row>
    <row r="3480" spans="1:4">
      <c r="A3480">
        <v>3479</v>
      </c>
      <c r="C3480">
        <v>20.239999999999998</v>
      </c>
      <c r="D3480">
        <v>19.54</v>
      </c>
    </row>
    <row r="3481" spans="1:4">
      <c r="A3481">
        <v>3480</v>
      </c>
      <c r="C3481">
        <v>21.15</v>
      </c>
      <c r="D3481">
        <v>20.309999999999999</v>
      </c>
    </row>
    <row r="3482" spans="1:4">
      <c r="A3482">
        <v>3481</v>
      </c>
      <c r="C3482">
        <v>22.09</v>
      </c>
      <c r="D3482">
        <v>18.3</v>
      </c>
    </row>
    <row r="3483" spans="1:4">
      <c r="A3483">
        <v>3482</v>
      </c>
      <c r="C3483">
        <v>24.15</v>
      </c>
      <c r="D3483">
        <v>17.38</v>
      </c>
    </row>
    <row r="3484" spans="1:4">
      <c r="A3484">
        <v>3483</v>
      </c>
      <c r="C3484">
        <v>25.17</v>
      </c>
      <c r="D3484">
        <v>22.56</v>
      </c>
    </row>
    <row r="3485" spans="1:4">
      <c r="A3485">
        <v>3484</v>
      </c>
      <c r="C3485">
        <v>25.46</v>
      </c>
      <c r="D3485">
        <v>23.61</v>
      </c>
    </row>
    <row r="3486" spans="1:4">
      <c r="A3486">
        <v>3485</v>
      </c>
      <c r="C3486">
        <v>23.74</v>
      </c>
      <c r="D3486">
        <v>21.24</v>
      </c>
    </row>
    <row r="3487" spans="1:4">
      <c r="A3487">
        <v>3486</v>
      </c>
      <c r="C3487">
        <v>26.85</v>
      </c>
      <c r="D3487">
        <v>22.75</v>
      </c>
    </row>
    <row r="3488" spans="1:4">
      <c r="A3488">
        <v>3487</v>
      </c>
      <c r="C3488">
        <v>29.15</v>
      </c>
      <c r="D3488">
        <v>25.32</v>
      </c>
    </row>
    <row r="3489" spans="1:4">
      <c r="A3489">
        <v>3488</v>
      </c>
      <c r="C3489">
        <v>28.84</v>
      </c>
      <c r="D3489">
        <v>26.21</v>
      </c>
    </row>
    <row r="3490" spans="1:4">
      <c r="A3490">
        <v>3489</v>
      </c>
      <c r="C3490">
        <v>31.09</v>
      </c>
      <c r="D3490">
        <v>24.47</v>
      </c>
    </row>
    <row r="3491" spans="1:4">
      <c r="A3491">
        <v>3490</v>
      </c>
      <c r="C3491">
        <v>27.5</v>
      </c>
      <c r="D3491">
        <v>23.82</v>
      </c>
    </row>
    <row r="3492" spans="1:4">
      <c r="A3492">
        <v>3491</v>
      </c>
      <c r="C3492">
        <v>27.03</v>
      </c>
      <c r="D3492">
        <v>23.07</v>
      </c>
    </row>
    <row r="3493" spans="1:4">
      <c r="A3493">
        <v>3492</v>
      </c>
      <c r="C3493">
        <v>29.31</v>
      </c>
      <c r="D3493">
        <v>25.98</v>
      </c>
    </row>
    <row r="3494" spans="1:4">
      <c r="A3494">
        <v>3493</v>
      </c>
      <c r="C3494">
        <v>28.12</v>
      </c>
      <c r="D3494">
        <v>25.12</v>
      </c>
    </row>
    <row r="3495" spans="1:4">
      <c r="A3495">
        <v>3494</v>
      </c>
      <c r="C3495">
        <v>27.18</v>
      </c>
      <c r="D3495">
        <v>25.74</v>
      </c>
    </row>
    <row r="3496" spans="1:4">
      <c r="A3496">
        <v>3495</v>
      </c>
      <c r="C3496">
        <v>27.35</v>
      </c>
      <c r="D3496">
        <v>23.62</v>
      </c>
    </row>
    <row r="3497" spans="1:4">
      <c r="A3497">
        <v>3496</v>
      </c>
      <c r="C3497">
        <v>27.77</v>
      </c>
      <c r="D3497">
        <v>24.55</v>
      </c>
    </row>
    <row r="3498" spans="1:4">
      <c r="A3498">
        <v>3497</v>
      </c>
      <c r="C3498">
        <v>26.42</v>
      </c>
      <c r="D3498">
        <v>25.35</v>
      </c>
    </row>
    <row r="3499" spans="1:4">
      <c r="A3499">
        <v>3498</v>
      </c>
      <c r="C3499">
        <v>28.95</v>
      </c>
      <c r="D3499">
        <v>25.84</v>
      </c>
    </row>
    <row r="3500" spans="1:4">
      <c r="A3500">
        <v>3499</v>
      </c>
      <c r="C3500">
        <v>28.24</v>
      </c>
      <c r="D3500">
        <v>26.23</v>
      </c>
    </row>
    <row r="3501" spans="1:4">
      <c r="A3501">
        <v>3500</v>
      </c>
      <c r="C3501">
        <v>25.14</v>
      </c>
      <c r="D3501">
        <v>23.55</v>
      </c>
    </row>
    <row r="3502" spans="1:4">
      <c r="A3502">
        <v>3501</v>
      </c>
      <c r="C3502">
        <v>24.61</v>
      </c>
      <c r="D3502">
        <v>23.35</v>
      </c>
    </row>
    <row r="3503" spans="1:4">
      <c r="A3503">
        <v>3502</v>
      </c>
      <c r="C3503">
        <v>23.39</v>
      </c>
      <c r="D3503">
        <v>22</v>
      </c>
    </row>
    <row r="3504" spans="1:4">
      <c r="A3504">
        <v>3503</v>
      </c>
      <c r="C3504">
        <v>24.49</v>
      </c>
      <c r="D3504">
        <v>23.4</v>
      </c>
    </row>
    <row r="3505" spans="1:4">
      <c r="A3505">
        <v>3504</v>
      </c>
      <c r="C3505">
        <v>24.59</v>
      </c>
      <c r="D3505">
        <v>23.32</v>
      </c>
    </row>
    <row r="3506" spans="1:4">
      <c r="A3506">
        <v>3505</v>
      </c>
      <c r="C3506">
        <v>23.03</v>
      </c>
      <c r="D3506">
        <v>21.87</v>
      </c>
    </row>
    <row r="3507" spans="1:4">
      <c r="A3507">
        <v>3506</v>
      </c>
      <c r="C3507">
        <v>22.75</v>
      </c>
      <c r="D3507">
        <v>20.87</v>
      </c>
    </row>
    <row r="3508" spans="1:4">
      <c r="A3508">
        <v>3507</v>
      </c>
      <c r="C3508">
        <v>21.01</v>
      </c>
      <c r="D3508">
        <v>20.29</v>
      </c>
    </row>
    <row r="3509" spans="1:4">
      <c r="A3509">
        <v>3508</v>
      </c>
      <c r="C3509">
        <v>21.46</v>
      </c>
      <c r="D3509">
        <v>20.36</v>
      </c>
    </row>
    <row r="3510" spans="1:4">
      <c r="A3510">
        <v>3509</v>
      </c>
      <c r="C3510">
        <v>23.7</v>
      </c>
      <c r="D3510">
        <v>19.77</v>
      </c>
    </row>
    <row r="3511" spans="1:4">
      <c r="A3511">
        <v>3510</v>
      </c>
      <c r="C3511">
        <v>24.22</v>
      </c>
      <c r="D3511">
        <v>20.49</v>
      </c>
    </row>
    <row r="3512" spans="1:4">
      <c r="A3512">
        <v>3511</v>
      </c>
      <c r="C3512">
        <v>24.04</v>
      </c>
      <c r="D3512">
        <v>22.41</v>
      </c>
    </row>
    <row r="3513" spans="1:4">
      <c r="A3513">
        <v>3512</v>
      </c>
      <c r="C3513">
        <v>23.53</v>
      </c>
      <c r="D3513">
        <v>22.26</v>
      </c>
    </row>
    <row r="3514" spans="1:4">
      <c r="A3514">
        <v>3513</v>
      </c>
      <c r="C3514">
        <v>24.86</v>
      </c>
      <c r="D3514">
        <v>23.42</v>
      </c>
    </row>
    <row r="3515" spans="1:4">
      <c r="A3515">
        <v>3514</v>
      </c>
      <c r="C3515">
        <v>24.6</v>
      </c>
      <c r="D3515">
        <v>22.41</v>
      </c>
    </row>
    <row r="3516" spans="1:4">
      <c r="A3516">
        <v>3515</v>
      </c>
      <c r="C3516">
        <v>22.68</v>
      </c>
      <c r="D3516">
        <v>21.3</v>
      </c>
    </row>
    <row r="3517" spans="1:4">
      <c r="A3517">
        <v>3516</v>
      </c>
      <c r="C3517">
        <v>21.67</v>
      </c>
      <c r="D3517">
        <v>20.58</v>
      </c>
    </row>
    <row r="3518" spans="1:4">
      <c r="A3518">
        <v>3517</v>
      </c>
      <c r="C3518">
        <v>19.82</v>
      </c>
      <c r="D3518">
        <v>18.28</v>
      </c>
    </row>
    <row r="3519" spans="1:4">
      <c r="A3519">
        <v>3518</v>
      </c>
      <c r="C3519">
        <v>19.420000000000002</v>
      </c>
      <c r="D3519">
        <v>18.48</v>
      </c>
    </row>
    <row r="3520" spans="1:4">
      <c r="A3520">
        <v>3519</v>
      </c>
      <c r="C3520">
        <v>19.47</v>
      </c>
      <c r="D3520">
        <v>18.600000000000001</v>
      </c>
    </row>
    <row r="3521" spans="1:4">
      <c r="A3521">
        <v>3520</v>
      </c>
      <c r="C3521">
        <v>20.51</v>
      </c>
      <c r="D3521">
        <v>19.149999999999999</v>
      </c>
    </row>
    <row r="3522" spans="1:4">
      <c r="A3522">
        <v>3521</v>
      </c>
      <c r="C3522">
        <v>21.05</v>
      </c>
      <c r="D3522">
        <v>19.440000000000001</v>
      </c>
    </row>
    <row r="3523" spans="1:4">
      <c r="A3523">
        <v>3522</v>
      </c>
      <c r="C3523">
        <v>22.75</v>
      </c>
      <c r="D3523">
        <v>21.79</v>
      </c>
    </row>
    <row r="3524" spans="1:4">
      <c r="A3524">
        <v>3523</v>
      </c>
      <c r="C3524">
        <v>24.05</v>
      </c>
      <c r="D3524">
        <v>22.4</v>
      </c>
    </row>
    <row r="3525" spans="1:4">
      <c r="A3525">
        <v>3524</v>
      </c>
      <c r="C3525">
        <v>23.27</v>
      </c>
      <c r="D3525">
        <v>22.11</v>
      </c>
    </row>
    <row r="3526" spans="1:4">
      <c r="A3526">
        <v>3525</v>
      </c>
      <c r="C3526">
        <v>24.3</v>
      </c>
      <c r="D3526">
        <v>23.25</v>
      </c>
    </row>
    <row r="3527" spans="1:4">
      <c r="A3527">
        <v>3526</v>
      </c>
      <c r="C3527">
        <v>24.88</v>
      </c>
      <c r="D3527">
        <v>23.3</v>
      </c>
    </row>
    <row r="3528" spans="1:4">
      <c r="A3528">
        <v>3527</v>
      </c>
      <c r="C3528">
        <v>25.6</v>
      </c>
      <c r="D3528">
        <v>22.63</v>
      </c>
    </row>
    <row r="3529" spans="1:4">
      <c r="A3529">
        <v>3528</v>
      </c>
      <c r="C3529">
        <v>25.95</v>
      </c>
      <c r="D3529">
        <v>23.9</v>
      </c>
    </row>
    <row r="3530" spans="1:4">
      <c r="A3530">
        <v>3529</v>
      </c>
      <c r="C3530">
        <v>24.61</v>
      </c>
      <c r="D3530">
        <v>22.62</v>
      </c>
    </row>
    <row r="3531" spans="1:4">
      <c r="A3531">
        <v>3530</v>
      </c>
      <c r="C3531">
        <v>24.41</v>
      </c>
      <c r="D3531">
        <v>23.22</v>
      </c>
    </row>
    <row r="3532" spans="1:4">
      <c r="A3532">
        <v>3531</v>
      </c>
      <c r="C3532">
        <v>23.93</v>
      </c>
      <c r="D3532">
        <v>22.65</v>
      </c>
    </row>
    <row r="3533" spans="1:4">
      <c r="A3533">
        <v>3532</v>
      </c>
      <c r="C3533">
        <v>24.59</v>
      </c>
      <c r="D3533">
        <v>22.97</v>
      </c>
    </row>
    <row r="3534" spans="1:4">
      <c r="A3534">
        <v>3533</v>
      </c>
      <c r="C3534">
        <v>24.38</v>
      </c>
      <c r="D3534">
        <v>22.85</v>
      </c>
    </row>
    <row r="3535" spans="1:4">
      <c r="A3535">
        <v>3534</v>
      </c>
      <c r="C3535">
        <v>28.51</v>
      </c>
      <c r="D3535">
        <v>23.87</v>
      </c>
    </row>
    <row r="3536" spans="1:4">
      <c r="A3536">
        <v>3535</v>
      </c>
      <c r="C3536">
        <v>29.3</v>
      </c>
      <c r="D3536">
        <v>26.27</v>
      </c>
    </row>
    <row r="3537" spans="1:4">
      <c r="A3537">
        <v>3536</v>
      </c>
      <c r="C3537">
        <v>37.57</v>
      </c>
      <c r="D3537">
        <v>29.71</v>
      </c>
    </row>
    <row r="3538" spans="1:4">
      <c r="A3538">
        <v>3537</v>
      </c>
      <c r="C3538">
        <v>34.42</v>
      </c>
      <c r="D3538">
        <v>28.47</v>
      </c>
    </row>
    <row r="3539" spans="1:4">
      <c r="A3539">
        <v>3538</v>
      </c>
      <c r="C3539">
        <v>28.48</v>
      </c>
      <c r="D3539">
        <v>27.03</v>
      </c>
    </row>
    <row r="3540" spans="1:4">
      <c r="A3540">
        <v>3539</v>
      </c>
      <c r="C3540">
        <v>29.76</v>
      </c>
      <c r="D3540">
        <v>25.93</v>
      </c>
    </row>
    <row r="3541" spans="1:4">
      <c r="A3541">
        <v>3540</v>
      </c>
      <c r="C3541">
        <v>30.26</v>
      </c>
      <c r="D3541">
        <v>27.57</v>
      </c>
    </row>
    <row r="3542" spans="1:4">
      <c r="A3542">
        <v>3541</v>
      </c>
      <c r="C3542">
        <v>27.96</v>
      </c>
      <c r="D3542">
        <v>26.55</v>
      </c>
    </row>
    <row r="3543" spans="1:4">
      <c r="A3543">
        <v>3542</v>
      </c>
      <c r="C3543">
        <v>28.34</v>
      </c>
      <c r="D3543">
        <v>24.74</v>
      </c>
    </row>
    <row r="3544" spans="1:4">
      <c r="A3544">
        <v>3543</v>
      </c>
      <c r="C3544">
        <v>28.81</v>
      </c>
      <c r="D3544">
        <v>25.45</v>
      </c>
    </row>
    <row r="3545" spans="1:4">
      <c r="A3545">
        <v>3544</v>
      </c>
      <c r="C3545">
        <v>25.75</v>
      </c>
      <c r="D3545">
        <v>24.02</v>
      </c>
    </row>
    <row r="3546" spans="1:4">
      <c r="A3546">
        <v>3545</v>
      </c>
      <c r="C3546">
        <v>26.03</v>
      </c>
      <c r="D3546">
        <v>24.85</v>
      </c>
    </row>
    <row r="3547" spans="1:4">
      <c r="A3547">
        <v>3546</v>
      </c>
      <c r="C3547">
        <v>28.49</v>
      </c>
      <c r="D3547">
        <v>27.2</v>
      </c>
    </row>
    <row r="3548" spans="1:4">
      <c r="A3548">
        <v>3547</v>
      </c>
      <c r="C3548">
        <v>29.31</v>
      </c>
      <c r="D3548">
        <v>27.04</v>
      </c>
    </row>
    <row r="3549" spans="1:4">
      <c r="A3549">
        <v>3548</v>
      </c>
      <c r="C3549">
        <v>29.7</v>
      </c>
      <c r="D3549">
        <v>26.78</v>
      </c>
    </row>
    <row r="3550" spans="1:4">
      <c r="A3550">
        <v>3549</v>
      </c>
      <c r="C3550">
        <v>28.89</v>
      </c>
      <c r="D3550">
        <v>27.22</v>
      </c>
    </row>
    <row r="3551" spans="1:4">
      <c r="A3551">
        <v>3550</v>
      </c>
      <c r="C3551">
        <v>29.57</v>
      </c>
      <c r="D3551">
        <v>27.32</v>
      </c>
    </row>
    <row r="3552" spans="1:4">
      <c r="A3552">
        <v>3551</v>
      </c>
      <c r="C3552">
        <v>27.17</v>
      </c>
      <c r="D3552">
        <v>25.25</v>
      </c>
    </row>
    <row r="3553" spans="1:4">
      <c r="A3553">
        <v>3552</v>
      </c>
      <c r="C3553">
        <v>26.06</v>
      </c>
      <c r="D3553">
        <v>24.57</v>
      </c>
    </row>
    <row r="3554" spans="1:4">
      <c r="A3554">
        <v>3553</v>
      </c>
      <c r="C3554">
        <v>25.64</v>
      </c>
      <c r="D3554">
        <v>23.98</v>
      </c>
    </row>
    <row r="3555" spans="1:4">
      <c r="A3555">
        <v>3554</v>
      </c>
      <c r="C3555">
        <v>25.67</v>
      </c>
      <c r="D3555">
        <v>24.45</v>
      </c>
    </row>
    <row r="3556" spans="1:4">
      <c r="A3556">
        <v>3555</v>
      </c>
      <c r="C3556">
        <v>26.59</v>
      </c>
      <c r="D3556">
        <v>24.73</v>
      </c>
    </row>
    <row r="3557" spans="1:4">
      <c r="A3557">
        <v>3556</v>
      </c>
      <c r="C3557">
        <v>26.95</v>
      </c>
      <c r="D3557">
        <v>24.21</v>
      </c>
    </row>
    <row r="3558" spans="1:4">
      <c r="A3558">
        <v>3557</v>
      </c>
      <c r="C3558">
        <v>25.45</v>
      </c>
      <c r="D3558">
        <v>23.74</v>
      </c>
    </row>
    <row r="3559" spans="1:4">
      <c r="A3559">
        <v>3558</v>
      </c>
      <c r="C3559">
        <v>25.93</v>
      </c>
      <c r="D3559">
        <v>23.62</v>
      </c>
    </row>
    <row r="3560" spans="1:4">
      <c r="A3560">
        <v>3559</v>
      </c>
      <c r="C3560">
        <v>25.07</v>
      </c>
      <c r="D3560">
        <v>22.69</v>
      </c>
    </row>
    <row r="3561" spans="1:4">
      <c r="A3561">
        <v>3560</v>
      </c>
      <c r="C3561">
        <v>23.45</v>
      </c>
      <c r="D3561">
        <v>21.64</v>
      </c>
    </row>
    <row r="3562" spans="1:4">
      <c r="A3562">
        <v>3561</v>
      </c>
      <c r="C3562">
        <v>23.01</v>
      </c>
      <c r="D3562">
        <v>21.83</v>
      </c>
    </row>
    <row r="3563" spans="1:4">
      <c r="A3563">
        <v>3562</v>
      </c>
      <c r="C3563">
        <v>23.79</v>
      </c>
      <c r="D3563">
        <v>22.69</v>
      </c>
    </row>
    <row r="3564" spans="1:4">
      <c r="A3564">
        <v>3563</v>
      </c>
      <c r="C3564">
        <v>26.91</v>
      </c>
      <c r="D3564">
        <v>23.54</v>
      </c>
    </row>
    <row r="3565" spans="1:4">
      <c r="A3565">
        <v>3564</v>
      </c>
      <c r="C3565">
        <v>28.13</v>
      </c>
      <c r="D3565">
        <v>26.27</v>
      </c>
    </row>
    <row r="3566" spans="1:4">
      <c r="A3566">
        <v>3565</v>
      </c>
      <c r="C3566">
        <v>27.42</v>
      </c>
      <c r="D3566">
        <v>25.51</v>
      </c>
    </row>
    <row r="3567" spans="1:4">
      <c r="A3567">
        <v>3566</v>
      </c>
      <c r="C3567">
        <v>25.77</v>
      </c>
      <c r="D3567">
        <v>23.3</v>
      </c>
    </row>
    <row r="3568" spans="1:4">
      <c r="A3568">
        <v>3567</v>
      </c>
      <c r="C3568">
        <v>27.9</v>
      </c>
      <c r="D3568">
        <v>25.04</v>
      </c>
    </row>
    <row r="3569" spans="1:4">
      <c r="A3569">
        <v>3568</v>
      </c>
      <c r="C3569">
        <v>29.29</v>
      </c>
      <c r="D3569">
        <v>22.29</v>
      </c>
    </row>
    <row r="3570" spans="1:4">
      <c r="A3570">
        <v>3569</v>
      </c>
      <c r="C3570">
        <v>29.73</v>
      </c>
      <c r="D3570">
        <v>27.92</v>
      </c>
    </row>
    <row r="3571" spans="1:4">
      <c r="A3571">
        <v>3570</v>
      </c>
      <c r="C3571">
        <v>28.64</v>
      </c>
      <c r="D3571">
        <v>26.35</v>
      </c>
    </row>
    <row r="3572" spans="1:4">
      <c r="A3572">
        <v>3571</v>
      </c>
      <c r="C3572">
        <v>27.25</v>
      </c>
      <c r="D3572">
        <v>24.9</v>
      </c>
    </row>
    <row r="3573" spans="1:4">
      <c r="A3573">
        <v>3572</v>
      </c>
      <c r="C3573">
        <v>29.62</v>
      </c>
      <c r="D3573">
        <v>25.65</v>
      </c>
    </row>
    <row r="3574" spans="1:4">
      <c r="A3574">
        <v>3573</v>
      </c>
      <c r="C3574">
        <v>32.89</v>
      </c>
      <c r="D3574">
        <v>26.02</v>
      </c>
    </row>
    <row r="3575" spans="1:4">
      <c r="A3575">
        <v>3574</v>
      </c>
      <c r="C3575">
        <v>35.6</v>
      </c>
      <c r="D3575">
        <v>31.1</v>
      </c>
    </row>
    <row r="3576" spans="1:4">
      <c r="A3576">
        <v>3575</v>
      </c>
      <c r="C3576">
        <v>32.24</v>
      </c>
      <c r="D3576">
        <v>25.58</v>
      </c>
    </row>
    <row r="3577" spans="1:4">
      <c r="A3577">
        <v>3576</v>
      </c>
      <c r="C3577">
        <v>29.95</v>
      </c>
      <c r="D3577">
        <v>25.16</v>
      </c>
    </row>
    <row r="3578" spans="1:4">
      <c r="A3578">
        <v>3577</v>
      </c>
      <c r="C3578">
        <v>29.84</v>
      </c>
      <c r="D3578">
        <v>25.8</v>
      </c>
    </row>
    <row r="3579" spans="1:4">
      <c r="A3579">
        <v>3578</v>
      </c>
      <c r="C3579">
        <v>27.04</v>
      </c>
      <c r="D3579">
        <v>24.75</v>
      </c>
    </row>
    <row r="3580" spans="1:4">
      <c r="A3580">
        <v>3579</v>
      </c>
      <c r="C3580">
        <v>26.42</v>
      </c>
      <c r="D3580">
        <v>25.17</v>
      </c>
    </row>
    <row r="3581" spans="1:4">
      <c r="A3581">
        <v>3580</v>
      </c>
      <c r="C3581">
        <v>26.85</v>
      </c>
      <c r="D3581">
        <v>25.51</v>
      </c>
    </row>
    <row r="3582" spans="1:4">
      <c r="A3582">
        <v>3581</v>
      </c>
      <c r="C3582">
        <v>25.98</v>
      </c>
      <c r="D3582">
        <v>24.91</v>
      </c>
    </row>
    <row r="3583" spans="1:4">
      <c r="A3583">
        <v>3582</v>
      </c>
      <c r="C3583">
        <v>25.96</v>
      </c>
      <c r="D3583">
        <v>25.04</v>
      </c>
    </row>
    <row r="3584" spans="1:4">
      <c r="A3584">
        <v>3583</v>
      </c>
      <c r="C3584">
        <v>26.77</v>
      </c>
      <c r="D3584">
        <v>25.35</v>
      </c>
    </row>
    <row r="3585" spans="1:4">
      <c r="A3585">
        <v>3584</v>
      </c>
      <c r="C3585">
        <v>25.61</v>
      </c>
      <c r="D3585">
        <v>22.52</v>
      </c>
    </row>
    <row r="3586" spans="1:4">
      <c r="A3586">
        <v>3585</v>
      </c>
      <c r="C3586">
        <v>23.65</v>
      </c>
      <c r="D3586">
        <v>22.39</v>
      </c>
    </row>
    <row r="3587" spans="1:4">
      <c r="A3587">
        <v>3586</v>
      </c>
      <c r="C3587">
        <v>24.15</v>
      </c>
      <c r="D3587">
        <v>23</v>
      </c>
    </row>
    <row r="3588" spans="1:4">
      <c r="A3588">
        <v>3587</v>
      </c>
      <c r="C3588">
        <v>23.31</v>
      </c>
      <c r="D3588">
        <v>21.75</v>
      </c>
    </row>
    <row r="3589" spans="1:4">
      <c r="A3589">
        <v>3588</v>
      </c>
      <c r="C3589">
        <v>22.73</v>
      </c>
      <c r="D3589">
        <v>21.21</v>
      </c>
    </row>
    <row r="3590" spans="1:4">
      <c r="A3590">
        <v>3589</v>
      </c>
      <c r="C3590">
        <v>23.16</v>
      </c>
      <c r="D3590">
        <v>22.36</v>
      </c>
    </row>
    <row r="3591" spans="1:4">
      <c r="A3591">
        <v>3590</v>
      </c>
      <c r="C3591">
        <v>23.57</v>
      </c>
      <c r="D3591">
        <v>22.36</v>
      </c>
    </row>
    <row r="3592" spans="1:4">
      <c r="A3592">
        <v>3591</v>
      </c>
      <c r="C3592">
        <v>23.22</v>
      </c>
      <c r="D3592">
        <v>21.63</v>
      </c>
    </row>
    <row r="3593" spans="1:4">
      <c r="A3593">
        <v>3592</v>
      </c>
      <c r="C3593">
        <v>23.59</v>
      </c>
      <c r="D3593">
        <v>22.65</v>
      </c>
    </row>
    <row r="3594" spans="1:4">
      <c r="A3594">
        <v>3593</v>
      </c>
      <c r="C3594">
        <v>24.35</v>
      </c>
      <c r="D3594">
        <v>23.46</v>
      </c>
    </row>
    <row r="3595" spans="1:4">
      <c r="A3595">
        <v>3594</v>
      </c>
      <c r="C3595">
        <v>23.99</v>
      </c>
      <c r="D3595">
        <v>22.72</v>
      </c>
    </row>
    <row r="3596" spans="1:4">
      <c r="A3596">
        <v>3595</v>
      </c>
      <c r="C3596">
        <v>22.09</v>
      </c>
      <c r="D3596">
        <v>20.5</v>
      </c>
    </row>
    <row r="3597" spans="1:4">
      <c r="A3597">
        <v>3596</v>
      </c>
      <c r="C3597">
        <v>21.54</v>
      </c>
      <c r="D3597">
        <v>20.350000000000001</v>
      </c>
    </row>
    <row r="3598" spans="1:4">
      <c r="A3598">
        <v>3597</v>
      </c>
      <c r="C3598">
        <v>20.37</v>
      </c>
      <c r="D3598">
        <v>19.21</v>
      </c>
    </row>
    <row r="3599" spans="1:4">
      <c r="A3599">
        <v>3598</v>
      </c>
      <c r="C3599">
        <v>21.12</v>
      </c>
      <c r="D3599">
        <v>20.149999999999999</v>
      </c>
    </row>
    <row r="3600" spans="1:4">
      <c r="A3600">
        <v>3599</v>
      </c>
      <c r="C3600">
        <v>21.6</v>
      </c>
      <c r="D3600">
        <v>20.47</v>
      </c>
    </row>
    <row r="3601" spans="1:4">
      <c r="A3601">
        <v>3600</v>
      </c>
      <c r="C3601">
        <v>20.95</v>
      </c>
      <c r="D3601">
        <v>19.88</v>
      </c>
    </row>
    <row r="3602" spans="1:4">
      <c r="A3602">
        <v>3601</v>
      </c>
      <c r="C3602">
        <v>20.77</v>
      </c>
      <c r="D3602">
        <v>19.21</v>
      </c>
    </row>
    <row r="3603" spans="1:4">
      <c r="A3603">
        <v>3602</v>
      </c>
      <c r="C3603">
        <v>20.36</v>
      </c>
      <c r="D3603">
        <v>19.28</v>
      </c>
    </row>
    <row r="3604" spans="1:4">
      <c r="A3604">
        <v>3603</v>
      </c>
      <c r="C3604">
        <v>20.25</v>
      </c>
      <c r="D3604">
        <v>19.37</v>
      </c>
    </row>
    <row r="3605" spans="1:4">
      <c r="A3605">
        <v>3604</v>
      </c>
      <c r="C3605">
        <v>20.54</v>
      </c>
      <c r="D3605">
        <v>19.63</v>
      </c>
    </row>
    <row r="3606" spans="1:4">
      <c r="A3606">
        <v>3605</v>
      </c>
      <c r="C3606">
        <v>20.81</v>
      </c>
      <c r="D3606">
        <v>19.690000000000001</v>
      </c>
    </row>
    <row r="3607" spans="1:4">
      <c r="A3607">
        <v>3606</v>
      </c>
      <c r="C3607">
        <v>20.83</v>
      </c>
      <c r="D3607">
        <v>18.87</v>
      </c>
    </row>
    <row r="3608" spans="1:4">
      <c r="A3608">
        <v>3607</v>
      </c>
      <c r="C3608">
        <v>19.11</v>
      </c>
      <c r="D3608">
        <v>17.97</v>
      </c>
    </row>
    <row r="3609" spans="1:4">
      <c r="A3609">
        <v>3608</v>
      </c>
      <c r="C3609">
        <v>19.29</v>
      </c>
      <c r="D3609">
        <v>18.68</v>
      </c>
    </row>
    <row r="3610" spans="1:4">
      <c r="A3610">
        <v>3609</v>
      </c>
      <c r="C3610">
        <v>19.57</v>
      </c>
      <c r="D3610">
        <v>18.11</v>
      </c>
    </row>
    <row r="3611" spans="1:4">
      <c r="A3611">
        <v>3610</v>
      </c>
      <c r="C3611">
        <v>19.98</v>
      </c>
      <c r="D3611">
        <v>18.420000000000002</v>
      </c>
    </row>
    <row r="3612" spans="1:4">
      <c r="A3612">
        <v>3611</v>
      </c>
      <c r="C3612">
        <v>19.920000000000002</v>
      </c>
      <c r="D3612">
        <v>18.62</v>
      </c>
    </row>
    <row r="3613" spans="1:4">
      <c r="A3613">
        <v>3612</v>
      </c>
      <c r="C3613">
        <v>20.010000000000002</v>
      </c>
      <c r="D3613">
        <v>19.3</v>
      </c>
    </row>
    <row r="3614" spans="1:4">
      <c r="A3614">
        <v>3613</v>
      </c>
      <c r="C3614">
        <v>19.48</v>
      </c>
      <c r="D3614">
        <v>16.920000000000002</v>
      </c>
    </row>
    <row r="3615" spans="1:4">
      <c r="A3615">
        <v>3614</v>
      </c>
      <c r="C3615">
        <v>18.63</v>
      </c>
      <c r="D3615">
        <v>17.760000000000002</v>
      </c>
    </row>
    <row r="3616" spans="1:4">
      <c r="A3616">
        <v>3615</v>
      </c>
      <c r="C3616">
        <v>17.98</v>
      </c>
      <c r="D3616">
        <v>16.739999999999998</v>
      </c>
    </row>
    <row r="3617" spans="1:4">
      <c r="A3617">
        <v>3616</v>
      </c>
      <c r="C3617">
        <v>17.84</v>
      </c>
      <c r="D3617">
        <v>16.25</v>
      </c>
    </row>
    <row r="3618" spans="1:4">
      <c r="A3618">
        <v>3617</v>
      </c>
      <c r="C3618">
        <v>17.920000000000002</v>
      </c>
      <c r="D3618">
        <v>16.3</v>
      </c>
    </row>
    <row r="3619" spans="1:4">
      <c r="A3619">
        <v>3618</v>
      </c>
      <c r="C3619">
        <v>17.89</v>
      </c>
      <c r="D3619">
        <v>15.82</v>
      </c>
    </row>
    <row r="3620" spans="1:4">
      <c r="A3620">
        <v>3619</v>
      </c>
      <c r="C3620">
        <v>18.420000000000002</v>
      </c>
      <c r="D3620">
        <v>17.02</v>
      </c>
    </row>
    <row r="3621" spans="1:4">
      <c r="A3621">
        <v>3620</v>
      </c>
      <c r="C3621">
        <v>18.89</v>
      </c>
      <c r="D3621">
        <v>17.010000000000002</v>
      </c>
    </row>
    <row r="3622" spans="1:4">
      <c r="A3622">
        <v>3621</v>
      </c>
      <c r="C3622">
        <v>19.11</v>
      </c>
      <c r="D3622">
        <v>17.82</v>
      </c>
    </row>
    <row r="3623" spans="1:4">
      <c r="A3623">
        <v>3622</v>
      </c>
      <c r="C3623">
        <v>19.8</v>
      </c>
      <c r="D3623">
        <v>18.38</v>
      </c>
    </row>
    <row r="3624" spans="1:4">
      <c r="A3624">
        <v>3623</v>
      </c>
      <c r="C3624">
        <v>20.95</v>
      </c>
      <c r="D3624">
        <v>19.420000000000002</v>
      </c>
    </row>
    <row r="3625" spans="1:4">
      <c r="A3625">
        <v>3624</v>
      </c>
      <c r="C3625">
        <v>20.03</v>
      </c>
      <c r="D3625">
        <v>19.010000000000002</v>
      </c>
    </row>
    <row r="3626" spans="1:4">
      <c r="A3626">
        <v>3625</v>
      </c>
      <c r="C3626">
        <v>19.170000000000002</v>
      </c>
      <c r="D3626">
        <v>17.54</v>
      </c>
    </row>
    <row r="3627" spans="1:4">
      <c r="A3627">
        <v>3626</v>
      </c>
      <c r="C3627">
        <v>18.21</v>
      </c>
      <c r="D3627">
        <v>17.559999999999999</v>
      </c>
    </row>
    <row r="3628" spans="1:4">
      <c r="A3628">
        <v>3627</v>
      </c>
      <c r="C3628">
        <v>20.45</v>
      </c>
      <c r="D3628">
        <v>17.829999999999998</v>
      </c>
    </row>
    <row r="3629" spans="1:4">
      <c r="A3629">
        <v>3628</v>
      </c>
      <c r="C3629">
        <v>21</v>
      </c>
      <c r="D3629">
        <v>18.89</v>
      </c>
    </row>
    <row r="3630" spans="1:4">
      <c r="A3630">
        <v>3629</v>
      </c>
      <c r="C3630">
        <v>21.31</v>
      </c>
      <c r="D3630">
        <v>19.760000000000002</v>
      </c>
    </row>
    <row r="3631" spans="1:4">
      <c r="A3631">
        <v>3630</v>
      </c>
      <c r="C3631">
        <v>20.59</v>
      </c>
      <c r="D3631">
        <v>18.62</v>
      </c>
    </row>
    <row r="3632" spans="1:4">
      <c r="A3632">
        <v>3631</v>
      </c>
      <c r="C3632">
        <v>23.79</v>
      </c>
      <c r="D3632">
        <v>18.63</v>
      </c>
    </row>
    <row r="3633" spans="1:4">
      <c r="A3633">
        <v>3632</v>
      </c>
      <c r="C3633">
        <v>24.47</v>
      </c>
      <c r="D3633">
        <v>20.78</v>
      </c>
    </row>
    <row r="3634" spans="1:4">
      <c r="A3634">
        <v>3633</v>
      </c>
      <c r="C3634">
        <v>24.42</v>
      </c>
      <c r="D3634">
        <v>22.31</v>
      </c>
    </row>
    <row r="3635" spans="1:4">
      <c r="A3635">
        <v>3634</v>
      </c>
      <c r="C3635">
        <v>24.3</v>
      </c>
      <c r="D3635">
        <v>22.86</v>
      </c>
    </row>
    <row r="3636" spans="1:4">
      <c r="A3636">
        <v>3635</v>
      </c>
      <c r="C3636">
        <v>23.98</v>
      </c>
      <c r="D3636">
        <v>21.91</v>
      </c>
    </row>
    <row r="3637" spans="1:4">
      <c r="A3637">
        <v>3636</v>
      </c>
      <c r="C3637">
        <v>23.14</v>
      </c>
      <c r="D3637">
        <v>21.04</v>
      </c>
    </row>
    <row r="3638" spans="1:4">
      <c r="A3638">
        <v>3637</v>
      </c>
      <c r="C3638">
        <v>22.84</v>
      </c>
      <c r="D3638">
        <v>20.73</v>
      </c>
    </row>
    <row r="3639" spans="1:4">
      <c r="A3639">
        <v>3638</v>
      </c>
      <c r="C3639">
        <v>21.42</v>
      </c>
      <c r="D3639">
        <v>20.02</v>
      </c>
    </row>
    <row r="3640" spans="1:4">
      <c r="A3640">
        <v>3639</v>
      </c>
      <c r="C3640">
        <v>22.86</v>
      </c>
      <c r="D3640">
        <v>21.26</v>
      </c>
    </row>
    <row r="3641" spans="1:4">
      <c r="A3641">
        <v>3640</v>
      </c>
      <c r="C3641">
        <v>22.61</v>
      </c>
      <c r="D3641">
        <v>20.91</v>
      </c>
    </row>
    <row r="3642" spans="1:4">
      <c r="A3642">
        <v>3641</v>
      </c>
      <c r="C3642">
        <v>23.7</v>
      </c>
      <c r="D3642">
        <v>21.58</v>
      </c>
    </row>
    <row r="3643" spans="1:4">
      <c r="A3643">
        <v>3642</v>
      </c>
      <c r="C3643">
        <v>23.14</v>
      </c>
      <c r="D3643">
        <v>22.52</v>
      </c>
    </row>
    <row r="3644" spans="1:4">
      <c r="A3644">
        <v>3643</v>
      </c>
      <c r="C3644">
        <v>23.48</v>
      </c>
      <c r="D3644">
        <v>21.68</v>
      </c>
    </row>
    <row r="3645" spans="1:4">
      <c r="A3645">
        <v>3644</v>
      </c>
      <c r="C3645">
        <v>22.42</v>
      </c>
      <c r="D3645">
        <v>20.34</v>
      </c>
    </row>
    <row r="3646" spans="1:4">
      <c r="A3646">
        <v>3645</v>
      </c>
      <c r="C3646">
        <v>23.99</v>
      </c>
      <c r="D3646">
        <v>22.15</v>
      </c>
    </row>
    <row r="3647" spans="1:4">
      <c r="A3647">
        <v>3646</v>
      </c>
      <c r="C3647">
        <v>24.56</v>
      </c>
      <c r="D3647">
        <v>23.3</v>
      </c>
    </row>
    <row r="3648" spans="1:4">
      <c r="A3648">
        <v>3647</v>
      </c>
      <c r="C3648">
        <v>24.26</v>
      </c>
      <c r="D3648">
        <v>23.27</v>
      </c>
    </row>
    <row r="3649" spans="1:4">
      <c r="A3649">
        <v>3648</v>
      </c>
      <c r="C3649">
        <v>25.57</v>
      </c>
      <c r="D3649">
        <v>23.64</v>
      </c>
    </row>
    <row r="3650" spans="1:4">
      <c r="A3650">
        <v>3649</v>
      </c>
      <c r="C3650">
        <v>25.96</v>
      </c>
      <c r="D3650">
        <v>22.7</v>
      </c>
    </row>
    <row r="3651" spans="1:4">
      <c r="A3651">
        <v>3650</v>
      </c>
      <c r="C3651">
        <v>26.08</v>
      </c>
      <c r="D3651">
        <v>24.44</v>
      </c>
    </row>
    <row r="3652" spans="1:4">
      <c r="A3652">
        <v>3651</v>
      </c>
      <c r="C3652">
        <v>26.91</v>
      </c>
      <c r="D3652">
        <v>24.73</v>
      </c>
    </row>
    <row r="3653" spans="1:4">
      <c r="A3653">
        <v>3652</v>
      </c>
      <c r="C3653">
        <v>26.05</v>
      </c>
      <c r="D3653">
        <v>23.02</v>
      </c>
    </row>
    <row r="3654" spans="1:4">
      <c r="A3654">
        <v>3653</v>
      </c>
      <c r="C3654">
        <v>25.39</v>
      </c>
      <c r="D3654">
        <v>22.59</v>
      </c>
    </row>
    <row r="3655" spans="1:4">
      <c r="A3655">
        <v>3654</v>
      </c>
      <c r="C3655">
        <v>26.62</v>
      </c>
      <c r="D3655">
        <v>25.07</v>
      </c>
    </row>
    <row r="3656" spans="1:4">
      <c r="A3656">
        <v>3655</v>
      </c>
      <c r="C3656">
        <v>29.44</v>
      </c>
      <c r="D3656">
        <v>25.56</v>
      </c>
    </row>
    <row r="3657" spans="1:4">
      <c r="A3657">
        <v>3656</v>
      </c>
      <c r="C3657">
        <v>29.3</v>
      </c>
      <c r="D3657">
        <v>26.9</v>
      </c>
    </row>
    <row r="3658" spans="1:4">
      <c r="A3658">
        <v>3657</v>
      </c>
      <c r="C3658">
        <v>30.81</v>
      </c>
      <c r="D3658">
        <v>27.01</v>
      </c>
    </row>
    <row r="3659" spans="1:4">
      <c r="A3659">
        <v>3658</v>
      </c>
      <c r="C3659">
        <v>28.32</v>
      </c>
      <c r="D3659">
        <v>24.87</v>
      </c>
    </row>
    <row r="3660" spans="1:4">
      <c r="A3660">
        <v>3659</v>
      </c>
      <c r="C3660">
        <v>25.5</v>
      </c>
      <c r="D3660">
        <v>23.99</v>
      </c>
    </row>
    <row r="3661" spans="1:4">
      <c r="A3661">
        <v>3660</v>
      </c>
      <c r="C3661">
        <v>25.19</v>
      </c>
      <c r="D3661">
        <v>23.78</v>
      </c>
    </row>
    <row r="3662" spans="1:4">
      <c r="A3662">
        <v>3661</v>
      </c>
      <c r="C3662">
        <v>24.58</v>
      </c>
      <c r="D3662">
        <v>23.04</v>
      </c>
    </row>
    <row r="3663" spans="1:4">
      <c r="A3663">
        <v>3662</v>
      </c>
      <c r="C3663">
        <v>24.08</v>
      </c>
      <c r="D3663">
        <v>21.05</v>
      </c>
    </row>
    <row r="3664" spans="1:4">
      <c r="A3664">
        <v>3663</v>
      </c>
      <c r="C3664">
        <v>22.08</v>
      </c>
      <c r="D3664">
        <v>20.73</v>
      </c>
    </row>
    <row r="3665" spans="1:4">
      <c r="A3665">
        <v>3664</v>
      </c>
      <c r="C3665">
        <v>23.61</v>
      </c>
      <c r="D3665">
        <v>21.31</v>
      </c>
    </row>
    <row r="3666" spans="1:4">
      <c r="A3666">
        <v>3665</v>
      </c>
      <c r="C3666">
        <v>23.45</v>
      </c>
      <c r="D3666">
        <v>22.31</v>
      </c>
    </row>
    <row r="3667" spans="1:4">
      <c r="A3667">
        <v>3666</v>
      </c>
      <c r="C3667">
        <v>24.62</v>
      </c>
      <c r="D3667">
        <v>22.91</v>
      </c>
    </row>
    <row r="3668" spans="1:4">
      <c r="A3668">
        <v>3667</v>
      </c>
      <c r="C3668">
        <v>24.22</v>
      </c>
      <c r="D3668">
        <v>21.96</v>
      </c>
    </row>
    <row r="3669" spans="1:4">
      <c r="A3669">
        <v>3668</v>
      </c>
      <c r="C3669">
        <v>22.31</v>
      </c>
      <c r="D3669">
        <v>20.99</v>
      </c>
    </row>
    <row r="3670" spans="1:4">
      <c r="A3670">
        <v>3669</v>
      </c>
      <c r="C3670">
        <v>22.96</v>
      </c>
      <c r="D3670">
        <v>21.45</v>
      </c>
    </row>
    <row r="3671" spans="1:4">
      <c r="A3671">
        <v>3670</v>
      </c>
      <c r="C3671">
        <v>23.37</v>
      </c>
      <c r="D3671">
        <v>22.35</v>
      </c>
    </row>
    <row r="3672" spans="1:4">
      <c r="A3672">
        <v>3671</v>
      </c>
      <c r="C3672">
        <v>23.86</v>
      </c>
      <c r="D3672">
        <v>22.94</v>
      </c>
    </row>
    <row r="3673" spans="1:4">
      <c r="A3673">
        <v>3672</v>
      </c>
      <c r="C3673">
        <v>22.99</v>
      </c>
      <c r="D3673">
        <v>20.059999999999999</v>
      </c>
    </row>
    <row r="3674" spans="1:4">
      <c r="A3674">
        <v>3673</v>
      </c>
      <c r="C3674">
        <v>21.66</v>
      </c>
      <c r="D3674">
        <v>19.75</v>
      </c>
    </row>
    <row r="3675" spans="1:4">
      <c r="A3675">
        <v>3674</v>
      </c>
      <c r="C3675">
        <v>21.46</v>
      </c>
      <c r="D3675">
        <v>20.23</v>
      </c>
    </row>
    <row r="3676" spans="1:4">
      <c r="A3676">
        <v>3675</v>
      </c>
      <c r="C3676">
        <v>21.69</v>
      </c>
      <c r="D3676">
        <v>20.11</v>
      </c>
    </row>
    <row r="3677" spans="1:4">
      <c r="A3677">
        <v>3676</v>
      </c>
      <c r="C3677">
        <v>20.96</v>
      </c>
      <c r="D3677">
        <v>19.66</v>
      </c>
    </row>
    <row r="3678" spans="1:4">
      <c r="A3678">
        <v>3677</v>
      </c>
      <c r="C3678">
        <v>21.51</v>
      </c>
      <c r="D3678">
        <v>20.38</v>
      </c>
    </row>
    <row r="3679" spans="1:4">
      <c r="A3679">
        <v>3678</v>
      </c>
      <c r="C3679">
        <v>22.11</v>
      </c>
      <c r="D3679">
        <v>20.8</v>
      </c>
    </row>
    <row r="3680" spans="1:4">
      <c r="A3680">
        <v>3679</v>
      </c>
      <c r="C3680">
        <v>22.3</v>
      </c>
      <c r="D3680">
        <v>20.07</v>
      </c>
    </row>
    <row r="3681" spans="1:4">
      <c r="A3681">
        <v>3680</v>
      </c>
      <c r="C3681">
        <v>20.65</v>
      </c>
      <c r="D3681">
        <v>19.57</v>
      </c>
    </row>
    <row r="3682" spans="1:4">
      <c r="A3682">
        <v>3681</v>
      </c>
      <c r="C3682">
        <v>21.44</v>
      </c>
      <c r="D3682">
        <v>19.579999999999998</v>
      </c>
    </row>
    <row r="3683" spans="1:4">
      <c r="A3683">
        <v>3682</v>
      </c>
      <c r="C3683">
        <v>22.14</v>
      </c>
      <c r="D3683">
        <v>21.28</v>
      </c>
    </row>
    <row r="3684" spans="1:4">
      <c r="A3684">
        <v>3683</v>
      </c>
      <c r="C3684">
        <v>21.67</v>
      </c>
      <c r="D3684">
        <v>20.39</v>
      </c>
    </row>
    <row r="3685" spans="1:4">
      <c r="A3685">
        <v>3684</v>
      </c>
      <c r="C3685">
        <v>21.08</v>
      </c>
      <c r="D3685">
        <v>18.940000000000001</v>
      </c>
    </row>
    <row r="3686" spans="1:4">
      <c r="A3686">
        <v>3685</v>
      </c>
      <c r="C3686">
        <v>19.829999999999998</v>
      </c>
      <c r="D3686">
        <v>18.64</v>
      </c>
    </row>
    <row r="3687" spans="1:4">
      <c r="A3687">
        <v>3686</v>
      </c>
      <c r="C3687">
        <v>21.22</v>
      </c>
      <c r="D3687">
        <v>18.78</v>
      </c>
    </row>
    <row r="3688" spans="1:4">
      <c r="A3688">
        <v>3687</v>
      </c>
      <c r="C3688">
        <v>21.27</v>
      </c>
      <c r="D3688">
        <v>20.48</v>
      </c>
    </row>
    <row r="3689" spans="1:4">
      <c r="A3689">
        <v>3688</v>
      </c>
      <c r="C3689">
        <v>20.67</v>
      </c>
      <c r="D3689">
        <v>19.53</v>
      </c>
    </row>
    <row r="3690" spans="1:4">
      <c r="A3690">
        <v>3689</v>
      </c>
      <c r="C3690">
        <v>19.66</v>
      </c>
      <c r="D3690">
        <v>19.22</v>
      </c>
    </row>
    <row r="3691" spans="1:4">
      <c r="A3691">
        <v>3690</v>
      </c>
      <c r="C3691">
        <v>20.71</v>
      </c>
      <c r="D3691">
        <v>19.43</v>
      </c>
    </row>
    <row r="3692" spans="1:4">
      <c r="A3692">
        <v>3691</v>
      </c>
      <c r="C3692">
        <v>22.3</v>
      </c>
      <c r="D3692">
        <v>20.47</v>
      </c>
    </row>
    <row r="3693" spans="1:4">
      <c r="A3693">
        <v>3692</v>
      </c>
      <c r="C3693">
        <v>22.3</v>
      </c>
      <c r="D3693">
        <v>21.39</v>
      </c>
    </row>
    <row r="3694" spans="1:4">
      <c r="A3694">
        <v>3693</v>
      </c>
      <c r="C3694">
        <v>24.15</v>
      </c>
      <c r="D3694">
        <v>21.91</v>
      </c>
    </row>
    <row r="3695" spans="1:4">
      <c r="A3695">
        <v>3694</v>
      </c>
      <c r="C3695">
        <v>24.71</v>
      </c>
      <c r="D3695">
        <v>22.97</v>
      </c>
    </row>
    <row r="3696" spans="1:4">
      <c r="A3696">
        <v>3695</v>
      </c>
      <c r="C3696">
        <v>24.06</v>
      </c>
      <c r="D3696">
        <v>22.12</v>
      </c>
    </row>
    <row r="3697" spans="1:4">
      <c r="A3697">
        <v>3696</v>
      </c>
      <c r="C3697">
        <v>25.68</v>
      </c>
      <c r="D3697">
        <v>22.58</v>
      </c>
    </row>
    <row r="3698" spans="1:4">
      <c r="A3698">
        <v>3697</v>
      </c>
      <c r="C3698">
        <v>25.48</v>
      </c>
      <c r="D3698">
        <v>23.8</v>
      </c>
    </row>
    <row r="3699" spans="1:4">
      <c r="A3699">
        <v>3698</v>
      </c>
      <c r="C3699">
        <v>26.25</v>
      </c>
      <c r="D3699">
        <v>24.39</v>
      </c>
    </row>
    <row r="3700" spans="1:4">
      <c r="A3700">
        <v>3699</v>
      </c>
      <c r="C3700">
        <v>26.67</v>
      </c>
      <c r="D3700">
        <v>24.8</v>
      </c>
    </row>
    <row r="3701" spans="1:4">
      <c r="A3701">
        <v>3700</v>
      </c>
      <c r="C3701">
        <v>31.87</v>
      </c>
      <c r="D3701">
        <v>25.66</v>
      </c>
    </row>
    <row r="3702" spans="1:4">
      <c r="A3702">
        <v>3701</v>
      </c>
      <c r="C3702">
        <v>33.700000000000003</v>
      </c>
      <c r="D3702">
        <v>30.24</v>
      </c>
    </row>
    <row r="3703" spans="1:4">
      <c r="A3703">
        <v>3702</v>
      </c>
      <c r="C3703">
        <v>36.4</v>
      </c>
      <c r="D3703">
        <v>30.25</v>
      </c>
    </row>
    <row r="3704" spans="1:4">
      <c r="A3704">
        <v>3703</v>
      </c>
      <c r="C3704">
        <v>42.16</v>
      </c>
      <c r="D3704">
        <v>33.1</v>
      </c>
    </row>
    <row r="3705" spans="1:4">
      <c r="A3705">
        <v>3704</v>
      </c>
      <c r="C3705">
        <v>33.08</v>
      </c>
      <c r="D3705">
        <v>27.95</v>
      </c>
    </row>
    <row r="3706" spans="1:4">
      <c r="A3706">
        <v>3705</v>
      </c>
      <c r="C3706">
        <v>34.22</v>
      </c>
      <c r="D3706">
        <v>30.81</v>
      </c>
    </row>
    <row r="3707" spans="1:4">
      <c r="A3707">
        <v>3706</v>
      </c>
      <c r="C3707">
        <v>36.08</v>
      </c>
      <c r="D3707">
        <v>32.630000000000003</v>
      </c>
    </row>
    <row r="3708" spans="1:4">
      <c r="A3708">
        <v>3707</v>
      </c>
      <c r="C3708">
        <v>36.71</v>
      </c>
      <c r="D3708">
        <v>34.159999999999997</v>
      </c>
    </row>
    <row r="3709" spans="1:4">
      <c r="A3709">
        <v>3708</v>
      </c>
      <c r="C3709">
        <v>35.19</v>
      </c>
      <c r="D3709">
        <v>32.450000000000003</v>
      </c>
    </row>
    <row r="3710" spans="1:4">
      <c r="A3710">
        <v>3709</v>
      </c>
      <c r="C3710">
        <v>36.4</v>
      </c>
      <c r="D3710">
        <v>32.82</v>
      </c>
    </row>
    <row r="3711" spans="1:4">
      <c r="A3711">
        <v>3710</v>
      </c>
      <c r="C3711">
        <v>48.4</v>
      </c>
      <c r="D3711">
        <v>36.92</v>
      </c>
    </row>
    <row r="3712" spans="1:4">
      <c r="A3712">
        <v>3711</v>
      </c>
      <c r="C3712">
        <v>43.8</v>
      </c>
      <c r="D3712">
        <v>38.86</v>
      </c>
    </row>
    <row r="3713" spans="1:4">
      <c r="A3713">
        <v>3712</v>
      </c>
      <c r="C3713">
        <v>42.38</v>
      </c>
      <c r="D3713">
        <v>39.39</v>
      </c>
    </row>
    <row r="3714" spans="1:4">
      <c r="A3714">
        <v>3713</v>
      </c>
      <c r="C3714">
        <v>46.48</v>
      </c>
      <c r="D3714">
        <v>39.82</v>
      </c>
    </row>
    <row r="3715" spans="1:4">
      <c r="A3715">
        <v>3714</v>
      </c>
      <c r="C3715">
        <v>45.52</v>
      </c>
      <c r="D3715">
        <v>41.51</v>
      </c>
    </row>
    <row r="3716" spans="1:4">
      <c r="A3716">
        <v>3715</v>
      </c>
      <c r="C3716">
        <v>58.24</v>
      </c>
      <c r="D3716">
        <v>45.12</v>
      </c>
    </row>
    <row r="3717" spans="1:4">
      <c r="A3717">
        <v>3716</v>
      </c>
      <c r="C3717">
        <v>54.19</v>
      </c>
      <c r="D3717">
        <v>47.03</v>
      </c>
    </row>
    <row r="3718" spans="1:4">
      <c r="A3718">
        <v>3717</v>
      </c>
      <c r="C3718">
        <v>59.06</v>
      </c>
      <c r="D3718">
        <v>51.9</v>
      </c>
    </row>
    <row r="3719" spans="1:4">
      <c r="A3719">
        <v>3718</v>
      </c>
      <c r="C3719">
        <v>64.92</v>
      </c>
      <c r="D3719">
        <v>52.54</v>
      </c>
    </row>
    <row r="3720" spans="1:4">
      <c r="A3720">
        <v>3719</v>
      </c>
      <c r="C3720">
        <v>76.94</v>
      </c>
      <c r="D3720">
        <v>65.63</v>
      </c>
    </row>
    <row r="3721" spans="1:4">
      <c r="A3721">
        <v>3720</v>
      </c>
      <c r="C3721">
        <v>71.42</v>
      </c>
      <c r="D3721">
        <v>54.69</v>
      </c>
    </row>
    <row r="3722" spans="1:4">
      <c r="A3722">
        <v>3721</v>
      </c>
      <c r="C3722">
        <v>59.81</v>
      </c>
      <c r="D3722">
        <v>46.35</v>
      </c>
    </row>
    <row r="3723" spans="1:4">
      <c r="A3723">
        <v>3722</v>
      </c>
      <c r="C3723">
        <v>69.47</v>
      </c>
      <c r="D3723">
        <v>55.69</v>
      </c>
    </row>
    <row r="3724" spans="1:4">
      <c r="A3724">
        <v>3723</v>
      </c>
      <c r="C3724">
        <v>81.17</v>
      </c>
      <c r="D3724">
        <v>66.510000000000005</v>
      </c>
    </row>
    <row r="3725" spans="1:4">
      <c r="A3725">
        <v>3724</v>
      </c>
      <c r="C3725">
        <v>74.48</v>
      </c>
      <c r="D3725">
        <v>59.82</v>
      </c>
    </row>
    <row r="3726" spans="1:4">
      <c r="A3726">
        <v>3725</v>
      </c>
      <c r="C3726">
        <v>70.400000000000006</v>
      </c>
      <c r="D3726">
        <v>52.7</v>
      </c>
    </row>
    <row r="3727" spans="1:4">
      <c r="A3727">
        <v>3726</v>
      </c>
      <c r="C3727">
        <v>56.37</v>
      </c>
      <c r="D3727">
        <v>50.91</v>
      </c>
    </row>
    <row r="3728" spans="1:4">
      <c r="A3728">
        <v>3727</v>
      </c>
      <c r="C3728">
        <v>72.56</v>
      </c>
      <c r="D3728">
        <v>60.05</v>
      </c>
    </row>
    <row r="3729" spans="1:4">
      <c r="A3729">
        <v>3728</v>
      </c>
      <c r="C3729">
        <v>79.430000000000007</v>
      </c>
      <c r="D3729">
        <v>64.430000000000007</v>
      </c>
    </row>
    <row r="3730" spans="1:4">
      <c r="A3730">
        <v>3729</v>
      </c>
      <c r="C3730">
        <v>89.53</v>
      </c>
      <c r="D3730">
        <v>67.8</v>
      </c>
    </row>
    <row r="3731" spans="1:4">
      <c r="A3731">
        <v>3730</v>
      </c>
      <c r="C3731">
        <v>81.650000000000006</v>
      </c>
      <c r="D3731">
        <v>65.900000000000006</v>
      </c>
    </row>
    <row r="3732" spans="1:4">
      <c r="A3732">
        <v>3731</v>
      </c>
      <c r="C3732">
        <v>78.98</v>
      </c>
      <c r="D3732">
        <v>65.66</v>
      </c>
    </row>
    <row r="3733" spans="1:4">
      <c r="A3733">
        <v>3732</v>
      </c>
      <c r="C3733">
        <v>71.14</v>
      </c>
      <c r="D3733">
        <v>62.72</v>
      </c>
    </row>
    <row r="3734" spans="1:4">
      <c r="A3734">
        <v>3733</v>
      </c>
      <c r="C3734">
        <v>69.83</v>
      </c>
      <c r="D3734">
        <v>62.67</v>
      </c>
    </row>
    <row r="3735" spans="1:4">
      <c r="A3735">
        <v>3734</v>
      </c>
      <c r="C3735">
        <v>65.849999999999994</v>
      </c>
      <c r="D3735">
        <v>56.73</v>
      </c>
    </row>
    <row r="3736" spans="1:4">
      <c r="A3736">
        <v>3735</v>
      </c>
      <c r="C3736">
        <v>60.77</v>
      </c>
      <c r="D3736">
        <v>53.63</v>
      </c>
    </row>
    <row r="3737" spans="1:4">
      <c r="A3737">
        <v>3736</v>
      </c>
      <c r="C3737">
        <v>53.68</v>
      </c>
      <c r="D3737">
        <v>44.25</v>
      </c>
    </row>
    <row r="3738" spans="1:4">
      <c r="A3738">
        <v>3737</v>
      </c>
      <c r="C3738">
        <v>55.62</v>
      </c>
      <c r="D3738">
        <v>46.87</v>
      </c>
    </row>
    <row r="3739" spans="1:4">
      <c r="A3739">
        <v>3738</v>
      </c>
      <c r="C3739">
        <v>64.78</v>
      </c>
      <c r="D3739">
        <v>55.6</v>
      </c>
    </row>
    <row r="3740" spans="1:4">
      <c r="A3740">
        <v>3739</v>
      </c>
      <c r="C3740">
        <v>63.68</v>
      </c>
      <c r="D3740">
        <v>56.03</v>
      </c>
    </row>
    <row r="3741" spans="1:4">
      <c r="A3741">
        <v>3740</v>
      </c>
      <c r="C3741">
        <v>62.09</v>
      </c>
      <c r="D3741">
        <v>54.63</v>
      </c>
    </row>
    <row r="3742" spans="1:4">
      <c r="A3742">
        <v>3741</v>
      </c>
      <c r="C3742">
        <v>64.73</v>
      </c>
      <c r="D3742">
        <v>58.58</v>
      </c>
    </row>
    <row r="3743" spans="1:4">
      <c r="A3743">
        <v>3742</v>
      </c>
      <c r="C3743">
        <v>67.19</v>
      </c>
      <c r="D3743">
        <v>61.52</v>
      </c>
    </row>
    <row r="3744" spans="1:4">
      <c r="A3744">
        <v>3743</v>
      </c>
      <c r="C3744">
        <v>69.989999999999995</v>
      </c>
      <c r="D3744">
        <v>58.66</v>
      </c>
    </row>
    <row r="3745" spans="1:4">
      <c r="A3745">
        <v>3744</v>
      </c>
      <c r="C3745">
        <v>66.31</v>
      </c>
      <c r="D3745">
        <v>59.75</v>
      </c>
    </row>
    <row r="3746" spans="1:4">
      <c r="A3746">
        <v>3745</v>
      </c>
      <c r="C3746">
        <v>69.59</v>
      </c>
      <c r="D3746">
        <v>65.099999999999994</v>
      </c>
    </row>
    <row r="3747" spans="1:4">
      <c r="A3747">
        <v>3746</v>
      </c>
      <c r="C3747">
        <v>73.13</v>
      </c>
      <c r="D3747">
        <v>67.180000000000007</v>
      </c>
    </row>
    <row r="3748" spans="1:4">
      <c r="A3748">
        <v>3747</v>
      </c>
      <c r="C3748">
        <v>75</v>
      </c>
      <c r="D3748">
        <v>67.34</v>
      </c>
    </row>
    <row r="3749" spans="1:4">
      <c r="A3749">
        <v>3748</v>
      </c>
      <c r="C3749">
        <v>81.48</v>
      </c>
      <c r="D3749">
        <v>72.760000000000005</v>
      </c>
    </row>
    <row r="3750" spans="1:4">
      <c r="A3750">
        <v>3749</v>
      </c>
      <c r="C3750">
        <v>80.739999999999995</v>
      </c>
      <c r="D3750">
        <v>71.63</v>
      </c>
    </row>
    <row r="3751" spans="1:4">
      <c r="A3751">
        <v>3750</v>
      </c>
      <c r="C3751">
        <v>71.349999999999994</v>
      </c>
      <c r="D3751">
        <v>61.81</v>
      </c>
    </row>
    <row r="3752" spans="1:4">
      <c r="A3752">
        <v>3751</v>
      </c>
      <c r="C3752">
        <v>65.489999999999995</v>
      </c>
      <c r="D3752">
        <v>60.25</v>
      </c>
    </row>
    <row r="3753" spans="1:4">
      <c r="A3753">
        <v>3752</v>
      </c>
      <c r="C3753">
        <v>62.5</v>
      </c>
      <c r="D3753">
        <v>54.62</v>
      </c>
    </row>
    <row r="3754" spans="1:4">
      <c r="A3754">
        <v>3753</v>
      </c>
      <c r="C3754">
        <v>56.82</v>
      </c>
      <c r="D3754">
        <v>50.5</v>
      </c>
    </row>
    <row r="3755" spans="1:4">
      <c r="A3755">
        <v>3754</v>
      </c>
      <c r="C3755">
        <v>68.599999999999994</v>
      </c>
      <c r="D3755">
        <v>60.36</v>
      </c>
    </row>
    <row r="3756" spans="1:4">
      <c r="A3756">
        <v>3755</v>
      </c>
      <c r="C3756">
        <v>67.010000000000005</v>
      </c>
      <c r="D3756">
        <v>62.31</v>
      </c>
    </row>
    <row r="3757" spans="1:4">
      <c r="A3757">
        <v>3756</v>
      </c>
      <c r="C3757">
        <v>65.37</v>
      </c>
      <c r="D3757">
        <v>60.18</v>
      </c>
    </row>
    <row r="3758" spans="1:4">
      <c r="A3758">
        <v>3757</v>
      </c>
      <c r="C3758">
        <v>65.08</v>
      </c>
      <c r="D3758">
        <v>60.21</v>
      </c>
    </row>
    <row r="3759" spans="1:4">
      <c r="A3759">
        <v>3758</v>
      </c>
      <c r="C3759">
        <v>66.540000000000006</v>
      </c>
      <c r="D3759">
        <v>59.26</v>
      </c>
    </row>
    <row r="3760" spans="1:4">
      <c r="A3760">
        <v>3759</v>
      </c>
      <c r="C3760">
        <v>59.87</v>
      </c>
      <c r="D3760">
        <v>57.35</v>
      </c>
    </row>
    <row r="3761" spans="1:4">
      <c r="A3761">
        <v>3760</v>
      </c>
      <c r="C3761">
        <v>59.57</v>
      </c>
      <c r="D3761">
        <v>56.37</v>
      </c>
    </row>
    <row r="3762" spans="1:4">
      <c r="A3762">
        <v>3761</v>
      </c>
      <c r="C3762">
        <v>58.91</v>
      </c>
      <c r="D3762">
        <v>53.79</v>
      </c>
    </row>
    <row r="3763" spans="1:4">
      <c r="A3763">
        <v>3762</v>
      </c>
      <c r="C3763">
        <v>56.44</v>
      </c>
      <c r="D3763">
        <v>52.94</v>
      </c>
    </row>
    <row r="3764" spans="1:4">
      <c r="A3764">
        <v>3763</v>
      </c>
      <c r="C3764">
        <v>58.84</v>
      </c>
      <c r="D3764">
        <v>54.26</v>
      </c>
    </row>
    <row r="3765" spans="1:4">
      <c r="A3765">
        <v>3764</v>
      </c>
      <c r="C3765">
        <v>58.49</v>
      </c>
      <c r="D3765">
        <v>55.68</v>
      </c>
    </row>
    <row r="3766" spans="1:4">
      <c r="A3766">
        <v>3765</v>
      </c>
      <c r="C3766">
        <v>56.76</v>
      </c>
      <c r="D3766">
        <v>50.91</v>
      </c>
    </row>
    <row r="3767" spans="1:4">
      <c r="A3767">
        <v>3766</v>
      </c>
      <c r="C3767">
        <v>52.19</v>
      </c>
      <c r="D3767">
        <v>49.36</v>
      </c>
    </row>
    <row r="3768" spans="1:4">
      <c r="A3768">
        <v>3767</v>
      </c>
      <c r="C3768">
        <v>49.84</v>
      </c>
      <c r="D3768">
        <v>44.5</v>
      </c>
    </row>
    <row r="3769" spans="1:4">
      <c r="A3769">
        <v>3768</v>
      </c>
      <c r="C3769">
        <v>46.01</v>
      </c>
      <c r="D3769">
        <v>41.29</v>
      </c>
    </row>
    <row r="3770" spans="1:4">
      <c r="A3770">
        <v>3769</v>
      </c>
      <c r="C3770">
        <v>46.69</v>
      </c>
      <c r="D3770">
        <v>42.75</v>
      </c>
    </row>
    <row r="3771" spans="1:4">
      <c r="A3771">
        <v>3770</v>
      </c>
      <c r="C3771">
        <v>45.39</v>
      </c>
      <c r="D3771">
        <v>41.68</v>
      </c>
    </row>
    <row r="3772" spans="1:4">
      <c r="A3772">
        <v>3771</v>
      </c>
      <c r="C3772">
        <v>45.02</v>
      </c>
      <c r="D3772">
        <v>44.15</v>
      </c>
    </row>
    <row r="3773" spans="1:4">
      <c r="A3773">
        <v>3772</v>
      </c>
      <c r="C3773">
        <v>44.36</v>
      </c>
      <c r="D3773">
        <v>42.92</v>
      </c>
    </row>
    <row r="3774" spans="1:4">
      <c r="A3774">
        <v>3773</v>
      </c>
      <c r="C3774">
        <v>46.24</v>
      </c>
      <c r="D3774">
        <v>42.16</v>
      </c>
    </row>
    <row r="3775" spans="1:4">
      <c r="A3775">
        <v>3774</v>
      </c>
      <c r="C3775">
        <v>44.29</v>
      </c>
      <c r="D3775">
        <v>41.63</v>
      </c>
    </row>
    <row r="3776" spans="1:4">
      <c r="A3776">
        <v>3775</v>
      </c>
      <c r="C3776">
        <v>41.63</v>
      </c>
      <c r="D3776">
        <v>37.96</v>
      </c>
    </row>
    <row r="3777" spans="1:4">
      <c r="A3777">
        <v>3776</v>
      </c>
      <c r="C3777">
        <v>39.82</v>
      </c>
      <c r="D3777">
        <v>36.880000000000003</v>
      </c>
    </row>
    <row r="3778" spans="1:4">
      <c r="A3778">
        <v>3777</v>
      </c>
      <c r="C3778">
        <v>40.22</v>
      </c>
      <c r="D3778">
        <v>38.299999999999997</v>
      </c>
    </row>
    <row r="3779" spans="1:4">
      <c r="A3779">
        <v>3778</v>
      </c>
      <c r="C3779">
        <v>39.33</v>
      </c>
      <c r="D3779">
        <v>37.340000000000003</v>
      </c>
    </row>
    <row r="3780" spans="1:4">
      <c r="A3780">
        <v>3779</v>
      </c>
      <c r="C3780">
        <v>43.82</v>
      </c>
      <c r="D3780">
        <v>40.119999999999997</v>
      </c>
    </row>
    <row r="3781" spans="1:4">
      <c r="A3781">
        <v>3780</v>
      </c>
      <c r="C3781">
        <v>44.6</v>
      </c>
      <c r="D3781">
        <v>42.56</v>
      </c>
    </row>
    <row r="3782" spans="1:4">
      <c r="A3782">
        <v>3781</v>
      </c>
      <c r="C3782">
        <v>43.13</v>
      </c>
      <c r="D3782">
        <v>41.05</v>
      </c>
    </row>
    <row r="3783" spans="1:4">
      <c r="A3783">
        <v>3782</v>
      </c>
      <c r="C3783">
        <v>46.62</v>
      </c>
      <c r="D3783">
        <v>41.94</v>
      </c>
    </row>
    <row r="3784" spans="1:4">
      <c r="A3784">
        <v>3783</v>
      </c>
      <c r="C3784">
        <v>47.08</v>
      </c>
      <c r="D3784">
        <v>43.23</v>
      </c>
    </row>
    <row r="3785" spans="1:4">
      <c r="A3785">
        <v>3784</v>
      </c>
      <c r="C3785">
        <v>51.55</v>
      </c>
      <c r="D3785">
        <v>46.14</v>
      </c>
    </row>
    <row r="3786" spans="1:4">
      <c r="A3786">
        <v>3785</v>
      </c>
      <c r="C3786">
        <v>55.16</v>
      </c>
      <c r="D3786">
        <v>49.14</v>
      </c>
    </row>
    <row r="3787" spans="1:4">
      <c r="A3787">
        <v>3786</v>
      </c>
      <c r="C3787">
        <v>51</v>
      </c>
      <c r="D3787">
        <v>45.96</v>
      </c>
    </row>
    <row r="3788" spans="1:4">
      <c r="A3788">
        <v>3787</v>
      </c>
      <c r="C3788">
        <v>57.36</v>
      </c>
      <c r="D3788">
        <v>49.27</v>
      </c>
    </row>
    <row r="3789" spans="1:4">
      <c r="A3789">
        <v>3788</v>
      </c>
      <c r="C3789">
        <v>54.12</v>
      </c>
      <c r="D3789">
        <v>46.15</v>
      </c>
    </row>
    <row r="3790" spans="1:4">
      <c r="A3790">
        <v>3789</v>
      </c>
      <c r="C3790">
        <v>51.76</v>
      </c>
      <c r="D3790">
        <v>46.51</v>
      </c>
    </row>
    <row r="3791" spans="1:4">
      <c r="A3791">
        <v>3790</v>
      </c>
      <c r="C3791">
        <v>51.11</v>
      </c>
      <c r="D3791">
        <v>46.43</v>
      </c>
    </row>
    <row r="3792" spans="1:4">
      <c r="A3792">
        <v>3791</v>
      </c>
      <c r="C3792">
        <v>47.93</v>
      </c>
      <c r="D3792">
        <v>44.29</v>
      </c>
    </row>
    <row r="3793" spans="1:4">
      <c r="A3793">
        <v>3792</v>
      </c>
      <c r="C3793">
        <v>45.93</v>
      </c>
      <c r="D3793">
        <v>42.2</v>
      </c>
    </row>
    <row r="3794" spans="1:4">
      <c r="A3794">
        <v>3793</v>
      </c>
      <c r="C3794">
        <v>42.25</v>
      </c>
      <c r="D3794">
        <v>38.090000000000003</v>
      </c>
    </row>
    <row r="3795" spans="1:4">
      <c r="A3795">
        <v>3794</v>
      </c>
      <c r="C3795">
        <v>43.03</v>
      </c>
      <c r="D3795">
        <v>41.12</v>
      </c>
    </row>
    <row r="3796" spans="1:4">
      <c r="A3796">
        <v>3795</v>
      </c>
      <c r="C3796">
        <v>45.53</v>
      </c>
      <c r="D3796">
        <v>42.09</v>
      </c>
    </row>
    <row r="3797" spans="1:4">
      <c r="A3797">
        <v>3796</v>
      </c>
      <c r="C3797">
        <v>49.54</v>
      </c>
      <c r="D3797">
        <v>45.26</v>
      </c>
    </row>
    <row r="3798" spans="1:4">
      <c r="A3798">
        <v>3797</v>
      </c>
      <c r="C3798">
        <v>45.52</v>
      </c>
      <c r="D3798">
        <v>42.43</v>
      </c>
    </row>
    <row r="3799" spans="1:4">
      <c r="A3799">
        <v>3798</v>
      </c>
      <c r="C3799">
        <v>44.52</v>
      </c>
      <c r="D3799">
        <v>41.39</v>
      </c>
    </row>
    <row r="3800" spans="1:4">
      <c r="A3800">
        <v>3799</v>
      </c>
      <c r="C3800">
        <v>46.23</v>
      </c>
      <c r="D3800">
        <v>42.32</v>
      </c>
    </row>
    <row r="3801" spans="1:4">
      <c r="A3801">
        <v>3800</v>
      </c>
      <c r="C3801">
        <v>43.71</v>
      </c>
      <c r="D3801">
        <v>41.2</v>
      </c>
    </row>
    <row r="3802" spans="1:4">
      <c r="A3802">
        <v>3801</v>
      </c>
      <c r="C3802">
        <v>45.45</v>
      </c>
      <c r="D3802">
        <v>43.04</v>
      </c>
    </row>
    <row r="3803" spans="1:4">
      <c r="A3803">
        <v>3802</v>
      </c>
      <c r="C3803">
        <v>48.12</v>
      </c>
      <c r="D3803">
        <v>44.18</v>
      </c>
    </row>
    <row r="3804" spans="1:4">
      <c r="A3804">
        <v>3803</v>
      </c>
      <c r="C3804">
        <v>46.67</v>
      </c>
      <c r="D3804">
        <v>44.5</v>
      </c>
    </row>
    <row r="3805" spans="1:4">
      <c r="A3805">
        <v>3804</v>
      </c>
      <c r="C3805">
        <v>47.58</v>
      </c>
      <c r="D3805">
        <v>41.21</v>
      </c>
    </row>
    <row r="3806" spans="1:4">
      <c r="A3806">
        <v>3805</v>
      </c>
      <c r="C3806">
        <v>43.02</v>
      </c>
      <c r="D3806">
        <v>40.729999999999997</v>
      </c>
    </row>
    <row r="3807" spans="1:4">
      <c r="A3807">
        <v>3806</v>
      </c>
      <c r="C3807">
        <v>51.18</v>
      </c>
      <c r="D3807">
        <v>46.96</v>
      </c>
    </row>
    <row r="3808" spans="1:4">
      <c r="A3808">
        <v>3807</v>
      </c>
      <c r="C3808">
        <v>50.29</v>
      </c>
      <c r="D3808">
        <v>46</v>
      </c>
    </row>
    <row r="3809" spans="1:4">
      <c r="A3809">
        <v>3808</v>
      </c>
      <c r="C3809">
        <v>48.54</v>
      </c>
      <c r="D3809">
        <v>44.81</v>
      </c>
    </row>
    <row r="3810" spans="1:4">
      <c r="A3810">
        <v>3809</v>
      </c>
      <c r="C3810">
        <v>52.04</v>
      </c>
      <c r="D3810">
        <v>47.08</v>
      </c>
    </row>
    <row r="3811" spans="1:4">
      <c r="A3811">
        <v>3810</v>
      </c>
      <c r="C3811">
        <v>53.16</v>
      </c>
      <c r="D3811">
        <v>48.97</v>
      </c>
    </row>
    <row r="3812" spans="1:4">
      <c r="A3812">
        <v>3811</v>
      </c>
      <c r="C3812">
        <v>52.56</v>
      </c>
      <c r="D3812">
        <v>44.28</v>
      </c>
    </row>
    <row r="3813" spans="1:4">
      <c r="A3813">
        <v>3812</v>
      </c>
      <c r="C3813">
        <v>47.23</v>
      </c>
      <c r="D3813">
        <v>42.84</v>
      </c>
    </row>
    <row r="3814" spans="1:4">
      <c r="A3814">
        <v>3813</v>
      </c>
      <c r="C3814">
        <v>45.33</v>
      </c>
      <c r="D3814">
        <v>41.91</v>
      </c>
    </row>
    <row r="3815" spans="1:4">
      <c r="A3815">
        <v>3814</v>
      </c>
      <c r="C3815">
        <v>47.34</v>
      </c>
      <c r="D3815">
        <v>44.46</v>
      </c>
    </row>
    <row r="3816" spans="1:4">
      <c r="A3816">
        <v>3815</v>
      </c>
      <c r="C3816">
        <v>53.25</v>
      </c>
      <c r="D3816">
        <v>48.35</v>
      </c>
    </row>
    <row r="3817" spans="1:4">
      <c r="A3817">
        <v>3816</v>
      </c>
      <c r="C3817">
        <v>52.76</v>
      </c>
      <c r="D3817">
        <v>48.5</v>
      </c>
    </row>
    <row r="3818" spans="1:4">
      <c r="A3818">
        <v>3817</v>
      </c>
      <c r="C3818">
        <v>48.83</v>
      </c>
      <c r="D3818">
        <v>45.02</v>
      </c>
    </row>
    <row r="3819" spans="1:4">
      <c r="A3819">
        <v>3818</v>
      </c>
      <c r="C3819">
        <v>51.95</v>
      </c>
      <c r="D3819">
        <v>46.98</v>
      </c>
    </row>
    <row r="3820" spans="1:4">
      <c r="A3820">
        <v>3819</v>
      </c>
      <c r="C3820">
        <v>51.95</v>
      </c>
      <c r="D3820">
        <v>47.65</v>
      </c>
    </row>
    <row r="3821" spans="1:4">
      <c r="A3821">
        <v>3820</v>
      </c>
      <c r="C3821">
        <v>51.34</v>
      </c>
      <c r="D3821">
        <v>48.4</v>
      </c>
    </row>
    <row r="3822" spans="1:4">
      <c r="A3822">
        <v>3821</v>
      </c>
      <c r="C3822">
        <v>49.68</v>
      </c>
      <c r="D3822">
        <v>43.88</v>
      </c>
    </row>
    <row r="3823" spans="1:4">
      <c r="A3823">
        <v>3822</v>
      </c>
      <c r="C3823">
        <v>44.26</v>
      </c>
      <c r="D3823">
        <v>42.36</v>
      </c>
    </row>
    <row r="3824" spans="1:4">
      <c r="A3824">
        <v>3823</v>
      </c>
      <c r="C3824">
        <v>43.98</v>
      </c>
      <c r="D3824">
        <v>40.75</v>
      </c>
    </row>
    <row r="3825" spans="1:4">
      <c r="A3825">
        <v>3824</v>
      </c>
      <c r="C3825">
        <v>43.52</v>
      </c>
      <c r="D3825">
        <v>40.03</v>
      </c>
    </row>
    <row r="3826" spans="1:4">
      <c r="A3826">
        <v>3825</v>
      </c>
      <c r="C3826">
        <v>44.23</v>
      </c>
      <c r="D3826">
        <v>42.36</v>
      </c>
    </row>
    <row r="3827" spans="1:4">
      <c r="A3827">
        <v>3826</v>
      </c>
      <c r="C3827">
        <v>44.59</v>
      </c>
      <c r="D3827">
        <v>40.74</v>
      </c>
    </row>
    <row r="3828" spans="1:4">
      <c r="A3828">
        <v>3827</v>
      </c>
      <c r="C3828">
        <v>42.39</v>
      </c>
      <c r="D3828">
        <v>38.979999999999997</v>
      </c>
    </row>
    <row r="3829" spans="1:4">
      <c r="A3829">
        <v>3828</v>
      </c>
      <c r="C3829">
        <v>44.17</v>
      </c>
      <c r="D3829">
        <v>38.79</v>
      </c>
    </row>
    <row r="3830" spans="1:4">
      <c r="A3830">
        <v>3829</v>
      </c>
      <c r="C3830">
        <v>47.63</v>
      </c>
      <c r="D3830">
        <v>43.07</v>
      </c>
    </row>
    <row r="3831" spans="1:4">
      <c r="A3831">
        <v>3830</v>
      </c>
      <c r="C3831">
        <v>45.89</v>
      </c>
      <c r="D3831">
        <v>41.27</v>
      </c>
    </row>
    <row r="3832" spans="1:4">
      <c r="A3832">
        <v>3831</v>
      </c>
      <c r="C3832">
        <v>44</v>
      </c>
      <c r="D3832">
        <v>41.63</v>
      </c>
    </row>
    <row r="3833" spans="1:4">
      <c r="A3833">
        <v>3832</v>
      </c>
      <c r="C3833">
        <v>44.2</v>
      </c>
      <c r="D3833">
        <v>40.81</v>
      </c>
    </row>
    <row r="3834" spans="1:4">
      <c r="A3834">
        <v>3833</v>
      </c>
      <c r="C3834">
        <v>42.25</v>
      </c>
      <c r="D3834">
        <v>40.17</v>
      </c>
    </row>
    <row r="3835" spans="1:4">
      <c r="A3835">
        <v>3834</v>
      </c>
      <c r="C3835">
        <v>42.13</v>
      </c>
      <c r="D3835">
        <v>40.36</v>
      </c>
    </row>
    <row r="3836" spans="1:4">
      <c r="A3836">
        <v>3835</v>
      </c>
      <c r="C3836">
        <v>46.28</v>
      </c>
      <c r="D3836">
        <v>44.86</v>
      </c>
    </row>
    <row r="3837" spans="1:4">
      <c r="A3837">
        <v>3836</v>
      </c>
      <c r="C3837">
        <v>45.54</v>
      </c>
      <c r="D3837">
        <v>42.27</v>
      </c>
    </row>
    <row r="3838" spans="1:4">
      <c r="A3838">
        <v>3837</v>
      </c>
      <c r="C3838">
        <v>45.6</v>
      </c>
      <c r="D3838">
        <v>42.26</v>
      </c>
    </row>
    <row r="3839" spans="1:4">
      <c r="A3839">
        <v>3838</v>
      </c>
      <c r="C3839">
        <v>42.68</v>
      </c>
      <c r="D3839">
        <v>40.299999999999997</v>
      </c>
    </row>
    <row r="3840" spans="1:4">
      <c r="A3840">
        <v>3839</v>
      </c>
      <c r="C3840">
        <v>42.03</v>
      </c>
      <c r="D3840">
        <v>39.64</v>
      </c>
    </row>
    <row r="3841" spans="1:4">
      <c r="A3841">
        <v>3840</v>
      </c>
      <c r="C3841">
        <v>43.02</v>
      </c>
      <c r="D3841">
        <v>40.83</v>
      </c>
    </row>
    <row r="3842" spans="1:4">
      <c r="A3842">
        <v>3841</v>
      </c>
      <c r="C3842">
        <v>42.5</v>
      </c>
      <c r="D3842">
        <v>40.36</v>
      </c>
    </row>
    <row r="3843" spans="1:4">
      <c r="A3843">
        <v>3842</v>
      </c>
      <c r="C3843">
        <v>40.86</v>
      </c>
      <c r="D3843">
        <v>38.700000000000003</v>
      </c>
    </row>
    <row r="3844" spans="1:4">
      <c r="A3844">
        <v>3843</v>
      </c>
      <c r="C3844">
        <v>37.74</v>
      </c>
      <c r="D3844">
        <v>36.53</v>
      </c>
    </row>
    <row r="3845" spans="1:4">
      <c r="A3845">
        <v>3844</v>
      </c>
      <c r="C3845">
        <v>38.909999999999997</v>
      </c>
      <c r="D3845">
        <v>37.51</v>
      </c>
    </row>
    <row r="3846" spans="1:4">
      <c r="A3846">
        <v>3845</v>
      </c>
      <c r="C3846">
        <v>38.5</v>
      </c>
      <c r="D3846">
        <v>36.880000000000003</v>
      </c>
    </row>
    <row r="3847" spans="1:4">
      <c r="A3847">
        <v>3846</v>
      </c>
      <c r="C3847">
        <v>38.06</v>
      </c>
      <c r="D3847">
        <v>36.1</v>
      </c>
    </row>
    <row r="3848" spans="1:4">
      <c r="A3848">
        <v>3847</v>
      </c>
      <c r="C3848">
        <v>36.799999999999997</v>
      </c>
      <c r="D3848">
        <v>34.880000000000003</v>
      </c>
    </row>
    <row r="3849" spans="1:4">
      <c r="A3849">
        <v>3848</v>
      </c>
      <c r="C3849">
        <v>35.520000000000003</v>
      </c>
      <c r="D3849">
        <v>33.68</v>
      </c>
    </row>
    <row r="3850" spans="1:4">
      <c r="A3850">
        <v>3849</v>
      </c>
      <c r="C3850">
        <v>39.58</v>
      </c>
      <c r="D3850">
        <v>33.94</v>
      </c>
    </row>
    <row r="3851" spans="1:4">
      <c r="A3851">
        <v>3850</v>
      </c>
      <c r="C3851">
        <v>40.29</v>
      </c>
      <c r="D3851">
        <v>36.950000000000003</v>
      </c>
    </row>
    <row r="3852" spans="1:4">
      <c r="A3852">
        <v>3851</v>
      </c>
      <c r="C3852">
        <v>38.19</v>
      </c>
      <c r="D3852">
        <v>36.01</v>
      </c>
    </row>
    <row r="3853" spans="1:4">
      <c r="A3853">
        <v>3852</v>
      </c>
      <c r="C3853">
        <v>38.520000000000003</v>
      </c>
      <c r="D3853">
        <v>37.01</v>
      </c>
    </row>
    <row r="3854" spans="1:4">
      <c r="A3854">
        <v>3853</v>
      </c>
      <c r="C3854">
        <v>37.53</v>
      </c>
      <c r="D3854">
        <v>36.369999999999997</v>
      </c>
    </row>
    <row r="3855" spans="1:4">
      <c r="A3855">
        <v>3854</v>
      </c>
      <c r="C3855">
        <v>39.520000000000003</v>
      </c>
      <c r="D3855">
        <v>37.97</v>
      </c>
    </row>
    <row r="3856" spans="1:4">
      <c r="A3856">
        <v>3855</v>
      </c>
      <c r="C3856">
        <v>39.64</v>
      </c>
      <c r="D3856">
        <v>37.42</v>
      </c>
    </row>
    <row r="3857" spans="1:4">
      <c r="A3857">
        <v>3856</v>
      </c>
      <c r="C3857">
        <v>37.950000000000003</v>
      </c>
      <c r="D3857">
        <v>35.369999999999997</v>
      </c>
    </row>
    <row r="3858" spans="1:4">
      <c r="A3858">
        <v>3857</v>
      </c>
      <c r="C3858">
        <v>36.71</v>
      </c>
      <c r="D3858">
        <v>34.5</v>
      </c>
    </row>
    <row r="3859" spans="1:4">
      <c r="A3859">
        <v>3858</v>
      </c>
      <c r="C3859">
        <v>36.880000000000003</v>
      </c>
      <c r="D3859">
        <v>34.880000000000003</v>
      </c>
    </row>
    <row r="3860" spans="1:4">
      <c r="A3860">
        <v>3859</v>
      </c>
      <c r="C3860">
        <v>36.24</v>
      </c>
      <c r="D3860">
        <v>34.31</v>
      </c>
    </row>
    <row r="3861" spans="1:4">
      <c r="A3861">
        <v>3860</v>
      </c>
      <c r="C3861">
        <v>35.14</v>
      </c>
      <c r="D3861">
        <v>33.36</v>
      </c>
    </row>
    <row r="3862" spans="1:4">
      <c r="A3862">
        <v>3861</v>
      </c>
      <c r="C3862">
        <v>33.700000000000003</v>
      </c>
      <c r="D3862">
        <v>32.43</v>
      </c>
    </row>
    <row r="3863" spans="1:4">
      <c r="A3863">
        <v>3862</v>
      </c>
      <c r="C3863">
        <v>34.56</v>
      </c>
      <c r="D3863">
        <v>31.91</v>
      </c>
    </row>
    <row r="3864" spans="1:4">
      <c r="A3864">
        <v>3863</v>
      </c>
      <c r="C3864">
        <v>32.72</v>
      </c>
      <c r="D3864">
        <v>31.19</v>
      </c>
    </row>
    <row r="3865" spans="1:4">
      <c r="A3865">
        <v>3864</v>
      </c>
      <c r="C3865">
        <v>34.08</v>
      </c>
      <c r="D3865">
        <v>32.049999999999997</v>
      </c>
    </row>
    <row r="3866" spans="1:4">
      <c r="A3866">
        <v>3865</v>
      </c>
      <c r="C3866">
        <v>33.29</v>
      </c>
      <c r="D3866">
        <v>31.57</v>
      </c>
    </row>
    <row r="3867" spans="1:4">
      <c r="A3867">
        <v>3866</v>
      </c>
      <c r="C3867">
        <v>33.99</v>
      </c>
      <c r="D3867">
        <v>32.56</v>
      </c>
    </row>
    <row r="3868" spans="1:4">
      <c r="A3868">
        <v>3867</v>
      </c>
      <c r="C3868">
        <v>33.96</v>
      </c>
      <c r="D3868">
        <v>31.32</v>
      </c>
    </row>
    <row r="3869" spans="1:4">
      <c r="A3869">
        <v>3868</v>
      </c>
      <c r="C3869">
        <v>33.61</v>
      </c>
      <c r="D3869">
        <v>30.59</v>
      </c>
    </row>
    <row r="3870" spans="1:4">
      <c r="A3870">
        <v>3869</v>
      </c>
      <c r="C3870">
        <v>32.909999999999997</v>
      </c>
      <c r="D3870">
        <v>30</v>
      </c>
    </row>
    <row r="3871" spans="1:4">
      <c r="A3871">
        <v>3870</v>
      </c>
      <c r="C3871">
        <v>30.32</v>
      </c>
      <c r="D3871">
        <v>28.35</v>
      </c>
    </row>
    <row r="3872" spans="1:4">
      <c r="A3872">
        <v>3871</v>
      </c>
      <c r="C3872">
        <v>29.16</v>
      </c>
      <c r="D3872">
        <v>26.57</v>
      </c>
    </row>
    <row r="3873" spans="1:4">
      <c r="A3873">
        <v>3872</v>
      </c>
      <c r="C3873">
        <v>32.770000000000003</v>
      </c>
      <c r="D3873">
        <v>29.03</v>
      </c>
    </row>
    <row r="3874" spans="1:4">
      <c r="A3874">
        <v>3873</v>
      </c>
      <c r="C3874">
        <v>32.71</v>
      </c>
      <c r="D3874">
        <v>30.57</v>
      </c>
    </row>
    <row r="3875" spans="1:4">
      <c r="A3875">
        <v>3874</v>
      </c>
      <c r="C3875">
        <v>34.57</v>
      </c>
      <c r="D3875">
        <v>30.38</v>
      </c>
    </row>
    <row r="3876" spans="1:4">
      <c r="A3876">
        <v>3875</v>
      </c>
      <c r="C3876">
        <v>32.53</v>
      </c>
      <c r="D3876">
        <v>29.62</v>
      </c>
    </row>
    <row r="3877" spans="1:4">
      <c r="A3877">
        <v>3876</v>
      </c>
      <c r="C3877">
        <v>33.32</v>
      </c>
      <c r="D3877">
        <v>31.1</v>
      </c>
    </row>
    <row r="3878" spans="1:4">
      <c r="A3878">
        <v>3877</v>
      </c>
      <c r="C3878">
        <v>31.67</v>
      </c>
      <c r="D3878">
        <v>28.85</v>
      </c>
    </row>
    <row r="3879" spans="1:4">
      <c r="A3879">
        <v>3878</v>
      </c>
      <c r="C3879">
        <v>30.05</v>
      </c>
      <c r="D3879">
        <v>28.45</v>
      </c>
    </row>
    <row r="3880" spans="1:4">
      <c r="A3880">
        <v>3879</v>
      </c>
      <c r="C3880">
        <v>30.13</v>
      </c>
      <c r="D3880">
        <v>28.3</v>
      </c>
    </row>
    <row r="3881" spans="1:4">
      <c r="A3881">
        <v>3880</v>
      </c>
      <c r="C3881">
        <v>31.79</v>
      </c>
      <c r="D3881">
        <v>29.62</v>
      </c>
    </row>
    <row r="3882" spans="1:4">
      <c r="A3882">
        <v>3881</v>
      </c>
      <c r="C3882">
        <v>31.02</v>
      </c>
      <c r="D3882">
        <v>29.92</v>
      </c>
    </row>
    <row r="3883" spans="1:4">
      <c r="A3883">
        <v>3882</v>
      </c>
      <c r="C3883">
        <v>30.81</v>
      </c>
      <c r="D3883">
        <v>28.85</v>
      </c>
    </row>
    <row r="3884" spans="1:4">
      <c r="A3884">
        <v>3883</v>
      </c>
      <c r="C3884">
        <v>31.82</v>
      </c>
      <c r="D3884">
        <v>29.33</v>
      </c>
    </row>
    <row r="3885" spans="1:4">
      <c r="A3885">
        <v>3884</v>
      </c>
      <c r="C3885">
        <v>29.77</v>
      </c>
      <c r="D3885">
        <v>27.79</v>
      </c>
    </row>
    <row r="3886" spans="1:4">
      <c r="A3886">
        <v>3885</v>
      </c>
      <c r="C3886">
        <v>29.74</v>
      </c>
      <c r="D3886">
        <v>26.9</v>
      </c>
    </row>
    <row r="3887" spans="1:4">
      <c r="A3887">
        <v>3886</v>
      </c>
      <c r="C3887">
        <v>28.11</v>
      </c>
      <c r="D3887">
        <v>26.81</v>
      </c>
    </row>
    <row r="3888" spans="1:4">
      <c r="A3888">
        <v>3887</v>
      </c>
      <c r="C3888">
        <v>28.5</v>
      </c>
      <c r="D3888">
        <v>27.73</v>
      </c>
    </row>
    <row r="3889" spans="1:4">
      <c r="A3889">
        <v>3888</v>
      </c>
      <c r="C3889">
        <v>31.09</v>
      </c>
      <c r="D3889">
        <v>29.64</v>
      </c>
    </row>
    <row r="3890" spans="1:4">
      <c r="A3890">
        <v>3889</v>
      </c>
      <c r="C3890">
        <v>32.75</v>
      </c>
      <c r="D3890">
        <v>30.07</v>
      </c>
    </row>
    <row r="3891" spans="1:4">
      <c r="A3891">
        <v>3890</v>
      </c>
      <c r="C3891">
        <v>32.770000000000003</v>
      </c>
      <c r="D3891">
        <v>30.64</v>
      </c>
    </row>
    <row r="3892" spans="1:4">
      <c r="A3892">
        <v>3891</v>
      </c>
      <c r="C3892">
        <v>31.54</v>
      </c>
      <c r="D3892">
        <v>29.6</v>
      </c>
    </row>
    <row r="3893" spans="1:4">
      <c r="A3893">
        <v>3892</v>
      </c>
      <c r="C3893">
        <v>29.32</v>
      </c>
      <c r="D3893">
        <v>27.56</v>
      </c>
    </row>
    <row r="3894" spans="1:4">
      <c r="A3894">
        <v>3893</v>
      </c>
      <c r="C3894">
        <v>32.049999999999997</v>
      </c>
      <c r="D3894">
        <v>30.3</v>
      </c>
    </row>
    <row r="3895" spans="1:4">
      <c r="A3895">
        <v>3894</v>
      </c>
      <c r="C3895">
        <v>31.54</v>
      </c>
      <c r="D3895">
        <v>30.19</v>
      </c>
    </row>
    <row r="3896" spans="1:4">
      <c r="A3896">
        <v>3895</v>
      </c>
      <c r="C3896">
        <v>30.58</v>
      </c>
      <c r="D3896">
        <v>28.79</v>
      </c>
    </row>
    <row r="3897" spans="1:4">
      <c r="A3897">
        <v>3896</v>
      </c>
      <c r="C3897">
        <v>29.56</v>
      </c>
      <c r="D3897">
        <v>26.3</v>
      </c>
    </row>
    <row r="3898" spans="1:4">
      <c r="A3898">
        <v>3897</v>
      </c>
      <c r="C3898">
        <v>27.22</v>
      </c>
      <c r="D3898">
        <v>25.76</v>
      </c>
    </row>
    <row r="3899" spans="1:4">
      <c r="A3899">
        <v>3898</v>
      </c>
      <c r="C3899">
        <v>27.18</v>
      </c>
      <c r="D3899">
        <v>25.29</v>
      </c>
    </row>
    <row r="3900" spans="1:4">
      <c r="A3900">
        <v>3899</v>
      </c>
      <c r="C3900">
        <v>27.38</v>
      </c>
      <c r="D3900">
        <v>25.02</v>
      </c>
    </row>
    <row r="3901" spans="1:4">
      <c r="A3901">
        <v>3900</v>
      </c>
      <c r="C3901">
        <v>26.31</v>
      </c>
      <c r="D3901">
        <v>24.8</v>
      </c>
    </row>
    <row r="3902" spans="1:4">
      <c r="A3902">
        <v>3901</v>
      </c>
      <c r="C3902">
        <v>28.62</v>
      </c>
      <c r="D3902">
        <v>26.22</v>
      </c>
    </row>
    <row r="3903" spans="1:4">
      <c r="A3903">
        <v>3902</v>
      </c>
      <c r="C3903">
        <v>30.6</v>
      </c>
      <c r="D3903">
        <v>28.99</v>
      </c>
    </row>
    <row r="3904" spans="1:4">
      <c r="A3904">
        <v>3903</v>
      </c>
      <c r="C3904">
        <v>30.94</v>
      </c>
      <c r="D3904">
        <v>28.9</v>
      </c>
    </row>
    <row r="3905" spans="1:4">
      <c r="A3905">
        <v>3904</v>
      </c>
      <c r="C3905">
        <v>33.049999999999997</v>
      </c>
      <c r="D3905">
        <v>30.43</v>
      </c>
    </row>
    <row r="3906" spans="1:4">
      <c r="A3906">
        <v>3905</v>
      </c>
      <c r="C3906">
        <v>30.49</v>
      </c>
      <c r="D3906">
        <v>29.28</v>
      </c>
    </row>
    <row r="3907" spans="1:4">
      <c r="A3907">
        <v>3906</v>
      </c>
      <c r="C3907">
        <v>30.34</v>
      </c>
      <c r="D3907">
        <v>28.82</v>
      </c>
    </row>
    <row r="3908" spans="1:4">
      <c r="A3908">
        <v>3907</v>
      </c>
      <c r="C3908">
        <v>29.24</v>
      </c>
      <c r="D3908">
        <v>25.42</v>
      </c>
    </row>
    <row r="3909" spans="1:4">
      <c r="A3909">
        <v>3908</v>
      </c>
      <c r="C3909">
        <v>26.84</v>
      </c>
      <c r="D3909">
        <v>24.99</v>
      </c>
    </row>
    <row r="3910" spans="1:4">
      <c r="A3910">
        <v>3909</v>
      </c>
      <c r="C3910">
        <v>26.06</v>
      </c>
      <c r="D3910">
        <v>23.83</v>
      </c>
    </row>
    <row r="3911" spans="1:4">
      <c r="A3911">
        <v>3910</v>
      </c>
      <c r="C3911">
        <v>26.18</v>
      </c>
      <c r="D3911">
        <v>24.51</v>
      </c>
    </row>
    <row r="3912" spans="1:4">
      <c r="A3912">
        <v>3911</v>
      </c>
      <c r="C3912">
        <v>25.55</v>
      </c>
      <c r="D3912">
        <v>23.88</v>
      </c>
    </row>
    <row r="3913" spans="1:4">
      <c r="A3913">
        <v>3912</v>
      </c>
      <c r="C3913">
        <v>25.42</v>
      </c>
      <c r="D3913">
        <v>24.26</v>
      </c>
    </row>
    <row r="3914" spans="1:4">
      <c r="A3914">
        <v>3913</v>
      </c>
      <c r="C3914">
        <v>25.14</v>
      </c>
      <c r="D3914">
        <v>23.81</v>
      </c>
    </row>
    <row r="3915" spans="1:4">
      <c r="A3915">
        <v>3914</v>
      </c>
      <c r="C3915">
        <v>24.14</v>
      </c>
      <c r="D3915">
        <v>23.24</v>
      </c>
    </row>
    <row r="3916" spans="1:4">
      <c r="A3916">
        <v>3915</v>
      </c>
      <c r="C3916">
        <v>24.05</v>
      </c>
      <c r="D3916">
        <v>23.21</v>
      </c>
    </row>
    <row r="3917" spans="1:4">
      <c r="A3917">
        <v>3916</v>
      </c>
      <c r="C3917">
        <v>23.87</v>
      </c>
      <c r="D3917">
        <v>23</v>
      </c>
    </row>
    <row r="3918" spans="1:4">
      <c r="A3918">
        <v>3917</v>
      </c>
      <c r="C3918">
        <v>24.86</v>
      </c>
      <c r="D3918">
        <v>24.02</v>
      </c>
    </row>
    <row r="3919" spans="1:4">
      <c r="A3919">
        <v>3918</v>
      </c>
      <c r="C3919">
        <v>25.61</v>
      </c>
      <c r="D3919">
        <v>24.28</v>
      </c>
    </row>
    <row r="3920" spans="1:4">
      <c r="A3920">
        <v>3919</v>
      </c>
      <c r="C3920">
        <v>26.18</v>
      </c>
      <c r="D3920">
        <v>25.41</v>
      </c>
    </row>
    <row r="3921" spans="1:4">
      <c r="A3921">
        <v>3920</v>
      </c>
      <c r="C3921">
        <v>25.76</v>
      </c>
      <c r="D3921">
        <v>24.85</v>
      </c>
    </row>
    <row r="3922" spans="1:4">
      <c r="A3922">
        <v>3921</v>
      </c>
      <c r="C3922">
        <v>26.22</v>
      </c>
      <c r="D3922">
        <v>24.93</v>
      </c>
    </row>
    <row r="3923" spans="1:4">
      <c r="A3923">
        <v>3922</v>
      </c>
      <c r="C3923">
        <v>26.49</v>
      </c>
      <c r="D3923">
        <v>25.56</v>
      </c>
    </row>
    <row r="3924" spans="1:4">
      <c r="A3924">
        <v>3923</v>
      </c>
      <c r="C3924">
        <v>26.16</v>
      </c>
      <c r="D3924">
        <v>24.89</v>
      </c>
    </row>
    <row r="3925" spans="1:4">
      <c r="A3925">
        <v>3924</v>
      </c>
      <c r="C3925">
        <v>25.85</v>
      </c>
      <c r="D3925">
        <v>24.86</v>
      </c>
    </row>
    <row r="3926" spans="1:4">
      <c r="A3926">
        <v>3925</v>
      </c>
      <c r="C3926">
        <v>26.15</v>
      </c>
      <c r="D3926">
        <v>24.47</v>
      </c>
    </row>
    <row r="3927" spans="1:4">
      <c r="A3927">
        <v>3926</v>
      </c>
      <c r="C3927">
        <v>24.95</v>
      </c>
      <c r="D3927">
        <v>23.98</v>
      </c>
    </row>
    <row r="3928" spans="1:4">
      <c r="A3928">
        <v>3927</v>
      </c>
      <c r="C3928">
        <v>25.82</v>
      </c>
      <c r="D3928">
        <v>24.76</v>
      </c>
    </row>
    <row r="3929" spans="1:4">
      <c r="A3929">
        <v>3928</v>
      </c>
      <c r="C3929">
        <v>26.98</v>
      </c>
      <c r="D3929">
        <v>24.98</v>
      </c>
    </row>
    <row r="3930" spans="1:4">
      <c r="A3930">
        <v>3929</v>
      </c>
      <c r="C3930">
        <v>26.5</v>
      </c>
      <c r="D3930">
        <v>25.11</v>
      </c>
    </row>
    <row r="3931" spans="1:4">
      <c r="A3931">
        <v>3930</v>
      </c>
      <c r="C3931">
        <v>26.15</v>
      </c>
      <c r="D3931">
        <v>24.71</v>
      </c>
    </row>
    <row r="3932" spans="1:4">
      <c r="A3932">
        <v>3931</v>
      </c>
      <c r="C3932">
        <v>25.94</v>
      </c>
      <c r="D3932">
        <v>24.26</v>
      </c>
    </row>
    <row r="3933" spans="1:4">
      <c r="A3933">
        <v>3932</v>
      </c>
      <c r="C3933">
        <v>28.39</v>
      </c>
      <c r="D3933">
        <v>24.27</v>
      </c>
    </row>
    <row r="3934" spans="1:4">
      <c r="A3934">
        <v>3933</v>
      </c>
      <c r="C3934">
        <v>27.89</v>
      </c>
      <c r="D3934">
        <v>26.08</v>
      </c>
    </row>
    <row r="3935" spans="1:4">
      <c r="A3935">
        <v>3934</v>
      </c>
      <c r="C3935">
        <v>28.14</v>
      </c>
      <c r="D3935">
        <v>26.14</v>
      </c>
    </row>
    <row r="3936" spans="1:4">
      <c r="A3936">
        <v>3935</v>
      </c>
      <c r="C3936">
        <v>26.45</v>
      </c>
      <c r="D3936">
        <v>24.75</v>
      </c>
    </row>
    <row r="3937" spans="1:4">
      <c r="A3937">
        <v>3936</v>
      </c>
      <c r="C3937">
        <v>25.06</v>
      </c>
      <c r="D3937">
        <v>23.91</v>
      </c>
    </row>
    <row r="3938" spans="1:4">
      <c r="A3938">
        <v>3937</v>
      </c>
      <c r="C3938">
        <v>25.7</v>
      </c>
      <c r="D3938">
        <v>25.01</v>
      </c>
    </row>
    <row r="3939" spans="1:4">
      <c r="A3939">
        <v>3938</v>
      </c>
      <c r="C3939">
        <v>25.13</v>
      </c>
      <c r="D3939">
        <v>23.68</v>
      </c>
    </row>
    <row r="3940" spans="1:4">
      <c r="A3940">
        <v>3939</v>
      </c>
      <c r="C3940">
        <v>25.56</v>
      </c>
      <c r="D3940">
        <v>24.69</v>
      </c>
    </row>
    <row r="3941" spans="1:4">
      <c r="A3941">
        <v>3940</v>
      </c>
      <c r="C3941">
        <v>25.89</v>
      </c>
      <c r="D3941">
        <v>24.43</v>
      </c>
    </row>
    <row r="3942" spans="1:4">
      <c r="A3942">
        <v>3941</v>
      </c>
      <c r="C3942">
        <v>25.5</v>
      </c>
      <c r="D3942">
        <v>24.28</v>
      </c>
    </row>
    <row r="3943" spans="1:4">
      <c r="A3943">
        <v>3942</v>
      </c>
      <c r="C3943">
        <v>27.01</v>
      </c>
      <c r="D3943">
        <v>24.76</v>
      </c>
    </row>
    <row r="3944" spans="1:4">
      <c r="A3944">
        <v>3943</v>
      </c>
      <c r="C3944">
        <v>29.23</v>
      </c>
      <c r="D3944">
        <v>26</v>
      </c>
    </row>
    <row r="3945" spans="1:4">
      <c r="A3945">
        <v>3944</v>
      </c>
      <c r="C3945">
        <v>29.57</v>
      </c>
      <c r="D3945">
        <v>28.41</v>
      </c>
    </row>
    <row r="3946" spans="1:4">
      <c r="A3946">
        <v>3945</v>
      </c>
      <c r="C3946">
        <v>28.9</v>
      </c>
      <c r="D3946">
        <v>26.98</v>
      </c>
    </row>
    <row r="3947" spans="1:4">
      <c r="A3947">
        <v>3946</v>
      </c>
      <c r="C3947">
        <v>26.98</v>
      </c>
      <c r="D3947">
        <v>24.86</v>
      </c>
    </row>
    <row r="3948" spans="1:4">
      <c r="A3948">
        <v>3947</v>
      </c>
      <c r="C3948">
        <v>26.15</v>
      </c>
      <c r="D3948">
        <v>25.26</v>
      </c>
    </row>
    <row r="3949" spans="1:4">
      <c r="A3949">
        <v>3948</v>
      </c>
      <c r="C3949">
        <v>25.93</v>
      </c>
      <c r="D3949">
        <v>24.23</v>
      </c>
    </row>
    <row r="3950" spans="1:4">
      <c r="A3950">
        <v>3949</v>
      </c>
      <c r="C3950">
        <v>24.76</v>
      </c>
      <c r="D3950">
        <v>22.82</v>
      </c>
    </row>
    <row r="3951" spans="1:4">
      <c r="A3951">
        <v>3950</v>
      </c>
      <c r="C3951">
        <v>24.33</v>
      </c>
      <c r="D3951">
        <v>22.48</v>
      </c>
    </row>
    <row r="3952" spans="1:4">
      <c r="A3952">
        <v>3951</v>
      </c>
      <c r="C3952">
        <v>25.39</v>
      </c>
      <c r="D3952">
        <v>23.32</v>
      </c>
    </row>
    <row r="3953" spans="1:4">
      <c r="A3953">
        <v>3952</v>
      </c>
      <c r="C3953">
        <v>24.27</v>
      </c>
      <c r="D3953">
        <v>23.07</v>
      </c>
    </row>
    <row r="3954" spans="1:4">
      <c r="A3954">
        <v>3953</v>
      </c>
      <c r="C3954">
        <v>23.92</v>
      </c>
      <c r="D3954">
        <v>22.78</v>
      </c>
    </row>
    <row r="3955" spans="1:4">
      <c r="A3955">
        <v>3954</v>
      </c>
      <c r="C3955">
        <v>24.07</v>
      </c>
      <c r="D3955">
        <v>22.79</v>
      </c>
    </row>
    <row r="3956" spans="1:4">
      <c r="A3956">
        <v>3955</v>
      </c>
      <c r="C3956">
        <v>24.43</v>
      </c>
      <c r="D3956">
        <v>23.14</v>
      </c>
    </row>
    <row r="3957" spans="1:4">
      <c r="A3957">
        <v>3956</v>
      </c>
      <c r="C3957">
        <v>25.51</v>
      </c>
      <c r="D3957">
        <v>23.71</v>
      </c>
    </row>
    <row r="3958" spans="1:4">
      <c r="A3958">
        <v>3957</v>
      </c>
      <c r="C3958">
        <v>23.98</v>
      </c>
      <c r="D3958">
        <v>23.06</v>
      </c>
    </row>
    <row r="3959" spans="1:4">
      <c r="A3959">
        <v>3958</v>
      </c>
      <c r="C3959">
        <v>23.69</v>
      </c>
      <c r="D3959">
        <v>22.19</v>
      </c>
    </row>
    <row r="3960" spans="1:4">
      <c r="A3960">
        <v>3959</v>
      </c>
      <c r="C3960">
        <v>25.37</v>
      </c>
      <c r="D3960">
        <v>23.44</v>
      </c>
    </row>
    <row r="3961" spans="1:4">
      <c r="A3961">
        <v>3960</v>
      </c>
      <c r="C3961">
        <v>26.34</v>
      </c>
      <c r="D3961">
        <v>24.81</v>
      </c>
    </row>
    <row r="3962" spans="1:4">
      <c r="A3962">
        <v>3961</v>
      </c>
      <c r="C3962">
        <v>26.4</v>
      </c>
      <c r="D3962">
        <v>24.85</v>
      </c>
    </row>
    <row r="3963" spans="1:4">
      <c r="A3963">
        <v>3962</v>
      </c>
      <c r="C3963">
        <v>25.28</v>
      </c>
      <c r="D3963">
        <v>24.54</v>
      </c>
    </row>
    <row r="3964" spans="1:4">
      <c r="A3964">
        <v>3963</v>
      </c>
      <c r="C3964">
        <v>26.45</v>
      </c>
      <c r="D3964">
        <v>24.76</v>
      </c>
    </row>
    <row r="3965" spans="1:4">
      <c r="A3965">
        <v>3964</v>
      </c>
      <c r="C3965">
        <v>28.42</v>
      </c>
      <c r="D3965">
        <v>25.98</v>
      </c>
    </row>
    <row r="3966" spans="1:4">
      <c r="A3966">
        <v>3965</v>
      </c>
      <c r="C3966">
        <v>29.56</v>
      </c>
      <c r="D3966">
        <v>27.98</v>
      </c>
    </row>
    <row r="3967" spans="1:4">
      <c r="A3967">
        <v>3966</v>
      </c>
      <c r="C3967">
        <v>29.34</v>
      </c>
      <c r="D3967">
        <v>26.57</v>
      </c>
    </row>
    <row r="3968" spans="1:4">
      <c r="A3968">
        <v>3967</v>
      </c>
      <c r="C3968">
        <v>26.41</v>
      </c>
      <c r="D3968">
        <v>25.19</v>
      </c>
    </row>
    <row r="3969" spans="1:4">
      <c r="A3969">
        <v>3968</v>
      </c>
      <c r="C3969">
        <v>25.82</v>
      </c>
      <c r="D3969">
        <v>24.57</v>
      </c>
    </row>
    <row r="3970" spans="1:4">
      <c r="A3970">
        <v>3969</v>
      </c>
      <c r="C3970">
        <v>24.69</v>
      </c>
      <c r="D3970">
        <v>23.9</v>
      </c>
    </row>
    <row r="3971" spans="1:4">
      <c r="A3971">
        <v>3970</v>
      </c>
      <c r="C3971">
        <v>24.54</v>
      </c>
      <c r="D3971">
        <v>22.99</v>
      </c>
    </row>
    <row r="3972" spans="1:4">
      <c r="A3972">
        <v>3971</v>
      </c>
      <c r="C3972">
        <v>23.53</v>
      </c>
      <c r="D3972">
        <v>22.67</v>
      </c>
    </row>
    <row r="3973" spans="1:4">
      <c r="A3973">
        <v>3972</v>
      </c>
      <c r="C3973">
        <v>24.07</v>
      </c>
      <c r="D3973">
        <v>22.74</v>
      </c>
    </row>
    <row r="3974" spans="1:4">
      <c r="A3974">
        <v>3973</v>
      </c>
      <c r="C3974">
        <v>22.89</v>
      </c>
      <c r="D3974">
        <v>21.55</v>
      </c>
    </row>
    <row r="3975" spans="1:4">
      <c r="A3975">
        <v>3974</v>
      </c>
      <c r="C3975">
        <v>23.53</v>
      </c>
      <c r="D3975">
        <v>21.49</v>
      </c>
    </row>
    <row r="3976" spans="1:4">
      <c r="A3976">
        <v>3975</v>
      </c>
      <c r="C3976">
        <v>22.6</v>
      </c>
      <c r="D3976">
        <v>20.98</v>
      </c>
    </row>
    <row r="3977" spans="1:4">
      <c r="A3977">
        <v>3976</v>
      </c>
      <c r="C3977">
        <v>22.46</v>
      </c>
      <c r="D3977">
        <v>20.91</v>
      </c>
    </row>
    <row r="3978" spans="1:4">
      <c r="A3978">
        <v>3977</v>
      </c>
      <c r="C3978">
        <v>21.76</v>
      </c>
      <c r="D3978">
        <v>20.9</v>
      </c>
    </row>
    <row r="3979" spans="1:4">
      <c r="A3979">
        <v>3978</v>
      </c>
      <c r="C3979">
        <v>22.48</v>
      </c>
      <c r="D3979">
        <v>20.100000000000001</v>
      </c>
    </row>
    <row r="3980" spans="1:4">
      <c r="A3980">
        <v>3979</v>
      </c>
      <c r="C3980">
        <v>22.77</v>
      </c>
      <c r="D3980">
        <v>20.329999999999998</v>
      </c>
    </row>
    <row r="3981" spans="1:4">
      <c r="A3981">
        <v>3980</v>
      </c>
      <c r="C3981">
        <v>22.59</v>
      </c>
      <c r="D3981">
        <v>20.34</v>
      </c>
    </row>
    <row r="3982" spans="1:4">
      <c r="A3982">
        <v>3981</v>
      </c>
      <c r="C3982">
        <v>24.86</v>
      </c>
      <c r="D3982">
        <v>21.89</v>
      </c>
    </row>
    <row r="3983" spans="1:4">
      <c r="A3983">
        <v>3982</v>
      </c>
      <c r="C3983">
        <v>25.22</v>
      </c>
      <c r="D3983">
        <v>24.03</v>
      </c>
    </row>
    <row r="3984" spans="1:4">
      <c r="A3984">
        <v>3983</v>
      </c>
      <c r="C3984">
        <v>27.94</v>
      </c>
      <c r="D3984">
        <v>24.83</v>
      </c>
    </row>
    <row r="3985" spans="1:4">
      <c r="A3985">
        <v>3984</v>
      </c>
      <c r="C3985">
        <v>27.19</v>
      </c>
      <c r="D3985">
        <v>24.68</v>
      </c>
    </row>
    <row r="3986" spans="1:4">
      <c r="A3986">
        <v>3985</v>
      </c>
      <c r="C3986">
        <v>31.59</v>
      </c>
      <c r="D3986">
        <v>24.76</v>
      </c>
    </row>
    <row r="3987" spans="1:4">
      <c r="A3987">
        <v>3986</v>
      </c>
      <c r="C3987">
        <v>31.84</v>
      </c>
      <c r="D3987">
        <v>28.07</v>
      </c>
    </row>
    <row r="3988" spans="1:4">
      <c r="A3988">
        <v>3987</v>
      </c>
      <c r="C3988">
        <v>30.8</v>
      </c>
      <c r="D3988">
        <v>28.77</v>
      </c>
    </row>
    <row r="3989" spans="1:4">
      <c r="A3989">
        <v>3988</v>
      </c>
      <c r="C3989">
        <v>28.81</v>
      </c>
      <c r="D3989">
        <v>26.61</v>
      </c>
    </row>
    <row r="3990" spans="1:4">
      <c r="A3990">
        <v>3989</v>
      </c>
      <c r="C3990">
        <v>27.39</v>
      </c>
      <c r="D3990">
        <v>25.41</v>
      </c>
    </row>
    <row r="3991" spans="1:4">
      <c r="A3991">
        <v>3990</v>
      </c>
      <c r="C3991">
        <v>26.17</v>
      </c>
      <c r="D3991">
        <v>24.06</v>
      </c>
    </row>
    <row r="3992" spans="1:4">
      <c r="A3992">
        <v>3991</v>
      </c>
      <c r="C3992">
        <v>24.24</v>
      </c>
      <c r="D3992">
        <v>22.78</v>
      </c>
    </row>
    <row r="3993" spans="1:4">
      <c r="A3993">
        <v>3992</v>
      </c>
      <c r="C3993">
        <v>23.53</v>
      </c>
      <c r="D3993">
        <v>22.78</v>
      </c>
    </row>
    <row r="3994" spans="1:4">
      <c r="A3994">
        <v>3993</v>
      </c>
      <c r="C3994">
        <v>23.68</v>
      </c>
      <c r="D3994">
        <v>21.61</v>
      </c>
    </row>
    <row r="3995" spans="1:4">
      <c r="A3995">
        <v>3994</v>
      </c>
      <c r="C3995">
        <v>24.61</v>
      </c>
      <c r="D3995">
        <v>22.91</v>
      </c>
    </row>
    <row r="3996" spans="1:4">
      <c r="A3996">
        <v>3995</v>
      </c>
      <c r="C3996">
        <v>24.43</v>
      </c>
      <c r="D3996">
        <v>23.22</v>
      </c>
    </row>
    <row r="3997" spans="1:4">
      <c r="A3997">
        <v>3996</v>
      </c>
      <c r="C3997">
        <v>23.42</v>
      </c>
      <c r="D3997">
        <v>22.02</v>
      </c>
    </row>
    <row r="3998" spans="1:4">
      <c r="A3998">
        <v>3997</v>
      </c>
      <c r="C3998">
        <v>23.33</v>
      </c>
      <c r="D3998">
        <v>22.27</v>
      </c>
    </row>
    <row r="3999" spans="1:4">
      <c r="A3999">
        <v>3998</v>
      </c>
      <c r="C3999">
        <v>22.65</v>
      </c>
      <c r="D3999">
        <v>21.63</v>
      </c>
    </row>
    <row r="4000" spans="1:4">
      <c r="A4000">
        <v>3999</v>
      </c>
      <c r="C4000">
        <v>24.2</v>
      </c>
      <c r="D4000">
        <v>21.63</v>
      </c>
    </row>
    <row r="4001" spans="1:4">
      <c r="A4001">
        <v>4000</v>
      </c>
      <c r="C4001">
        <v>23.45</v>
      </c>
      <c r="D4001">
        <v>22.14</v>
      </c>
    </row>
    <row r="4002" spans="1:4">
      <c r="A4002">
        <v>4001</v>
      </c>
      <c r="C4002">
        <v>21.98</v>
      </c>
      <c r="D4002">
        <v>20.9</v>
      </c>
    </row>
    <row r="4003" spans="1:4">
      <c r="A4003">
        <v>4002</v>
      </c>
      <c r="C4003">
        <v>21.87</v>
      </c>
      <c r="D4003">
        <v>20.350000000000001</v>
      </c>
    </row>
    <row r="4004" spans="1:4">
      <c r="A4004">
        <v>4003</v>
      </c>
      <c r="C4004">
        <v>20.57</v>
      </c>
      <c r="D4004">
        <v>20.05</v>
      </c>
    </row>
    <row r="4005" spans="1:4">
      <c r="A4005">
        <v>4004</v>
      </c>
      <c r="C4005">
        <v>25.93</v>
      </c>
      <c r="D4005">
        <v>23.12</v>
      </c>
    </row>
    <row r="4006" spans="1:4">
      <c r="A4006">
        <v>4005</v>
      </c>
      <c r="C4006">
        <v>25.57</v>
      </c>
      <c r="D4006">
        <v>24.19</v>
      </c>
    </row>
    <row r="4007" spans="1:4">
      <c r="A4007">
        <v>4006</v>
      </c>
      <c r="C4007">
        <v>24.51</v>
      </c>
      <c r="D4007">
        <v>21.88</v>
      </c>
    </row>
    <row r="4008" spans="1:4">
      <c r="A4008">
        <v>4007</v>
      </c>
      <c r="C4008">
        <v>22.19</v>
      </c>
      <c r="D4008">
        <v>21.01</v>
      </c>
    </row>
    <row r="4009" spans="1:4">
      <c r="A4009">
        <v>4008</v>
      </c>
      <c r="C4009">
        <v>22.5</v>
      </c>
      <c r="D4009">
        <v>20.61</v>
      </c>
    </row>
    <row r="4010" spans="1:4">
      <c r="A4010">
        <v>4009</v>
      </c>
      <c r="C4010">
        <v>22.76</v>
      </c>
      <c r="D4010">
        <v>20.62</v>
      </c>
    </row>
    <row r="4011" spans="1:4">
      <c r="A4011">
        <v>4010</v>
      </c>
      <c r="C4011">
        <v>22.46</v>
      </c>
      <c r="D4011">
        <v>21.6</v>
      </c>
    </row>
    <row r="4012" spans="1:4">
      <c r="A4012">
        <v>4011</v>
      </c>
      <c r="C4012">
        <v>23.97</v>
      </c>
      <c r="D4012">
        <v>22.84</v>
      </c>
    </row>
    <row r="4013" spans="1:4">
      <c r="A4013">
        <v>4012</v>
      </c>
      <c r="C4013">
        <v>24.2</v>
      </c>
      <c r="D4013">
        <v>22.54</v>
      </c>
    </row>
    <row r="4014" spans="1:4">
      <c r="A4014">
        <v>4013</v>
      </c>
      <c r="C4014">
        <v>22.66</v>
      </c>
      <c r="D4014">
        <v>21.77</v>
      </c>
    </row>
    <row r="4015" spans="1:4">
      <c r="A4015">
        <v>4014</v>
      </c>
      <c r="C4015">
        <v>22.31</v>
      </c>
      <c r="D4015">
        <v>21.39</v>
      </c>
    </row>
    <row r="4016" spans="1:4">
      <c r="A4016">
        <v>4015</v>
      </c>
      <c r="C4016">
        <v>21.59</v>
      </c>
      <c r="D4016">
        <v>20.57</v>
      </c>
    </row>
    <row r="4017" spans="1:4">
      <c r="A4017">
        <v>4016</v>
      </c>
      <c r="C4017">
        <v>21.87</v>
      </c>
      <c r="D4017">
        <v>20.91</v>
      </c>
    </row>
    <row r="4018" spans="1:4">
      <c r="A4018">
        <v>4017</v>
      </c>
      <c r="C4018">
        <v>21.2</v>
      </c>
      <c r="D4018">
        <v>20.46</v>
      </c>
    </row>
    <row r="4019" spans="1:4">
      <c r="A4019">
        <v>4018</v>
      </c>
      <c r="C4019">
        <v>22.86</v>
      </c>
      <c r="D4019">
        <v>21.4</v>
      </c>
    </row>
    <row r="4020" spans="1:4">
      <c r="A4020">
        <v>4019</v>
      </c>
      <c r="C4020">
        <v>23.02</v>
      </c>
      <c r="D4020">
        <v>21.68</v>
      </c>
    </row>
    <row r="4021" spans="1:4">
      <c r="A4021">
        <v>4020</v>
      </c>
      <c r="C4021">
        <v>21.51</v>
      </c>
      <c r="D4021">
        <v>20.28</v>
      </c>
    </row>
    <row r="4022" spans="1:4">
      <c r="A4022">
        <v>4021</v>
      </c>
      <c r="C4022">
        <v>20.399999999999999</v>
      </c>
      <c r="D4022">
        <v>19.54</v>
      </c>
    </row>
    <row r="4023" spans="1:4">
      <c r="A4023">
        <v>4022</v>
      </c>
      <c r="C4023">
        <v>19.97</v>
      </c>
      <c r="D4023">
        <v>19.350000000000001</v>
      </c>
    </row>
    <row r="4024" spans="1:4">
      <c r="A4024">
        <v>4023</v>
      </c>
      <c r="C4024">
        <v>19.670000000000002</v>
      </c>
      <c r="D4024">
        <v>19.25</v>
      </c>
    </row>
    <row r="4025" spans="1:4">
      <c r="A4025">
        <v>4024</v>
      </c>
      <c r="C4025">
        <v>20.53</v>
      </c>
      <c r="D4025">
        <v>19.899999999999999</v>
      </c>
    </row>
    <row r="4026" spans="1:4">
      <c r="A4026">
        <v>4025</v>
      </c>
      <c r="C4026">
        <v>20.12</v>
      </c>
      <c r="D4026">
        <v>19.62</v>
      </c>
    </row>
    <row r="4027" spans="1:4">
      <c r="A4027">
        <v>4026</v>
      </c>
      <c r="C4027">
        <v>20.440000000000001</v>
      </c>
      <c r="D4027">
        <v>19.93</v>
      </c>
    </row>
    <row r="4028" spans="1:4">
      <c r="A4028">
        <v>4027</v>
      </c>
      <c r="C4028">
        <v>21.83</v>
      </c>
      <c r="D4028">
        <v>19.89</v>
      </c>
    </row>
    <row r="4029" spans="1:4">
      <c r="A4029">
        <v>4028</v>
      </c>
      <c r="C4029">
        <v>21.68</v>
      </c>
      <c r="D4029">
        <v>20.03</v>
      </c>
    </row>
    <row r="4030" spans="1:4">
      <c r="A4030">
        <v>4029</v>
      </c>
      <c r="C4030">
        <v>20.13</v>
      </c>
      <c r="D4030">
        <v>19.34</v>
      </c>
    </row>
    <row r="4031" spans="1:4">
      <c r="A4031">
        <v>4030</v>
      </c>
      <c r="C4031">
        <v>19.68</v>
      </c>
      <c r="D4031">
        <v>18.77</v>
      </c>
    </row>
    <row r="4032" spans="1:4">
      <c r="A4032">
        <v>4031</v>
      </c>
      <c r="C4032">
        <v>19.71</v>
      </c>
      <c r="D4032">
        <v>18.7</v>
      </c>
    </row>
    <row r="4033" spans="1:4">
      <c r="A4033">
        <v>4032</v>
      </c>
      <c r="C4033">
        <v>19.27</v>
      </c>
      <c r="D4033">
        <v>18.11</v>
      </c>
    </row>
    <row r="4034" spans="1:4">
      <c r="A4034">
        <v>4033</v>
      </c>
      <c r="C4034">
        <v>17.739999999999998</v>
      </c>
      <c r="D4034">
        <v>16.86</v>
      </c>
    </row>
    <row r="4035" spans="1:4">
      <c r="A4035">
        <v>4034</v>
      </c>
      <c r="C4035">
        <v>19.46</v>
      </c>
      <c r="D4035">
        <v>17.95</v>
      </c>
    </row>
    <row r="4036" spans="1:4">
      <c r="A4036">
        <v>4035</v>
      </c>
      <c r="C4036">
        <v>18.72</v>
      </c>
      <c r="D4036">
        <v>17.559999999999999</v>
      </c>
    </row>
    <row r="4037" spans="1:4">
      <c r="A4037">
        <v>4036</v>
      </c>
      <c r="C4037">
        <v>18.27</v>
      </c>
      <c r="D4037">
        <v>17.38</v>
      </c>
    </row>
    <row r="4038" spans="1:4">
      <c r="A4038">
        <v>4037</v>
      </c>
      <c r="C4038">
        <v>19.02</v>
      </c>
      <c r="D4038">
        <v>17.63</v>
      </c>
    </row>
    <row r="4039" spans="1:4">
      <c r="A4039">
        <v>4038</v>
      </c>
      <c r="C4039">
        <v>18.850000000000001</v>
      </c>
      <c r="D4039">
        <v>17.329999999999998</v>
      </c>
    </row>
    <row r="4040" spans="1:4">
      <c r="A4040">
        <v>4039</v>
      </c>
      <c r="C4040">
        <v>19.690000000000001</v>
      </c>
      <c r="D4040">
        <v>18.440000000000001</v>
      </c>
    </row>
    <row r="4041" spans="1:4">
      <c r="A4041">
        <v>4040</v>
      </c>
      <c r="C4041">
        <v>22.3</v>
      </c>
      <c r="D4041">
        <v>18.27</v>
      </c>
    </row>
    <row r="4042" spans="1:4">
      <c r="A4042">
        <v>4041</v>
      </c>
      <c r="C4042">
        <v>28.01</v>
      </c>
      <c r="D4042">
        <v>22.27</v>
      </c>
    </row>
    <row r="4043" spans="1:4">
      <c r="A4043">
        <v>4042</v>
      </c>
      <c r="C4043">
        <v>27.32</v>
      </c>
      <c r="D4043">
        <v>24.61</v>
      </c>
    </row>
    <row r="4044" spans="1:4">
      <c r="A4044">
        <v>4043</v>
      </c>
      <c r="C4044">
        <v>26.22</v>
      </c>
      <c r="D4044">
        <v>22.77</v>
      </c>
    </row>
    <row r="4045" spans="1:4">
      <c r="A4045">
        <v>4044</v>
      </c>
      <c r="C4045">
        <v>25.69</v>
      </c>
      <c r="D4045">
        <v>23.14</v>
      </c>
    </row>
    <row r="4046" spans="1:4">
      <c r="A4046">
        <v>4045</v>
      </c>
      <c r="C4046">
        <v>25.3</v>
      </c>
      <c r="D4046">
        <v>22.69</v>
      </c>
    </row>
    <row r="4047" spans="1:4">
      <c r="A4047">
        <v>4046</v>
      </c>
      <c r="C4047">
        <v>25.03</v>
      </c>
      <c r="D4047">
        <v>22.11</v>
      </c>
    </row>
    <row r="4048" spans="1:4">
      <c r="A4048">
        <v>4047</v>
      </c>
      <c r="C4048">
        <v>24.33</v>
      </c>
      <c r="D4048">
        <v>22.58</v>
      </c>
    </row>
    <row r="4049" spans="1:4">
      <c r="A4049">
        <v>4048</v>
      </c>
      <c r="C4049">
        <v>22.99</v>
      </c>
      <c r="D4049">
        <v>21.08</v>
      </c>
    </row>
    <row r="4050" spans="1:4">
      <c r="A4050">
        <v>4049</v>
      </c>
      <c r="C4050">
        <v>22.11</v>
      </c>
      <c r="D4050">
        <v>21.33</v>
      </c>
    </row>
    <row r="4051" spans="1:4">
      <c r="A4051">
        <v>4050</v>
      </c>
      <c r="C4051">
        <v>26.32</v>
      </c>
      <c r="D4051">
        <v>22.63</v>
      </c>
    </row>
    <row r="4052" spans="1:4">
      <c r="A4052">
        <v>4051</v>
      </c>
      <c r="C4052">
        <v>29.22</v>
      </c>
      <c r="D4052">
        <v>25.37</v>
      </c>
    </row>
    <row r="4053" spans="1:4">
      <c r="A4053">
        <v>4052</v>
      </c>
      <c r="C4053">
        <v>27.11</v>
      </c>
      <c r="D4053">
        <v>25.48</v>
      </c>
    </row>
    <row r="4054" spans="1:4">
      <c r="A4054">
        <v>4053</v>
      </c>
      <c r="C4054">
        <v>26.56</v>
      </c>
      <c r="D4054">
        <v>24.78</v>
      </c>
    </row>
    <row r="4055" spans="1:4">
      <c r="A4055">
        <v>4054</v>
      </c>
      <c r="C4055">
        <v>26.77</v>
      </c>
      <c r="D4055">
        <v>24.8</v>
      </c>
    </row>
    <row r="4056" spans="1:4">
      <c r="A4056">
        <v>4055</v>
      </c>
      <c r="C4056">
        <v>26.11</v>
      </c>
      <c r="D4056">
        <v>23.87</v>
      </c>
    </row>
    <row r="4057" spans="1:4">
      <c r="A4057">
        <v>4056</v>
      </c>
      <c r="C4057">
        <v>25.54</v>
      </c>
      <c r="D4057">
        <v>22.73</v>
      </c>
    </row>
    <row r="4058" spans="1:4">
      <c r="A4058">
        <v>4057</v>
      </c>
      <c r="C4058">
        <v>23.57</v>
      </c>
      <c r="D4058">
        <v>22.13</v>
      </c>
    </row>
    <row r="4059" spans="1:4">
      <c r="A4059">
        <v>4058</v>
      </c>
      <c r="C4059">
        <v>22.6</v>
      </c>
      <c r="D4059">
        <v>21.7</v>
      </c>
    </row>
    <row r="4060" spans="1:4">
      <c r="A4060">
        <v>4059</v>
      </c>
      <c r="C4060">
        <v>22.21</v>
      </c>
      <c r="D4060">
        <v>20.6</v>
      </c>
    </row>
    <row r="4061" spans="1:4">
      <c r="A4061">
        <v>4060</v>
      </c>
      <c r="C4061">
        <v>21.14</v>
      </c>
      <c r="D4061">
        <v>19.71</v>
      </c>
    </row>
    <row r="4062" spans="1:4">
      <c r="A4062">
        <v>4061</v>
      </c>
      <c r="C4062">
        <v>21</v>
      </c>
      <c r="D4062">
        <v>19.59</v>
      </c>
    </row>
    <row r="4063" spans="1:4">
      <c r="A4063">
        <v>4062</v>
      </c>
      <c r="C4063">
        <v>21.94</v>
      </c>
      <c r="D4063">
        <v>20.059999999999999</v>
      </c>
    </row>
    <row r="4064" spans="1:4">
      <c r="A4064">
        <v>4063</v>
      </c>
      <c r="C4064">
        <v>21.58</v>
      </c>
      <c r="D4064">
        <v>20.22</v>
      </c>
    </row>
    <row r="4065" spans="1:4">
      <c r="A4065">
        <v>4064</v>
      </c>
      <c r="C4065">
        <v>22.68</v>
      </c>
      <c r="D4065">
        <v>20.059999999999999</v>
      </c>
    </row>
    <row r="4066" spans="1:4">
      <c r="A4066">
        <v>4065</v>
      </c>
      <c r="C4066">
        <v>20.53</v>
      </c>
      <c r="D4066">
        <v>19.32</v>
      </c>
    </row>
    <row r="4067" spans="1:4">
      <c r="A4067">
        <v>4066</v>
      </c>
      <c r="C4067">
        <v>19.940000000000001</v>
      </c>
      <c r="D4067">
        <v>19.18</v>
      </c>
    </row>
    <row r="4068" spans="1:4">
      <c r="A4068">
        <v>4067</v>
      </c>
      <c r="C4068">
        <v>19.36</v>
      </c>
      <c r="D4068">
        <v>18.600000000000001</v>
      </c>
    </row>
    <row r="4069" spans="1:4">
      <c r="A4069">
        <v>4068</v>
      </c>
      <c r="C4069">
        <v>19.3</v>
      </c>
      <c r="D4069">
        <v>18.420000000000002</v>
      </c>
    </row>
    <row r="4070" spans="1:4">
      <c r="A4070">
        <v>4069</v>
      </c>
      <c r="C4070">
        <v>19.27</v>
      </c>
      <c r="D4070">
        <v>18.579999999999998</v>
      </c>
    </row>
    <row r="4071" spans="1:4">
      <c r="A4071">
        <v>4070</v>
      </c>
      <c r="C4071">
        <v>18.149999999999999</v>
      </c>
      <c r="D4071">
        <v>17.23</v>
      </c>
    </row>
    <row r="4072" spans="1:4">
      <c r="A4072">
        <v>4071</v>
      </c>
      <c r="C4072">
        <v>17.96</v>
      </c>
      <c r="D4072">
        <v>17.559999999999999</v>
      </c>
    </row>
    <row r="4073" spans="1:4">
      <c r="A4073">
        <v>4072</v>
      </c>
      <c r="C4073">
        <v>18.190000000000001</v>
      </c>
      <c r="D4073">
        <v>17.510000000000002</v>
      </c>
    </row>
    <row r="4074" spans="1:4">
      <c r="A4074">
        <v>4073</v>
      </c>
      <c r="C4074">
        <v>18.600000000000001</v>
      </c>
      <c r="D4074">
        <v>17.43</v>
      </c>
    </row>
    <row r="4075" spans="1:4">
      <c r="A4075">
        <v>4074</v>
      </c>
      <c r="C4075">
        <v>19.34</v>
      </c>
      <c r="D4075">
        <v>18.059999999999999</v>
      </c>
    </row>
    <row r="4076" spans="1:4">
      <c r="A4076">
        <v>4075</v>
      </c>
      <c r="C4076">
        <v>18.53</v>
      </c>
      <c r="D4076">
        <v>17.579999999999998</v>
      </c>
    </row>
    <row r="4077" spans="1:4">
      <c r="A4077">
        <v>4076</v>
      </c>
      <c r="C4077">
        <v>18.78</v>
      </c>
      <c r="D4077">
        <v>17.96</v>
      </c>
    </row>
    <row r="4078" spans="1:4">
      <c r="A4078">
        <v>4077</v>
      </c>
      <c r="C4078">
        <v>18.010000000000002</v>
      </c>
      <c r="D4078">
        <v>17.420000000000002</v>
      </c>
    </row>
    <row r="4079" spans="1:4">
      <c r="A4079">
        <v>4078</v>
      </c>
      <c r="C4079">
        <v>17.170000000000002</v>
      </c>
      <c r="D4079">
        <v>16.52</v>
      </c>
    </row>
    <row r="4080" spans="1:4">
      <c r="A4080">
        <v>4079</v>
      </c>
      <c r="C4080">
        <v>16.989999999999998</v>
      </c>
      <c r="D4080">
        <v>16.309999999999999</v>
      </c>
    </row>
    <row r="4081" spans="1:4">
      <c r="A4081">
        <v>4080</v>
      </c>
      <c r="C4081">
        <v>17.57</v>
      </c>
      <c r="D4081">
        <v>16.170000000000002</v>
      </c>
    </row>
    <row r="4082" spans="1:4">
      <c r="A4082">
        <v>4081</v>
      </c>
      <c r="C4082">
        <v>18.34</v>
      </c>
      <c r="D4082">
        <v>16.77</v>
      </c>
    </row>
    <row r="4083" spans="1:4">
      <c r="A4083">
        <v>4082</v>
      </c>
      <c r="C4083">
        <v>17.09</v>
      </c>
      <c r="D4083">
        <v>16.21</v>
      </c>
    </row>
    <row r="4084" spans="1:4">
      <c r="A4084">
        <v>4083</v>
      </c>
      <c r="C4084">
        <v>17.920000000000002</v>
      </c>
      <c r="D4084">
        <v>16.829999999999998</v>
      </c>
    </row>
    <row r="4085" spans="1:4">
      <c r="A4085">
        <v>4084</v>
      </c>
      <c r="C4085">
        <v>18.54</v>
      </c>
      <c r="D4085">
        <v>16.62</v>
      </c>
    </row>
    <row r="4086" spans="1:4">
      <c r="A4086">
        <v>4085</v>
      </c>
      <c r="C4086">
        <v>18.690000000000001</v>
      </c>
      <c r="D4086">
        <v>17.350000000000001</v>
      </c>
    </row>
    <row r="4087" spans="1:4">
      <c r="A4087">
        <v>4086</v>
      </c>
      <c r="C4087">
        <v>18.28</v>
      </c>
      <c r="D4087">
        <v>17.57</v>
      </c>
    </row>
    <row r="4088" spans="1:4">
      <c r="A4088">
        <v>4087</v>
      </c>
      <c r="C4088">
        <v>18.079999999999998</v>
      </c>
      <c r="D4088">
        <v>17.13</v>
      </c>
    </row>
    <row r="4089" spans="1:4">
      <c r="A4089">
        <v>4088</v>
      </c>
      <c r="C4089">
        <v>17.920000000000002</v>
      </c>
      <c r="D4089">
        <v>17.29</v>
      </c>
    </row>
    <row r="4090" spans="1:4">
      <c r="A4090">
        <v>4089</v>
      </c>
      <c r="C4090">
        <v>18.09</v>
      </c>
      <c r="D4090">
        <v>16.79</v>
      </c>
    </row>
    <row r="4091" spans="1:4">
      <c r="A4091">
        <v>4090</v>
      </c>
      <c r="C4091">
        <v>18.16</v>
      </c>
      <c r="D4091">
        <v>17.02</v>
      </c>
    </row>
    <row r="4092" spans="1:4">
      <c r="A4092">
        <v>4091</v>
      </c>
      <c r="C4092">
        <v>17.54</v>
      </c>
      <c r="D4092">
        <v>16.079999999999998</v>
      </c>
    </row>
    <row r="4093" spans="1:4">
      <c r="A4093">
        <v>4092</v>
      </c>
      <c r="C4093">
        <v>17.21</v>
      </c>
      <c r="D4093">
        <v>16.16</v>
      </c>
    </row>
    <row r="4094" spans="1:4">
      <c r="A4094">
        <v>4093</v>
      </c>
      <c r="C4094">
        <v>17.8</v>
      </c>
      <c r="D4094">
        <v>16.3</v>
      </c>
    </row>
    <row r="4095" spans="1:4">
      <c r="A4095">
        <v>4094</v>
      </c>
      <c r="C4095">
        <v>16.649999999999999</v>
      </c>
      <c r="D4095">
        <v>16.059999999999999</v>
      </c>
    </row>
    <row r="4096" spans="1:4">
      <c r="A4096">
        <v>4095</v>
      </c>
      <c r="C4096">
        <v>16</v>
      </c>
      <c r="D4096">
        <v>15.23</v>
      </c>
    </row>
    <row r="4097" spans="1:4">
      <c r="A4097">
        <v>4096</v>
      </c>
      <c r="C4097">
        <v>16.77</v>
      </c>
      <c r="D4097">
        <v>15.81</v>
      </c>
    </row>
    <row r="4098" spans="1:4">
      <c r="A4098">
        <v>4097</v>
      </c>
      <c r="C4098">
        <v>16.38</v>
      </c>
      <c r="D4098">
        <v>15.55</v>
      </c>
    </row>
    <row r="4099" spans="1:4">
      <c r="A4099">
        <v>4098</v>
      </c>
      <c r="C4099">
        <v>16.5</v>
      </c>
      <c r="D4099">
        <v>15.68</v>
      </c>
    </row>
    <row r="4100" spans="1:4">
      <c r="A4100">
        <v>4099</v>
      </c>
      <c r="C4100">
        <v>19.7</v>
      </c>
      <c r="D4100">
        <v>16.11</v>
      </c>
    </row>
    <row r="4101" spans="1:4">
      <c r="A4101">
        <v>4100</v>
      </c>
      <c r="C4101">
        <v>19.55</v>
      </c>
      <c r="D4101">
        <v>17.34</v>
      </c>
    </row>
    <row r="4102" spans="1:4">
      <c r="A4102">
        <v>4101</v>
      </c>
      <c r="C4102">
        <v>16.89</v>
      </c>
      <c r="D4102">
        <v>15.73</v>
      </c>
    </row>
    <row r="4103" spans="1:4">
      <c r="A4103">
        <v>4102</v>
      </c>
      <c r="C4103">
        <v>16.850000000000001</v>
      </c>
      <c r="D4103">
        <v>15.5</v>
      </c>
    </row>
    <row r="4104" spans="1:4">
      <c r="A4104">
        <v>4103</v>
      </c>
      <c r="C4104">
        <v>18.190000000000001</v>
      </c>
      <c r="D4104">
        <v>16.2</v>
      </c>
    </row>
    <row r="4105" spans="1:4">
      <c r="A4105">
        <v>4104</v>
      </c>
      <c r="C4105">
        <v>16.71</v>
      </c>
      <c r="D4105">
        <v>16.12</v>
      </c>
    </row>
    <row r="4106" spans="1:4">
      <c r="A4106">
        <v>4105</v>
      </c>
      <c r="C4106">
        <v>17.53</v>
      </c>
      <c r="D4106">
        <v>17.07</v>
      </c>
    </row>
    <row r="4107" spans="1:4">
      <c r="A4107">
        <v>4106</v>
      </c>
      <c r="C4107">
        <v>23.2</v>
      </c>
      <c r="D4107">
        <v>17.940000000000001</v>
      </c>
    </row>
    <row r="4108" spans="1:4">
      <c r="A4108">
        <v>4107</v>
      </c>
      <c r="C4108">
        <v>23.03</v>
      </c>
      <c r="D4108">
        <v>20.86</v>
      </c>
    </row>
    <row r="4109" spans="1:4">
      <c r="A4109">
        <v>4108</v>
      </c>
      <c r="C4109">
        <v>20.37</v>
      </c>
      <c r="D4109">
        <v>18.440000000000001</v>
      </c>
    </row>
    <row r="4110" spans="1:4">
      <c r="A4110">
        <v>4109</v>
      </c>
      <c r="C4110">
        <v>22.39</v>
      </c>
      <c r="D4110">
        <v>18.41</v>
      </c>
    </row>
    <row r="4111" spans="1:4">
      <c r="A4111">
        <v>4110</v>
      </c>
      <c r="C4111">
        <v>22.41</v>
      </c>
      <c r="D4111">
        <v>19.61</v>
      </c>
    </row>
    <row r="4112" spans="1:4">
      <c r="A4112">
        <v>4111</v>
      </c>
      <c r="C4112">
        <v>25.7</v>
      </c>
      <c r="D4112">
        <v>22.46</v>
      </c>
    </row>
    <row r="4113" spans="1:4">
      <c r="A4113">
        <v>4112</v>
      </c>
      <c r="C4113">
        <v>27.23</v>
      </c>
      <c r="D4113">
        <v>23.75</v>
      </c>
    </row>
    <row r="4114" spans="1:4">
      <c r="A4114">
        <v>4113</v>
      </c>
      <c r="C4114">
        <v>40.71</v>
      </c>
      <c r="D4114">
        <v>24.43</v>
      </c>
    </row>
    <row r="4115" spans="1:4">
      <c r="A4115">
        <v>4114</v>
      </c>
      <c r="C4115">
        <v>42.15</v>
      </c>
      <c r="D4115">
        <v>31.71</v>
      </c>
    </row>
    <row r="4116" spans="1:4">
      <c r="A4116">
        <v>4115</v>
      </c>
      <c r="C4116">
        <v>30.89</v>
      </c>
      <c r="D4116">
        <v>25.68</v>
      </c>
    </row>
    <row r="4117" spans="1:4">
      <c r="A4117">
        <v>4116</v>
      </c>
      <c r="C4117">
        <v>31.04</v>
      </c>
      <c r="D4117">
        <v>25.86</v>
      </c>
    </row>
    <row r="4118" spans="1:4">
      <c r="A4118">
        <v>4117</v>
      </c>
      <c r="C4118">
        <v>26.67</v>
      </c>
      <c r="D4118">
        <v>24.98</v>
      </c>
    </row>
    <row r="4119" spans="1:4">
      <c r="A4119">
        <v>4118</v>
      </c>
      <c r="C4119">
        <v>26.85</v>
      </c>
      <c r="D4119">
        <v>24.3</v>
      </c>
    </row>
    <row r="4120" spans="1:4">
      <c r="A4120">
        <v>4119</v>
      </c>
      <c r="C4120">
        <v>33.24</v>
      </c>
      <c r="D4120">
        <v>28.4</v>
      </c>
    </row>
    <row r="4121" spans="1:4">
      <c r="A4121">
        <v>4120</v>
      </c>
      <c r="C4121">
        <v>35.25</v>
      </c>
      <c r="D4121">
        <v>30.76</v>
      </c>
    </row>
    <row r="4122" spans="1:4">
      <c r="A4122">
        <v>4121</v>
      </c>
      <c r="C4122">
        <v>34.17</v>
      </c>
      <c r="D4122">
        <v>28.09</v>
      </c>
    </row>
    <row r="4123" spans="1:4">
      <c r="A4123">
        <v>4122</v>
      </c>
      <c r="C4123">
        <v>38.42</v>
      </c>
      <c r="D4123">
        <v>33.07</v>
      </c>
    </row>
    <row r="4124" spans="1:4">
      <c r="A4124">
        <v>4123</v>
      </c>
      <c r="C4124">
        <v>46.37</v>
      </c>
      <c r="D4124">
        <v>40.299999999999997</v>
      </c>
    </row>
    <row r="4125" spans="1:4">
      <c r="A4125">
        <v>4124</v>
      </c>
      <c r="C4125">
        <v>48.2</v>
      </c>
      <c r="D4125">
        <v>38.950000000000003</v>
      </c>
    </row>
    <row r="4126" spans="1:4">
      <c r="A4126">
        <v>4125</v>
      </c>
      <c r="C4126">
        <v>41.74</v>
      </c>
      <c r="D4126">
        <v>35.57</v>
      </c>
    </row>
    <row r="4127" spans="1:4">
      <c r="A4127">
        <v>4126</v>
      </c>
      <c r="C4127">
        <v>43.74</v>
      </c>
      <c r="D4127">
        <v>34.590000000000003</v>
      </c>
    </row>
    <row r="4128" spans="1:4">
      <c r="A4128">
        <v>4127</v>
      </c>
      <c r="C4128">
        <v>35.020000000000003</v>
      </c>
      <c r="D4128">
        <v>24.1</v>
      </c>
    </row>
    <row r="4129" spans="1:4">
      <c r="A4129">
        <v>4128</v>
      </c>
      <c r="C4129">
        <v>31.03</v>
      </c>
      <c r="D4129">
        <v>29.54</v>
      </c>
    </row>
    <row r="4130" spans="1:4">
      <c r="A4130">
        <v>4129</v>
      </c>
      <c r="C4130">
        <v>33.299999999999997</v>
      </c>
      <c r="D4130">
        <v>29.53</v>
      </c>
    </row>
    <row r="4131" spans="1:4">
      <c r="A4131">
        <v>4130</v>
      </c>
      <c r="C4131">
        <v>35.68</v>
      </c>
      <c r="D4131">
        <v>31.82</v>
      </c>
    </row>
    <row r="4132" spans="1:4">
      <c r="A4132">
        <v>4131</v>
      </c>
      <c r="C4132">
        <v>34.57</v>
      </c>
      <c r="D4132">
        <v>29.94</v>
      </c>
    </row>
    <row r="4133" spans="1:4">
      <c r="A4133">
        <v>4132</v>
      </c>
      <c r="C4133">
        <v>31.2</v>
      </c>
      <c r="D4133">
        <v>29.12</v>
      </c>
    </row>
    <row r="4134" spans="1:4">
      <c r="A4134">
        <v>4133</v>
      </c>
      <c r="C4134">
        <v>36.119999999999997</v>
      </c>
      <c r="D4134">
        <v>31.81</v>
      </c>
    </row>
    <row r="4135" spans="1:4">
      <c r="A4135">
        <v>4134</v>
      </c>
      <c r="C4135">
        <v>36.799999999999997</v>
      </c>
      <c r="D4135">
        <v>34.43</v>
      </c>
    </row>
    <row r="4136" spans="1:4">
      <c r="A4136">
        <v>4135</v>
      </c>
      <c r="C4136">
        <v>37.380000000000003</v>
      </c>
      <c r="D4136">
        <v>33.36</v>
      </c>
    </row>
    <row r="4137" spans="1:4">
      <c r="A4137">
        <v>4136</v>
      </c>
      <c r="C4137">
        <v>34.119999999999997</v>
      </c>
      <c r="D4137">
        <v>30.23</v>
      </c>
    </row>
    <row r="4138" spans="1:4">
      <c r="A4138">
        <v>4137</v>
      </c>
      <c r="C4138">
        <v>31.77</v>
      </c>
      <c r="D4138">
        <v>29.69</v>
      </c>
    </row>
    <row r="4139" spans="1:4">
      <c r="A4139">
        <v>4138</v>
      </c>
      <c r="C4139">
        <v>31.79</v>
      </c>
      <c r="D4139">
        <v>28.6</v>
      </c>
    </row>
    <row r="4140" spans="1:4">
      <c r="A4140">
        <v>4139</v>
      </c>
      <c r="C4140">
        <v>28.72</v>
      </c>
      <c r="D4140">
        <v>26.98</v>
      </c>
    </row>
    <row r="4141" spans="1:4">
      <c r="A4141">
        <v>4140</v>
      </c>
      <c r="C4141">
        <v>27.84</v>
      </c>
      <c r="D4141">
        <v>25.68</v>
      </c>
    </row>
    <row r="4142" spans="1:4">
      <c r="A4142">
        <v>4141</v>
      </c>
      <c r="C4142">
        <v>26.72</v>
      </c>
      <c r="D4142">
        <v>25.34</v>
      </c>
    </row>
    <row r="4143" spans="1:4">
      <c r="A4143">
        <v>4142</v>
      </c>
      <c r="C4143">
        <v>26.64</v>
      </c>
      <c r="D4143">
        <v>25.05</v>
      </c>
    </row>
    <row r="4144" spans="1:4">
      <c r="A4144">
        <v>4143</v>
      </c>
      <c r="C4144">
        <v>24.88</v>
      </c>
      <c r="D4144">
        <v>23.3</v>
      </c>
    </row>
    <row r="4145" spans="1:4">
      <c r="A4145">
        <v>4144</v>
      </c>
      <c r="C4145">
        <v>25.64</v>
      </c>
      <c r="D4145">
        <v>22.87</v>
      </c>
    </row>
    <row r="4146" spans="1:4">
      <c r="A4146">
        <v>4145</v>
      </c>
      <c r="C4146">
        <v>27.05</v>
      </c>
      <c r="D4146">
        <v>24.41</v>
      </c>
    </row>
    <row r="4147" spans="1:4">
      <c r="A4147">
        <v>4146</v>
      </c>
      <c r="C4147">
        <v>28.55</v>
      </c>
      <c r="D4147">
        <v>26.54</v>
      </c>
    </row>
    <row r="4148" spans="1:4">
      <c r="A4148">
        <v>4147</v>
      </c>
      <c r="C4148">
        <v>30.27</v>
      </c>
      <c r="D4148">
        <v>27.53</v>
      </c>
    </row>
    <row r="4149" spans="1:4">
      <c r="A4149">
        <v>4148</v>
      </c>
      <c r="C4149">
        <v>30.41</v>
      </c>
      <c r="D4149">
        <v>28.07</v>
      </c>
    </row>
    <row r="4150" spans="1:4">
      <c r="A4150">
        <v>4149</v>
      </c>
      <c r="C4150">
        <v>29.9</v>
      </c>
      <c r="D4150">
        <v>28.47</v>
      </c>
    </row>
    <row r="4151" spans="1:4">
      <c r="A4151">
        <v>4150</v>
      </c>
      <c r="C4151">
        <v>35.39</v>
      </c>
      <c r="D4151">
        <v>31.22</v>
      </c>
    </row>
    <row r="4152" spans="1:4">
      <c r="A4152">
        <v>4151</v>
      </c>
      <c r="C4152">
        <v>34.630000000000003</v>
      </c>
      <c r="D4152">
        <v>31.74</v>
      </c>
    </row>
    <row r="4153" spans="1:4">
      <c r="A4153">
        <v>4152</v>
      </c>
      <c r="C4153">
        <v>37.58</v>
      </c>
      <c r="D4153">
        <v>32.72</v>
      </c>
    </row>
    <row r="4154" spans="1:4">
      <c r="A4154">
        <v>4153</v>
      </c>
      <c r="C4154">
        <v>31.88</v>
      </c>
      <c r="D4154">
        <v>29.35</v>
      </c>
    </row>
    <row r="4155" spans="1:4">
      <c r="A4155">
        <v>4154</v>
      </c>
      <c r="C4155">
        <v>31.15</v>
      </c>
      <c r="D4155">
        <v>27.96</v>
      </c>
    </row>
    <row r="4156" spans="1:4">
      <c r="A4156">
        <v>4155</v>
      </c>
      <c r="C4156">
        <v>29.56</v>
      </c>
      <c r="D4156">
        <v>26.84</v>
      </c>
    </row>
    <row r="4157" spans="1:4">
      <c r="A4157">
        <v>4156</v>
      </c>
      <c r="C4157">
        <v>27.42</v>
      </c>
      <c r="D4157">
        <v>25.71</v>
      </c>
    </row>
    <row r="4158" spans="1:4">
      <c r="A4158">
        <v>4157</v>
      </c>
      <c r="C4158">
        <v>25.67</v>
      </c>
      <c r="D4158">
        <v>24.37</v>
      </c>
    </row>
    <row r="4159" spans="1:4">
      <c r="A4159">
        <v>4158</v>
      </c>
      <c r="C4159">
        <v>25.14</v>
      </c>
      <c r="D4159">
        <v>23.53</v>
      </c>
    </row>
    <row r="4160" spans="1:4">
      <c r="A4160">
        <v>4159</v>
      </c>
      <c r="C4160">
        <v>24.57</v>
      </c>
      <c r="D4160">
        <v>23.12</v>
      </c>
    </row>
    <row r="4161" spans="1:4">
      <c r="A4161">
        <v>4160</v>
      </c>
      <c r="C4161">
        <v>25.8</v>
      </c>
      <c r="D4161">
        <v>24.18</v>
      </c>
    </row>
    <row r="4162" spans="1:4">
      <c r="A4162">
        <v>4161</v>
      </c>
      <c r="C4162">
        <v>27.24</v>
      </c>
      <c r="D4162">
        <v>24.74</v>
      </c>
    </row>
    <row r="4163" spans="1:4">
      <c r="A4163">
        <v>4162</v>
      </c>
      <c r="C4163">
        <v>28.16</v>
      </c>
      <c r="D4163">
        <v>25.71</v>
      </c>
    </row>
    <row r="4164" spans="1:4">
      <c r="A4164">
        <v>4163</v>
      </c>
      <c r="C4164">
        <v>27.3</v>
      </c>
      <c r="D4164">
        <v>25.12</v>
      </c>
    </row>
    <row r="4165" spans="1:4">
      <c r="A4165">
        <v>4164</v>
      </c>
      <c r="C4165">
        <v>27.4</v>
      </c>
      <c r="D4165">
        <v>23.79</v>
      </c>
    </row>
    <row r="4166" spans="1:4">
      <c r="A4166">
        <v>4165</v>
      </c>
      <c r="C4166">
        <v>26.63</v>
      </c>
      <c r="D4166">
        <v>23.59</v>
      </c>
    </row>
    <row r="4167" spans="1:4">
      <c r="A4167">
        <v>4166</v>
      </c>
      <c r="C4167">
        <v>24.85</v>
      </c>
      <c r="D4167">
        <v>23.72</v>
      </c>
    </row>
    <row r="4168" spans="1:4">
      <c r="A4168">
        <v>4167</v>
      </c>
      <c r="C4168">
        <v>25.17</v>
      </c>
      <c r="D4168">
        <v>23.32</v>
      </c>
    </row>
    <row r="4169" spans="1:4">
      <c r="A4169">
        <v>4168</v>
      </c>
      <c r="C4169">
        <v>24.61</v>
      </c>
      <c r="D4169">
        <v>22.7</v>
      </c>
    </row>
    <row r="4170" spans="1:4">
      <c r="A4170">
        <v>4169</v>
      </c>
      <c r="C4170">
        <v>23.57</v>
      </c>
      <c r="D4170">
        <v>21.86</v>
      </c>
    </row>
    <row r="4171" spans="1:4">
      <c r="A4171">
        <v>4170</v>
      </c>
      <c r="C4171">
        <v>24.54</v>
      </c>
      <c r="D4171">
        <v>22.24</v>
      </c>
    </row>
    <row r="4172" spans="1:4">
      <c r="A4172">
        <v>4171</v>
      </c>
      <c r="C4172">
        <v>25.54</v>
      </c>
      <c r="D4172">
        <v>23.04</v>
      </c>
    </row>
    <row r="4173" spans="1:4">
      <c r="A4173">
        <v>4172</v>
      </c>
      <c r="C4173">
        <v>27.32</v>
      </c>
      <c r="D4173">
        <v>23.35</v>
      </c>
    </row>
    <row r="4174" spans="1:4">
      <c r="A4174">
        <v>4173</v>
      </c>
      <c r="C4174">
        <v>23.24</v>
      </c>
      <c r="D4174">
        <v>21.74</v>
      </c>
    </row>
    <row r="4175" spans="1:4">
      <c r="A4175">
        <v>4174</v>
      </c>
      <c r="C4175">
        <v>23.06</v>
      </c>
      <c r="D4175">
        <v>21.98</v>
      </c>
    </row>
    <row r="4176" spans="1:4">
      <c r="A4176">
        <v>4175</v>
      </c>
      <c r="C4176">
        <v>23.69</v>
      </c>
      <c r="D4176">
        <v>22.16</v>
      </c>
    </row>
    <row r="4177" spans="1:4">
      <c r="A4177">
        <v>4176</v>
      </c>
      <c r="C4177">
        <v>23.13</v>
      </c>
      <c r="D4177">
        <v>22.07</v>
      </c>
    </row>
    <row r="4178" spans="1:4">
      <c r="A4178">
        <v>4177</v>
      </c>
      <c r="C4178">
        <v>23.89</v>
      </c>
      <c r="D4178">
        <v>21.72</v>
      </c>
    </row>
    <row r="4179" spans="1:4">
      <c r="A4179">
        <v>4178</v>
      </c>
      <c r="C4179">
        <v>22.87</v>
      </c>
      <c r="D4179">
        <v>21.36</v>
      </c>
    </row>
    <row r="4180" spans="1:4">
      <c r="A4180">
        <v>4179</v>
      </c>
      <c r="C4180">
        <v>24.24</v>
      </c>
      <c r="D4180">
        <v>22.17</v>
      </c>
    </row>
    <row r="4181" spans="1:4">
      <c r="A4181">
        <v>4180</v>
      </c>
      <c r="C4181">
        <v>26.1</v>
      </c>
      <c r="D4181">
        <v>24.96</v>
      </c>
    </row>
    <row r="4182" spans="1:4">
      <c r="A4182">
        <v>4181</v>
      </c>
      <c r="C4182">
        <v>27.21</v>
      </c>
      <c r="D4182">
        <v>25.18</v>
      </c>
    </row>
    <row r="4183" spans="1:4">
      <c r="A4183">
        <v>4182</v>
      </c>
      <c r="C4183">
        <v>26.26</v>
      </c>
      <c r="D4183">
        <v>25.45</v>
      </c>
    </row>
    <row r="4184" spans="1:4">
      <c r="A4184">
        <v>4183</v>
      </c>
      <c r="C4184">
        <v>28.1</v>
      </c>
      <c r="D4184">
        <v>25.38</v>
      </c>
    </row>
    <row r="4185" spans="1:4">
      <c r="A4185">
        <v>4184</v>
      </c>
      <c r="C4185">
        <v>24.89</v>
      </c>
      <c r="D4185">
        <v>23.71</v>
      </c>
    </row>
    <row r="4186" spans="1:4">
      <c r="A4186">
        <v>4185</v>
      </c>
      <c r="C4186">
        <v>25.23</v>
      </c>
      <c r="D4186">
        <v>23.4</v>
      </c>
    </row>
    <row r="4187" spans="1:4">
      <c r="A4187">
        <v>4186</v>
      </c>
      <c r="C4187">
        <v>26.78</v>
      </c>
      <c r="D4187">
        <v>24.26</v>
      </c>
    </row>
    <row r="4188" spans="1:4">
      <c r="A4188">
        <v>4187</v>
      </c>
      <c r="C4188">
        <v>27</v>
      </c>
      <c r="D4188">
        <v>25.49</v>
      </c>
    </row>
    <row r="4189" spans="1:4">
      <c r="A4189">
        <v>4188</v>
      </c>
      <c r="C4189">
        <v>25.97</v>
      </c>
      <c r="D4189">
        <v>24.62</v>
      </c>
    </row>
    <row r="4190" spans="1:4">
      <c r="A4190">
        <v>4189</v>
      </c>
      <c r="C4190">
        <v>28.77</v>
      </c>
      <c r="D4190">
        <v>26.32</v>
      </c>
    </row>
    <row r="4191" spans="1:4">
      <c r="A4191">
        <v>4190</v>
      </c>
      <c r="C4191">
        <v>28.92</v>
      </c>
      <c r="D4191">
        <v>26.46</v>
      </c>
    </row>
    <row r="4192" spans="1:4">
      <c r="A4192">
        <v>4191</v>
      </c>
      <c r="C4192">
        <v>27.55</v>
      </c>
      <c r="D4192">
        <v>25.86</v>
      </c>
    </row>
    <row r="4193" spans="1:4">
      <c r="A4193">
        <v>4192</v>
      </c>
      <c r="C4193">
        <v>28.11</v>
      </c>
      <c r="D4193">
        <v>24.41</v>
      </c>
    </row>
    <row r="4194" spans="1:4">
      <c r="A4194">
        <v>4193</v>
      </c>
      <c r="C4194">
        <v>27.21</v>
      </c>
      <c r="D4194">
        <v>25.41</v>
      </c>
    </row>
    <row r="4195" spans="1:4">
      <c r="A4195">
        <v>4194</v>
      </c>
      <c r="C4195">
        <v>27.83</v>
      </c>
      <c r="D4195">
        <v>25.93</v>
      </c>
    </row>
    <row r="4196" spans="1:4">
      <c r="A4196">
        <v>4195</v>
      </c>
      <c r="C4196">
        <v>25.13</v>
      </c>
      <c r="D4196">
        <v>23.86</v>
      </c>
    </row>
    <row r="4197" spans="1:4">
      <c r="A4197">
        <v>4196</v>
      </c>
      <c r="C4197">
        <v>24.31</v>
      </c>
      <c r="D4197">
        <v>23.15</v>
      </c>
    </row>
    <row r="4198" spans="1:4">
      <c r="A4198">
        <v>4197</v>
      </c>
      <c r="C4198">
        <v>22.78</v>
      </c>
      <c r="D4198">
        <v>21.24</v>
      </c>
    </row>
    <row r="4199" spans="1:4">
      <c r="A4199">
        <v>4198</v>
      </c>
      <c r="C4199">
        <v>23.94</v>
      </c>
      <c r="D4199">
        <v>22.77</v>
      </c>
    </row>
    <row r="4200" spans="1:4">
      <c r="A4200">
        <v>4199</v>
      </c>
      <c r="C4200">
        <v>23.56</v>
      </c>
      <c r="D4200">
        <v>22.92</v>
      </c>
    </row>
    <row r="4201" spans="1:4">
      <c r="A4201">
        <v>4200</v>
      </c>
      <c r="C4201">
        <v>23.24</v>
      </c>
      <c r="D4201">
        <v>22.14</v>
      </c>
    </row>
    <row r="4202" spans="1:4">
      <c r="A4202">
        <v>4201</v>
      </c>
      <c r="C4202">
        <v>22.87</v>
      </c>
      <c r="D4202">
        <v>21.76</v>
      </c>
    </row>
    <row r="4203" spans="1:4">
      <c r="A4203">
        <v>4202</v>
      </c>
      <c r="C4203">
        <v>22.05</v>
      </c>
      <c r="D4203">
        <v>20.93</v>
      </c>
    </row>
    <row r="4204" spans="1:4">
      <c r="A4204">
        <v>4203</v>
      </c>
      <c r="C4204">
        <v>21.97</v>
      </c>
      <c r="D4204">
        <v>20.85</v>
      </c>
    </row>
    <row r="4205" spans="1:4">
      <c r="A4205">
        <v>4204</v>
      </c>
      <c r="C4205">
        <v>22.8</v>
      </c>
      <c r="D4205">
        <v>22.1</v>
      </c>
    </row>
    <row r="4206" spans="1:4">
      <c r="A4206">
        <v>4205</v>
      </c>
      <c r="C4206">
        <v>22.83</v>
      </c>
      <c r="D4206">
        <v>21.71</v>
      </c>
    </row>
    <row r="4207" spans="1:4">
      <c r="A4207">
        <v>4206</v>
      </c>
      <c r="C4207">
        <v>22.56</v>
      </c>
      <c r="D4207">
        <v>21.63</v>
      </c>
    </row>
    <row r="4208" spans="1:4">
      <c r="A4208">
        <v>4207</v>
      </c>
      <c r="C4208">
        <v>22.58</v>
      </c>
      <c r="D4208">
        <v>21.25</v>
      </c>
    </row>
    <row r="4209" spans="1:4">
      <c r="A4209">
        <v>4208</v>
      </c>
      <c r="C4209">
        <v>22.59</v>
      </c>
      <c r="D4209">
        <v>21.42</v>
      </c>
    </row>
    <row r="4210" spans="1:4">
      <c r="A4210">
        <v>4209</v>
      </c>
      <c r="C4210">
        <v>23.19</v>
      </c>
      <c r="D4210">
        <v>21.91</v>
      </c>
    </row>
    <row r="4211" spans="1:4">
      <c r="A4211">
        <v>4210</v>
      </c>
      <c r="C4211">
        <v>24.06</v>
      </c>
      <c r="D4211">
        <v>22.56</v>
      </c>
    </row>
    <row r="4212" spans="1:4">
      <c r="A4212">
        <v>4211</v>
      </c>
      <c r="C4212">
        <v>22.61</v>
      </c>
      <c r="D4212">
        <v>21.71</v>
      </c>
    </row>
    <row r="4213" spans="1:4">
      <c r="A4213">
        <v>4212</v>
      </c>
      <c r="C4213">
        <v>22.75</v>
      </c>
      <c r="D4213">
        <v>21.97</v>
      </c>
    </row>
    <row r="4214" spans="1:4">
      <c r="A4214">
        <v>4213</v>
      </c>
      <c r="C4214">
        <v>24.28</v>
      </c>
      <c r="D4214">
        <v>22.4</v>
      </c>
    </row>
    <row r="4215" spans="1:4">
      <c r="A4215">
        <v>4214</v>
      </c>
      <c r="C4215">
        <v>23.45</v>
      </c>
      <c r="D4215">
        <v>22.72</v>
      </c>
    </row>
    <row r="4216" spans="1:4">
      <c r="A4216">
        <v>4215</v>
      </c>
      <c r="C4216">
        <v>24.52</v>
      </c>
      <c r="D4216">
        <v>22.39</v>
      </c>
    </row>
    <row r="4217" spans="1:4">
      <c r="A4217">
        <v>4216</v>
      </c>
      <c r="C4217">
        <v>23.67</v>
      </c>
      <c r="D4217">
        <v>22.46</v>
      </c>
    </row>
    <row r="4218" spans="1:4">
      <c r="A4218">
        <v>4217</v>
      </c>
      <c r="C4218">
        <v>24.34</v>
      </c>
      <c r="D4218">
        <v>23.3</v>
      </c>
    </row>
    <row r="4219" spans="1:4">
      <c r="A4219">
        <v>4218</v>
      </c>
      <c r="C4219">
        <v>23.08</v>
      </c>
      <c r="D4219">
        <v>21.71</v>
      </c>
    </row>
    <row r="4220" spans="1:4">
      <c r="A4220">
        <v>4219</v>
      </c>
      <c r="C4220">
        <v>22.13</v>
      </c>
      <c r="D4220">
        <v>21.46</v>
      </c>
    </row>
    <row r="4221" spans="1:4">
      <c r="A4221">
        <v>4220</v>
      </c>
      <c r="C4221">
        <v>22.16</v>
      </c>
      <c r="D4221">
        <v>21.28</v>
      </c>
    </row>
    <row r="4222" spans="1:4">
      <c r="A4222">
        <v>4221</v>
      </c>
      <c r="C4222">
        <v>21.64</v>
      </c>
      <c r="D4222">
        <v>20.29</v>
      </c>
    </row>
    <row r="4223" spans="1:4">
      <c r="A4223">
        <v>4222</v>
      </c>
      <c r="C4223">
        <v>19.510000000000002</v>
      </c>
      <c r="D4223">
        <v>18.8</v>
      </c>
    </row>
    <row r="4224" spans="1:4">
      <c r="A4224">
        <v>4223</v>
      </c>
      <c r="C4224">
        <v>20.100000000000001</v>
      </c>
      <c r="D4224">
        <v>18.55</v>
      </c>
    </row>
    <row r="4225" spans="1:4">
      <c r="A4225">
        <v>4224</v>
      </c>
      <c r="C4225">
        <v>19.16</v>
      </c>
      <c r="D4225">
        <v>17.899999999999999</v>
      </c>
    </row>
    <row r="4226" spans="1:4">
      <c r="A4226">
        <v>4225</v>
      </c>
      <c r="C4226">
        <v>21.02</v>
      </c>
      <c r="D4226">
        <v>19.399999999999999</v>
      </c>
    </row>
    <row r="4227" spans="1:4">
      <c r="A4227">
        <v>4226</v>
      </c>
      <c r="C4227">
        <v>21.59</v>
      </c>
      <c r="D4227">
        <v>19.02</v>
      </c>
    </row>
    <row r="4228" spans="1:4">
      <c r="A4228">
        <v>4227</v>
      </c>
      <c r="C4228">
        <v>20.71</v>
      </c>
      <c r="D4228">
        <v>18.88</v>
      </c>
    </row>
    <row r="4229" spans="1:4">
      <c r="A4229">
        <v>4228</v>
      </c>
      <c r="C4229">
        <v>21.35</v>
      </c>
      <c r="D4229">
        <v>19.329999999999998</v>
      </c>
    </row>
    <row r="4230" spans="1:4">
      <c r="A4230">
        <v>4229</v>
      </c>
      <c r="C4230">
        <v>21.2</v>
      </c>
      <c r="D4230">
        <v>19.670000000000002</v>
      </c>
    </row>
    <row r="4231" spans="1:4">
      <c r="A4231">
        <v>4230</v>
      </c>
      <c r="C4231">
        <v>20.53</v>
      </c>
      <c r="D4231">
        <v>18.93</v>
      </c>
    </row>
    <row r="4232" spans="1:4">
      <c r="A4232">
        <v>4231</v>
      </c>
      <c r="C4232">
        <v>19.36</v>
      </c>
      <c r="D4232">
        <v>18.760000000000002</v>
      </c>
    </row>
    <row r="4233" spans="1:4">
      <c r="A4233">
        <v>4232</v>
      </c>
      <c r="C4233">
        <v>19.88</v>
      </c>
      <c r="D4233">
        <v>18.86</v>
      </c>
    </row>
    <row r="4234" spans="1:4">
      <c r="A4234">
        <v>4233</v>
      </c>
      <c r="C4234">
        <v>21.01</v>
      </c>
      <c r="D4234">
        <v>20.22</v>
      </c>
    </row>
    <row r="4235" spans="1:4">
      <c r="A4235">
        <v>4234</v>
      </c>
      <c r="C4235">
        <v>22.37</v>
      </c>
      <c r="D4235">
        <v>20.69</v>
      </c>
    </row>
    <row r="4236" spans="1:4">
      <c r="A4236">
        <v>4235</v>
      </c>
      <c r="C4236">
        <v>21.41</v>
      </c>
      <c r="D4236">
        <v>20.18</v>
      </c>
    </row>
    <row r="4237" spans="1:4">
      <c r="A4237">
        <v>4236</v>
      </c>
      <c r="C4237">
        <v>21.4</v>
      </c>
      <c r="D4237">
        <v>20.86</v>
      </c>
    </row>
    <row r="4238" spans="1:4">
      <c r="A4238">
        <v>4237</v>
      </c>
      <c r="C4238">
        <v>22.54</v>
      </c>
      <c r="D4238">
        <v>20.92</v>
      </c>
    </row>
    <row r="4239" spans="1:4">
      <c r="A4239">
        <v>4238</v>
      </c>
      <c r="C4239">
        <v>21.82</v>
      </c>
      <c r="D4239">
        <v>21.22</v>
      </c>
    </row>
    <row r="4240" spans="1:4">
      <c r="A4240">
        <v>4239</v>
      </c>
      <c r="C4240">
        <v>22.02</v>
      </c>
      <c r="D4240">
        <v>19.54</v>
      </c>
    </row>
    <row r="4241" spans="1:4">
      <c r="A4241">
        <v>4240</v>
      </c>
      <c r="C4241">
        <v>18.8</v>
      </c>
      <c r="D4241">
        <v>17.97</v>
      </c>
    </row>
    <row r="4242" spans="1:4">
      <c r="A4242">
        <v>4241</v>
      </c>
      <c r="C4242">
        <v>18.440000000000001</v>
      </c>
      <c r="D4242">
        <v>17.920000000000002</v>
      </c>
    </row>
    <row r="4243" spans="1:4">
      <c r="A4243">
        <v>4242</v>
      </c>
      <c r="C4243">
        <v>19.350000000000001</v>
      </c>
      <c r="D4243">
        <v>18.21</v>
      </c>
    </row>
    <row r="4244" spans="1:4">
      <c r="A4244">
        <v>4243</v>
      </c>
      <c r="C4244">
        <v>19.39</v>
      </c>
      <c r="D4244">
        <v>17.829999999999998</v>
      </c>
    </row>
    <row r="4245" spans="1:4">
      <c r="A4245">
        <v>4244</v>
      </c>
      <c r="C4245">
        <v>19.96</v>
      </c>
      <c r="D4245">
        <v>18.41</v>
      </c>
    </row>
    <row r="4246" spans="1:4">
      <c r="A4246">
        <v>4245</v>
      </c>
      <c r="C4246">
        <v>19.75</v>
      </c>
      <c r="D4246">
        <v>18.48</v>
      </c>
    </row>
    <row r="4247" spans="1:4">
      <c r="A4247">
        <v>4246</v>
      </c>
      <c r="C4247">
        <v>21.23</v>
      </c>
      <c r="D4247">
        <v>19.29</v>
      </c>
    </row>
    <row r="4248" spans="1:4">
      <c r="A4248">
        <v>4247</v>
      </c>
      <c r="C4248">
        <v>20.37</v>
      </c>
      <c r="D4248">
        <v>19.14</v>
      </c>
    </row>
    <row r="4249" spans="1:4">
      <c r="A4249">
        <v>4248</v>
      </c>
      <c r="C4249">
        <v>23.07</v>
      </c>
      <c r="D4249">
        <v>20.95</v>
      </c>
    </row>
    <row r="4250" spans="1:4">
      <c r="A4250">
        <v>4249</v>
      </c>
      <c r="C4250">
        <v>22.21</v>
      </c>
      <c r="D4250">
        <v>21.22</v>
      </c>
    </row>
    <row r="4251" spans="1:4">
      <c r="A4251">
        <v>4250</v>
      </c>
      <c r="C4251">
        <v>20.309999999999999</v>
      </c>
      <c r="D4251">
        <v>18.75</v>
      </c>
    </row>
    <row r="4252" spans="1:4">
      <c r="A4252">
        <v>4251</v>
      </c>
      <c r="C4252">
        <v>19.72</v>
      </c>
      <c r="D4252">
        <v>17.760000000000002</v>
      </c>
    </row>
    <row r="4253" spans="1:4">
      <c r="A4253">
        <v>4252</v>
      </c>
      <c r="C4253">
        <v>20.14</v>
      </c>
      <c r="D4253">
        <v>18.350000000000001</v>
      </c>
    </row>
    <row r="4254" spans="1:4">
      <c r="A4254">
        <v>4253</v>
      </c>
      <c r="C4254">
        <v>21.45</v>
      </c>
      <c r="D4254">
        <v>20.239999999999998</v>
      </c>
    </row>
    <row r="4255" spans="1:4">
      <c r="A4255">
        <v>4254</v>
      </c>
      <c r="C4255">
        <v>19.61</v>
      </c>
      <c r="D4255">
        <v>18.73</v>
      </c>
    </row>
    <row r="4256" spans="1:4">
      <c r="A4256">
        <v>4255</v>
      </c>
      <c r="C4256">
        <v>22.22</v>
      </c>
      <c r="D4256">
        <v>20.28</v>
      </c>
    </row>
    <row r="4257" spans="1:4">
      <c r="A4257">
        <v>4256</v>
      </c>
      <c r="C4257">
        <v>23.84</v>
      </c>
      <c r="D4257">
        <v>21.38</v>
      </c>
    </row>
    <row r="4258" spans="1:4">
      <c r="A4258">
        <v>4257</v>
      </c>
      <c r="C4258">
        <v>23.79</v>
      </c>
      <c r="D4258">
        <v>22.42</v>
      </c>
    </row>
    <row r="4259" spans="1:4">
      <c r="A4259">
        <v>4258</v>
      </c>
      <c r="C4259">
        <v>21.43</v>
      </c>
      <c r="D4259">
        <v>20.399999999999999</v>
      </c>
    </row>
    <row r="4260" spans="1:4">
      <c r="A4260">
        <v>4259</v>
      </c>
      <c r="C4260">
        <v>21.13</v>
      </c>
      <c r="D4260">
        <v>19.100000000000001</v>
      </c>
    </row>
    <row r="4261" spans="1:4">
      <c r="A4261">
        <v>4260</v>
      </c>
      <c r="C4261">
        <v>19.28</v>
      </c>
      <c r="D4261">
        <v>17.71</v>
      </c>
    </row>
    <row r="4262" spans="1:4">
      <c r="A4262">
        <v>4261</v>
      </c>
      <c r="C4262">
        <v>18.850000000000001</v>
      </c>
      <c r="D4262">
        <v>17.95</v>
      </c>
    </row>
    <row r="4263" spans="1:4">
      <c r="A4263">
        <v>4262</v>
      </c>
      <c r="C4263">
        <v>18.149999999999999</v>
      </c>
      <c r="D4263">
        <v>17.13</v>
      </c>
    </row>
    <row r="4264" spans="1:4">
      <c r="A4264">
        <v>4263</v>
      </c>
      <c r="C4264">
        <v>18.32</v>
      </c>
      <c r="D4264">
        <v>17.690000000000001</v>
      </c>
    </row>
    <row r="4265" spans="1:4">
      <c r="A4265">
        <v>4264</v>
      </c>
      <c r="C4265">
        <v>17.84</v>
      </c>
      <c r="D4265">
        <v>17.239999999999998</v>
      </c>
    </row>
    <row r="4266" spans="1:4">
      <c r="A4266">
        <v>4265</v>
      </c>
      <c r="C4266">
        <v>17.63</v>
      </c>
      <c r="D4266">
        <v>17.059999999999999</v>
      </c>
    </row>
    <row r="4267" spans="1:4">
      <c r="A4267">
        <v>4266</v>
      </c>
      <c r="C4267">
        <v>17.670000000000002</v>
      </c>
      <c r="D4267">
        <v>16.68</v>
      </c>
    </row>
    <row r="4268" spans="1:4">
      <c r="A4268">
        <v>4267</v>
      </c>
      <c r="C4268">
        <v>17.95</v>
      </c>
      <c r="D4268">
        <v>17.22</v>
      </c>
    </row>
    <row r="4269" spans="1:4">
      <c r="A4269">
        <v>4268</v>
      </c>
      <c r="C4269">
        <v>18.14</v>
      </c>
      <c r="D4269">
        <v>17.37</v>
      </c>
    </row>
    <row r="4270" spans="1:4">
      <c r="A4270">
        <v>4269</v>
      </c>
      <c r="C4270">
        <v>18.27</v>
      </c>
      <c r="D4270">
        <v>16.88</v>
      </c>
    </row>
    <row r="4271" spans="1:4">
      <c r="A4271">
        <v>4270</v>
      </c>
      <c r="C4271">
        <v>17.64</v>
      </c>
      <c r="D4271">
        <v>15.46</v>
      </c>
    </row>
    <row r="4272" spans="1:4">
      <c r="A4272">
        <v>4271</v>
      </c>
      <c r="C4272">
        <v>16.86</v>
      </c>
      <c r="D4272">
        <v>15.78</v>
      </c>
    </row>
    <row r="4273" spans="1:4">
      <c r="A4273">
        <v>4272</v>
      </c>
      <c r="C4273">
        <v>16.62</v>
      </c>
      <c r="D4273">
        <v>16.079999999999998</v>
      </c>
    </row>
    <row r="4274" spans="1:4">
      <c r="A4274">
        <v>4273</v>
      </c>
      <c r="C4274">
        <v>16.559999999999999</v>
      </c>
      <c r="D4274">
        <v>15.45</v>
      </c>
    </row>
    <row r="4275" spans="1:4">
      <c r="A4275">
        <v>4274</v>
      </c>
      <c r="C4275">
        <v>16.86</v>
      </c>
      <c r="D4275">
        <v>15.4</v>
      </c>
    </row>
    <row r="4276" spans="1:4">
      <c r="A4276">
        <v>4275</v>
      </c>
      <c r="C4276">
        <v>18.32</v>
      </c>
      <c r="D4276">
        <v>17.66</v>
      </c>
    </row>
    <row r="4277" spans="1:4">
      <c r="A4277">
        <v>4276</v>
      </c>
      <c r="C4277">
        <v>17.989999999999998</v>
      </c>
      <c r="D4277">
        <v>17.3</v>
      </c>
    </row>
    <row r="4278" spans="1:4">
      <c r="A4278">
        <v>4277</v>
      </c>
      <c r="C4278">
        <v>17.489999999999998</v>
      </c>
      <c r="D4278">
        <v>17.02</v>
      </c>
    </row>
    <row r="4279" spans="1:4">
      <c r="A4279">
        <v>4278</v>
      </c>
      <c r="C4279">
        <v>17.89</v>
      </c>
      <c r="D4279">
        <v>17.46</v>
      </c>
    </row>
    <row r="4280" spans="1:4">
      <c r="A4280">
        <v>4279</v>
      </c>
      <c r="C4280">
        <v>18.13</v>
      </c>
      <c r="D4280">
        <v>17.75</v>
      </c>
    </row>
    <row r="4281" spans="1:4">
      <c r="A4281">
        <v>4280</v>
      </c>
      <c r="C4281">
        <v>17.95</v>
      </c>
      <c r="D4281">
        <v>16.91</v>
      </c>
    </row>
    <row r="4282" spans="1:4">
      <c r="A4282">
        <v>4281</v>
      </c>
      <c r="C4282">
        <v>18.239999999999998</v>
      </c>
      <c r="D4282">
        <v>17.329999999999998</v>
      </c>
    </row>
    <row r="4283" spans="1:4">
      <c r="A4283">
        <v>4282</v>
      </c>
      <c r="C4283">
        <v>17.95</v>
      </c>
      <c r="D4283">
        <v>16.86</v>
      </c>
    </row>
    <row r="4284" spans="1:4">
      <c r="A4284">
        <v>4283</v>
      </c>
      <c r="C4284">
        <v>17.559999999999999</v>
      </c>
      <c r="D4284">
        <v>16.79</v>
      </c>
    </row>
    <row r="4285" spans="1:4">
      <c r="A4285">
        <v>4284</v>
      </c>
      <c r="C4285">
        <v>18.07</v>
      </c>
      <c r="D4285">
        <v>16.57</v>
      </c>
    </row>
    <row r="4286" spans="1:4">
      <c r="A4286">
        <v>4285</v>
      </c>
      <c r="C4286">
        <v>18.63</v>
      </c>
      <c r="D4286">
        <v>17.54</v>
      </c>
    </row>
    <row r="4287" spans="1:4">
      <c r="A4287">
        <v>4286</v>
      </c>
      <c r="C4287">
        <v>17.350000000000001</v>
      </c>
      <c r="D4287">
        <v>16.600000000000001</v>
      </c>
    </row>
    <row r="4288" spans="1:4">
      <c r="A4288">
        <v>4287</v>
      </c>
      <c r="C4288">
        <v>16.5</v>
      </c>
      <c r="D4288">
        <v>16.170000000000002</v>
      </c>
    </row>
    <row r="4289" spans="1:4">
      <c r="A4289">
        <v>4288</v>
      </c>
      <c r="C4289">
        <v>16.78</v>
      </c>
      <c r="D4289">
        <v>16.14</v>
      </c>
    </row>
    <row r="4290" spans="1:4">
      <c r="A4290">
        <v>4289</v>
      </c>
      <c r="C4290">
        <v>16.71</v>
      </c>
      <c r="D4290">
        <v>15.37</v>
      </c>
    </row>
    <row r="4291" spans="1:4">
      <c r="A4291">
        <v>4290</v>
      </c>
      <c r="C4291">
        <v>16.2</v>
      </c>
      <c r="D4291">
        <v>15.71</v>
      </c>
    </row>
    <row r="4292" spans="1:4">
      <c r="A4292">
        <v>4291</v>
      </c>
      <c r="C4292">
        <v>17.670000000000002</v>
      </c>
      <c r="D4292">
        <v>15.86</v>
      </c>
    </row>
    <row r="4293" spans="1:4">
      <c r="A4293">
        <v>4292</v>
      </c>
      <c r="C4293">
        <v>18.850000000000001</v>
      </c>
      <c r="D4293">
        <v>17.649999999999999</v>
      </c>
    </row>
    <row r="4294" spans="1:4">
      <c r="A4294">
        <v>4293</v>
      </c>
      <c r="C4294">
        <v>18.61</v>
      </c>
      <c r="D4294">
        <v>16.600000000000001</v>
      </c>
    </row>
    <row r="4295" spans="1:4">
      <c r="A4295">
        <v>4294</v>
      </c>
      <c r="C4295">
        <v>18.93</v>
      </c>
      <c r="D4295">
        <v>17.559999999999999</v>
      </c>
    </row>
    <row r="4296" spans="1:4">
      <c r="A4296">
        <v>4295</v>
      </c>
      <c r="C4296">
        <v>18.55</v>
      </c>
      <c r="D4296">
        <v>17.59</v>
      </c>
    </row>
    <row r="4297" spans="1:4">
      <c r="A4297">
        <v>4296</v>
      </c>
      <c r="C4297">
        <v>17.420000000000002</v>
      </c>
      <c r="D4297">
        <v>16.59</v>
      </c>
    </row>
    <row r="4298" spans="1:4">
      <c r="A4298">
        <v>4297</v>
      </c>
      <c r="C4298">
        <v>16.89</v>
      </c>
      <c r="D4298">
        <v>15.81</v>
      </c>
    </row>
    <row r="4299" spans="1:4">
      <c r="A4299">
        <v>4298</v>
      </c>
      <c r="C4299">
        <v>20.079999999999998</v>
      </c>
      <c r="D4299">
        <v>15.92</v>
      </c>
    </row>
    <row r="4300" spans="1:4">
      <c r="A4300">
        <v>4299</v>
      </c>
      <c r="C4300">
        <v>19.96</v>
      </c>
      <c r="D4300">
        <v>17.100000000000001</v>
      </c>
    </row>
    <row r="4301" spans="1:4">
      <c r="A4301">
        <v>4300</v>
      </c>
      <c r="C4301">
        <v>18.63</v>
      </c>
      <c r="D4301">
        <v>17.399999999999999</v>
      </c>
    </row>
    <row r="4302" spans="1:4">
      <c r="A4302">
        <v>4301</v>
      </c>
      <c r="C4302">
        <v>17.84</v>
      </c>
      <c r="D4302">
        <v>17.28</v>
      </c>
    </row>
    <row r="4303" spans="1:4">
      <c r="A4303">
        <v>4302</v>
      </c>
      <c r="C4303">
        <v>17.8</v>
      </c>
      <c r="D4303">
        <v>16.61</v>
      </c>
    </row>
    <row r="4304" spans="1:4">
      <c r="A4304">
        <v>4303</v>
      </c>
      <c r="C4304">
        <v>16.739999999999998</v>
      </c>
      <c r="D4304">
        <v>15.89</v>
      </c>
    </row>
    <row r="4305" spans="1:4">
      <c r="A4305">
        <v>4304</v>
      </c>
      <c r="C4305">
        <v>16.54</v>
      </c>
      <c r="D4305">
        <v>15.84</v>
      </c>
    </row>
    <row r="4306" spans="1:4">
      <c r="A4306">
        <v>4305</v>
      </c>
      <c r="C4306">
        <v>16.600000000000001</v>
      </c>
      <c r="D4306">
        <v>14.86</v>
      </c>
    </row>
    <row r="4307" spans="1:4">
      <c r="A4307">
        <v>4306</v>
      </c>
      <c r="C4307">
        <v>16.52</v>
      </c>
      <c r="D4307">
        <v>15.86</v>
      </c>
    </row>
    <row r="4308" spans="1:4">
      <c r="A4308">
        <v>4307</v>
      </c>
      <c r="C4308">
        <v>17.07</v>
      </c>
      <c r="D4308">
        <v>16</v>
      </c>
    </row>
    <row r="4309" spans="1:4">
      <c r="A4309">
        <v>4308</v>
      </c>
      <c r="C4309">
        <v>16.53</v>
      </c>
      <c r="D4309">
        <v>15.55</v>
      </c>
    </row>
    <row r="4310" spans="1:4">
      <c r="A4310">
        <v>4309</v>
      </c>
      <c r="C4310">
        <v>16.260000000000002</v>
      </c>
      <c r="D4310">
        <v>15.22</v>
      </c>
    </row>
    <row r="4311" spans="1:4">
      <c r="A4311">
        <v>4310</v>
      </c>
      <c r="C4311">
        <v>16.75</v>
      </c>
      <c r="D4311">
        <v>16.27</v>
      </c>
    </row>
    <row r="4312" spans="1:4">
      <c r="A4312">
        <v>4311</v>
      </c>
      <c r="C4312">
        <v>16.739999999999998</v>
      </c>
      <c r="D4312">
        <v>15.84</v>
      </c>
    </row>
    <row r="4313" spans="1:4">
      <c r="A4313">
        <v>4312</v>
      </c>
      <c r="C4313">
        <v>17.3</v>
      </c>
      <c r="D4313">
        <v>15.88</v>
      </c>
    </row>
    <row r="4314" spans="1:4">
      <c r="A4314">
        <v>4313</v>
      </c>
      <c r="C4314">
        <v>16.91</v>
      </c>
      <c r="D4314">
        <v>15.54</v>
      </c>
    </row>
    <row r="4315" spans="1:4">
      <c r="A4315">
        <v>4314</v>
      </c>
      <c r="C4315">
        <v>21.45</v>
      </c>
      <c r="D4315">
        <v>18.38</v>
      </c>
    </row>
    <row r="4316" spans="1:4">
      <c r="A4316">
        <v>4315</v>
      </c>
      <c r="C4316">
        <v>23.22</v>
      </c>
      <c r="D4316">
        <v>20.3</v>
      </c>
    </row>
    <row r="4317" spans="1:4">
      <c r="A4317">
        <v>4316</v>
      </c>
      <c r="C4317">
        <v>22.71</v>
      </c>
      <c r="D4317">
        <v>20.81</v>
      </c>
    </row>
    <row r="4318" spans="1:4">
      <c r="A4318">
        <v>4317</v>
      </c>
      <c r="C4318">
        <v>20.440000000000001</v>
      </c>
      <c r="D4318">
        <v>18.88</v>
      </c>
    </row>
    <row r="4319" spans="1:4">
      <c r="A4319">
        <v>4318</v>
      </c>
      <c r="C4319">
        <v>19.27</v>
      </c>
      <c r="D4319">
        <v>18.14</v>
      </c>
    </row>
    <row r="4320" spans="1:4">
      <c r="A4320">
        <v>4319</v>
      </c>
      <c r="C4320">
        <v>21.01</v>
      </c>
      <c r="D4320">
        <v>17.63</v>
      </c>
    </row>
    <row r="4321" spans="1:4">
      <c r="A4321">
        <v>4320</v>
      </c>
      <c r="C4321">
        <v>21.14</v>
      </c>
      <c r="D4321">
        <v>19.62</v>
      </c>
    </row>
    <row r="4322" spans="1:4">
      <c r="A4322">
        <v>4321</v>
      </c>
      <c r="C4322">
        <v>19.27</v>
      </c>
      <c r="D4322">
        <v>18.25</v>
      </c>
    </row>
    <row r="4323" spans="1:4">
      <c r="A4323">
        <v>4322</v>
      </c>
      <c r="C4323">
        <v>20.329999999999998</v>
      </c>
      <c r="D4323">
        <v>18.309999999999999</v>
      </c>
    </row>
    <row r="4324" spans="1:4">
      <c r="A4324">
        <v>4323</v>
      </c>
      <c r="C4324">
        <v>21.77</v>
      </c>
      <c r="D4324">
        <v>18.95</v>
      </c>
    </row>
    <row r="4325" spans="1:4">
      <c r="A4325">
        <v>4324</v>
      </c>
      <c r="C4325">
        <v>21.06</v>
      </c>
      <c r="D4325">
        <v>19.149999999999999</v>
      </c>
    </row>
    <row r="4326" spans="1:4">
      <c r="A4326">
        <v>4325</v>
      </c>
      <c r="C4326">
        <v>20.96</v>
      </c>
      <c r="D4326">
        <v>19.41</v>
      </c>
    </row>
    <row r="4327" spans="1:4">
      <c r="A4327">
        <v>4326</v>
      </c>
      <c r="C4327">
        <v>22.25</v>
      </c>
      <c r="D4327">
        <v>20.34</v>
      </c>
    </row>
    <row r="4328" spans="1:4">
      <c r="A4328">
        <v>4327</v>
      </c>
      <c r="C4328">
        <v>21.75</v>
      </c>
      <c r="D4328">
        <v>19.97</v>
      </c>
    </row>
    <row r="4329" spans="1:4">
      <c r="A4329">
        <v>4328</v>
      </c>
      <c r="C4329">
        <v>22.74</v>
      </c>
      <c r="D4329">
        <v>20.92</v>
      </c>
    </row>
    <row r="4330" spans="1:4">
      <c r="A4330">
        <v>4329</v>
      </c>
      <c r="C4330">
        <v>25.72</v>
      </c>
      <c r="D4330">
        <v>23.31</v>
      </c>
    </row>
    <row r="4331" spans="1:4">
      <c r="A4331">
        <v>4330</v>
      </c>
      <c r="C4331">
        <v>31.28</v>
      </c>
      <c r="D4331">
        <v>24.04</v>
      </c>
    </row>
    <row r="4332" spans="1:4">
      <c r="A4332">
        <v>4331</v>
      </c>
      <c r="C4332">
        <v>27.54</v>
      </c>
      <c r="D4332">
        <v>25.44</v>
      </c>
    </row>
    <row r="4333" spans="1:4">
      <c r="A4333">
        <v>4332</v>
      </c>
      <c r="C4333">
        <v>24.85</v>
      </c>
      <c r="D4333">
        <v>23.09</v>
      </c>
    </row>
    <row r="4334" spans="1:4">
      <c r="A4334">
        <v>4333</v>
      </c>
      <c r="C4334">
        <v>22.16</v>
      </c>
      <c r="D4334">
        <v>20.22</v>
      </c>
    </row>
    <row r="4335" spans="1:4">
      <c r="A4335">
        <v>4334</v>
      </c>
      <c r="C4335">
        <v>20.59</v>
      </c>
      <c r="D4335">
        <v>19.97</v>
      </c>
    </row>
    <row r="4336" spans="1:4">
      <c r="A4336">
        <v>4335</v>
      </c>
      <c r="C4336">
        <v>21.05</v>
      </c>
      <c r="D4336">
        <v>18.190000000000001</v>
      </c>
    </row>
    <row r="4337" spans="1:4">
      <c r="A4337">
        <v>4336</v>
      </c>
      <c r="C4337">
        <v>18.989999999999998</v>
      </c>
      <c r="D4337">
        <v>17.87</v>
      </c>
    </row>
    <row r="4338" spans="1:4">
      <c r="A4338">
        <v>4337</v>
      </c>
      <c r="C4338">
        <v>18.079999999999998</v>
      </c>
      <c r="D4338">
        <v>17.07</v>
      </c>
    </row>
    <row r="4339" spans="1:4">
      <c r="A4339">
        <v>4338</v>
      </c>
      <c r="C4339">
        <v>19.440000000000001</v>
      </c>
      <c r="D4339">
        <v>17.96</v>
      </c>
    </row>
    <row r="4340" spans="1:4">
      <c r="A4340">
        <v>4339</v>
      </c>
      <c r="C4340">
        <v>19.78</v>
      </c>
      <c r="D4340">
        <v>18</v>
      </c>
    </row>
    <row r="4341" spans="1:4">
      <c r="A4341">
        <v>4340</v>
      </c>
      <c r="C4341">
        <v>17.89</v>
      </c>
      <c r="D4341">
        <v>17.25</v>
      </c>
    </row>
    <row r="4342" spans="1:4">
      <c r="A4342">
        <v>4341</v>
      </c>
      <c r="C4342">
        <v>17.95</v>
      </c>
      <c r="D4342">
        <v>17.41</v>
      </c>
    </row>
    <row r="4343" spans="1:4">
      <c r="A4343">
        <v>4342</v>
      </c>
      <c r="C4343">
        <v>17.62</v>
      </c>
      <c r="D4343">
        <v>16.440000000000001</v>
      </c>
    </row>
    <row r="4344" spans="1:4">
      <c r="A4344">
        <v>4343</v>
      </c>
      <c r="C4344">
        <v>17.850000000000001</v>
      </c>
      <c r="D4344">
        <v>17.39</v>
      </c>
    </row>
    <row r="4345" spans="1:4">
      <c r="A4345">
        <v>4344</v>
      </c>
      <c r="C4345">
        <v>17.87</v>
      </c>
      <c r="D4345">
        <v>16.5</v>
      </c>
    </row>
    <row r="4346" spans="1:4">
      <c r="A4346">
        <v>4345</v>
      </c>
      <c r="C4346">
        <v>17.149999999999999</v>
      </c>
      <c r="D4346">
        <v>16.5</v>
      </c>
    </row>
    <row r="4347" spans="1:4">
      <c r="A4347">
        <v>4346</v>
      </c>
      <c r="C4347">
        <v>17.77</v>
      </c>
      <c r="D4347">
        <v>16.489999999999998</v>
      </c>
    </row>
    <row r="4348" spans="1:4">
      <c r="A4348">
        <v>4347</v>
      </c>
      <c r="C4348">
        <v>18.329999999999998</v>
      </c>
      <c r="D4348">
        <v>16.510000000000002</v>
      </c>
    </row>
    <row r="4349" spans="1:4">
      <c r="A4349">
        <v>4348</v>
      </c>
      <c r="C4349">
        <v>17.05</v>
      </c>
      <c r="D4349">
        <v>16.22</v>
      </c>
    </row>
    <row r="4350" spans="1:4">
      <c r="A4350">
        <v>4349</v>
      </c>
      <c r="C4350">
        <v>18.46</v>
      </c>
      <c r="D4350">
        <v>16.88</v>
      </c>
    </row>
    <row r="4351" spans="1:4">
      <c r="A4351">
        <v>4350</v>
      </c>
      <c r="C4351">
        <v>17.38</v>
      </c>
      <c r="D4351">
        <v>16.2</v>
      </c>
    </row>
    <row r="4352" spans="1:4">
      <c r="A4352">
        <v>4351</v>
      </c>
      <c r="C4352">
        <v>18.079999999999998</v>
      </c>
      <c r="D4352">
        <v>16.079999999999998</v>
      </c>
    </row>
    <row r="4353" spans="1:4">
      <c r="A4353">
        <v>4352</v>
      </c>
      <c r="C4353">
        <v>15.98</v>
      </c>
      <c r="D4353">
        <v>14.92</v>
      </c>
    </row>
    <row r="4354" spans="1:4">
      <c r="A4354">
        <v>4353</v>
      </c>
      <c r="C4354">
        <v>19.07</v>
      </c>
      <c r="D4354">
        <v>16.809999999999999</v>
      </c>
    </row>
    <row r="4355" spans="1:4">
      <c r="A4355">
        <v>4354</v>
      </c>
      <c r="C4355">
        <v>16.72</v>
      </c>
      <c r="D4355">
        <v>15.69</v>
      </c>
    </row>
    <row r="4356" spans="1:4">
      <c r="A4356">
        <v>4355</v>
      </c>
      <c r="C4356">
        <v>15.39</v>
      </c>
      <c r="D4356">
        <v>14.3</v>
      </c>
    </row>
    <row r="4357" spans="1:4">
      <c r="A4357">
        <v>4356</v>
      </c>
      <c r="C4357">
        <v>15.23</v>
      </c>
      <c r="D4357">
        <v>14.4</v>
      </c>
    </row>
    <row r="4358" spans="1:4">
      <c r="A4358">
        <v>4357</v>
      </c>
      <c r="C4358">
        <v>16.059999999999999</v>
      </c>
      <c r="D4358">
        <v>15.5</v>
      </c>
    </row>
    <row r="4359" spans="1:4">
      <c r="A4359">
        <v>4358</v>
      </c>
      <c r="C4359">
        <v>15.66</v>
      </c>
      <c r="D4359">
        <v>15.07</v>
      </c>
    </row>
    <row r="4360" spans="1:4">
      <c r="A4360">
        <v>4359</v>
      </c>
      <c r="C4360">
        <v>16.420000000000002</v>
      </c>
      <c r="D4360">
        <v>15.13</v>
      </c>
    </row>
    <row r="4361" spans="1:4">
      <c r="A4361">
        <v>4360</v>
      </c>
      <c r="C4361">
        <v>15.54</v>
      </c>
      <c r="D4361">
        <v>14.27</v>
      </c>
    </row>
    <row r="4362" spans="1:4">
      <c r="A4362">
        <v>4361</v>
      </c>
      <c r="C4362">
        <v>14.99</v>
      </c>
      <c r="D4362">
        <v>14.49</v>
      </c>
    </row>
    <row r="4363" spans="1:4">
      <c r="A4363">
        <v>4362</v>
      </c>
      <c r="C4363">
        <v>16.13</v>
      </c>
      <c r="D4363">
        <v>15.07</v>
      </c>
    </row>
    <row r="4364" spans="1:4">
      <c r="A4364">
        <v>4363</v>
      </c>
      <c r="C4364">
        <v>17.29</v>
      </c>
      <c r="D4364">
        <v>16.13</v>
      </c>
    </row>
    <row r="4365" spans="1:4">
      <c r="A4365">
        <v>4364</v>
      </c>
      <c r="C4365">
        <v>17.72</v>
      </c>
      <c r="D4365">
        <v>16.829999999999998</v>
      </c>
    </row>
    <row r="4366" spans="1:4">
      <c r="A4366">
        <v>4365</v>
      </c>
      <c r="C4366">
        <v>19.11</v>
      </c>
      <c r="D4366">
        <v>16.739999999999998</v>
      </c>
    </row>
    <row r="4367" spans="1:4">
      <c r="A4367">
        <v>4366</v>
      </c>
      <c r="C4367">
        <v>19.29</v>
      </c>
      <c r="D4367">
        <v>16.12</v>
      </c>
    </row>
    <row r="4368" spans="1:4">
      <c r="A4368">
        <v>4367</v>
      </c>
      <c r="C4368">
        <v>18.59</v>
      </c>
      <c r="D4368">
        <v>17.04</v>
      </c>
    </row>
    <row r="4369" spans="1:4">
      <c r="A4369">
        <v>4368</v>
      </c>
      <c r="C4369">
        <v>16.899999999999999</v>
      </c>
      <c r="D4369">
        <v>15.79</v>
      </c>
    </row>
    <row r="4370" spans="1:4">
      <c r="A4370">
        <v>4369</v>
      </c>
      <c r="C4370">
        <v>17.489999999999998</v>
      </c>
      <c r="D4370">
        <v>16.23</v>
      </c>
    </row>
    <row r="4371" spans="1:4">
      <c r="A4371">
        <v>4370</v>
      </c>
      <c r="C4371">
        <v>17.89</v>
      </c>
      <c r="D4371">
        <v>16.03</v>
      </c>
    </row>
    <row r="4372" spans="1:4">
      <c r="A4372">
        <v>4371</v>
      </c>
      <c r="C4372">
        <v>17.559999999999999</v>
      </c>
      <c r="D4372">
        <v>15.98</v>
      </c>
    </row>
    <row r="4373" spans="1:4">
      <c r="A4373">
        <v>4372</v>
      </c>
      <c r="C4373">
        <v>18.25</v>
      </c>
      <c r="D4373">
        <v>16.61</v>
      </c>
    </row>
    <row r="4374" spans="1:4">
      <c r="A4374">
        <v>4373</v>
      </c>
      <c r="C4374">
        <v>19.09</v>
      </c>
      <c r="D4374">
        <v>17.47</v>
      </c>
    </row>
    <row r="4375" spans="1:4">
      <c r="A4375">
        <v>4374</v>
      </c>
      <c r="C4375">
        <v>17.68</v>
      </c>
      <c r="D4375">
        <v>16.03</v>
      </c>
    </row>
    <row r="4376" spans="1:4">
      <c r="A4376">
        <v>4375</v>
      </c>
      <c r="C4376">
        <v>16.559999999999999</v>
      </c>
      <c r="D4376">
        <v>15.5</v>
      </c>
    </row>
    <row r="4377" spans="1:4">
      <c r="A4377">
        <v>4376</v>
      </c>
      <c r="C4377">
        <v>17.43</v>
      </c>
      <c r="D4377">
        <v>15.7</v>
      </c>
    </row>
    <row r="4378" spans="1:4">
      <c r="A4378">
        <v>4377</v>
      </c>
      <c r="C4378">
        <v>20.03</v>
      </c>
      <c r="D4378">
        <v>17.47</v>
      </c>
    </row>
    <row r="4379" spans="1:4">
      <c r="A4379">
        <v>4378</v>
      </c>
      <c r="C4379">
        <v>18.190000000000001</v>
      </c>
      <c r="D4379">
        <v>17</v>
      </c>
    </row>
    <row r="4380" spans="1:4">
      <c r="A4380">
        <v>4379</v>
      </c>
      <c r="C4380">
        <v>18.260000000000002</v>
      </c>
      <c r="D4380">
        <v>16.7</v>
      </c>
    </row>
    <row r="4381" spans="1:4">
      <c r="A4381">
        <v>4380</v>
      </c>
      <c r="C4381">
        <v>17.46</v>
      </c>
      <c r="D4381">
        <v>15.9</v>
      </c>
    </row>
    <row r="4382" spans="1:4">
      <c r="A4382">
        <v>4381</v>
      </c>
      <c r="C4382">
        <v>16.27</v>
      </c>
      <c r="D4382">
        <v>15.36</v>
      </c>
    </row>
    <row r="4383" spans="1:4">
      <c r="A4383">
        <v>4382</v>
      </c>
      <c r="C4383">
        <v>16.5</v>
      </c>
      <c r="D4383">
        <v>15.15</v>
      </c>
    </row>
    <row r="4384" spans="1:4">
      <c r="A4384">
        <v>4383</v>
      </c>
      <c r="C4384">
        <v>18.48</v>
      </c>
      <c r="D4384">
        <v>15.95</v>
      </c>
    </row>
    <row r="4385" spans="1:4">
      <c r="A4385">
        <v>4384</v>
      </c>
      <c r="C4385">
        <v>18.72</v>
      </c>
      <c r="D4385">
        <v>17.39</v>
      </c>
    </row>
    <row r="4386" spans="1:4">
      <c r="A4386">
        <v>4385</v>
      </c>
      <c r="C4386">
        <v>19.87</v>
      </c>
      <c r="D4386">
        <v>17.12</v>
      </c>
    </row>
    <row r="4387" spans="1:4">
      <c r="A4387">
        <v>4386</v>
      </c>
      <c r="C4387">
        <v>18.649999999999999</v>
      </c>
      <c r="D4387">
        <v>17.649999999999999</v>
      </c>
    </row>
    <row r="4388" spans="1:4">
      <c r="A4388">
        <v>4387</v>
      </c>
      <c r="C4388">
        <v>18.48</v>
      </c>
      <c r="D4388">
        <v>17.39</v>
      </c>
    </row>
    <row r="4389" spans="1:4">
      <c r="A4389">
        <v>4388</v>
      </c>
      <c r="C4389">
        <v>18.829999999999998</v>
      </c>
      <c r="D4389">
        <v>17.72</v>
      </c>
    </row>
    <row r="4390" spans="1:4">
      <c r="A4390">
        <v>4389</v>
      </c>
      <c r="C4390">
        <v>18.309999999999999</v>
      </c>
      <c r="D4390">
        <v>17.260000000000002</v>
      </c>
    </row>
    <row r="4391" spans="1:4">
      <c r="A4391">
        <v>4390</v>
      </c>
      <c r="C4391">
        <v>19.16</v>
      </c>
      <c r="D4391">
        <v>17.93</v>
      </c>
    </row>
    <row r="4392" spans="1:4">
      <c r="A4392">
        <v>4391</v>
      </c>
      <c r="C4392">
        <v>20.02</v>
      </c>
      <c r="D4392">
        <v>18.41</v>
      </c>
    </row>
    <row r="4393" spans="1:4">
      <c r="A4393">
        <v>4392</v>
      </c>
      <c r="C4393">
        <v>18.559999999999999</v>
      </c>
      <c r="D4393">
        <v>17.8</v>
      </c>
    </row>
    <row r="4394" spans="1:4">
      <c r="A4394">
        <v>4393</v>
      </c>
      <c r="C4394">
        <v>21.66</v>
      </c>
      <c r="D4394">
        <v>19.03</v>
      </c>
    </row>
    <row r="4395" spans="1:4">
      <c r="A4395">
        <v>4394</v>
      </c>
      <c r="C4395">
        <v>24.65</v>
      </c>
      <c r="D4395">
        <v>20.81</v>
      </c>
    </row>
    <row r="4396" spans="1:4">
      <c r="A4396">
        <v>4395</v>
      </c>
      <c r="C4396">
        <v>22.39</v>
      </c>
      <c r="D4396">
        <v>20.350000000000001</v>
      </c>
    </row>
    <row r="4397" spans="1:4">
      <c r="A4397">
        <v>4396</v>
      </c>
      <c r="C4397">
        <v>23.08</v>
      </c>
      <c r="D4397">
        <v>19.989999999999998</v>
      </c>
    </row>
    <row r="4398" spans="1:4">
      <c r="A4398">
        <v>4397</v>
      </c>
      <c r="C4398">
        <v>19.46</v>
      </c>
      <c r="D4398">
        <v>17.72</v>
      </c>
    </row>
    <row r="4399" spans="1:4">
      <c r="A4399">
        <v>4398</v>
      </c>
      <c r="C4399">
        <v>18.899999999999999</v>
      </c>
      <c r="D4399">
        <v>17.72</v>
      </c>
    </row>
    <row r="4400" spans="1:4">
      <c r="A4400">
        <v>4399</v>
      </c>
      <c r="C4400">
        <v>21.5</v>
      </c>
      <c r="D4400">
        <v>19.22</v>
      </c>
    </row>
    <row r="4401" spans="1:4">
      <c r="A4401">
        <v>4400</v>
      </c>
      <c r="C4401">
        <v>21.28</v>
      </c>
      <c r="D4401">
        <v>19.100000000000001</v>
      </c>
    </row>
    <row r="4402" spans="1:4">
      <c r="A4402">
        <v>4401</v>
      </c>
      <c r="C4402">
        <v>21.82</v>
      </c>
      <c r="D4402">
        <v>20.27</v>
      </c>
    </row>
    <row r="4403" spans="1:4">
      <c r="A4403">
        <v>4402</v>
      </c>
      <c r="C4403">
        <v>20.45</v>
      </c>
      <c r="D4403">
        <v>19.170000000000002</v>
      </c>
    </row>
    <row r="4404" spans="1:4">
      <c r="A4404">
        <v>4403</v>
      </c>
      <c r="C4404">
        <v>18.829999999999998</v>
      </c>
      <c r="D4404">
        <v>16.32</v>
      </c>
    </row>
    <row r="4405" spans="1:4">
      <c r="A4405">
        <v>4404</v>
      </c>
      <c r="C4405">
        <v>16.77</v>
      </c>
      <c r="D4405">
        <v>15.88</v>
      </c>
    </row>
    <row r="4406" spans="1:4">
      <c r="A4406">
        <v>4405</v>
      </c>
      <c r="C4406">
        <v>16.29</v>
      </c>
      <c r="D4406">
        <v>15.12</v>
      </c>
    </row>
    <row r="4407" spans="1:4">
      <c r="A4407">
        <v>4406</v>
      </c>
      <c r="C4407">
        <v>16.5</v>
      </c>
      <c r="D4407">
        <v>15.89</v>
      </c>
    </row>
    <row r="4408" spans="1:4">
      <c r="A4408">
        <v>4407</v>
      </c>
      <c r="C4408">
        <v>17.079999999999998</v>
      </c>
      <c r="D4408">
        <v>16.32</v>
      </c>
    </row>
    <row r="4409" spans="1:4">
      <c r="A4409">
        <v>4408</v>
      </c>
      <c r="C4409">
        <v>16.13</v>
      </c>
      <c r="D4409">
        <v>15.3</v>
      </c>
    </row>
    <row r="4410" spans="1:4">
      <c r="A4410">
        <v>4409</v>
      </c>
      <c r="C4410">
        <v>17.14</v>
      </c>
      <c r="D4410">
        <v>15.95</v>
      </c>
    </row>
    <row r="4411" spans="1:4">
      <c r="A4411">
        <v>4410</v>
      </c>
      <c r="C4411">
        <v>19.059999999999999</v>
      </c>
      <c r="D4411">
        <v>17.16</v>
      </c>
    </row>
    <row r="4412" spans="1:4">
      <c r="A4412">
        <v>4411</v>
      </c>
      <c r="C4412">
        <v>20.13</v>
      </c>
      <c r="D4412">
        <v>18.25</v>
      </c>
    </row>
    <row r="4413" spans="1:4">
      <c r="A4413">
        <v>4412</v>
      </c>
      <c r="C4413">
        <v>20.16</v>
      </c>
      <c r="D4413">
        <v>18.09</v>
      </c>
    </row>
    <row r="4414" spans="1:4">
      <c r="A4414">
        <v>4413</v>
      </c>
      <c r="C4414">
        <v>21.58</v>
      </c>
      <c r="D4414">
        <v>19.350000000000001</v>
      </c>
    </row>
    <row r="4415" spans="1:4">
      <c r="A4415">
        <v>4414</v>
      </c>
      <c r="C4415">
        <v>21.68</v>
      </c>
      <c r="D4415">
        <v>19.52</v>
      </c>
    </row>
    <row r="4416" spans="1:4">
      <c r="A4416">
        <v>4415</v>
      </c>
      <c r="C4416">
        <v>21.93</v>
      </c>
      <c r="D4416">
        <v>20.9</v>
      </c>
    </row>
    <row r="4417" spans="1:4">
      <c r="A4417">
        <v>4416</v>
      </c>
      <c r="C4417">
        <v>20.43</v>
      </c>
      <c r="D4417">
        <v>19.12</v>
      </c>
    </row>
    <row r="4418" spans="1:4">
      <c r="A4418">
        <v>4417</v>
      </c>
      <c r="C4418">
        <v>19.649999999999999</v>
      </c>
      <c r="D4418">
        <v>18.61</v>
      </c>
    </row>
    <row r="4419" spans="1:4">
      <c r="A4419">
        <v>4418</v>
      </c>
      <c r="C4419">
        <v>18.63</v>
      </c>
      <c r="D4419">
        <v>17.149999999999999</v>
      </c>
    </row>
    <row r="4420" spans="1:4">
      <c r="A4420">
        <v>4419</v>
      </c>
      <c r="C4420">
        <v>17.95</v>
      </c>
      <c r="D4420">
        <v>17.14</v>
      </c>
    </row>
    <row r="4421" spans="1:4">
      <c r="A4421">
        <v>4420</v>
      </c>
      <c r="C4421">
        <v>19.5</v>
      </c>
      <c r="D4421">
        <v>18.73</v>
      </c>
    </row>
    <row r="4422" spans="1:4">
      <c r="A4422">
        <v>4421</v>
      </c>
      <c r="C4422">
        <v>20.5</v>
      </c>
      <c r="D4422">
        <v>19.559999999999999</v>
      </c>
    </row>
    <row r="4423" spans="1:4">
      <c r="A4423">
        <v>4422</v>
      </c>
      <c r="C4423">
        <v>23.2</v>
      </c>
      <c r="D4423">
        <v>20.87</v>
      </c>
    </row>
    <row r="4424" spans="1:4">
      <c r="A4424">
        <v>4423</v>
      </c>
      <c r="C4424">
        <v>23.99</v>
      </c>
      <c r="D4424">
        <v>21.2</v>
      </c>
    </row>
    <row r="4425" spans="1:4">
      <c r="A4425">
        <v>4424</v>
      </c>
      <c r="C4425">
        <v>25.94</v>
      </c>
      <c r="D4425">
        <v>23.65</v>
      </c>
    </row>
    <row r="4426" spans="1:4">
      <c r="A4426">
        <v>4425</v>
      </c>
      <c r="C4426">
        <v>25.63</v>
      </c>
      <c r="D4426">
        <v>22.46</v>
      </c>
    </row>
    <row r="4427" spans="1:4">
      <c r="A4427">
        <v>4426</v>
      </c>
      <c r="C4427">
        <v>24.79</v>
      </c>
      <c r="D4427">
        <v>22.65</v>
      </c>
    </row>
    <row r="4428" spans="1:4">
      <c r="A4428">
        <v>4427</v>
      </c>
      <c r="C4428">
        <v>25.23</v>
      </c>
      <c r="D4428">
        <v>22.76</v>
      </c>
    </row>
    <row r="4429" spans="1:4">
      <c r="A4429">
        <v>4428</v>
      </c>
      <c r="C4429">
        <v>32.07</v>
      </c>
      <c r="D4429">
        <v>24.31</v>
      </c>
    </row>
    <row r="4430" spans="1:4">
      <c r="A4430">
        <v>4429</v>
      </c>
      <c r="C4430">
        <v>39.25</v>
      </c>
      <c r="D4430">
        <v>27.54</v>
      </c>
    </row>
    <row r="4431" spans="1:4">
      <c r="A4431">
        <v>4430</v>
      </c>
      <c r="C4431">
        <v>48</v>
      </c>
      <c r="D4431">
        <v>35.29</v>
      </c>
    </row>
    <row r="4432" spans="1:4">
      <c r="A4432">
        <v>4431</v>
      </c>
      <c r="C4432">
        <v>47.56</v>
      </c>
      <c r="D4432">
        <v>34.28</v>
      </c>
    </row>
    <row r="4433" spans="1:4">
      <c r="A4433">
        <v>4432</v>
      </c>
      <c r="C4433">
        <v>44.41</v>
      </c>
      <c r="D4433">
        <v>37.340000000000003</v>
      </c>
    </row>
    <row r="4434" spans="1:4">
      <c r="A4434">
        <v>4433</v>
      </c>
      <c r="C4434">
        <v>42.88</v>
      </c>
      <c r="D4434">
        <v>37.5</v>
      </c>
    </row>
    <row r="4435" spans="1:4">
      <c r="A4435">
        <v>4434</v>
      </c>
      <c r="C4435">
        <v>37.85</v>
      </c>
      <c r="D4435">
        <v>34.01</v>
      </c>
    </row>
    <row r="4436" spans="1:4">
      <c r="A4436">
        <v>4435</v>
      </c>
      <c r="C4436">
        <v>34.83</v>
      </c>
      <c r="D4436">
        <v>31.47</v>
      </c>
    </row>
    <row r="4437" spans="1:4">
      <c r="A4437">
        <v>4436</v>
      </c>
      <c r="C4437">
        <v>34.49</v>
      </c>
      <c r="D4437">
        <v>31.68</v>
      </c>
    </row>
    <row r="4438" spans="1:4">
      <c r="A4438">
        <v>4437</v>
      </c>
      <c r="C4438">
        <v>33.32</v>
      </c>
      <c r="D4438">
        <v>30.81</v>
      </c>
    </row>
    <row r="4439" spans="1:4">
      <c r="A4439">
        <v>4438</v>
      </c>
      <c r="C4439">
        <v>45.28</v>
      </c>
      <c r="D4439">
        <v>36.69</v>
      </c>
    </row>
    <row r="4440" spans="1:4">
      <c r="A4440">
        <v>4439</v>
      </c>
      <c r="C4440">
        <v>45.4</v>
      </c>
      <c r="D4440">
        <v>39.99</v>
      </c>
    </row>
    <row r="4441" spans="1:4">
      <c r="A4441">
        <v>4440</v>
      </c>
      <c r="C4441">
        <v>43.58</v>
      </c>
      <c r="D4441">
        <v>38.78</v>
      </c>
    </row>
    <row r="4442" spans="1:4">
      <c r="A4442">
        <v>4441</v>
      </c>
      <c r="C4442">
        <v>42.33</v>
      </c>
      <c r="D4442">
        <v>35.83</v>
      </c>
    </row>
    <row r="4443" spans="1:4">
      <c r="A4443">
        <v>4442</v>
      </c>
      <c r="C4443">
        <v>37.380000000000003</v>
      </c>
      <c r="D4443">
        <v>34.549999999999997</v>
      </c>
    </row>
    <row r="4444" spans="1:4">
      <c r="A4444">
        <v>4443</v>
      </c>
      <c r="C4444">
        <v>40.14</v>
      </c>
      <c r="D4444">
        <v>34.049999999999997</v>
      </c>
    </row>
    <row r="4445" spans="1:4">
      <c r="A4445">
        <v>4444</v>
      </c>
      <c r="C4445">
        <v>43.84</v>
      </c>
      <c r="D4445">
        <v>34.33</v>
      </c>
    </row>
    <row r="4446" spans="1:4">
      <c r="A4446">
        <v>4445</v>
      </c>
      <c r="C4446">
        <v>33.81</v>
      </c>
      <c r="D4446">
        <v>32.21</v>
      </c>
    </row>
    <row r="4447" spans="1:4">
      <c r="A4447">
        <v>4446</v>
      </c>
      <c r="C4447">
        <v>33.549999999999997</v>
      </c>
      <c r="D4447">
        <v>31.55</v>
      </c>
    </row>
    <row r="4448" spans="1:4">
      <c r="A4448">
        <v>4447</v>
      </c>
      <c r="C4448">
        <v>32.53</v>
      </c>
      <c r="D4448">
        <v>30.16</v>
      </c>
    </row>
    <row r="4449" spans="1:4">
      <c r="A4449">
        <v>4448</v>
      </c>
      <c r="C4449">
        <v>32.380000000000003</v>
      </c>
      <c r="D4449">
        <v>30.76</v>
      </c>
    </row>
    <row r="4450" spans="1:4">
      <c r="A4450">
        <v>4449</v>
      </c>
      <c r="C4450">
        <v>34.74</v>
      </c>
      <c r="D4450">
        <v>32.700000000000003</v>
      </c>
    </row>
    <row r="4451" spans="1:4">
      <c r="A4451">
        <v>4450</v>
      </c>
      <c r="C4451">
        <v>39.86</v>
      </c>
      <c r="D4451">
        <v>37</v>
      </c>
    </row>
    <row r="4452" spans="1:4">
      <c r="A4452">
        <v>4451</v>
      </c>
      <c r="C4452">
        <v>34.700000000000003</v>
      </c>
      <c r="D4452">
        <v>33.380000000000003</v>
      </c>
    </row>
    <row r="4453" spans="1:4">
      <c r="A4453">
        <v>4452</v>
      </c>
      <c r="C4453">
        <v>34.71</v>
      </c>
      <c r="D4453">
        <v>32.79</v>
      </c>
    </row>
    <row r="4454" spans="1:4">
      <c r="A4454">
        <v>4453</v>
      </c>
      <c r="C4454">
        <v>40.74</v>
      </c>
      <c r="D4454">
        <v>35.53</v>
      </c>
    </row>
    <row r="4455" spans="1:4">
      <c r="A4455">
        <v>4454</v>
      </c>
      <c r="C4455">
        <v>43.18</v>
      </c>
      <c r="D4455">
        <v>38.58</v>
      </c>
    </row>
    <row r="4456" spans="1:4">
      <c r="A4456">
        <v>4455</v>
      </c>
      <c r="C4456">
        <v>39.43</v>
      </c>
      <c r="D4456">
        <v>36.69</v>
      </c>
    </row>
    <row r="4457" spans="1:4">
      <c r="A4457">
        <v>4456</v>
      </c>
      <c r="C4457">
        <v>37.76</v>
      </c>
      <c r="D4457">
        <v>33.4</v>
      </c>
    </row>
    <row r="4458" spans="1:4">
      <c r="A4458">
        <v>4457</v>
      </c>
      <c r="C4458">
        <v>33.979999999999997</v>
      </c>
      <c r="D4458">
        <v>31.75</v>
      </c>
    </row>
    <row r="4459" spans="1:4">
      <c r="A4459">
        <v>4458</v>
      </c>
      <c r="C4459">
        <v>32.479999999999997</v>
      </c>
      <c r="D4459">
        <v>30.43</v>
      </c>
    </row>
    <row r="4460" spans="1:4">
      <c r="A4460">
        <v>4459</v>
      </c>
      <c r="C4460">
        <v>35.33</v>
      </c>
      <c r="D4460">
        <v>32.35</v>
      </c>
    </row>
    <row r="4461" spans="1:4">
      <c r="A4461">
        <v>4460</v>
      </c>
      <c r="C4461">
        <v>33.14</v>
      </c>
      <c r="D4461">
        <v>31.45</v>
      </c>
    </row>
    <row r="4462" spans="1:4">
      <c r="A4462">
        <v>4461</v>
      </c>
      <c r="C4462">
        <v>37.32</v>
      </c>
      <c r="D4462">
        <v>32.450000000000003</v>
      </c>
    </row>
    <row r="4463" spans="1:4">
      <c r="A4463">
        <v>4462</v>
      </c>
      <c r="C4463">
        <v>43.87</v>
      </c>
      <c r="D4463">
        <v>39.33</v>
      </c>
    </row>
    <row r="4464" spans="1:4">
      <c r="A4464">
        <v>4463</v>
      </c>
      <c r="C4464">
        <v>42.82</v>
      </c>
      <c r="D4464">
        <v>40.42</v>
      </c>
    </row>
    <row r="4465" spans="1:4">
      <c r="A4465">
        <v>4464</v>
      </c>
      <c r="C4465">
        <v>43.34</v>
      </c>
      <c r="D4465">
        <v>39.020000000000003</v>
      </c>
    </row>
    <row r="4466" spans="1:4">
      <c r="A4466">
        <v>4465</v>
      </c>
      <c r="C4466">
        <v>38.57</v>
      </c>
      <c r="D4466">
        <v>35.32</v>
      </c>
    </row>
    <row r="4467" spans="1:4">
      <c r="A4467">
        <v>4466</v>
      </c>
      <c r="C4467">
        <v>41.24</v>
      </c>
      <c r="D4467">
        <v>36.65</v>
      </c>
    </row>
    <row r="4468" spans="1:4">
      <c r="A4468">
        <v>4467</v>
      </c>
      <c r="C4468">
        <v>42</v>
      </c>
      <c r="D4468">
        <v>38.03</v>
      </c>
    </row>
    <row r="4469" spans="1:4">
      <c r="A4469">
        <v>4468</v>
      </c>
      <c r="C4469">
        <v>42.99</v>
      </c>
      <c r="D4469">
        <v>39.880000000000003</v>
      </c>
    </row>
    <row r="4470" spans="1:4">
      <c r="A4470">
        <v>4469</v>
      </c>
      <c r="C4470">
        <v>45.55</v>
      </c>
      <c r="D4470">
        <v>41.51</v>
      </c>
    </row>
    <row r="4471" spans="1:4">
      <c r="A4471">
        <v>4470</v>
      </c>
      <c r="C4471">
        <v>46.88</v>
      </c>
      <c r="D4471">
        <v>40.020000000000003</v>
      </c>
    </row>
    <row r="4472" spans="1:4">
      <c r="A4472">
        <v>4471</v>
      </c>
      <c r="C4472">
        <v>41.2</v>
      </c>
      <c r="D4472">
        <v>37.51</v>
      </c>
    </row>
    <row r="4473" spans="1:4">
      <c r="A4473">
        <v>4472</v>
      </c>
      <c r="C4473">
        <v>38.74</v>
      </c>
      <c r="D4473">
        <v>36.15</v>
      </c>
    </row>
    <row r="4474" spans="1:4">
      <c r="A4474">
        <v>4473</v>
      </c>
      <c r="C4474">
        <v>37.82</v>
      </c>
      <c r="D4474">
        <v>35.19</v>
      </c>
    </row>
    <row r="4475" spans="1:4">
      <c r="A4475">
        <v>4474</v>
      </c>
      <c r="C4475">
        <v>35.450000000000003</v>
      </c>
      <c r="D4475">
        <v>32.96</v>
      </c>
    </row>
    <row r="4476" spans="1:4">
      <c r="A4476">
        <v>4475</v>
      </c>
      <c r="C4476">
        <v>34.24</v>
      </c>
      <c r="D4476">
        <v>32.619999999999997</v>
      </c>
    </row>
    <row r="4477" spans="1:4">
      <c r="A4477">
        <v>4476</v>
      </c>
      <c r="C4477">
        <v>31.93</v>
      </c>
      <c r="D4477">
        <v>29.79</v>
      </c>
    </row>
    <row r="4478" spans="1:4">
      <c r="A4478">
        <v>4477</v>
      </c>
      <c r="C4478">
        <v>32.76</v>
      </c>
      <c r="D4478">
        <v>30.48</v>
      </c>
    </row>
    <row r="4479" spans="1:4">
      <c r="A4479">
        <v>4478</v>
      </c>
      <c r="C4479">
        <v>29.96</v>
      </c>
      <c r="D4479">
        <v>28.08</v>
      </c>
    </row>
    <row r="4480" spans="1:4">
      <c r="A4480">
        <v>4479</v>
      </c>
      <c r="C4480">
        <v>33.39</v>
      </c>
      <c r="D4480">
        <v>30.12</v>
      </c>
    </row>
    <row r="4481" spans="1:4">
      <c r="A4481">
        <v>4480</v>
      </c>
      <c r="C4481">
        <v>34.71</v>
      </c>
      <c r="D4481">
        <v>29.69</v>
      </c>
    </row>
    <row r="4482" spans="1:4">
      <c r="A4482">
        <v>4481</v>
      </c>
      <c r="C4482">
        <v>35.47</v>
      </c>
      <c r="D4482">
        <v>31.91</v>
      </c>
    </row>
    <row r="4483" spans="1:4">
      <c r="A4483">
        <v>4482</v>
      </c>
      <c r="C4483">
        <v>36.869999999999997</v>
      </c>
      <c r="D4483">
        <v>34.159999999999997</v>
      </c>
    </row>
    <row r="4484" spans="1:4">
      <c r="A4484">
        <v>4483</v>
      </c>
      <c r="C4484">
        <v>32.979999999999997</v>
      </c>
      <c r="D4484">
        <v>31.32</v>
      </c>
    </row>
    <row r="4485" spans="1:4">
      <c r="A4485">
        <v>4484</v>
      </c>
      <c r="C4485">
        <v>31.7</v>
      </c>
      <c r="D4485">
        <v>28.84</v>
      </c>
    </row>
    <row r="4486" spans="1:4">
      <c r="A4486">
        <v>4485</v>
      </c>
      <c r="C4486">
        <v>32.46</v>
      </c>
      <c r="D4486">
        <v>30.32</v>
      </c>
    </row>
    <row r="4487" spans="1:4">
      <c r="A4487">
        <v>4486</v>
      </c>
      <c r="C4487">
        <v>33.299999999999997</v>
      </c>
      <c r="D4487">
        <v>29.63</v>
      </c>
    </row>
    <row r="4488" spans="1:4">
      <c r="A4488">
        <v>4487</v>
      </c>
      <c r="C4488">
        <v>26.46</v>
      </c>
      <c r="D4488">
        <v>24.7</v>
      </c>
    </row>
    <row r="4489" spans="1:4">
      <c r="A4489">
        <v>4488</v>
      </c>
      <c r="C4489">
        <v>26.02</v>
      </c>
      <c r="D4489">
        <v>24.44</v>
      </c>
    </row>
    <row r="4490" spans="1:4">
      <c r="A4490">
        <v>4489</v>
      </c>
      <c r="C4490">
        <v>29.97</v>
      </c>
      <c r="D4490">
        <v>27.01</v>
      </c>
    </row>
    <row r="4491" spans="1:4">
      <c r="A4491">
        <v>4490</v>
      </c>
      <c r="C4491">
        <v>37.53</v>
      </c>
      <c r="D4491">
        <v>33.869999999999997</v>
      </c>
    </row>
    <row r="4492" spans="1:4">
      <c r="A4492">
        <v>4491</v>
      </c>
      <c r="C4492">
        <v>34.270000000000003</v>
      </c>
      <c r="D4492">
        <v>32.549999999999997</v>
      </c>
    </row>
    <row r="4493" spans="1:4">
      <c r="A4493">
        <v>4492</v>
      </c>
      <c r="C4493">
        <v>34.65</v>
      </c>
      <c r="D4493">
        <v>30.21</v>
      </c>
    </row>
    <row r="4494" spans="1:4">
      <c r="A4494">
        <v>4493</v>
      </c>
      <c r="C4494">
        <v>32.56</v>
      </c>
      <c r="D4494">
        <v>30.14</v>
      </c>
    </row>
    <row r="4495" spans="1:4">
      <c r="A4495">
        <v>4494</v>
      </c>
      <c r="C4495">
        <v>32.15</v>
      </c>
      <c r="D4495">
        <v>29.85</v>
      </c>
    </row>
    <row r="4496" spans="1:4">
      <c r="A4496">
        <v>4495</v>
      </c>
      <c r="C4496">
        <v>30.49</v>
      </c>
      <c r="D4496">
        <v>27.47</v>
      </c>
    </row>
    <row r="4497" spans="1:4">
      <c r="A4497">
        <v>4496</v>
      </c>
      <c r="C4497">
        <v>36.43</v>
      </c>
      <c r="D4497">
        <v>30.98</v>
      </c>
    </row>
    <row r="4498" spans="1:4">
      <c r="A4498">
        <v>4497</v>
      </c>
      <c r="C4498">
        <v>35.5</v>
      </c>
      <c r="D4498">
        <v>32.119999999999997</v>
      </c>
    </row>
    <row r="4499" spans="1:4">
      <c r="A4499">
        <v>4498</v>
      </c>
      <c r="C4499">
        <v>30.42</v>
      </c>
      <c r="D4499">
        <v>29.45</v>
      </c>
    </row>
    <row r="4500" spans="1:4">
      <c r="A4500">
        <v>4499</v>
      </c>
      <c r="C4500">
        <v>32.85</v>
      </c>
      <c r="D4500">
        <v>31.13</v>
      </c>
    </row>
    <row r="4501" spans="1:4">
      <c r="A4501">
        <v>4500</v>
      </c>
      <c r="C4501">
        <v>32.549999999999997</v>
      </c>
      <c r="D4501">
        <v>30.4</v>
      </c>
    </row>
    <row r="4502" spans="1:4">
      <c r="A4502">
        <v>4501</v>
      </c>
      <c r="C4502">
        <v>33.51</v>
      </c>
      <c r="D4502">
        <v>30.54</v>
      </c>
    </row>
    <row r="4503" spans="1:4">
      <c r="A4503">
        <v>4502</v>
      </c>
      <c r="C4503">
        <v>36.46</v>
      </c>
      <c r="D4503">
        <v>32.89</v>
      </c>
    </row>
    <row r="4504" spans="1:4">
      <c r="A4504">
        <v>4503</v>
      </c>
      <c r="C4504">
        <v>33.99</v>
      </c>
      <c r="D4504">
        <v>31.92</v>
      </c>
    </row>
    <row r="4505" spans="1:4">
      <c r="A4505">
        <v>4504</v>
      </c>
      <c r="C4505">
        <v>35.29</v>
      </c>
      <c r="D4505">
        <v>32.53</v>
      </c>
    </row>
    <row r="4506" spans="1:4">
      <c r="A4506">
        <v>4505</v>
      </c>
      <c r="C4506">
        <v>33.39</v>
      </c>
      <c r="D4506">
        <v>31.28</v>
      </c>
    </row>
    <row r="4507" spans="1:4">
      <c r="A4507">
        <v>4506</v>
      </c>
      <c r="C4507">
        <v>34.57</v>
      </c>
      <c r="D4507">
        <v>32.68</v>
      </c>
    </row>
    <row r="4508" spans="1:4">
      <c r="A4508">
        <v>4507</v>
      </c>
      <c r="C4508">
        <v>34.770000000000003</v>
      </c>
      <c r="D4508">
        <v>33.119999999999997</v>
      </c>
    </row>
    <row r="4509" spans="1:4">
      <c r="A4509">
        <v>4508</v>
      </c>
      <c r="C4509">
        <v>33.11</v>
      </c>
      <c r="D4509">
        <v>31.57</v>
      </c>
    </row>
    <row r="4510" spans="1:4">
      <c r="A4510">
        <v>4509</v>
      </c>
      <c r="C4510">
        <v>32.020000000000003</v>
      </c>
      <c r="D4510">
        <v>30.56</v>
      </c>
    </row>
    <row r="4511" spans="1:4">
      <c r="A4511">
        <v>4510</v>
      </c>
      <c r="C4511">
        <v>28.5</v>
      </c>
      <c r="D4511">
        <v>27.03</v>
      </c>
    </row>
    <row r="4512" spans="1:4">
      <c r="A4512">
        <v>4511</v>
      </c>
      <c r="C4512">
        <v>27.89</v>
      </c>
      <c r="D4512">
        <v>26.64</v>
      </c>
    </row>
    <row r="4513" spans="1:4">
      <c r="A4513">
        <v>4512</v>
      </c>
      <c r="C4513">
        <v>27.62</v>
      </c>
      <c r="D4513">
        <v>25.29</v>
      </c>
    </row>
    <row r="4514" spans="1:4">
      <c r="A4514">
        <v>4513</v>
      </c>
      <c r="C4514">
        <v>28.31</v>
      </c>
      <c r="D4514">
        <v>26</v>
      </c>
    </row>
    <row r="4515" spans="1:4">
      <c r="A4515">
        <v>4514</v>
      </c>
      <c r="C4515">
        <v>28.13</v>
      </c>
      <c r="D4515">
        <v>27.41</v>
      </c>
    </row>
    <row r="4516" spans="1:4">
      <c r="A4516">
        <v>4515</v>
      </c>
      <c r="C4516">
        <v>29.58</v>
      </c>
      <c r="D4516">
        <v>28.44</v>
      </c>
    </row>
    <row r="4517" spans="1:4">
      <c r="A4517">
        <v>4516</v>
      </c>
      <c r="C4517">
        <v>30.91</v>
      </c>
      <c r="D4517">
        <v>29.02</v>
      </c>
    </row>
    <row r="4518" spans="1:4">
      <c r="A4518">
        <v>4517</v>
      </c>
      <c r="C4518">
        <v>29.61</v>
      </c>
      <c r="D4518">
        <v>26.29</v>
      </c>
    </row>
    <row r="4519" spans="1:4">
      <c r="A4519">
        <v>4518</v>
      </c>
      <c r="C4519">
        <v>27.73</v>
      </c>
      <c r="D4519">
        <v>25.64</v>
      </c>
    </row>
    <row r="4520" spans="1:4">
      <c r="A4520">
        <v>4519</v>
      </c>
      <c r="C4520">
        <v>26.28</v>
      </c>
      <c r="D4520">
        <v>23.27</v>
      </c>
    </row>
    <row r="4521" spans="1:4">
      <c r="A4521">
        <v>4520</v>
      </c>
      <c r="C4521">
        <v>27.55</v>
      </c>
      <c r="D4521">
        <v>25.76</v>
      </c>
    </row>
    <row r="4522" spans="1:4">
      <c r="A4522">
        <v>4521</v>
      </c>
      <c r="C4522">
        <v>25.28</v>
      </c>
      <c r="D4522">
        <v>24.14</v>
      </c>
    </row>
    <row r="4523" spans="1:4">
      <c r="A4523">
        <v>4522</v>
      </c>
      <c r="C4523">
        <v>25.02</v>
      </c>
      <c r="D4523">
        <v>23.51</v>
      </c>
    </row>
    <row r="4524" spans="1:4">
      <c r="A4524">
        <v>4523</v>
      </c>
      <c r="C4524">
        <v>25.38</v>
      </c>
      <c r="D4524">
        <v>24.38</v>
      </c>
    </row>
    <row r="4525" spans="1:4">
      <c r="A4525">
        <v>4524</v>
      </c>
      <c r="C4525">
        <v>23.58</v>
      </c>
      <c r="D4525">
        <v>22.54</v>
      </c>
    </row>
    <row r="4526" spans="1:4">
      <c r="A4526">
        <v>4525</v>
      </c>
      <c r="C4526">
        <v>23.94</v>
      </c>
      <c r="D4526">
        <v>21.12</v>
      </c>
    </row>
    <row r="4527" spans="1:4">
      <c r="A4527">
        <v>4526</v>
      </c>
      <c r="C4527">
        <v>21.33</v>
      </c>
      <c r="D4527">
        <v>20.34</v>
      </c>
    </row>
    <row r="4528" spans="1:4">
      <c r="A4528">
        <v>4527</v>
      </c>
      <c r="C4528">
        <v>21.21</v>
      </c>
      <c r="D4528">
        <v>20.72</v>
      </c>
    </row>
    <row r="4529" spans="1:4">
      <c r="A4529">
        <v>4528</v>
      </c>
      <c r="C4529">
        <v>22.66</v>
      </c>
      <c r="D4529">
        <v>21.68</v>
      </c>
    </row>
    <row r="4530" spans="1:4">
      <c r="A4530">
        <v>4529</v>
      </c>
      <c r="C4530">
        <v>23.56</v>
      </c>
      <c r="D4530">
        <v>22.11</v>
      </c>
    </row>
    <row r="4531" spans="1:4">
      <c r="A4531">
        <v>4530</v>
      </c>
      <c r="C4531">
        <v>23.52</v>
      </c>
      <c r="D4531">
        <v>22.65</v>
      </c>
    </row>
    <row r="4532" spans="1:4">
      <c r="A4532">
        <v>4531</v>
      </c>
      <c r="C4532">
        <v>23.46</v>
      </c>
      <c r="D4532">
        <v>22.65</v>
      </c>
    </row>
    <row r="4533" spans="1:4">
      <c r="A4533">
        <v>4532</v>
      </c>
      <c r="C4533">
        <v>23.1</v>
      </c>
      <c r="D4533">
        <v>22.54</v>
      </c>
    </row>
    <row r="4534" spans="1:4">
      <c r="A4534">
        <v>4533</v>
      </c>
      <c r="C4534">
        <v>23.73</v>
      </c>
      <c r="D4534">
        <v>22.22</v>
      </c>
    </row>
    <row r="4535" spans="1:4">
      <c r="A4535">
        <v>4534</v>
      </c>
      <c r="C4535">
        <v>23.09</v>
      </c>
      <c r="D4535">
        <v>21.34</v>
      </c>
    </row>
    <row r="4536" spans="1:4">
      <c r="A4536">
        <v>4535</v>
      </c>
      <c r="C4536">
        <v>21.72</v>
      </c>
      <c r="D4536">
        <v>20.58</v>
      </c>
    </row>
    <row r="4537" spans="1:4">
      <c r="A4537">
        <v>4536</v>
      </c>
      <c r="C4537">
        <v>21.78</v>
      </c>
      <c r="D4537">
        <v>21</v>
      </c>
    </row>
    <row r="4538" spans="1:4">
      <c r="A4538">
        <v>4537</v>
      </c>
      <c r="C4538">
        <v>20.69</v>
      </c>
      <c r="D4538">
        <v>20.05</v>
      </c>
    </row>
    <row r="4539" spans="1:4">
      <c r="A4539">
        <v>4538</v>
      </c>
      <c r="C4539">
        <v>21.22</v>
      </c>
      <c r="D4539">
        <v>20.98</v>
      </c>
    </row>
    <row r="4540" spans="1:4">
      <c r="A4540">
        <v>4539</v>
      </c>
      <c r="C4540">
        <v>22.03</v>
      </c>
      <c r="D4540">
        <v>20.46</v>
      </c>
    </row>
    <row r="4541" spans="1:4">
      <c r="A4541">
        <v>4540</v>
      </c>
      <c r="C4541">
        <v>22.43</v>
      </c>
      <c r="D4541">
        <v>20.91</v>
      </c>
    </row>
    <row r="4542" spans="1:4">
      <c r="A4542">
        <v>4541</v>
      </c>
      <c r="C4542">
        <v>22.25</v>
      </c>
      <c r="D4542">
        <v>20.69</v>
      </c>
    </row>
    <row r="4543" spans="1:4">
      <c r="A4543">
        <v>4542</v>
      </c>
      <c r="C4543">
        <v>23.44</v>
      </c>
      <c r="D4543">
        <v>20.78</v>
      </c>
    </row>
    <row r="4544" spans="1:4">
      <c r="A4544">
        <v>4543</v>
      </c>
      <c r="C4544">
        <v>20.87</v>
      </c>
      <c r="D4544">
        <v>19.45</v>
      </c>
    </row>
    <row r="4545" spans="1:4">
      <c r="A4545">
        <v>4544</v>
      </c>
      <c r="C4545">
        <v>19.940000000000001</v>
      </c>
      <c r="D4545">
        <v>18.16</v>
      </c>
    </row>
    <row r="4546" spans="1:4">
      <c r="A4546">
        <v>4545</v>
      </c>
      <c r="C4546">
        <v>19.309999999999999</v>
      </c>
      <c r="D4546">
        <v>18.55</v>
      </c>
    </row>
    <row r="4547" spans="1:4">
      <c r="A4547">
        <v>4546</v>
      </c>
      <c r="C4547">
        <v>20</v>
      </c>
      <c r="D4547">
        <v>18.63</v>
      </c>
    </row>
    <row r="4548" spans="1:4">
      <c r="A4548">
        <v>4547</v>
      </c>
      <c r="C4548">
        <v>19.55</v>
      </c>
      <c r="D4548">
        <v>17.149999999999999</v>
      </c>
    </row>
    <row r="4549" spans="1:4">
      <c r="A4549">
        <v>4548</v>
      </c>
      <c r="C4549">
        <v>19.170000000000002</v>
      </c>
      <c r="D4549">
        <v>16.8</v>
      </c>
    </row>
    <row r="4550" spans="1:4">
      <c r="A4550">
        <v>4549</v>
      </c>
      <c r="C4550">
        <v>19.16</v>
      </c>
      <c r="D4550">
        <v>18.260000000000002</v>
      </c>
    </row>
    <row r="4551" spans="1:4">
      <c r="A4551">
        <v>4550</v>
      </c>
      <c r="C4551">
        <v>20.329999999999998</v>
      </c>
      <c r="D4551">
        <v>19.38</v>
      </c>
    </row>
    <row r="4552" spans="1:4">
      <c r="A4552">
        <v>4551</v>
      </c>
      <c r="C4552">
        <v>19.84</v>
      </c>
      <c r="D4552">
        <v>18.13</v>
      </c>
    </row>
    <row r="4553" spans="1:4">
      <c r="A4553">
        <v>4552</v>
      </c>
      <c r="C4553">
        <v>18.82</v>
      </c>
      <c r="D4553">
        <v>17.989999999999998</v>
      </c>
    </row>
    <row r="4554" spans="1:4">
      <c r="A4554">
        <v>4553</v>
      </c>
      <c r="C4554">
        <v>18.5</v>
      </c>
      <c r="D4554">
        <v>17.98</v>
      </c>
    </row>
    <row r="4555" spans="1:4">
      <c r="A4555">
        <v>4554</v>
      </c>
      <c r="C4555">
        <v>17.32</v>
      </c>
      <c r="D4555">
        <v>16.100000000000001</v>
      </c>
    </row>
    <row r="4556" spans="1:4">
      <c r="A4556">
        <v>4555</v>
      </c>
      <c r="C4556">
        <v>18.02</v>
      </c>
      <c r="D4556">
        <v>16.11</v>
      </c>
    </row>
    <row r="4557" spans="1:4">
      <c r="A4557">
        <v>4556</v>
      </c>
      <c r="C4557">
        <v>18.100000000000001</v>
      </c>
      <c r="D4557">
        <v>17.5</v>
      </c>
    </row>
    <row r="4558" spans="1:4">
      <c r="A4558">
        <v>4557</v>
      </c>
      <c r="C4558">
        <v>18.46</v>
      </c>
      <c r="D4558">
        <v>17.53</v>
      </c>
    </row>
    <row r="4559" spans="1:4">
      <c r="A4559">
        <v>4558</v>
      </c>
      <c r="C4559">
        <v>18.72</v>
      </c>
      <c r="D4559">
        <v>18.07</v>
      </c>
    </row>
    <row r="4560" spans="1:4">
      <c r="A4560">
        <v>4559</v>
      </c>
      <c r="C4560">
        <v>21.98</v>
      </c>
      <c r="D4560">
        <v>19.02</v>
      </c>
    </row>
    <row r="4561" spans="1:4">
      <c r="A4561">
        <v>4560</v>
      </c>
      <c r="C4561">
        <v>19.68</v>
      </c>
      <c r="D4561">
        <v>17.920000000000002</v>
      </c>
    </row>
    <row r="4562" spans="1:4">
      <c r="A4562">
        <v>4561</v>
      </c>
      <c r="C4562">
        <v>20.76</v>
      </c>
      <c r="D4562">
        <v>18.95</v>
      </c>
    </row>
    <row r="4563" spans="1:4">
      <c r="A4563">
        <v>4562</v>
      </c>
      <c r="C4563">
        <v>21.77</v>
      </c>
      <c r="D4563">
        <v>19.440000000000001</v>
      </c>
    </row>
    <row r="4564" spans="1:4">
      <c r="A4564">
        <v>4563</v>
      </c>
      <c r="C4564">
        <v>21.76</v>
      </c>
      <c r="D4564">
        <v>19.22</v>
      </c>
    </row>
    <row r="4565" spans="1:4">
      <c r="A4565">
        <v>4564</v>
      </c>
      <c r="C4565">
        <v>18.79</v>
      </c>
      <c r="D4565">
        <v>17.54</v>
      </c>
    </row>
    <row r="4566" spans="1:4">
      <c r="A4566">
        <v>4565</v>
      </c>
      <c r="C4566">
        <v>18.940000000000001</v>
      </c>
      <c r="D4566">
        <v>17.649999999999999</v>
      </c>
    </row>
    <row r="4567" spans="1:4">
      <c r="A4567">
        <v>4566</v>
      </c>
      <c r="C4567">
        <v>18.940000000000001</v>
      </c>
      <c r="D4567">
        <v>17.739999999999998</v>
      </c>
    </row>
    <row r="4568" spans="1:4">
      <c r="A4568">
        <v>4567</v>
      </c>
      <c r="C4568">
        <v>18.97</v>
      </c>
      <c r="D4568">
        <v>16.64</v>
      </c>
    </row>
    <row r="4569" spans="1:4">
      <c r="A4569">
        <v>4568</v>
      </c>
      <c r="C4569">
        <v>17.62</v>
      </c>
      <c r="D4569">
        <v>16.420000000000002</v>
      </c>
    </row>
    <row r="4570" spans="1:4">
      <c r="A4570">
        <v>4569</v>
      </c>
      <c r="C4570">
        <v>19.25</v>
      </c>
      <c r="D4570">
        <v>17.579999999999998</v>
      </c>
    </row>
    <row r="4571" spans="1:4">
      <c r="A4571">
        <v>4570</v>
      </c>
      <c r="C4571">
        <v>18.670000000000002</v>
      </c>
      <c r="D4571">
        <v>17.88</v>
      </c>
    </row>
    <row r="4572" spans="1:4">
      <c r="A4572">
        <v>4571</v>
      </c>
      <c r="C4572">
        <v>18.75</v>
      </c>
      <c r="D4572">
        <v>17.53</v>
      </c>
    </row>
    <row r="4573" spans="1:4">
      <c r="A4573">
        <v>4572</v>
      </c>
      <c r="C4573">
        <v>18.03</v>
      </c>
      <c r="D4573">
        <v>17.260000000000002</v>
      </c>
    </row>
    <row r="4574" spans="1:4">
      <c r="A4574">
        <v>4573</v>
      </c>
      <c r="C4574">
        <v>17.649999999999999</v>
      </c>
      <c r="D4574">
        <v>17.14</v>
      </c>
    </row>
    <row r="4575" spans="1:4">
      <c r="A4575">
        <v>4574</v>
      </c>
      <c r="C4575">
        <v>18.899999999999999</v>
      </c>
      <c r="D4575">
        <v>18.02</v>
      </c>
    </row>
    <row r="4576" spans="1:4">
      <c r="A4576">
        <v>4575</v>
      </c>
      <c r="C4576">
        <v>21.24</v>
      </c>
      <c r="D4576">
        <v>20.3</v>
      </c>
    </row>
    <row r="4577" spans="1:4">
      <c r="A4577">
        <v>4576</v>
      </c>
      <c r="C4577">
        <v>20.440000000000001</v>
      </c>
      <c r="D4577">
        <v>19.07</v>
      </c>
    </row>
    <row r="4578" spans="1:4">
      <c r="A4578">
        <v>4577</v>
      </c>
      <c r="C4578">
        <v>18.46</v>
      </c>
      <c r="D4578">
        <v>17.760000000000002</v>
      </c>
    </row>
    <row r="4579" spans="1:4">
      <c r="A4579">
        <v>4578</v>
      </c>
      <c r="C4579">
        <v>17.54</v>
      </c>
      <c r="D4579">
        <v>16.63</v>
      </c>
    </row>
    <row r="4580" spans="1:4">
      <c r="A4580">
        <v>4579</v>
      </c>
      <c r="C4580">
        <v>16.670000000000002</v>
      </c>
      <c r="D4580">
        <v>15.23</v>
      </c>
    </row>
    <row r="4581" spans="1:4">
      <c r="A4581">
        <v>4580</v>
      </c>
      <c r="C4581">
        <v>16.079999999999998</v>
      </c>
      <c r="D4581">
        <v>13.99</v>
      </c>
    </row>
    <row r="4582" spans="1:4">
      <c r="A4582">
        <v>4581</v>
      </c>
      <c r="C4582">
        <v>16.190000000000001</v>
      </c>
      <c r="D4582">
        <v>14.39</v>
      </c>
    </row>
    <row r="4583" spans="1:4">
      <c r="A4583">
        <v>4582</v>
      </c>
      <c r="C4583">
        <v>16.059999999999999</v>
      </c>
      <c r="D4583">
        <v>14.58</v>
      </c>
    </row>
    <row r="4584" spans="1:4">
      <c r="A4584">
        <v>4583</v>
      </c>
      <c r="C4584">
        <v>15.24</v>
      </c>
      <c r="D4584">
        <v>13.66</v>
      </c>
    </row>
    <row r="4585" spans="1:4">
      <c r="A4585">
        <v>4584</v>
      </c>
      <c r="C4585">
        <v>15.43</v>
      </c>
      <c r="D4585">
        <v>14.54</v>
      </c>
    </row>
    <row r="4586" spans="1:4">
      <c r="A4586">
        <v>4585</v>
      </c>
      <c r="C4586">
        <v>15.95</v>
      </c>
      <c r="D4586">
        <v>15.11</v>
      </c>
    </row>
    <row r="4587" spans="1:4">
      <c r="A4587">
        <v>4586</v>
      </c>
      <c r="C4587">
        <v>15.31</v>
      </c>
      <c r="D4587">
        <v>14.19</v>
      </c>
    </row>
    <row r="4588" spans="1:4">
      <c r="A4588">
        <v>4587</v>
      </c>
      <c r="C4588">
        <v>16.579999999999998</v>
      </c>
      <c r="D4588">
        <v>15.56</v>
      </c>
    </row>
    <row r="4589" spans="1:4">
      <c r="A4589">
        <v>4588</v>
      </c>
      <c r="C4589">
        <v>16.39</v>
      </c>
      <c r="D4589">
        <v>14.69</v>
      </c>
    </row>
    <row r="4590" spans="1:4">
      <c r="A4590">
        <v>4589</v>
      </c>
      <c r="C4590">
        <v>15.03</v>
      </c>
      <c r="D4590">
        <v>14.26</v>
      </c>
    </row>
    <row r="4591" spans="1:4">
      <c r="A4591">
        <v>4590</v>
      </c>
      <c r="C4591">
        <v>15.59</v>
      </c>
      <c r="D4591">
        <v>14.14</v>
      </c>
    </row>
    <row r="4592" spans="1:4">
      <c r="A4592">
        <v>4591</v>
      </c>
      <c r="C4592">
        <v>17.27</v>
      </c>
      <c r="D4592">
        <v>15.4</v>
      </c>
    </row>
    <row r="4593" spans="1:4">
      <c r="A4593">
        <v>4592</v>
      </c>
      <c r="C4593">
        <v>17.2</v>
      </c>
      <c r="D4593">
        <v>15.39</v>
      </c>
    </row>
    <row r="4594" spans="1:4">
      <c r="A4594">
        <v>4593</v>
      </c>
      <c r="C4594">
        <v>15.98</v>
      </c>
      <c r="D4594">
        <v>14.67</v>
      </c>
    </row>
    <row r="4595" spans="1:4">
      <c r="A4595">
        <v>4594</v>
      </c>
      <c r="C4595">
        <v>16.579999999999998</v>
      </c>
      <c r="D4595">
        <v>15.02</v>
      </c>
    </row>
    <row r="4596" spans="1:4">
      <c r="A4596">
        <v>4595</v>
      </c>
      <c r="C4596">
        <v>16.649999999999999</v>
      </c>
      <c r="D4596">
        <v>15.56</v>
      </c>
    </row>
    <row r="4597" spans="1:4">
      <c r="A4597">
        <v>4596</v>
      </c>
      <c r="C4597">
        <v>17.739999999999998</v>
      </c>
      <c r="D4597">
        <v>16.309999999999999</v>
      </c>
    </row>
    <row r="4598" spans="1:4">
      <c r="A4598">
        <v>4597</v>
      </c>
      <c r="C4598">
        <v>17.13</v>
      </c>
      <c r="D4598">
        <v>16.29</v>
      </c>
    </row>
    <row r="4599" spans="1:4">
      <c r="A4599">
        <v>4598</v>
      </c>
      <c r="C4599">
        <v>18.940000000000001</v>
      </c>
      <c r="D4599">
        <v>17.93</v>
      </c>
    </row>
    <row r="4600" spans="1:4">
      <c r="A4600">
        <v>4599</v>
      </c>
      <c r="C4600">
        <v>21.06</v>
      </c>
      <c r="D4600">
        <v>18.62</v>
      </c>
    </row>
    <row r="4601" spans="1:4">
      <c r="A4601">
        <v>4600</v>
      </c>
      <c r="C4601">
        <v>20.12</v>
      </c>
      <c r="D4601">
        <v>18.73</v>
      </c>
    </row>
    <row r="4602" spans="1:4">
      <c r="A4602">
        <v>4601</v>
      </c>
      <c r="C4602">
        <v>19.739999999999998</v>
      </c>
      <c r="D4602">
        <v>17.2</v>
      </c>
    </row>
    <row r="4603" spans="1:4">
      <c r="A4603">
        <v>4602</v>
      </c>
      <c r="C4603">
        <v>19.62</v>
      </c>
      <c r="D4603">
        <v>17.850000000000001</v>
      </c>
    </row>
    <row r="4604" spans="1:4">
      <c r="A4604">
        <v>4603</v>
      </c>
      <c r="C4604">
        <v>20.420000000000002</v>
      </c>
      <c r="D4604">
        <v>18.600000000000001</v>
      </c>
    </row>
    <row r="4605" spans="1:4">
      <c r="A4605">
        <v>4604</v>
      </c>
      <c r="C4605">
        <v>18.66</v>
      </c>
      <c r="D4605">
        <v>17.579999999999998</v>
      </c>
    </row>
    <row r="4606" spans="1:4">
      <c r="A4606">
        <v>4605</v>
      </c>
      <c r="C4606">
        <v>19.170000000000002</v>
      </c>
      <c r="D4606">
        <v>18.03</v>
      </c>
    </row>
    <row r="4607" spans="1:4">
      <c r="A4607">
        <v>4606</v>
      </c>
      <c r="C4607">
        <v>19.690000000000001</v>
      </c>
      <c r="D4607">
        <v>17.690000000000001</v>
      </c>
    </row>
    <row r="4608" spans="1:4">
      <c r="A4608">
        <v>4607</v>
      </c>
      <c r="C4608">
        <v>18.05</v>
      </c>
      <c r="D4608">
        <v>16.97</v>
      </c>
    </row>
    <row r="4609" spans="1:4">
      <c r="A4609">
        <v>4608</v>
      </c>
      <c r="C4609">
        <v>20.27</v>
      </c>
      <c r="D4609">
        <v>18.95</v>
      </c>
    </row>
    <row r="4610" spans="1:4">
      <c r="A4610">
        <v>4609</v>
      </c>
      <c r="C4610">
        <v>19.22</v>
      </c>
      <c r="D4610">
        <v>18.09</v>
      </c>
    </row>
    <row r="4611" spans="1:4">
      <c r="A4611">
        <v>4610</v>
      </c>
      <c r="C4611">
        <v>17.38</v>
      </c>
      <c r="D4611">
        <v>16.82</v>
      </c>
    </row>
    <row r="4612" spans="1:4">
      <c r="A4612">
        <v>4611</v>
      </c>
      <c r="C4612">
        <v>17.04</v>
      </c>
      <c r="D4612">
        <v>15.75</v>
      </c>
    </row>
    <row r="4613" spans="1:4">
      <c r="A4613">
        <v>4612</v>
      </c>
      <c r="C4613">
        <v>16.47</v>
      </c>
      <c r="D4613">
        <v>15.83</v>
      </c>
    </row>
    <row r="4614" spans="1:4">
      <c r="A4614">
        <v>4613</v>
      </c>
      <c r="C4614">
        <v>17.41</v>
      </c>
      <c r="D4614">
        <v>16.920000000000002</v>
      </c>
    </row>
    <row r="4615" spans="1:4">
      <c r="A4615">
        <v>4614</v>
      </c>
      <c r="C4615">
        <v>17.489999999999998</v>
      </c>
      <c r="D4615">
        <v>16.010000000000002</v>
      </c>
    </row>
    <row r="4616" spans="1:4">
      <c r="A4616">
        <v>4615</v>
      </c>
      <c r="C4616">
        <v>17.63</v>
      </c>
      <c r="D4616">
        <v>16.78</v>
      </c>
    </row>
    <row r="4617" spans="1:4">
      <c r="A4617">
        <v>4616</v>
      </c>
      <c r="C4617">
        <v>17.920000000000002</v>
      </c>
      <c r="D4617">
        <v>16.73</v>
      </c>
    </row>
    <row r="4618" spans="1:4">
      <c r="A4618">
        <v>4617</v>
      </c>
      <c r="C4618">
        <v>19.28</v>
      </c>
      <c r="D4618">
        <v>17.809999999999999</v>
      </c>
    </row>
    <row r="4619" spans="1:4">
      <c r="A4619">
        <v>4618</v>
      </c>
      <c r="C4619">
        <v>19.87</v>
      </c>
      <c r="D4619">
        <v>18.41</v>
      </c>
    </row>
    <row r="4620" spans="1:4">
      <c r="A4620">
        <v>4619</v>
      </c>
      <c r="C4620">
        <v>20.91</v>
      </c>
      <c r="D4620">
        <v>17.95</v>
      </c>
    </row>
    <row r="4621" spans="1:4">
      <c r="A4621">
        <v>4620</v>
      </c>
      <c r="C4621">
        <v>21.59</v>
      </c>
      <c r="D4621">
        <v>19.38</v>
      </c>
    </row>
    <row r="4622" spans="1:4">
      <c r="A4622">
        <v>4621</v>
      </c>
      <c r="C4622">
        <v>19.88</v>
      </c>
      <c r="D4622">
        <v>18.77</v>
      </c>
    </row>
    <row r="4623" spans="1:4">
      <c r="A4623">
        <v>4622</v>
      </c>
      <c r="C4623">
        <v>19.940000000000001</v>
      </c>
      <c r="D4623">
        <v>18.62</v>
      </c>
    </row>
    <row r="4624" spans="1:4">
      <c r="A4624">
        <v>4623</v>
      </c>
      <c r="C4624">
        <v>21.87</v>
      </c>
      <c r="D4624">
        <v>20.94</v>
      </c>
    </row>
    <row r="4625" spans="1:4">
      <c r="A4625">
        <v>4624</v>
      </c>
      <c r="C4625">
        <v>22.7</v>
      </c>
      <c r="D4625">
        <v>20.76</v>
      </c>
    </row>
    <row r="4626" spans="1:4">
      <c r="A4626">
        <v>4625</v>
      </c>
      <c r="C4626">
        <v>22.69</v>
      </c>
      <c r="D4626">
        <v>20.83</v>
      </c>
    </row>
    <row r="4627" spans="1:4">
      <c r="A4627">
        <v>4626</v>
      </c>
      <c r="C4627">
        <v>24.51</v>
      </c>
      <c r="D4627">
        <v>21.87</v>
      </c>
    </row>
    <row r="4628" spans="1:4">
      <c r="A4628">
        <v>4627</v>
      </c>
      <c r="C4628">
        <v>25.14</v>
      </c>
      <c r="D4628">
        <v>23.07</v>
      </c>
    </row>
    <row r="4629" spans="1:4">
      <c r="A4629">
        <v>4628</v>
      </c>
      <c r="C4629">
        <v>24.88</v>
      </c>
      <c r="D4629">
        <v>22.01</v>
      </c>
    </row>
    <row r="4630" spans="1:4">
      <c r="A4630">
        <v>4629</v>
      </c>
      <c r="C4630">
        <v>23.19</v>
      </c>
      <c r="D4630">
        <v>19.98</v>
      </c>
    </row>
    <row r="4631" spans="1:4">
      <c r="A4631">
        <v>4630</v>
      </c>
      <c r="C4631">
        <v>24.62</v>
      </c>
      <c r="D4631">
        <v>21.99</v>
      </c>
    </row>
    <row r="4632" spans="1:4">
      <c r="A4632">
        <v>4631</v>
      </c>
      <c r="C4632">
        <v>23.22</v>
      </c>
      <c r="D4632">
        <v>21.48</v>
      </c>
    </row>
    <row r="4633" spans="1:4">
      <c r="A4633">
        <v>4632</v>
      </c>
      <c r="C4633">
        <v>22.29</v>
      </c>
      <c r="D4633">
        <v>21.3</v>
      </c>
    </row>
    <row r="4634" spans="1:4">
      <c r="A4634">
        <v>4633</v>
      </c>
      <c r="C4634">
        <v>22.47</v>
      </c>
      <c r="D4634">
        <v>20.99</v>
      </c>
    </row>
    <row r="4635" spans="1:4">
      <c r="A4635">
        <v>4634</v>
      </c>
      <c r="C4635">
        <v>24.14</v>
      </c>
      <c r="D4635">
        <v>22.66</v>
      </c>
    </row>
    <row r="4636" spans="1:4">
      <c r="A4636">
        <v>4635</v>
      </c>
      <c r="C4636">
        <v>25.46</v>
      </c>
      <c r="D4636">
        <v>22.78</v>
      </c>
    </row>
    <row r="4637" spans="1:4">
      <c r="A4637">
        <v>4636</v>
      </c>
      <c r="C4637">
        <v>26.71</v>
      </c>
      <c r="D4637">
        <v>23.94</v>
      </c>
    </row>
    <row r="4638" spans="1:4">
      <c r="A4638">
        <v>4637</v>
      </c>
      <c r="C4638">
        <v>27.73</v>
      </c>
      <c r="D4638">
        <v>25.72</v>
      </c>
    </row>
    <row r="4639" spans="1:4">
      <c r="A4639">
        <v>4638</v>
      </c>
      <c r="C4639">
        <v>25.9</v>
      </c>
      <c r="D4639">
        <v>24.5</v>
      </c>
    </row>
    <row r="4640" spans="1:4">
      <c r="A4640">
        <v>4639</v>
      </c>
      <c r="C4640">
        <v>23.89</v>
      </c>
      <c r="D4640">
        <v>21.8</v>
      </c>
    </row>
    <row r="4641" spans="1:4">
      <c r="A4641">
        <v>4640</v>
      </c>
      <c r="C4641">
        <v>22.48</v>
      </c>
      <c r="D4641">
        <v>20.74</v>
      </c>
    </row>
    <row r="4642" spans="1:4">
      <c r="A4642">
        <v>4641</v>
      </c>
      <c r="C4642">
        <v>23.1</v>
      </c>
      <c r="D4642">
        <v>20.29</v>
      </c>
    </row>
    <row r="4643" spans="1:4">
      <c r="A4643">
        <v>4642</v>
      </c>
      <c r="C4643">
        <v>23.56</v>
      </c>
      <c r="D4643">
        <v>19.63</v>
      </c>
    </row>
    <row r="4644" spans="1:4">
      <c r="A4644">
        <v>4643</v>
      </c>
      <c r="C4644">
        <v>23.9</v>
      </c>
      <c r="D4644">
        <v>22.09</v>
      </c>
    </row>
    <row r="4645" spans="1:4">
      <c r="A4645">
        <v>4644</v>
      </c>
      <c r="C4645">
        <v>24.93</v>
      </c>
      <c r="D4645">
        <v>22.66</v>
      </c>
    </row>
    <row r="4646" spans="1:4">
      <c r="A4646">
        <v>4645</v>
      </c>
      <c r="C4646">
        <v>24.81</v>
      </c>
      <c r="D4646">
        <v>21.55</v>
      </c>
    </row>
    <row r="4647" spans="1:4">
      <c r="A4647">
        <v>4646</v>
      </c>
      <c r="C4647">
        <v>23.09</v>
      </c>
      <c r="D4647">
        <v>20.61</v>
      </c>
    </row>
    <row r="4648" spans="1:4">
      <c r="A4648">
        <v>4647</v>
      </c>
      <c r="C4648">
        <v>21.98</v>
      </c>
      <c r="D4648">
        <v>18.239999999999998</v>
      </c>
    </row>
    <row r="4649" spans="1:4">
      <c r="A4649">
        <v>4648</v>
      </c>
      <c r="C4649">
        <v>18.62</v>
      </c>
      <c r="D4649">
        <v>17.36</v>
      </c>
    </row>
    <row r="4650" spans="1:4">
      <c r="A4650">
        <v>4649</v>
      </c>
      <c r="C4650">
        <v>20.05</v>
      </c>
      <c r="D4650">
        <v>17.09</v>
      </c>
    </row>
    <row r="4651" spans="1:4">
      <c r="A4651">
        <v>4650</v>
      </c>
      <c r="C4651">
        <v>20.48</v>
      </c>
      <c r="D4651">
        <v>16.77</v>
      </c>
    </row>
    <row r="4652" spans="1:4">
      <c r="A4652">
        <v>4651</v>
      </c>
      <c r="C4652">
        <v>19.37</v>
      </c>
      <c r="D4652">
        <v>17.899999999999999</v>
      </c>
    </row>
    <row r="4653" spans="1:4">
      <c r="A4653">
        <v>4652</v>
      </c>
      <c r="C4653">
        <v>21.36</v>
      </c>
      <c r="D4653">
        <v>19.89</v>
      </c>
    </row>
    <row r="4654" spans="1:4">
      <c r="A4654">
        <v>4653</v>
      </c>
      <c r="C4654">
        <v>20.57</v>
      </c>
      <c r="D4654">
        <v>19.420000000000002</v>
      </c>
    </row>
    <row r="4655" spans="1:4">
      <c r="A4655">
        <v>4654</v>
      </c>
      <c r="C4655">
        <v>20.12</v>
      </c>
      <c r="D4655">
        <v>19.38</v>
      </c>
    </row>
    <row r="4656" spans="1:4">
      <c r="A4656">
        <v>4655</v>
      </c>
      <c r="C4656">
        <v>21.19</v>
      </c>
      <c r="D4656">
        <v>19.600000000000001</v>
      </c>
    </row>
    <row r="4657" spans="1:4">
      <c r="A4657">
        <v>4656</v>
      </c>
      <c r="C4657">
        <v>19.71</v>
      </c>
      <c r="D4657">
        <v>16.87</v>
      </c>
    </row>
    <row r="4658" spans="1:4">
      <c r="A4658">
        <v>4657</v>
      </c>
      <c r="C4658">
        <v>18.190000000000001</v>
      </c>
      <c r="D4658">
        <v>16.66</v>
      </c>
    </row>
    <row r="4659" spans="1:4">
      <c r="A4659">
        <v>4658</v>
      </c>
      <c r="C4659">
        <v>16.920000000000002</v>
      </c>
      <c r="D4659">
        <v>16.27</v>
      </c>
    </row>
    <row r="4660" spans="1:4">
      <c r="A4660">
        <v>4659</v>
      </c>
      <c r="C4660">
        <v>18.22</v>
      </c>
      <c r="D4660">
        <v>17.18</v>
      </c>
    </row>
    <row r="4661" spans="1:4">
      <c r="A4661">
        <v>4660</v>
      </c>
      <c r="C4661">
        <v>18.25</v>
      </c>
      <c r="D4661">
        <v>16.95</v>
      </c>
    </row>
    <row r="4662" spans="1:4">
      <c r="A4662">
        <v>4661</v>
      </c>
      <c r="C4662">
        <v>18.32</v>
      </c>
      <c r="D4662">
        <v>17.73</v>
      </c>
    </row>
    <row r="4663" spans="1:4">
      <c r="A4663">
        <v>4662</v>
      </c>
      <c r="C4663">
        <v>19.190000000000001</v>
      </c>
      <c r="D4663">
        <v>17.29</v>
      </c>
    </row>
    <row r="4664" spans="1:4">
      <c r="A4664">
        <v>4663</v>
      </c>
      <c r="C4664">
        <v>19.170000000000002</v>
      </c>
      <c r="D4664">
        <v>17.84</v>
      </c>
    </row>
    <row r="4665" spans="1:4">
      <c r="A4665">
        <v>4664</v>
      </c>
      <c r="C4665">
        <v>19.510000000000002</v>
      </c>
      <c r="D4665">
        <v>17.75</v>
      </c>
    </row>
    <row r="4666" spans="1:4">
      <c r="A4666">
        <v>4665</v>
      </c>
      <c r="C4666">
        <v>17.82</v>
      </c>
      <c r="D4666">
        <v>16.36</v>
      </c>
    </row>
    <row r="4667" spans="1:4">
      <c r="A4667">
        <v>4666</v>
      </c>
      <c r="C4667">
        <v>17.32</v>
      </c>
      <c r="D4667">
        <v>16.46</v>
      </c>
    </row>
    <row r="4668" spans="1:4">
      <c r="A4668">
        <v>4667</v>
      </c>
      <c r="C4668">
        <v>17.46</v>
      </c>
      <c r="D4668">
        <v>16.09</v>
      </c>
    </row>
    <row r="4669" spans="1:4">
      <c r="A4669">
        <v>4668</v>
      </c>
      <c r="C4669">
        <v>16.809999999999999</v>
      </c>
      <c r="D4669">
        <v>15.69</v>
      </c>
    </row>
    <row r="4670" spans="1:4">
      <c r="A4670">
        <v>4669</v>
      </c>
      <c r="C4670">
        <v>16.7</v>
      </c>
      <c r="D4670">
        <v>15.45</v>
      </c>
    </row>
    <row r="4671" spans="1:4">
      <c r="A4671">
        <v>4670</v>
      </c>
      <c r="C4671">
        <v>17.05</v>
      </c>
      <c r="D4671">
        <v>15.97</v>
      </c>
    </row>
    <row r="4672" spans="1:4">
      <c r="A4672">
        <v>4671</v>
      </c>
      <c r="C4672">
        <v>20.49</v>
      </c>
      <c r="D4672">
        <v>18.34</v>
      </c>
    </row>
    <row r="4673" spans="1:4">
      <c r="A4673">
        <v>4672</v>
      </c>
      <c r="C4673">
        <v>21</v>
      </c>
      <c r="D4673">
        <v>18.37</v>
      </c>
    </row>
    <row r="4674" spans="1:4">
      <c r="A4674">
        <v>4673</v>
      </c>
      <c r="C4674">
        <v>20.67</v>
      </c>
      <c r="D4674">
        <v>18.989999999999998</v>
      </c>
    </row>
    <row r="4675" spans="1:4">
      <c r="A4675">
        <v>4674</v>
      </c>
      <c r="C4675">
        <v>18.47</v>
      </c>
      <c r="D4675">
        <v>17.07</v>
      </c>
    </row>
    <row r="4676" spans="1:4">
      <c r="A4676">
        <v>4675</v>
      </c>
      <c r="C4676">
        <v>17.3</v>
      </c>
      <c r="D4676">
        <v>16.52</v>
      </c>
    </row>
    <row r="4677" spans="1:4">
      <c r="A4677">
        <v>4676</v>
      </c>
      <c r="C4677">
        <v>18.079999999999998</v>
      </c>
      <c r="D4677">
        <v>17.23</v>
      </c>
    </row>
    <row r="4678" spans="1:4">
      <c r="A4678">
        <v>4677</v>
      </c>
      <c r="C4678">
        <v>19.09</v>
      </c>
      <c r="D4678">
        <v>18.260000000000002</v>
      </c>
    </row>
    <row r="4679" spans="1:4">
      <c r="A4679">
        <v>4678</v>
      </c>
      <c r="C4679">
        <v>19.18</v>
      </c>
      <c r="D4679">
        <v>18.2</v>
      </c>
    </row>
    <row r="4680" spans="1:4">
      <c r="A4680">
        <v>4679</v>
      </c>
      <c r="C4680">
        <v>19.25</v>
      </c>
      <c r="D4680">
        <v>17.559999999999999</v>
      </c>
    </row>
    <row r="4681" spans="1:4">
      <c r="A4681">
        <v>4680</v>
      </c>
      <c r="C4681">
        <v>16.45</v>
      </c>
      <c r="D4681">
        <v>15.64</v>
      </c>
    </row>
    <row r="4682" spans="1:4">
      <c r="A4682">
        <v>4681</v>
      </c>
      <c r="C4682">
        <v>16.27</v>
      </c>
      <c r="D4682">
        <v>15.82</v>
      </c>
    </row>
    <row r="4683" spans="1:4">
      <c r="A4683">
        <v>4682</v>
      </c>
      <c r="C4683">
        <v>16.03</v>
      </c>
      <c r="D4683">
        <v>15.48</v>
      </c>
    </row>
    <row r="4684" spans="1:4">
      <c r="A4684">
        <v>4683</v>
      </c>
      <c r="C4684">
        <v>16.47</v>
      </c>
      <c r="D4684">
        <v>15.27</v>
      </c>
    </row>
    <row r="4685" spans="1:4">
      <c r="A4685">
        <v>4684</v>
      </c>
      <c r="C4685">
        <v>15.67</v>
      </c>
      <c r="D4685">
        <v>15.28</v>
      </c>
    </row>
    <row r="4686" spans="1:4">
      <c r="A4686">
        <v>4685</v>
      </c>
      <c r="C4686">
        <v>15.5</v>
      </c>
      <c r="D4686">
        <v>14.73</v>
      </c>
    </row>
    <row r="4687" spans="1:4">
      <c r="A4687">
        <v>4686</v>
      </c>
      <c r="C4687">
        <v>14.67</v>
      </c>
      <c r="D4687">
        <v>13.67</v>
      </c>
    </row>
    <row r="4688" spans="1:4">
      <c r="A4688">
        <v>4687</v>
      </c>
      <c r="C4688">
        <v>15.06</v>
      </c>
      <c r="D4688">
        <v>13.91</v>
      </c>
    </row>
    <row r="4689" spans="1:4">
      <c r="A4689">
        <v>4688</v>
      </c>
      <c r="C4689">
        <v>14.98</v>
      </c>
      <c r="D4689">
        <v>14.36</v>
      </c>
    </row>
    <row r="4690" spans="1:4">
      <c r="A4690">
        <v>4689</v>
      </c>
      <c r="C4690">
        <v>15.15</v>
      </c>
      <c r="D4690">
        <v>14.28</v>
      </c>
    </row>
    <row r="4691" spans="1:4">
      <c r="A4691">
        <v>4690</v>
      </c>
      <c r="C4691">
        <v>14.3</v>
      </c>
      <c r="D4691">
        <v>13.3</v>
      </c>
    </row>
    <row r="4692" spans="1:4">
      <c r="A4692">
        <v>4691</v>
      </c>
      <c r="C4692">
        <v>14.78</v>
      </c>
      <c r="D4692">
        <v>14.07</v>
      </c>
    </row>
    <row r="4693" spans="1:4">
      <c r="A4693">
        <v>4692</v>
      </c>
      <c r="C4693">
        <v>15.44</v>
      </c>
      <c r="D4693">
        <v>14.04</v>
      </c>
    </row>
    <row r="4694" spans="1:4">
      <c r="A4694">
        <v>4693</v>
      </c>
      <c r="C4694">
        <v>15.52</v>
      </c>
      <c r="D4694">
        <v>14.75</v>
      </c>
    </row>
    <row r="4695" spans="1:4">
      <c r="A4695">
        <v>4694</v>
      </c>
      <c r="C4695">
        <v>16.45</v>
      </c>
      <c r="D4695">
        <v>15</v>
      </c>
    </row>
    <row r="4696" spans="1:4">
      <c r="A4696">
        <v>4695</v>
      </c>
      <c r="C4696">
        <v>16</v>
      </c>
      <c r="D4696">
        <v>15.18</v>
      </c>
    </row>
    <row r="4697" spans="1:4">
      <c r="A4697">
        <v>4696</v>
      </c>
      <c r="C4697">
        <v>16.38</v>
      </c>
      <c r="D4697">
        <v>15.75</v>
      </c>
    </row>
    <row r="4698" spans="1:4">
      <c r="A4698">
        <v>4697</v>
      </c>
      <c r="C4698">
        <v>16.920000000000002</v>
      </c>
      <c r="D4698">
        <v>16.010000000000002</v>
      </c>
    </row>
    <row r="4699" spans="1:4">
      <c r="A4699">
        <v>4698</v>
      </c>
      <c r="C4699">
        <v>17.059999999999999</v>
      </c>
      <c r="D4699">
        <v>16.510000000000002</v>
      </c>
    </row>
    <row r="4700" spans="1:4">
      <c r="A4700">
        <v>4699</v>
      </c>
      <c r="C4700">
        <v>18.05</v>
      </c>
      <c r="D4700">
        <v>17.440000000000001</v>
      </c>
    </row>
    <row r="4701" spans="1:4">
      <c r="A4701">
        <v>4700</v>
      </c>
      <c r="C4701">
        <v>18.04</v>
      </c>
      <c r="D4701">
        <v>16.920000000000002</v>
      </c>
    </row>
    <row r="4702" spans="1:4">
      <c r="A4702">
        <v>4701</v>
      </c>
      <c r="C4702">
        <v>18.96</v>
      </c>
      <c r="D4702">
        <v>17.850000000000001</v>
      </c>
    </row>
    <row r="4703" spans="1:4">
      <c r="A4703">
        <v>4702</v>
      </c>
      <c r="C4703">
        <v>17.84</v>
      </c>
      <c r="D4703">
        <v>16.989999999999998</v>
      </c>
    </row>
    <row r="4704" spans="1:4">
      <c r="A4704">
        <v>4703</v>
      </c>
      <c r="C4704">
        <v>17.3</v>
      </c>
      <c r="D4704">
        <v>15.6</v>
      </c>
    </row>
    <row r="4705" spans="1:4">
      <c r="A4705">
        <v>4704</v>
      </c>
      <c r="C4705">
        <v>15.6</v>
      </c>
      <c r="D4705">
        <v>14.33</v>
      </c>
    </row>
    <row r="4706" spans="1:4">
      <c r="A4706">
        <v>4705</v>
      </c>
      <c r="C4706">
        <v>16.28</v>
      </c>
      <c r="D4706">
        <v>13.97</v>
      </c>
    </row>
    <row r="4707" spans="1:4">
      <c r="A4707">
        <v>4706</v>
      </c>
      <c r="C4707">
        <v>16.41</v>
      </c>
      <c r="D4707">
        <v>15.78</v>
      </c>
    </row>
    <row r="4708" spans="1:4">
      <c r="A4708">
        <v>4707</v>
      </c>
      <c r="C4708">
        <v>16.309999999999999</v>
      </c>
      <c r="D4708">
        <v>15.43</v>
      </c>
    </row>
    <row r="4709" spans="1:4">
      <c r="A4709">
        <v>4708</v>
      </c>
      <c r="C4709">
        <v>16.54</v>
      </c>
      <c r="D4709">
        <v>13.91</v>
      </c>
    </row>
    <row r="4710" spans="1:4">
      <c r="A4710">
        <v>4709</v>
      </c>
      <c r="C4710">
        <v>14.71</v>
      </c>
      <c r="D4710">
        <v>13.51</v>
      </c>
    </row>
    <row r="4711" spans="1:4">
      <c r="A4711">
        <v>4710</v>
      </c>
      <c r="C4711">
        <v>14.92</v>
      </c>
      <c r="D4711">
        <v>14.54</v>
      </c>
    </row>
    <row r="4712" spans="1:4">
      <c r="A4712">
        <v>4711</v>
      </c>
      <c r="C4712">
        <v>14.88</v>
      </c>
      <c r="D4712">
        <v>14.17</v>
      </c>
    </row>
    <row r="4713" spans="1:4">
      <c r="A4713">
        <v>4712</v>
      </c>
      <c r="C4713">
        <v>14.08</v>
      </c>
      <c r="D4713">
        <v>13.61</v>
      </c>
    </row>
    <row r="4714" spans="1:4">
      <c r="A4714">
        <v>4713</v>
      </c>
      <c r="C4714">
        <v>14.67</v>
      </c>
      <c r="D4714">
        <v>14.07</v>
      </c>
    </row>
    <row r="4715" spans="1:4">
      <c r="A4715">
        <v>4714</v>
      </c>
      <c r="C4715">
        <v>14.18</v>
      </c>
      <c r="D4715">
        <v>13.69</v>
      </c>
    </row>
    <row r="4716" spans="1:4">
      <c r="A4716">
        <v>4715</v>
      </c>
      <c r="C4716">
        <v>15.06</v>
      </c>
      <c r="D4716">
        <v>13.87</v>
      </c>
    </row>
    <row r="4717" spans="1:4">
      <c r="A4717">
        <v>4716</v>
      </c>
      <c r="C4717">
        <v>15.72</v>
      </c>
      <c r="D4717">
        <v>14.03</v>
      </c>
    </row>
    <row r="4718" spans="1:4">
      <c r="A4718">
        <v>4717</v>
      </c>
      <c r="C4718">
        <v>17.079999999999998</v>
      </c>
      <c r="D4718">
        <v>15.83</v>
      </c>
    </row>
    <row r="4719" spans="1:4">
      <c r="A4719">
        <v>4718</v>
      </c>
      <c r="C4719">
        <v>16.5</v>
      </c>
      <c r="D4719">
        <v>14.83</v>
      </c>
    </row>
    <row r="4720" spans="1:4">
      <c r="A4720">
        <v>4719</v>
      </c>
      <c r="C4720">
        <v>15.77</v>
      </c>
      <c r="D4720">
        <v>14.95</v>
      </c>
    </row>
    <row r="4721" spans="1:4">
      <c r="A4721">
        <v>4720</v>
      </c>
      <c r="C4721">
        <v>16.53</v>
      </c>
      <c r="D4721">
        <v>15.13</v>
      </c>
    </row>
    <row r="4722" spans="1:4">
      <c r="A4722">
        <v>4721</v>
      </c>
      <c r="C4722">
        <v>16.5</v>
      </c>
      <c r="D4722">
        <v>15.7</v>
      </c>
    </row>
    <row r="4723" spans="1:4">
      <c r="A4723">
        <v>4722</v>
      </c>
      <c r="C4723">
        <v>16.02</v>
      </c>
      <c r="D4723">
        <v>15.13</v>
      </c>
    </row>
    <row r="4724" spans="1:4">
      <c r="A4724">
        <v>4723</v>
      </c>
      <c r="C4724">
        <v>15.33</v>
      </c>
      <c r="D4724">
        <v>14.53</v>
      </c>
    </row>
    <row r="4725" spans="1:4">
      <c r="A4725">
        <v>4724</v>
      </c>
      <c r="C4725">
        <v>14.78</v>
      </c>
      <c r="D4725">
        <v>13.67</v>
      </c>
    </row>
    <row r="4726" spans="1:4">
      <c r="A4726">
        <v>4725</v>
      </c>
      <c r="C4726">
        <v>15.46</v>
      </c>
      <c r="D4726">
        <v>15.04</v>
      </c>
    </row>
    <row r="4727" spans="1:4">
      <c r="A4727">
        <v>4726</v>
      </c>
      <c r="C4727">
        <v>16.399999999999999</v>
      </c>
      <c r="D4727">
        <v>15.18</v>
      </c>
    </row>
    <row r="4728" spans="1:4">
      <c r="A4728">
        <v>4727</v>
      </c>
      <c r="C4728">
        <v>16.79</v>
      </c>
      <c r="D4728">
        <v>16.13</v>
      </c>
    </row>
    <row r="4729" spans="1:4">
      <c r="A4729">
        <v>4728</v>
      </c>
      <c r="C4729">
        <v>15.8</v>
      </c>
      <c r="D4729">
        <v>15.31</v>
      </c>
    </row>
    <row r="4730" spans="1:4">
      <c r="A4730">
        <v>4729</v>
      </c>
      <c r="C4730">
        <v>16.18</v>
      </c>
      <c r="D4730">
        <v>14.96</v>
      </c>
    </row>
    <row r="4731" spans="1:4">
      <c r="A4731">
        <v>4730</v>
      </c>
      <c r="C4731">
        <v>16.21</v>
      </c>
      <c r="D4731">
        <v>15.23</v>
      </c>
    </row>
    <row r="4732" spans="1:4">
      <c r="A4732">
        <v>4731</v>
      </c>
      <c r="C4732">
        <v>15.23</v>
      </c>
      <c r="D4732">
        <v>14.5</v>
      </c>
    </row>
    <row r="4733" spans="1:4">
      <c r="A4733">
        <v>4732</v>
      </c>
      <c r="C4733">
        <v>15.63</v>
      </c>
      <c r="D4733">
        <v>14.9</v>
      </c>
    </row>
    <row r="4734" spans="1:4">
      <c r="A4734">
        <v>4733</v>
      </c>
      <c r="C4734">
        <v>15.5</v>
      </c>
      <c r="D4734">
        <v>14.68</v>
      </c>
    </row>
    <row r="4735" spans="1:4">
      <c r="A4735">
        <v>4734</v>
      </c>
      <c r="C4735">
        <v>17.600000000000001</v>
      </c>
      <c r="D4735">
        <v>14.9</v>
      </c>
    </row>
    <row r="4736" spans="1:4">
      <c r="A4736">
        <v>4735</v>
      </c>
      <c r="C4736">
        <v>17.98</v>
      </c>
      <c r="D4736">
        <v>16.62</v>
      </c>
    </row>
    <row r="4737" spans="1:4">
      <c r="A4737">
        <v>4736</v>
      </c>
      <c r="C4737">
        <v>19.649999999999999</v>
      </c>
      <c r="D4737">
        <v>18.170000000000002</v>
      </c>
    </row>
    <row r="4738" spans="1:4">
      <c r="A4738">
        <v>4737</v>
      </c>
      <c r="C4738">
        <v>18.670000000000002</v>
      </c>
      <c r="D4738">
        <v>17.93</v>
      </c>
    </row>
    <row r="4739" spans="1:4">
      <c r="A4739">
        <v>4738</v>
      </c>
      <c r="C4739">
        <v>18.64</v>
      </c>
      <c r="D4739">
        <v>17.3</v>
      </c>
    </row>
    <row r="4740" spans="1:4">
      <c r="A4740">
        <v>4739</v>
      </c>
      <c r="C4740">
        <v>18.64</v>
      </c>
      <c r="D4740">
        <v>17.52</v>
      </c>
    </row>
    <row r="4741" spans="1:4">
      <c r="A4741">
        <v>4740</v>
      </c>
      <c r="C4741">
        <v>18.84</v>
      </c>
      <c r="D4741">
        <v>17.559999999999999</v>
      </c>
    </row>
    <row r="4742" spans="1:4">
      <c r="A4742">
        <v>4741</v>
      </c>
      <c r="C4742">
        <v>17.79</v>
      </c>
      <c r="D4742">
        <v>16.45</v>
      </c>
    </row>
    <row r="4743" spans="1:4">
      <c r="A4743">
        <v>4742</v>
      </c>
      <c r="C4743">
        <v>17.600000000000001</v>
      </c>
      <c r="D4743">
        <v>16.05</v>
      </c>
    </row>
    <row r="4744" spans="1:4">
      <c r="A4744">
        <v>4743</v>
      </c>
      <c r="C4744">
        <v>18.7</v>
      </c>
      <c r="D4744">
        <v>18.13</v>
      </c>
    </row>
    <row r="4745" spans="1:4">
      <c r="A4745">
        <v>4744</v>
      </c>
      <c r="C4745">
        <v>18.170000000000002</v>
      </c>
      <c r="D4745">
        <v>17.190000000000001</v>
      </c>
    </row>
    <row r="4746" spans="1:4">
      <c r="A4746">
        <v>4745</v>
      </c>
      <c r="C4746">
        <v>19.399999999999999</v>
      </c>
      <c r="D4746">
        <v>17.62</v>
      </c>
    </row>
    <row r="4747" spans="1:4">
      <c r="A4747">
        <v>4746</v>
      </c>
      <c r="C4747">
        <v>18.690000000000001</v>
      </c>
      <c r="D4747">
        <v>17.96</v>
      </c>
    </row>
    <row r="4748" spans="1:4">
      <c r="A4748">
        <v>4747</v>
      </c>
      <c r="C4748">
        <v>18.809999999999999</v>
      </c>
      <c r="D4748">
        <v>17.670000000000002</v>
      </c>
    </row>
    <row r="4749" spans="1:4">
      <c r="A4749">
        <v>4748</v>
      </c>
      <c r="C4749">
        <v>18.149999999999999</v>
      </c>
      <c r="D4749">
        <v>16.45</v>
      </c>
    </row>
    <row r="4750" spans="1:4">
      <c r="A4750">
        <v>4749</v>
      </c>
      <c r="C4750">
        <v>17.38</v>
      </c>
      <c r="D4750">
        <v>16.12</v>
      </c>
    </row>
    <row r="4751" spans="1:4">
      <c r="A4751">
        <v>4750</v>
      </c>
      <c r="C4751">
        <v>18.05</v>
      </c>
      <c r="D4751">
        <v>15.93</v>
      </c>
    </row>
    <row r="4752" spans="1:4">
      <c r="A4752">
        <v>4751</v>
      </c>
      <c r="C4752">
        <v>18.64</v>
      </c>
      <c r="D4752">
        <v>17.62</v>
      </c>
    </row>
    <row r="4753" spans="1:4">
      <c r="A4753">
        <v>4752</v>
      </c>
      <c r="C4753">
        <v>18.5</v>
      </c>
      <c r="D4753">
        <v>16.41</v>
      </c>
    </row>
    <row r="4754" spans="1:4">
      <c r="A4754">
        <v>4753</v>
      </c>
      <c r="C4754">
        <v>15.98</v>
      </c>
      <c r="D4754">
        <v>15.1</v>
      </c>
    </row>
    <row r="4755" spans="1:4">
      <c r="A4755">
        <v>4754</v>
      </c>
      <c r="C4755">
        <v>15.65</v>
      </c>
      <c r="D4755">
        <v>15.06</v>
      </c>
    </row>
    <row r="4756" spans="1:4">
      <c r="A4756">
        <v>4755</v>
      </c>
      <c r="C4756">
        <v>15.43</v>
      </c>
      <c r="D4756">
        <v>14.77</v>
      </c>
    </row>
    <row r="4757" spans="1:4">
      <c r="A4757">
        <v>4756</v>
      </c>
      <c r="C4757">
        <v>15.26</v>
      </c>
      <c r="D4757">
        <v>15</v>
      </c>
    </row>
    <row r="4758" spans="1:4">
      <c r="A4758">
        <v>4757</v>
      </c>
      <c r="C4758">
        <v>15.84</v>
      </c>
      <c r="D4758">
        <v>15.47</v>
      </c>
    </row>
    <row r="4759" spans="1:4">
      <c r="A4759">
        <v>4758</v>
      </c>
      <c r="C4759">
        <v>15.93</v>
      </c>
      <c r="D4759">
        <v>15.01</v>
      </c>
    </row>
    <row r="4760" spans="1:4">
      <c r="A4760">
        <v>4759</v>
      </c>
      <c r="C4760">
        <v>16.98</v>
      </c>
      <c r="D4760">
        <v>15.47</v>
      </c>
    </row>
    <row r="4761" spans="1:4">
      <c r="A4761">
        <v>4760</v>
      </c>
      <c r="C4761">
        <v>15.51</v>
      </c>
      <c r="D4761">
        <v>15.02</v>
      </c>
    </row>
    <row r="4762" spans="1:4">
      <c r="A4762">
        <v>4761</v>
      </c>
      <c r="C4762">
        <v>16.170000000000002</v>
      </c>
      <c r="D4762">
        <v>14.89</v>
      </c>
    </row>
    <row r="4763" spans="1:4">
      <c r="A4763">
        <v>4762</v>
      </c>
      <c r="C4763">
        <v>16.690000000000001</v>
      </c>
      <c r="D4763">
        <v>15.76</v>
      </c>
    </row>
    <row r="4764" spans="1:4">
      <c r="A4764">
        <v>4763</v>
      </c>
      <c r="C4764">
        <v>17.37</v>
      </c>
      <c r="D4764">
        <v>16.38</v>
      </c>
    </row>
    <row r="4765" spans="1:4">
      <c r="A4765">
        <v>4764</v>
      </c>
      <c r="C4765">
        <v>17.53</v>
      </c>
      <c r="D4765">
        <v>16.27</v>
      </c>
    </row>
    <row r="4766" spans="1:4">
      <c r="A4766">
        <v>4765</v>
      </c>
      <c r="C4766">
        <v>16.850000000000001</v>
      </c>
      <c r="D4766">
        <v>16.309999999999999</v>
      </c>
    </row>
    <row r="4767" spans="1:4">
      <c r="A4767">
        <v>4766</v>
      </c>
      <c r="C4767">
        <v>16.649999999999999</v>
      </c>
      <c r="D4767">
        <v>15.73</v>
      </c>
    </row>
    <row r="4768" spans="1:4">
      <c r="A4768">
        <v>4767</v>
      </c>
      <c r="C4768">
        <v>16.47</v>
      </c>
      <c r="D4768">
        <v>15.96</v>
      </c>
    </row>
    <row r="4769" spans="1:4">
      <c r="A4769">
        <v>4768</v>
      </c>
      <c r="C4769">
        <v>16.010000000000002</v>
      </c>
      <c r="D4769">
        <v>15.42</v>
      </c>
    </row>
    <row r="4770" spans="1:4">
      <c r="A4770">
        <v>4769</v>
      </c>
      <c r="C4770">
        <v>16.09</v>
      </c>
      <c r="D4770">
        <v>15.41</v>
      </c>
    </row>
    <row r="4771" spans="1:4">
      <c r="A4771">
        <v>4770</v>
      </c>
      <c r="C4771">
        <v>16.670000000000002</v>
      </c>
      <c r="D4771">
        <v>15.71</v>
      </c>
    </row>
    <row r="4772" spans="1:4">
      <c r="A4772">
        <v>4771</v>
      </c>
      <c r="C4772">
        <v>17.149999999999999</v>
      </c>
      <c r="D4772">
        <v>16.61</v>
      </c>
    </row>
    <row r="4773" spans="1:4">
      <c r="A4773">
        <v>4772</v>
      </c>
      <c r="C4773">
        <v>17.2</v>
      </c>
      <c r="D4773">
        <v>16.21</v>
      </c>
    </row>
    <row r="4774" spans="1:4">
      <c r="A4774">
        <v>4773</v>
      </c>
      <c r="C4774">
        <v>16.43</v>
      </c>
      <c r="D4774">
        <v>15.46</v>
      </c>
    </row>
    <row r="4775" spans="1:4">
      <c r="A4775">
        <v>4774</v>
      </c>
      <c r="C4775">
        <v>17.46</v>
      </c>
      <c r="D4775">
        <v>16.04</v>
      </c>
    </row>
    <row r="4776" spans="1:4">
      <c r="A4776">
        <v>4775</v>
      </c>
      <c r="C4776">
        <v>17.96</v>
      </c>
      <c r="D4776">
        <v>17.11</v>
      </c>
    </row>
    <row r="4777" spans="1:4">
      <c r="A4777">
        <v>4776</v>
      </c>
      <c r="C4777">
        <v>19.93</v>
      </c>
      <c r="D4777">
        <v>17.760000000000002</v>
      </c>
    </row>
    <row r="4778" spans="1:4">
      <c r="A4778">
        <v>4777</v>
      </c>
      <c r="C4778">
        <v>18.66</v>
      </c>
      <c r="D4778">
        <v>18.45</v>
      </c>
    </row>
    <row r="4779" spans="1:4">
      <c r="A4779">
        <v>4778</v>
      </c>
      <c r="C4779">
        <v>19.63</v>
      </c>
      <c r="D4779">
        <v>18.61</v>
      </c>
    </row>
    <row r="4780" spans="1:4">
      <c r="A4780">
        <v>4779</v>
      </c>
      <c r="C4780">
        <v>20.9</v>
      </c>
      <c r="D4780">
        <v>19.11</v>
      </c>
    </row>
    <row r="4781" spans="1:4">
      <c r="A4781">
        <v>4780</v>
      </c>
      <c r="C4781">
        <v>23.23</v>
      </c>
      <c r="D4781">
        <v>19.940000000000001</v>
      </c>
    </row>
    <row r="4782" spans="1:4">
      <c r="A4782">
        <v>4781</v>
      </c>
      <c r="C4782">
        <v>22.72</v>
      </c>
      <c r="D4782">
        <v>17.88</v>
      </c>
    </row>
    <row r="4783" spans="1:4">
      <c r="A4783">
        <v>4782</v>
      </c>
      <c r="C4783">
        <v>15.93</v>
      </c>
      <c r="D4783">
        <v>14.6</v>
      </c>
    </row>
    <row r="4784" spans="1:4">
      <c r="A4784">
        <v>4783</v>
      </c>
      <c r="C4784">
        <v>14.92</v>
      </c>
      <c r="D4784">
        <v>14.24</v>
      </c>
    </row>
    <row r="4785" spans="1:4">
      <c r="A4785">
        <v>4784</v>
      </c>
      <c r="C4785">
        <v>14.31</v>
      </c>
      <c r="D4785">
        <v>13.64</v>
      </c>
    </row>
    <row r="4786" spans="1:4">
      <c r="A4786">
        <v>4785</v>
      </c>
      <c r="C4786">
        <v>14.53</v>
      </c>
      <c r="D4786">
        <v>13.71</v>
      </c>
    </row>
    <row r="4787" spans="1:4">
      <c r="A4787">
        <v>4786</v>
      </c>
      <c r="C4787">
        <v>14.29</v>
      </c>
      <c r="D4787">
        <v>13.62</v>
      </c>
    </row>
    <row r="4788" spans="1:4">
      <c r="A4788">
        <v>4787</v>
      </c>
      <c r="C4788">
        <v>13.93</v>
      </c>
      <c r="D4788">
        <v>13.22</v>
      </c>
    </row>
    <row r="4789" spans="1:4">
      <c r="A4789">
        <v>4788</v>
      </c>
      <c r="C4789">
        <v>13.88</v>
      </c>
      <c r="D4789">
        <v>13.33</v>
      </c>
    </row>
    <row r="4790" spans="1:4">
      <c r="A4790">
        <v>4789</v>
      </c>
      <c r="C4790">
        <v>13.79</v>
      </c>
      <c r="D4790">
        <v>13.22</v>
      </c>
    </row>
    <row r="4791" spans="1:4">
      <c r="A4791">
        <v>4790</v>
      </c>
      <c r="C4791">
        <v>13.85</v>
      </c>
      <c r="D4791">
        <v>13.41</v>
      </c>
    </row>
    <row r="4792" spans="1:4">
      <c r="A4792">
        <v>4791</v>
      </c>
      <c r="C4792">
        <v>13.99</v>
      </c>
      <c r="D4792">
        <v>13.33</v>
      </c>
    </row>
    <row r="4793" spans="1:4">
      <c r="A4793">
        <v>4792</v>
      </c>
      <c r="C4793">
        <v>13.76</v>
      </c>
      <c r="D4793">
        <v>13.2</v>
      </c>
    </row>
    <row r="4794" spans="1:4">
      <c r="A4794">
        <v>4793</v>
      </c>
      <c r="C4794">
        <v>13.7</v>
      </c>
      <c r="D4794">
        <v>13.16</v>
      </c>
    </row>
    <row r="4795" spans="1:4">
      <c r="A4795">
        <v>4794</v>
      </c>
      <c r="C4795">
        <v>13.53</v>
      </c>
      <c r="D4795">
        <v>12.29</v>
      </c>
    </row>
    <row r="4796" spans="1:4">
      <c r="A4796">
        <v>4795</v>
      </c>
      <c r="C4796">
        <v>13.32</v>
      </c>
      <c r="D4796">
        <v>12.43</v>
      </c>
    </row>
    <row r="4797" spans="1:4">
      <c r="A4797">
        <v>4796</v>
      </c>
      <c r="C4797">
        <v>12.67</v>
      </c>
      <c r="D4797">
        <v>12.3</v>
      </c>
    </row>
    <row r="4798" spans="1:4">
      <c r="A4798">
        <v>4797</v>
      </c>
      <c r="C4798">
        <v>13.5</v>
      </c>
      <c r="D4798">
        <v>12.4</v>
      </c>
    </row>
    <row r="4799" spans="1:4">
      <c r="A4799">
        <v>4798</v>
      </c>
      <c r="C4799">
        <v>12.99</v>
      </c>
      <c r="D4799">
        <v>12.5</v>
      </c>
    </row>
    <row r="4800" spans="1:4">
      <c r="A4800">
        <v>4799</v>
      </c>
      <c r="C4800">
        <v>13.91</v>
      </c>
      <c r="D4800">
        <v>13.29</v>
      </c>
    </row>
    <row r="4801" spans="1:4">
      <c r="A4801">
        <v>4800</v>
      </c>
      <c r="C4801">
        <v>13.88</v>
      </c>
      <c r="D4801">
        <v>13.04</v>
      </c>
    </row>
    <row r="4802" spans="1:4">
      <c r="A4802">
        <v>4801</v>
      </c>
      <c r="C4802">
        <v>14.33</v>
      </c>
      <c r="D4802">
        <v>13.6</v>
      </c>
    </row>
    <row r="4803" spans="1:4">
      <c r="A4803">
        <v>4802</v>
      </c>
      <c r="C4803">
        <v>14.43</v>
      </c>
      <c r="D4803">
        <v>14.04</v>
      </c>
    </row>
    <row r="4804" spans="1:4">
      <c r="A4804">
        <v>4803</v>
      </c>
      <c r="C4804">
        <v>13.38</v>
      </c>
      <c r="D4804">
        <v>12.72</v>
      </c>
    </row>
    <row r="4805" spans="1:4">
      <c r="A4805">
        <v>4804</v>
      </c>
      <c r="C4805">
        <v>14.75</v>
      </c>
      <c r="D4805">
        <v>13.8</v>
      </c>
    </row>
    <row r="4806" spans="1:4">
      <c r="A4806">
        <v>4805</v>
      </c>
      <c r="C4806">
        <v>14.21</v>
      </c>
      <c r="D4806">
        <v>13.39</v>
      </c>
    </row>
    <row r="4807" spans="1:4">
      <c r="A4807">
        <v>4806</v>
      </c>
      <c r="C4807">
        <v>14.08</v>
      </c>
      <c r="D4807">
        <v>13.34</v>
      </c>
    </row>
    <row r="4808" spans="1:4">
      <c r="A4808">
        <v>4807</v>
      </c>
      <c r="C4808">
        <v>14.41</v>
      </c>
      <c r="D4808">
        <v>13.43</v>
      </c>
    </row>
    <row r="4809" spans="1:4">
      <c r="A4809">
        <v>4808</v>
      </c>
      <c r="C4809">
        <v>13.2</v>
      </c>
      <c r="D4809">
        <v>12.89</v>
      </c>
    </row>
    <row r="4810" spans="1:4">
      <c r="A4810">
        <v>4809</v>
      </c>
      <c r="C4810">
        <v>13.42</v>
      </c>
      <c r="D4810">
        <v>12.91</v>
      </c>
    </row>
    <row r="4811" spans="1:4">
      <c r="A4811">
        <v>4810</v>
      </c>
      <c r="C4811">
        <v>13.13</v>
      </c>
      <c r="D4811">
        <v>12.63</v>
      </c>
    </row>
    <row r="4812" spans="1:4">
      <c r="A4812">
        <v>4811</v>
      </c>
      <c r="C4812">
        <v>13.19</v>
      </c>
      <c r="D4812">
        <v>12.67</v>
      </c>
    </row>
    <row r="4813" spans="1:4">
      <c r="A4813">
        <v>4812</v>
      </c>
      <c r="C4813">
        <v>13.32</v>
      </c>
      <c r="D4813">
        <v>12.64</v>
      </c>
    </row>
    <row r="4814" spans="1:4">
      <c r="A4814">
        <v>4813</v>
      </c>
      <c r="C4814">
        <v>12.89</v>
      </c>
      <c r="D4814">
        <v>12.24</v>
      </c>
    </row>
    <row r="4815" spans="1:4">
      <c r="A4815">
        <v>4814</v>
      </c>
      <c r="C4815">
        <v>12.85</v>
      </c>
      <c r="D4815">
        <v>12.08</v>
      </c>
    </row>
    <row r="4816" spans="1:4">
      <c r="A4816">
        <v>4815</v>
      </c>
      <c r="C4816">
        <v>14.68</v>
      </c>
      <c r="D4816">
        <v>12.32</v>
      </c>
    </row>
    <row r="4817" spans="1:4">
      <c r="A4817">
        <v>4816</v>
      </c>
      <c r="C4817">
        <v>16.21</v>
      </c>
      <c r="D4817">
        <v>14.67</v>
      </c>
    </row>
    <row r="4818" spans="1:4">
      <c r="A4818">
        <v>4817</v>
      </c>
      <c r="C4818">
        <v>15.02</v>
      </c>
      <c r="D4818">
        <v>14.16</v>
      </c>
    </row>
    <row r="4819" spans="1:4">
      <c r="A4819">
        <v>4818</v>
      </c>
      <c r="C4819">
        <v>19.28</v>
      </c>
      <c r="D4819">
        <v>13.57</v>
      </c>
    </row>
    <row r="4820" spans="1:4">
      <c r="A4820">
        <v>4819</v>
      </c>
      <c r="C4820">
        <v>18.23</v>
      </c>
      <c r="D4820">
        <v>16.75</v>
      </c>
    </row>
    <row r="4821" spans="1:4">
      <c r="A4821">
        <v>4820</v>
      </c>
      <c r="C4821">
        <v>16.600000000000001</v>
      </c>
      <c r="D4821">
        <v>14.42</v>
      </c>
    </row>
    <row r="4822" spans="1:4">
      <c r="A4822">
        <v>4821</v>
      </c>
      <c r="C4822">
        <v>15.6</v>
      </c>
      <c r="D4822">
        <v>14.16</v>
      </c>
    </row>
    <row r="4823" spans="1:4">
      <c r="A4823">
        <v>4822</v>
      </c>
      <c r="C4823">
        <v>16.82</v>
      </c>
      <c r="D4823">
        <v>15.14</v>
      </c>
    </row>
    <row r="4824" spans="1:4">
      <c r="A4824">
        <v>4823</v>
      </c>
      <c r="C4824">
        <v>16.16</v>
      </c>
      <c r="D4824">
        <v>14.01</v>
      </c>
    </row>
    <row r="4825" spans="1:4">
      <c r="A4825">
        <v>4824</v>
      </c>
      <c r="C4825">
        <v>13.66</v>
      </c>
      <c r="D4825">
        <v>13.24</v>
      </c>
    </row>
    <row r="4826" spans="1:4">
      <c r="A4826">
        <v>4825</v>
      </c>
      <c r="C4826">
        <v>13.77</v>
      </c>
      <c r="D4826">
        <v>13.17</v>
      </c>
    </row>
    <row r="4827" spans="1:4">
      <c r="A4827">
        <v>4826</v>
      </c>
      <c r="C4827">
        <v>13.56</v>
      </c>
      <c r="D4827">
        <v>13.03</v>
      </c>
    </row>
    <row r="4828" spans="1:4">
      <c r="A4828">
        <v>4827</v>
      </c>
      <c r="C4828">
        <v>13.3</v>
      </c>
      <c r="D4828">
        <v>12.49</v>
      </c>
    </row>
    <row r="4829" spans="1:4">
      <c r="A4829">
        <v>4828</v>
      </c>
      <c r="C4829">
        <v>12.34</v>
      </c>
      <c r="D4829">
        <v>11.5</v>
      </c>
    </row>
    <row r="4830" spans="1:4">
      <c r="A4830">
        <v>4829</v>
      </c>
      <c r="C4830">
        <v>12.93</v>
      </c>
      <c r="D4830">
        <v>11.74</v>
      </c>
    </row>
    <row r="4831" spans="1:4">
      <c r="A4831">
        <v>4830</v>
      </c>
      <c r="C4831">
        <v>12.55</v>
      </c>
      <c r="D4831">
        <v>11.79</v>
      </c>
    </row>
    <row r="4832" spans="1:4">
      <c r="A4832">
        <v>4831</v>
      </c>
      <c r="C4832">
        <v>11.75</v>
      </c>
      <c r="D4832">
        <v>11.05</v>
      </c>
    </row>
    <row r="4833" spans="1:4">
      <c r="A4833">
        <v>4832</v>
      </c>
      <c r="C4833">
        <v>11.99</v>
      </c>
      <c r="D4833">
        <v>11.21</v>
      </c>
    </row>
    <row r="4834" spans="1:4">
      <c r="A4834">
        <v>4833</v>
      </c>
      <c r="C4834">
        <v>13.64</v>
      </c>
      <c r="D4834">
        <v>12.57</v>
      </c>
    </row>
    <row r="4835" spans="1:4">
      <c r="A4835">
        <v>4834</v>
      </c>
      <c r="C4835">
        <v>15.4</v>
      </c>
      <c r="D4835">
        <v>12.92</v>
      </c>
    </row>
    <row r="4836" spans="1:4">
      <c r="A4836">
        <v>4835</v>
      </c>
      <c r="C4836">
        <v>13.18</v>
      </c>
      <c r="D4836">
        <v>12.3</v>
      </c>
    </row>
    <row r="4837" spans="1:4">
      <c r="A4837">
        <v>4836</v>
      </c>
      <c r="C4837">
        <v>14.21</v>
      </c>
      <c r="D4837">
        <v>12.62</v>
      </c>
    </row>
    <row r="4838" spans="1:4">
      <c r="A4838">
        <v>4837</v>
      </c>
      <c r="C4838">
        <v>13.85</v>
      </c>
      <c r="D4838">
        <v>13.19</v>
      </c>
    </row>
    <row r="4839" spans="1:4">
      <c r="A4839">
        <v>4838</v>
      </c>
      <c r="C4839">
        <v>14.61</v>
      </c>
      <c r="D4839">
        <v>12.39</v>
      </c>
    </row>
    <row r="4840" spans="1:4">
      <c r="A4840">
        <v>4839</v>
      </c>
      <c r="C4840">
        <v>13.21</v>
      </c>
      <c r="D4840">
        <v>12.69</v>
      </c>
    </row>
    <row r="4841" spans="1:4">
      <c r="A4841">
        <v>4840</v>
      </c>
      <c r="C4841">
        <v>13.97</v>
      </c>
      <c r="D4841">
        <v>12.97</v>
      </c>
    </row>
    <row r="4842" spans="1:4">
      <c r="A4842">
        <v>4841</v>
      </c>
      <c r="C4842">
        <v>13.07</v>
      </c>
      <c r="D4842">
        <v>12.54</v>
      </c>
    </row>
    <row r="4843" spans="1:4">
      <c r="A4843">
        <v>4842</v>
      </c>
      <c r="C4843">
        <v>14.05</v>
      </c>
      <c r="D4843">
        <v>13.26</v>
      </c>
    </row>
    <row r="4844" spans="1:4">
      <c r="A4844">
        <v>4843</v>
      </c>
      <c r="C4844">
        <v>13.18</v>
      </c>
      <c r="D4844">
        <v>12.76</v>
      </c>
    </row>
    <row r="4845" spans="1:4">
      <c r="A4845">
        <v>4844</v>
      </c>
      <c r="C4845">
        <v>14.66</v>
      </c>
      <c r="D4845">
        <v>12.62</v>
      </c>
    </row>
    <row r="4846" spans="1:4">
      <c r="A4846">
        <v>4845</v>
      </c>
      <c r="C4846">
        <v>14.79</v>
      </c>
      <c r="D4846">
        <v>13.89</v>
      </c>
    </row>
    <row r="4847" spans="1:4">
      <c r="A4847">
        <v>4846</v>
      </c>
      <c r="C4847">
        <v>15.65</v>
      </c>
      <c r="D4847">
        <v>13.86</v>
      </c>
    </row>
    <row r="4848" spans="1:4">
      <c r="A4848">
        <v>4847</v>
      </c>
      <c r="C4848">
        <v>14.5</v>
      </c>
      <c r="D4848">
        <v>13.19</v>
      </c>
    </row>
    <row r="4849" spans="1:4">
      <c r="A4849">
        <v>4848</v>
      </c>
      <c r="C4849">
        <v>13.68</v>
      </c>
      <c r="D4849">
        <v>12.75</v>
      </c>
    </row>
    <row r="4850" spans="1:4">
      <c r="A4850">
        <v>4849</v>
      </c>
      <c r="C4850">
        <v>12.88</v>
      </c>
      <c r="D4850">
        <v>12.32</v>
      </c>
    </row>
    <row r="4851" spans="1:4">
      <c r="A4851">
        <v>4850</v>
      </c>
      <c r="C4851">
        <v>12.62</v>
      </c>
      <c r="D4851">
        <v>12.15</v>
      </c>
    </row>
    <row r="4852" spans="1:4">
      <c r="A4852">
        <v>4851</v>
      </c>
      <c r="C4852">
        <v>13.12</v>
      </c>
      <c r="D4852">
        <v>11.99</v>
      </c>
    </row>
    <row r="4853" spans="1:4">
      <c r="A4853">
        <v>4852</v>
      </c>
      <c r="C4853">
        <v>17.27</v>
      </c>
      <c r="D4853">
        <v>12.66</v>
      </c>
    </row>
    <row r="4854" spans="1:4">
      <c r="A4854">
        <v>4853</v>
      </c>
      <c r="C4854">
        <v>14.87</v>
      </c>
      <c r="D4854">
        <v>13.91</v>
      </c>
    </row>
    <row r="4855" spans="1:4">
      <c r="A4855">
        <v>4854</v>
      </c>
      <c r="C4855">
        <v>17.899999999999999</v>
      </c>
      <c r="D4855">
        <v>14.98</v>
      </c>
    </row>
    <row r="4856" spans="1:4">
      <c r="A4856">
        <v>4855</v>
      </c>
      <c r="C4856">
        <v>18.2</v>
      </c>
      <c r="D4856">
        <v>16.32</v>
      </c>
    </row>
    <row r="4857" spans="1:4">
      <c r="A4857">
        <v>4856</v>
      </c>
      <c r="C4857">
        <v>16.98</v>
      </c>
      <c r="D4857">
        <v>14.87</v>
      </c>
    </row>
    <row r="4858" spans="1:4">
      <c r="A4858">
        <v>4857</v>
      </c>
      <c r="C4858">
        <v>16</v>
      </c>
      <c r="D4858">
        <v>14.04</v>
      </c>
    </row>
    <row r="4859" spans="1:4">
      <c r="A4859">
        <v>4858</v>
      </c>
      <c r="C4859">
        <v>14.87</v>
      </c>
      <c r="D4859">
        <v>13.46</v>
      </c>
    </row>
    <row r="4860" spans="1:4">
      <c r="A4860">
        <v>4859</v>
      </c>
      <c r="C4860">
        <v>13.75</v>
      </c>
      <c r="D4860">
        <v>13.36</v>
      </c>
    </row>
    <row r="4861" spans="1:4">
      <c r="A4861">
        <v>4860</v>
      </c>
      <c r="C4861">
        <v>13.87</v>
      </c>
      <c r="D4861">
        <v>13.13</v>
      </c>
    </row>
    <row r="4862" spans="1:4">
      <c r="A4862">
        <v>4861</v>
      </c>
      <c r="C4862">
        <v>14.18</v>
      </c>
      <c r="D4862">
        <v>13.49</v>
      </c>
    </row>
    <row r="4863" spans="1:4">
      <c r="A4863">
        <v>4862</v>
      </c>
      <c r="C4863">
        <v>13.94</v>
      </c>
      <c r="D4863">
        <v>13.36</v>
      </c>
    </row>
    <row r="4864" spans="1:4">
      <c r="A4864">
        <v>4863</v>
      </c>
      <c r="C4864">
        <v>14.28</v>
      </c>
      <c r="D4864">
        <v>13.51</v>
      </c>
    </row>
    <row r="4865" spans="1:4">
      <c r="A4865">
        <v>4864</v>
      </c>
      <c r="C4865">
        <v>14.67</v>
      </c>
      <c r="D4865">
        <v>13.87</v>
      </c>
    </row>
    <row r="4866" spans="1:4">
      <c r="A4866">
        <v>4865</v>
      </c>
      <c r="C4866">
        <v>14.48</v>
      </c>
      <c r="D4866">
        <v>13.58</v>
      </c>
    </row>
    <row r="4867" spans="1:4">
      <c r="A4867">
        <v>4866</v>
      </c>
      <c r="C4867">
        <v>13.15</v>
      </c>
      <c r="D4867">
        <v>12.77</v>
      </c>
    </row>
    <row r="4868" spans="1:4">
      <c r="A4868">
        <v>4867</v>
      </c>
      <c r="C4868">
        <v>13.19</v>
      </c>
      <c r="D4868">
        <v>12.66</v>
      </c>
    </row>
    <row r="4869" spans="1:4">
      <c r="A4869">
        <v>4868</v>
      </c>
      <c r="C4869">
        <v>12.96</v>
      </c>
      <c r="D4869">
        <v>12.49</v>
      </c>
    </row>
    <row r="4870" spans="1:4">
      <c r="A4870">
        <v>4869</v>
      </c>
      <c r="C4870">
        <v>13.04</v>
      </c>
      <c r="D4870">
        <v>12.62</v>
      </c>
    </row>
    <row r="4871" spans="1:4">
      <c r="A4871">
        <v>4870</v>
      </c>
      <c r="C4871">
        <v>13.53</v>
      </c>
      <c r="D4871">
        <v>12.78</v>
      </c>
    </row>
    <row r="4872" spans="1:4">
      <c r="A4872">
        <v>4871</v>
      </c>
      <c r="C4872">
        <v>13.45</v>
      </c>
      <c r="D4872">
        <v>12.54</v>
      </c>
    </row>
    <row r="4873" spans="1:4">
      <c r="A4873">
        <v>4872</v>
      </c>
      <c r="C4873">
        <v>12.87</v>
      </c>
      <c r="D4873">
        <v>12.49</v>
      </c>
    </row>
    <row r="4874" spans="1:4">
      <c r="A4874">
        <v>4873</v>
      </c>
      <c r="C4874">
        <v>13.21</v>
      </c>
      <c r="D4874">
        <v>12.54</v>
      </c>
    </row>
    <row r="4875" spans="1:4">
      <c r="A4875">
        <v>4874</v>
      </c>
      <c r="C4875">
        <v>13.43</v>
      </c>
      <c r="D4875">
        <v>12.78</v>
      </c>
    </row>
    <row r="4876" spans="1:4">
      <c r="A4876">
        <v>4875</v>
      </c>
      <c r="C4876">
        <v>13.46</v>
      </c>
      <c r="D4876">
        <v>12.79</v>
      </c>
    </row>
    <row r="4877" spans="1:4">
      <c r="A4877">
        <v>4876</v>
      </c>
      <c r="C4877">
        <v>12.94</v>
      </c>
      <c r="D4877">
        <v>12.26</v>
      </c>
    </row>
    <row r="4878" spans="1:4">
      <c r="A4878">
        <v>4877</v>
      </c>
      <c r="C4878">
        <v>13.28</v>
      </c>
      <c r="D4878">
        <v>12.84</v>
      </c>
    </row>
    <row r="4879" spans="1:4">
      <c r="A4879">
        <v>4878</v>
      </c>
      <c r="C4879">
        <v>13.44</v>
      </c>
      <c r="D4879">
        <v>12.89</v>
      </c>
    </row>
    <row r="4880" spans="1:4">
      <c r="A4880">
        <v>4879</v>
      </c>
      <c r="C4880">
        <v>14.45</v>
      </c>
      <c r="D4880">
        <v>13.05</v>
      </c>
    </row>
    <row r="4881" spans="1:4">
      <c r="A4881">
        <v>4880</v>
      </c>
      <c r="C4881">
        <v>15.11</v>
      </c>
      <c r="D4881">
        <v>13.87</v>
      </c>
    </row>
    <row r="4882" spans="1:4">
      <c r="A4882">
        <v>4881</v>
      </c>
      <c r="C4882">
        <v>14.79</v>
      </c>
      <c r="D4882">
        <v>13.99</v>
      </c>
    </row>
    <row r="4883" spans="1:4">
      <c r="A4883">
        <v>4882</v>
      </c>
      <c r="C4883">
        <v>14.56</v>
      </c>
      <c r="D4883">
        <v>13.56</v>
      </c>
    </row>
    <row r="4884" spans="1:4">
      <c r="A4884">
        <v>4883</v>
      </c>
      <c r="C4884">
        <v>15.65</v>
      </c>
      <c r="D4884">
        <v>14.59</v>
      </c>
    </row>
    <row r="4885" spans="1:4">
      <c r="A4885">
        <v>4884</v>
      </c>
      <c r="C4885">
        <v>14.98</v>
      </c>
      <c r="D4885">
        <v>14.27</v>
      </c>
    </row>
    <row r="4886" spans="1:4">
      <c r="A4886">
        <v>4885</v>
      </c>
      <c r="C4886">
        <v>16.350000000000001</v>
      </c>
      <c r="D4886">
        <v>14.36</v>
      </c>
    </row>
    <row r="4887" spans="1:4">
      <c r="A4887">
        <v>4886</v>
      </c>
      <c r="C4887">
        <v>17.579999999999998</v>
      </c>
      <c r="D4887">
        <v>16.149999999999999</v>
      </c>
    </row>
    <row r="4888" spans="1:4">
      <c r="A4888">
        <v>4887</v>
      </c>
      <c r="C4888">
        <v>17.25</v>
      </c>
      <c r="D4888">
        <v>15.82</v>
      </c>
    </row>
    <row r="4889" spans="1:4">
      <c r="A4889">
        <v>4888</v>
      </c>
      <c r="C4889">
        <v>17.84</v>
      </c>
      <c r="D4889">
        <v>16.57</v>
      </c>
    </row>
    <row r="4890" spans="1:4">
      <c r="A4890">
        <v>4889</v>
      </c>
      <c r="C4890">
        <v>18.510000000000002</v>
      </c>
      <c r="D4890">
        <v>16.600000000000001</v>
      </c>
    </row>
    <row r="4891" spans="1:4">
      <c r="A4891">
        <v>4890</v>
      </c>
      <c r="C4891">
        <v>16.21</v>
      </c>
      <c r="D4891">
        <v>14.96</v>
      </c>
    </row>
    <row r="4892" spans="1:4">
      <c r="A4892">
        <v>4891</v>
      </c>
      <c r="C4892">
        <v>15.6</v>
      </c>
      <c r="D4892">
        <v>15.1</v>
      </c>
    </row>
    <row r="4893" spans="1:4">
      <c r="A4893">
        <v>4892</v>
      </c>
      <c r="C4893">
        <v>17.14</v>
      </c>
      <c r="D4893">
        <v>16</v>
      </c>
    </row>
    <row r="4894" spans="1:4">
      <c r="A4894">
        <v>4893</v>
      </c>
      <c r="C4894">
        <v>18.600000000000001</v>
      </c>
      <c r="D4894">
        <v>16.43</v>
      </c>
    </row>
    <row r="4895" spans="1:4">
      <c r="A4895">
        <v>4894</v>
      </c>
      <c r="C4895">
        <v>18.579999999999998</v>
      </c>
      <c r="D4895">
        <v>16.37</v>
      </c>
    </row>
    <row r="4896" spans="1:4">
      <c r="A4896">
        <v>4895</v>
      </c>
      <c r="C4896">
        <v>17.260000000000002</v>
      </c>
      <c r="D4896">
        <v>16.03</v>
      </c>
    </row>
    <row r="4897" spans="1:4">
      <c r="A4897">
        <v>4896</v>
      </c>
      <c r="C4897">
        <v>17.62</v>
      </c>
      <c r="D4897">
        <v>16.329999999999998</v>
      </c>
    </row>
    <row r="4898" spans="1:4">
      <c r="A4898">
        <v>4897</v>
      </c>
      <c r="C4898">
        <v>16.95</v>
      </c>
      <c r="D4898">
        <v>16.46</v>
      </c>
    </row>
    <row r="4899" spans="1:4">
      <c r="A4899">
        <v>4898</v>
      </c>
      <c r="C4899">
        <v>17.18</v>
      </c>
      <c r="D4899">
        <v>15.36</v>
      </c>
    </row>
    <row r="4900" spans="1:4">
      <c r="A4900">
        <v>4899</v>
      </c>
      <c r="C4900">
        <v>21.32</v>
      </c>
      <c r="D4900">
        <v>18.010000000000002</v>
      </c>
    </row>
    <row r="4901" spans="1:4">
      <c r="A4901">
        <v>4900</v>
      </c>
      <c r="C4901">
        <v>20.93</v>
      </c>
      <c r="D4901">
        <v>18.25</v>
      </c>
    </row>
    <row r="4902" spans="1:4">
      <c r="A4902">
        <v>4901</v>
      </c>
      <c r="C4902">
        <v>21.91</v>
      </c>
      <c r="D4902">
        <v>18.579999999999998</v>
      </c>
    </row>
    <row r="4903" spans="1:4">
      <c r="A4903">
        <v>4902</v>
      </c>
      <c r="C4903">
        <v>19.22</v>
      </c>
      <c r="D4903">
        <v>17.82</v>
      </c>
    </row>
    <row r="4904" spans="1:4">
      <c r="A4904">
        <v>4903</v>
      </c>
      <c r="C4904">
        <v>18.059999999999999</v>
      </c>
      <c r="D4904">
        <v>17.079999999999998</v>
      </c>
    </row>
    <row r="4905" spans="1:4">
      <c r="A4905">
        <v>4904</v>
      </c>
      <c r="C4905">
        <v>16.97</v>
      </c>
      <c r="D4905">
        <v>16.34</v>
      </c>
    </row>
    <row r="4906" spans="1:4">
      <c r="A4906">
        <v>4905</v>
      </c>
      <c r="C4906">
        <v>17.690000000000001</v>
      </c>
      <c r="D4906">
        <v>16.190000000000001</v>
      </c>
    </row>
    <row r="4907" spans="1:4">
      <c r="A4907">
        <v>4906</v>
      </c>
      <c r="C4907">
        <v>16.899999999999999</v>
      </c>
      <c r="D4907">
        <v>16</v>
      </c>
    </row>
    <row r="4908" spans="1:4">
      <c r="A4908">
        <v>4907</v>
      </c>
      <c r="C4908">
        <v>16.93</v>
      </c>
      <c r="D4908">
        <v>15.88</v>
      </c>
    </row>
    <row r="4909" spans="1:4">
      <c r="A4909">
        <v>4908</v>
      </c>
      <c r="C4909">
        <v>17.32</v>
      </c>
      <c r="D4909">
        <v>16.2</v>
      </c>
    </row>
    <row r="4910" spans="1:4">
      <c r="A4910">
        <v>4909</v>
      </c>
      <c r="C4910">
        <v>16.28</v>
      </c>
      <c r="D4910">
        <v>14.89</v>
      </c>
    </row>
    <row r="4911" spans="1:4">
      <c r="A4911">
        <v>4910</v>
      </c>
      <c r="C4911">
        <v>15.27</v>
      </c>
      <c r="D4911">
        <v>14.66</v>
      </c>
    </row>
    <row r="4912" spans="1:4">
      <c r="A4912">
        <v>4911</v>
      </c>
      <c r="C4912">
        <v>14.65</v>
      </c>
      <c r="D4912">
        <v>14.26</v>
      </c>
    </row>
    <row r="4913" spans="1:4">
      <c r="A4913">
        <v>4912</v>
      </c>
      <c r="C4913">
        <v>14.62</v>
      </c>
      <c r="D4913">
        <v>14.06</v>
      </c>
    </row>
    <row r="4914" spans="1:4">
      <c r="A4914">
        <v>4913</v>
      </c>
      <c r="C4914">
        <v>14.2</v>
      </c>
      <c r="D4914">
        <v>13.57</v>
      </c>
    </row>
    <row r="4915" spans="1:4">
      <c r="A4915">
        <v>4914</v>
      </c>
      <c r="C4915">
        <v>14.04</v>
      </c>
      <c r="D4915">
        <v>13.74</v>
      </c>
    </row>
    <row r="4916" spans="1:4">
      <c r="A4916">
        <v>4915</v>
      </c>
      <c r="C4916">
        <v>14.11</v>
      </c>
      <c r="D4916">
        <v>13.5</v>
      </c>
    </row>
    <row r="4917" spans="1:4">
      <c r="A4917">
        <v>4916</v>
      </c>
      <c r="C4917">
        <v>14.56</v>
      </c>
      <c r="D4917">
        <v>13.78</v>
      </c>
    </row>
    <row r="4918" spans="1:4">
      <c r="A4918">
        <v>4917</v>
      </c>
      <c r="C4918">
        <v>14.44</v>
      </c>
      <c r="D4918">
        <v>13.76</v>
      </c>
    </row>
    <row r="4919" spans="1:4">
      <c r="A4919">
        <v>4918</v>
      </c>
      <c r="C4919">
        <v>13.8</v>
      </c>
      <c r="D4919">
        <v>13.2</v>
      </c>
    </row>
    <row r="4920" spans="1:4">
      <c r="A4920">
        <v>4919</v>
      </c>
      <c r="C4920">
        <v>13.97</v>
      </c>
      <c r="D4920">
        <v>12.54</v>
      </c>
    </row>
    <row r="4921" spans="1:4">
      <c r="A4921">
        <v>4920</v>
      </c>
      <c r="C4921">
        <v>13.37</v>
      </c>
      <c r="D4921">
        <v>12.29</v>
      </c>
    </row>
    <row r="4922" spans="1:4">
      <c r="A4922">
        <v>4921</v>
      </c>
      <c r="C4922">
        <v>13.06</v>
      </c>
      <c r="D4922">
        <v>12.07</v>
      </c>
    </row>
    <row r="4923" spans="1:4">
      <c r="A4923">
        <v>4922</v>
      </c>
      <c r="C4923">
        <v>13.49</v>
      </c>
      <c r="D4923">
        <v>12.69</v>
      </c>
    </row>
    <row r="4924" spans="1:4">
      <c r="A4924">
        <v>4923</v>
      </c>
      <c r="C4924">
        <v>13.54</v>
      </c>
      <c r="D4924">
        <v>12.91</v>
      </c>
    </row>
    <row r="4925" spans="1:4">
      <c r="A4925">
        <v>4924</v>
      </c>
      <c r="C4925">
        <v>13.73</v>
      </c>
      <c r="D4925">
        <v>12.71</v>
      </c>
    </row>
    <row r="4926" spans="1:4">
      <c r="A4926">
        <v>4925</v>
      </c>
      <c r="C4926">
        <v>13.86</v>
      </c>
      <c r="D4926">
        <v>13.38</v>
      </c>
    </row>
    <row r="4927" spans="1:4">
      <c r="A4927">
        <v>4926</v>
      </c>
      <c r="C4927">
        <v>14.14</v>
      </c>
      <c r="D4927">
        <v>13.35</v>
      </c>
    </row>
    <row r="4928" spans="1:4">
      <c r="A4928">
        <v>4927</v>
      </c>
      <c r="C4928">
        <v>13.83</v>
      </c>
      <c r="D4928">
        <v>12.94</v>
      </c>
    </row>
    <row r="4929" spans="1:4">
      <c r="A4929">
        <v>4928</v>
      </c>
      <c r="C4929">
        <v>13.25</v>
      </c>
      <c r="D4929">
        <v>12.82</v>
      </c>
    </row>
    <row r="4930" spans="1:4">
      <c r="A4930">
        <v>4929</v>
      </c>
      <c r="C4930">
        <v>12.74</v>
      </c>
      <c r="D4930">
        <v>11.98</v>
      </c>
    </row>
    <row r="4931" spans="1:4">
      <c r="A4931">
        <v>4930</v>
      </c>
      <c r="C4931">
        <v>12.42</v>
      </c>
      <c r="D4931">
        <v>11.83</v>
      </c>
    </row>
    <row r="4932" spans="1:4">
      <c r="A4932">
        <v>4931</v>
      </c>
      <c r="C4932">
        <v>12.93</v>
      </c>
      <c r="D4932">
        <v>12.06</v>
      </c>
    </row>
    <row r="4933" spans="1:4">
      <c r="A4933">
        <v>4932</v>
      </c>
      <c r="C4933">
        <v>13.91</v>
      </c>
      <c r="D4933">
        <v>12.96</v>
      </c>
    </row>
    <row r="4934" spans="1:4">
      <c r="A4934">
        <v>4933</v>
      </c>
      <c r="C4934">
        <v>13.13</v>
      </c>
      <c r="D4934">
        <v>12.37</v>
      </c>
    </row>
    <row r="4935" spans="1:4">
      <c r="A4935">
        <v>4934</v>
      </c>
      <c r="C4935">
        <v>13.66</v>
      </c>
      <c r="D4935">
        <v>12.71</v>
      </c>
    </row>
    <row r="4936" spans="1:4">
      <c r="A4936">
        <v>4935</v>
      </c>
      <c r="C4936">
        <v>13.57</v>
      </c>
      <c r="D4936">
        <v>12.8</v>
      </c>
    </row>
    <row r="4937" spans="1:4">
      <c r="A4937">
        <v>4936</v>
      </c>
      <c r="C4937">
        <v>13.37</v>
      </c>
      <c r="D4937">
        <v>12.29</v>
      </c>
    </row>
    <row r="4938" spans="1:4">
      <c r="A4938">
        <v>4937</v>
      </c>
      <c r="C4938">
        <v>13.09</v>
      </c>
      <c r="D4938">
        <v>12.35</v>
      </c>
    </row>
    <row r="4939" spans="1:4">
      <c r="A4939">
        <v>4938</v>
      </c>
      <c r="C4939">
        <v>14.85</v>
      </c>
      <c r="D4939">
        <v>13.91</v>
      </c>
    </row>
    <row r="4940" spans="1:4">
      <c r="A4940">
        <v>4939</v>
      </c>
      <c r="C4940">
        <v>14.88</v>
      </c>
      <c r="D4940">
        <v>13.62</v>
      </c>
    </row>
    <row r="4941" spans="1:4">
      <c r="A4941">
        <v>4940</v>
      </c>
      <c r="C4941">
        <v>15.2</v>
      </c>
      <c r="D4941">
        <v>14.35</v>
      </c>
    </row>
    <row r="4942" spans="1:4">
      <c r="A4942">
        <v>4941</v>
      </c>
      <c r="C4942">
        <v>15.25</v>
      </c>
      <c r="D4942">
        <v>14.29</v>
      </c>
    </row>
    <row r="4943" spans="1:4">
      <c r="A4943">
        <v>4942</v>
      </c>
      <c r="C4943">
        <v>16.559999999999999</v>
      </c>
      <c r="D4943">
        <v>14.67</v>
      </c>
    </row>
    <row r="4944" spans="1:4">
      <c r="A4944">
        <v>4943</v>
      </c>
      <c r="C4944">
        <v>15.26</v>
      </c>
      <c r="D4944">
        <v>14.66</v>
      </c>
    </row>
    <row r="4945" spans="1:4">
      <c r="A4945">
        <v>4944</v>
      </c>
      <c r="C4945">
        <v>14.82</v>
      </c>
      <c r="D4945">
        <v>13.98</v>
      </c>
    </row>
    <row r="4946" spans="1:4">
      <c r="A4946">
        <v>4945</v>
      </c>
      <c r="C4946">
        <v>15.01</v>
      </c>
      <c r="D4946">
        <v>13.9</v>
      </c>
    </row>
    <row r="4947" spans="1:4">
      <c r="A4947">
        <v>4946</v>
      </c>
      <c r="C4947">
        <v>17.13</v>
      </c>
      <c r="D4947">
        <v>15.82</v>
      </c>
    </row>
    <row r="4948" spans="1:4">
      <c r="A4948">
        <v>4947</v>
      </c>
      <c r="C4948">
        <v>17.11</v>
      </c>
      <c r="D4948">
        <v>16.100000000000001</v>
      </c>
    </row>
    <row r="4949" spans="1:4">
      <c r="A4949">
        <v>4948</v>
      </c>
      <c r="C4949">
        <v>16.98</v>
      </c>
      <c r="D4949">
        <v>15.99</v>
      </c>
    </row>
    <row r="4950" spans="1:4">
      <c r="A4950">
        <v>4949</v>
      </c>
      <c r="C4950">
        <v>17.809999999999999</v>
      </c>
      <c r="D4950">
        <v>16.7</v>
      </c>
    </row>
    <row r="4951" spans="1:4">
      <c r="A4951">
        <v>4950</v>
      </c>
      <c r="C4951">
        <v>17.37</v>
      </c>
      <c r="D4951">
        <v>16.11</v>
      </c>
    </row>
    <row r="4952" spans="1:4">
      <c r="A4952">
        <v>4951</v>
      </c>
      <c r="C4952">
        <v>17.010000000000002</v>
      </c>
      <c r="D4952">
        <v>15.77</v>
      </c>
    </row>
    <row r="4953" spans="1:4">
      <c r="A4953">
        <v>4952</v>
      </c>
      <c r="C4953">
        <v>16.12</v>
      </c>
      <c r="D4953">
        <v>15.63</v>
      </c>
    </row>
    <row r="4954" spans="1:4">
      <c r="A4954">
        <v>4953</v>
      </c>
      <c r="C4954">
        <v>16.809999999999999</v>
      </c>
      <c r="D4954">
        <v>15.17</v>
      </c>
    </row>
    <row r="4955" spans="1:4">
      <c r="A4955">
        <v>4954</v>
      </c>
      <c r="C4955">
        <v>16.02</v>
      </c>
      <c r="D4955">
        <v>15.22</v>
      </c>
    </row>
    <row r="4956" spans="1:4">
      <c r="A4956">
        <v>4955</v>
      </c>
      <c r="C4956">
        <v>15.09</v>
      </c>
      <c r="D4956">
        <v>14.5</v>
      </c>
    </row>
    <row r="4957" spans="1:4">
      <c r="A4957">
        <v>4956</v>
      </c>
      <c r="C4957">
        <v>14.74</v>
      </c>
      <c r="D4957">
        <v>13.82</v>
      </c>
    </row>
    <row r="4958" spans="1:4">
      <c r="A4958">
        <v>4957</v>
      </c>
      <c r="C4958">
        <v>14.39</v>
      </c>
      <c r="D4958">
        <v>13.73</v>
      </c>
    </row>
    <row r="4959" spans="1:4">
      <c r="A4959">
        <v>4958</v>
      </c>
      <c r="C4959">
        <v>14.55</v>
      </c>
      <c r="D4959">
        <v>14.11</v>
      </c>
    </row>
    <row r="4960" spans="1:4">
      <c r="A4960">
        <v>4959</v>
      </c>
      <c r="C4960">
        <v>14.49</v>
      </c>
      <c r="D4960">
        <v>13.87</v>
      </c>
    </row>
    <row r="4961" spans="1:4">
      <c r="A4961">
        <v>4960</v>
      </c>
      <c r="C4961">
        <v>14.61</v>
      </c>
      <c r="D4961">
        <v>14.28</v>
      </c>
    </row>
    <row r="4962" spans="1:4">
      <c r="A4962">
        <v>4961</v>
      </c>
      <c r="C4962">
        <v>14.68</v>
      </c>
      <c r="D4962">
        <v>13.23</v>
      </c>
    </row>
    <row r="4963" spans="1:4">
      <c r="A4963">
        <v>4962</v>
      </c>
      <c r="C4963">
        <v>13.39</v>
      </c>
      <c r="D4963">
        <v>13.02</v>
      </c>
    </row>
    <row r="4964" spans="1:4">
      <c r="A4964">
        <v>4963</v>
      </c>
      <c r="C4964">
        <v>13.47</v>
      </c>
      <c r="D4964">
        <v>12.52</v>
      </c>
    </row>
    <row r="4965" spans="1:4">
      <c r="A4965">
        <v>4964</v>
      </c>
      <c r="C4965">
        <v>14.71</v>
      </c>
      <c r="D4965">
        <v>14.02</v>
      </c>
    </row>
    <row r="4966" spans="1:4">
      <c r="A4966">
        <v>4965</v>
      </c>
      <c r="C4966">
        <v>14.37</v>
      </c>
      <c r="D4966">
        <v>13.75</v>
      </c>
    </row>
    <row r="4967" spans="1:4">
      <c r="A4967">
        <v>4966</v>
      </c>
      <c r="C4967">
        <v>14.62</v>
      </c>
      <c r="D4967">
        <v>13.89</v>
      </c>
    </row>
    <row r="4968" spans="1:4">
      <c r="A4968">
        <v>4967</v>
      </c>
      <c r="C4968">
        <v>14.4</v>
      </c>
      <c r="D4968">
        <v>13.58</v>
      </c>
    </row>
    <row r="4969" spans="1:4">
      <c r="A4969">
        <v>4968</v>
      </c>
      <c r="C4969">
        <v>15.79</v>
      </c>
      <c r="D4969">
        <v>14.62</v>
      </c>
    </row>
    <row r="4970" spans="1:4">
      <c r="A4970">
        <v>4969</v>
      </c>
      <c r="C4970">
        <v>17.489999999999998</v>
      </c>
      <c r="D4970">
        <v>16.16</v>
      </c>
    </row>
    <row r="4971" spans="1:4">
      <c r="A4971">
        <v>4970</v>
      </c>
      <c r="C4971">
        <v>16.46</v>
      </c>
      <c r="D4971">
        <v>15.47</v>
      </c>
    </row>
    <row r="4972" spans="1:4">
      <c r="A4972">
        <v>4971</v>
      </c>
      <c r="C4972">
        <v>16.809999999999999</v>
      </c>
      <c r="D4972">
        <v>16.13</v>
      </c>
    </row>
    <row r="4973" spans="1:4">
      <c r="A4973">
        <v>4972</v>
      </c>
      <c r="C4973">
        <v>18.71</v>
      </c>
      <c r="D4973">
        <v>16.63</v>
      </c>
    </row>
    <row r="4974" spans="1:4">
      <c r="A4974">
        <v>4973</v>
      </c>
      <c r="C4974">
        <v>17.87</v>
      </c>
      <c r="D4974">
        <v>16.66</v>
      </c>
    </row>
    <row r="4975" spans="1:4">
      <c r="A4975">
        <v>4974</v>
      </c>
      <c r="C4975">
        <v>19.41</v>
      </c>
      <c r="D4975">
        <v>18.079999999999998</v>
      </c>
    </row>
    <row r="4976" spans="1:4">
      <c r="A4976">
        <v>4975</v>
      </c>
      <c r="C4976">
        <v>21.01</v>
      </c>
      <c r="D4976">
        <v>18.98</v>
      </c>
    </row>
    <row r="4977" spans="1:4">
      <c r="A4977">
        <v>4976</v>
      </c>
      <c r="C4977">
        <v>21.34</v>
      </c>
      <c r="D4977">
        <v>19.04</v>
      </c>
    </row>
    <row r="4978" spans="1:4">
      <c r="A4978">
        <v>4977</v>
      </c>
      <c r="C4978">
        <v>17.920000000000002</v>
      </c>
      <c r="D4978">
        <v>16.29</v>
      </c>
    </row>
    <row r="4979" spans="1:4">
      <c r="A4979">
        <v>4978</v>
      </c>
      <c r="C4979">
        <v>16.38</v>
      </c>
      <c r="D4979">
        <v>15.46</v>
      </c>
    </row>
    <row r="4980" spans="1:4">
      <c r="A4980">
        <v>4979</v>
      </c>
      <c r="C4980">
        <v>17.739999999999998</v>
      </c>
      <c r="D4980">
        <v>15.8</v>
      </c>
    </row>
    <row r="4981" spans="1:4">
      <c r="A4981">
        <v>4980</v>
      </c>
      <c r="C4981">
        <v>18.670000000000002</v>
      </c>
      <c r="D4981">
        <v>16.16</v>
      </c>
    </row>
    <row r="4982" spans="1:4">
      <c r="A4982">
        <v>4981</v>
      </c>
      <c r="C4982">
        <v>17.149999999999999</v>
      </c>
      <c r="D4982">
        <v>14.67</v>
      </c>
    </row>
    <row r="4983" spans="1:4">
      <c r="A4983">
        <v>4982</v>
      </c>
      <c r="C4983">
        <v>14.59</v>
      </c>
      <c r="D4983">
        <v>12.89</v>
      </c>
    </row>
    <row r="4984" spans="1:4">
      <c r="A4984">
        <v>4983</v>
      </c>
      <c r="C4984">
        <v>13.53</v>
      </c>
      <c r="D4984">
        <v>12.34</v>
      </c>
    </row>
    <row r="4985" spans="1:4">
      <c r="A4985">
        <v>4984</v>
      </c>
      <c r="C4985">
        <v>13.63</v>
      </c>
      <c r="D4985">
        <v>13.07</v>
      </c>
    </row>
    <row r="4986" spans="1:4">
      <c r="A4986">
        <v>4985</v>
      </c>
      <c r="C4986">
        <v>13.92</v>
      </c>
      <c r="D4986">
        <v>12.93</v>
      </c>
    </row>
    <row r="4987" spans="1:4">
      <c r="A4987">
        <v>4986</v>
      </c>
      <c r="C4987">
        <v>14.21</v>
      </c>
      <c r="D4987">
        <v>13.42</v>
      </c>
    </row>
    <row r="4988" spans="1:4">
      <c r="A4988">
        <v>4987</v>
      </c>
      <c r="C4988">
        <v>13.62</v>
      </c>
      <c r="D4988">
        <v>13.15</v>
      </c>
    </row>
    <row r="4989" spans="1:4">
      <c r="A4989">
        <v>4988</v>
      </c>
      <c r="C4989">
        <v>13.44</v>
      </c>
      <c r="D4989">
        <v>13.08</v>
      </c>
    </row>
    <row r="4990" spans="1:4">
      <c r="A4990">
        <v>4989</v>
      </c>
      <c r="C4990">
        <v>13.72</v>
      </c>
      <c r="D4990">
        <v>13.22</v>
      </c>
    </row>
    <row r="4991" spans="1:4">
      <c r="A4991">
        <v>4990</v>
      </c>
      <c r="C4991">
        <v>13.63</v>
      </c>
      <c r="D4991">
        <v>13.06</v>
      </c>
    </row>
    <row r="4992" spans="1:4">
      <c r="A4992">
        <v>4991</v>
      </c>
      <c r="C4992">
        <v>14.36</v>
      </c>
      <c r="D4992">
        <v>13.64</v>
      </c>
    </row>
    <row r="4993" spans="1:4">
      <c r="A4993">
        <v>4992</v>
      </c>
      <c r="C4993">
        <v>14.02</v>
      </c>
      <c r="D4993">
        <v>13.28</v>
      </c>
    </row>
    <row r="4994" spans="1:4">
      <c r="A4994">
        <v>4993</v>
      </c>
      <c r="C4994">
        <v>13.92</v>
      </c>
      <c r="D4994">
        <v>13.22</v>
      </c>
    </row>
    <row r="4995" spans="1:4">
      <c r="A4995">
        <v>4994</v>
      </c>
      <c r="C4995">
        <v>13.67</v>
      </c>
      <c r="D4995">
        <v>12.91</v>
      </c>
    </row>
    <row r="4996" spans="1:4">
      <c r="A4996">
        <v>4995</v>
      </c>
      <c r="C4996">
        <v>13.64</v>
      </c>
      <c r="D4996">
        <v>12.86</v>
      </c>
    </row>
    <row r="4997" spans="1:4">
      <c r="A4997">
        <v>4996</v>
      </c>
      <c r="C4997">
        <v>13.33</v>
      </c>
      <c r="D4997">
        <v>12.67</v>
      </c>
    </row>
    <row r="4998" spans="1:4">
      <c r="A4998">
        <v>4997</v>
      </c>
      <c r="C4998">
        <v>14.14</v>
      </c>
      <c r="D4998">
        <v>12.93</v>
      </c>
    </row>
    <row r="4999" spans="1:4">
      <c r="A4999">
        <v>4998</v>
      </c>
      <c r="C4999">
        <v>13.8</v>
      </c>
      <c r="D4999">
        <v>12.84</v>
      </c>
    </row>
    <row r="5000" spans="1:4">
      <c r="A5000">
        <v>4999</v>
      </c>
      <c r="C5000">
        <v>12.93</v>
      </c>
      <c r="D5000">
        <v>12.4</v>
      </c>
    </row>
    <row r="5001" spans="1:4">
      <c r="A5001">
        <v>5000</v>
      </c>
      <c r="C5001">
        <v>13.06</v>
      </c>
      <c r="D5001">
        <v>12.63</v>
      </c>
    </row>
  </sheetData>
  <autoFilter ref="S1:T1"/>
  <phoneticPr fontId="12"/>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5001"/>
  <sheetViews>
    <sheetView workbookViewId="0">
      <selection activeCell="B2" sqref="B2:C5001"/>
    </sheetView>
  </sheetViews>
  <sheetFormatPr defaultRowHeight="11.25"/>
  <cols>
    <col min="1" max="1" width="18.83203125" bestFit="1" customWidth="1"/>
  </cols>
  <sheetData>
    <row r="1" spans="1:5" ht="15">
      <c r="A1" s="96" t="s">
        <v>213</v>
      </c>
      <c r="B1" t="s">
        <v>214</v>
      </c>
      <c r="C1" t="s">
        <v>215</v>
      </c>
      <c r="D1" t="s">
        <v>216</v>
      </c>
      <c r="E1" t="s">
        <v>217</v>
      </c>
    </row>
    <row r="2" spans="1:5" ht="15">
      <c r="A2" s="98">
        <v>5000</v>
      </c>
      <c r="B2">
        <v>12.87</v>
      </c>
      <c r="C2">
        <v>11.81</v>
      </c>
      <c r="D2" t="s">
        <v>218</v>
      </c>
      <c r="E2" s="97">
        <v>2.3099999999999999E-2</v>
      </c>
    </row>
    <row r="3" spans="1:5" ht="15">
      <c r="A3" s="98">
        <v>4999</v>
      </c>
      <c r="B3">
        <v>11.47</v>
      </c>
      <c r="C3">
        <v>10.37</v>
      </c>
      <c r="D3" t="s">
        <v>218</v>
      </c>
      <c r="E3" s="97">
        <v>-2.87E-2</v>
      </c>
    </row>
    <row r="4" spans="1:5" ht="15">
      <c r="A4" s="98">
        <v>4998</v>
      </c>
      <c r="B4">
        <v>11.74</v>
      </c>
      <c r="C4">
        <v>10.34</v>
      </c>
      <c r="D4" t="s">
        <v>218</v>
      </c>
      <c r="E4" s="97">
        <v>-7.2599999999999998E-2</v>
      </c>
    </row>
    <row r="5" spans="1:5" ht="15">
      <c r="A5" s="98">
        <v>4997</v>
      </c>
      <c r="B5">
        <v>12.14</v>
      </c>
      <c r="C5">
        <v>10</v>
      </c>
      <c r="D5" t="s">
        <v>218</v>
      </c>
      <c r="E5" s="97">
        <v>9.7900000000000001E-2</v>
      </c>
    </row>
    <row r="6" spans="1:5" ht="15">
      <c r="A6" s="98">
        <v>4996</v>
      </c>
      <c r="B6">
        <v>11.3</v>
      </c>
      <c r="C6">
        <v>10.28</v>
      </c>
      <c r="D6" t="s">
        <v>218</v>
      </c>
      <c r="E6" s="97">
        <v>-4.5199999999999997E-2</v>
      </c>
    </row>
    <row r="7" spans="1:5" ht="15">
      <c r="A7" s="98">
        <v>4995</v>
      </c>
      <c r="B7">
        <v>12.08</v>
      </c>
      <c r="C7">
        <v>11.26</v>
      </c>
      <c r="D7" t="s">
        <v>218</v>
      </c>
      <c r="E7" s="97">
        <v>2.63E-2</v>
      </c>
    </row>
    <row r="8" spans="1:5" ht="15">
      <c r="A8" s="98">
        <v>4994</v>
      </c>
      <c r="B8">
        <v>12.41</v>
      </c>
      <c r="C8">
        <v>11.56</v>
      </c>
      <c r="D8" t="s">
        <v>218</v>
      </c>
      <c r="E8" s="97">
        <v>-2.64E-2</v>
      </c>
    </row>
    <row r="9" spans="1:5" ht="15">
      <c r="A9" s="98">
        <v>4993</v>
      </c>
      <c r="B9">
        <v>12.84</v>
      </c>
      <c r="C9">
        <v>12.05</v>
      </c>
      <c r="D9" t="s">
        <v>218</v>
      </c>
      <c r="E9" s="97">
        <v>-3.4200000000000001E-2</v>
      </c>
    </row>
    <row r="10" spans="1:5" ht="15">
      <c r="A10" s="98">
        <v>4992</v>
      </c>
      <c r="B10">
        <v>11.22</v>
      </c>
      <c r="C10">
        <v>11</v>
      </c>
      <c r="D10" t="s">
        <v>218</v>
      </c>
      <c r="E10" s="97">
        <v>7.3000000000000001E-3</v>
      </c>
    </row>
    <row r="11" spans="1:5" ht="15">
      <c r="A11" s="98">
        <v>4991</v>
      </c>
      <c r="B11">
        <v>12.07</v>
      </c>
      <c r="C11">
        <v>11.72</v>
      </c>
      <c r="D11" t="s">
        <v>218</v>
      </c>
      <c r="E11" s="97">
        <v>1.7899999999999999E-2</v>
      </c>
    </row>
    <row r="12" spans="1:5" ht="15">
      <c r="A12" s="98">
        <v>4990</v>
      </c>
      <c r="B12">
        <v>11.72</v>
      </c>
      <c r="C12">
        <v>11.31</v>
      </c>
      <c r="D12" t="s">
        <v>218</v>
      </c>
      <c r="E12" s="97">
        <v>7.4999999999999997E-3</v>
      </c>
    </row>
    <row r="13" spans="1:5" ht="15">
      <c r="A13" s="98">
        <v>4989</v>
      </c>
      <c r="B13">
        <v>12.15</v>
      </c>
      <c r="C13">
        <v>11.62</v>
      </c>
      <c r="D13" t="s">
        <v>218</v>
      </c>
      <c r="E13" s="97">
        <v>1.6799999999999999E-2</v>
      </c>
    </row>
    <row r="14" spans="1:5" ht="15">
      <c r="A14" s="98">
        <v>4988</v>
      </c>
      <c r="B14">
        <v>11.83</v>
      </c>
      <c r="C14">
        <v>11.16</v>
      </c>
      <c r="D14" t="s">
        <v>218</v>
      </c>
      <c r="E14" s="97">
        <v>-8.3000000000000001E-3</v>
      </c>
    </row>
    <row r="15" spans="1:5" ht="15">
      <c r="A15" s="98">
        <v>4987</v>
      </c>
      <c r="B15">
        <v>11.21</v>
      </c>
      <c r="C15">
        <v>10.9</v>
      </c>
      <c r="D15" t="s">
        <v>218</v>
      </c>
      <c r="E15" s="97">
        <v>-1.6400000000000001E-2</v>
      </c>
    </row>
    <row r="16" spans="1:5" ht="15">
      <c r="A16" s="98">
        <v>4986</v>
      </c>
      <c r="B16">
        <v>11.93</v>
      </c>
      <c r="C16">
        <v>11.23</v>
      </c>
      <c r="D16" t="s">
        <v>218</v>
      </c>
      <c r="E16" s="97">
        <v>6.7999999999999996E-3</v>
      </c>
    </row>
    <row r="17" spans="1:5" ht="15">
      <c r="A17" s="98">
        <v>4985</v>
      </c>
      <c r="B17">
        <v>11.96</v>
      </c>
      <c r="C17">
        <v>10.94</v>
      </c>
      <c r="D17" t="s">
        <v>218</v>
      </c>
      <c r="E17" s="97">
        <v>1.29E-2</v>
      </c>
    </row>
    <row r="18" spans="1:5" ht="15">
      <c r="A18" s="98">
        <v>4984</v>
      </c>
      <c r="B18">
        <v>11.87</v>
      </c>
      <c r="C18">
        <v>11.07</v>
      </c>
      <c r="D18" t="s">
        <v>218</v>
      </c>
      <c r="E18" s="97">
        <v>9.1999999999999998E-3</v>
      </c>
    </row>
    <row r="19" spans="1:5" ht="15">
      <c r="A19" s="98">
        <v>4983</v>
      </c>
      <c r="B19">
        <v>11.28</v>
      </c>
      <c r="C19">
        <v>10.210000000000001</v>
      </c>
      <c r="D19" t="s">
        <v>218</v>
      </c>
      <c r="E19" s="97">
        <v>-3.2599999999999997E-2</v>
      </c>
    </row>
    <row r="20" spans="1:5" ht="15">
      <c r="A20" s="98">
        <v>4982</v>
      </c>
      <c r="B20">
        <v>10.31</v>
      </c>
      <c r="C20">
        <v>9.59</v>
      </c>
      <c r="D20" t="s">
        <v>218</v>
      </c>
      <c r="E20" s="97">
        <v>-8.3599999999999994E-2</v>
      </c>
    </row>
    <row r="21" spans="1:5" ht="15">
      <c r="A21" s="98">
        <v>4981</v>
      </c>
      <c r="B21">
        <v>11.2</v>
      </c>
      <c r="C21">
        <v>10.01</v>
      </c>
      <c r="D21" t="s">
        <v>218</v>
      </c>
      <c r="E21" s="97">
        <v>-0.2117</v>
      </c>
    </row>
    <row r="22" spans="1:5" ht="15">
      <c r="A22" s="98">
        <v>4980</v>
      </c>
      <c r="B22">
        <v>11.21</v>
      </c>
      <c r="C22">
        <v>10.51</v>
      </c>
      <c r="D22" t="s">
        <v>218</v>
      </c>
      <c r="E22" s="97">
        <v>0.16120000000000001</v>
      </c>
    </row>
    <row r="23" spans="1:5" ht="15">
      <c r="A23" s="98">
        <v>4979</v>
      </c>
      <c r="B23">
        <v>10.86</v>
      </c>
      <c r="C23">
        <v>10.37</v>
      </c>
      <c r="D23" t="s">
        <v>218</v>
      </c>
      <c r="E23" s="97">
        <v>2.23E-2</v>
      </c>
    </row>
    <row r="24" spans="1:5" ht="15">
      <c r="A24" s="98">
        <v>4978</v>
      </c>
      <c r="B24">
        <v>11.26</v>
      </c>
      <c r="C24">
        <v>10.63</v>
      </c>
      <c r="D24" t="s">
        <v>218</v>
      </c>
      <c r="E24" s="97">
        <v>-4.6100000000000002E-2</v>
      </c>
    </row>
    <row r="25" spans="1:5" ht="15">
      <c r="A25" s="98">
        <v>4977</v>
      </c>
      <c r="B25">
        <v>15.63</v>
      </c>
      <c r="C25">
        <v>10.210000000000001</v>
      </c>
      <c r="D25" t="s">
        <v>218</v>
      </c>
      <c r="E25" s="97">
        <v>-0.15920000000000001</v>
      </c>
    </row>
    <row r="26" spans="1:5" ht="15">
      <c r="A26" s="98">
        <v>4976</v>
      </c>
      <c r="B26">
        <v>15.37</v>
      </c>
      <c r="C26">
        <v>13.86</v>
      </c>
      <c r="D26" t="s">
        <v>218</v>
      </c>
      <c r="E26" s="97">
        <v>-3.6400000000000002E-2</v>
      </c>
    </row>
    <row r="27" spans="1:5" ht="15">
      <c r="A27" s="98">
        <v>4975</v>
      </c>
      <c r="B27">
        <v>14.44</v>
      </c>
      <c r="C27">
        <v>12.49</v>
      </c>
      <c r="D27" t="s">
        <v>218</v>
      </c>
      <c r="E27" s="97">
        <v>4.7899999999999998E-2</v>
      </c>
    </row>
    <row r="28" spans="1:5" ht="15">
      <c r="A28" s="98">
        <v>4974</v>
      </c>
      <c r="B28">
        <v>13.89</v>
      </c>
      <c r="C28">
        <v>12.75</v>
      </c>
      <c r="D28" t="s">
        <v>218</v>
      </c>
      <c r="E28" s="97">
        <v>0.1595</v>
      </c>
    </row>
    <row r="29" spans="1:5" ht="15">
      <c r="A29" s="98">
        <v>4973</v>
      </c>
      <c r="B29">
        <v>14.96</v>
      </c>
      <c r="C29">
        <v>12.69</v>
      </c>
      <c r="D29" t="s">
        <v>218</v>
      </c>
      <c r="E29" s="97">
        <v>-5.2600000000000001E-2</v>
      </c>
    </row>
    <row r="30" spans="1:5" ht="15">
      <c r="A30" s="98">
        <v>4972</v>
      </c>
      <c r="B30">
        <v>15.18</v>
      </c>
      <c r="C30">
        <v>14.2</v>
      </c>
      <c r="D30" t="s">
        <v>218</v>
      </c>
      <c r="E30" s="97">
        <v>6.4500000000000002E-2</v>
      </c>
    </row>
    <row r="31" spans="1:5" ht="15">
      <c r="A31" s="98">
        <v>4971</v>
      </c>
      <c r="B31">
        <v>14.62</v>
      </c>
      <c r="C31">
        <v>13.88</v>
      </c>
      <c r="D31" t="s">
        <v>218</v>
      </c>
      <c r="E31" s="97">
        <v>6.8199999999999997E-2</v>
      </c>
    </row>
    <row r="32" spans="1:5" ht="15">
      <c r="A32" s="98">
        <v>4970</v>
      </c>
      <c r="B32">
        <v>14.15</v>
      </c>
      <c r="C32">
        <v>13.4</v>
      </c>
      <c r="D32" t="s">
        <v>218</v>
      </c>
      <c r="E32" s="97">
        <v>-6.3899999999999998E-2</v>
      </c>
    </row>
    <row r="33" spans="1:5" ht="15">
      <c r="A33" s="98">
        <v>4969</v>
      </c>
      <c r="B33">
        <v>13.39</v>
      </c>
      <c r="C33">
        <v>12.98</v>
      </c>
      <c r="D33" t="s">
        <v>218</v>
      </c>
      <c r="E33" s="97">
        <v>7.3700000000000002E-2</v>
      </c>
    </row>
    <row r="34" spans="1:5" ht="15">
      <c r="A34" s="98">
        <v>4968</v>
      </c>
      <c r="B34">
        <v>14.33</v>
      </c>
      <c r="C34">
        <v>12.59</v>
      </c>
      <c r="D34" t="s">
        <v>218</v>
      </c>
      <c r="E34" s="97">
        <v>9.9599999999999994E-2</v>
      </c>
    </row>
    <row r="35" spans="1:5" ht="15">
      <c r="A35" s="98">
        <v>4967</v>
      </c>
      <c r="B35">
        <v>15.4</v>
      </c>
      <c r="C35">
        <v>13.8</v>
      </c>
      <c r="D35" t="s">
        <v>218</v>
      </c>
      <c r="E35" s="97">
        <v>3.5999999999999999E-3</v>
      </c>
    </row>
    <row r="36" spans="1:5" ht="15">
      <c r="A36" s="98">
        <v>4966</v>
      </c>
      <c r="B36">
        <v>15.17</v>
      </c>
      <c r="C36">
        <v>13.52</v>
      </c>
      <c r="D36" t="s">
        <v>218</v>
      </c>
      <c r="E36" s="97">
        <v>-5.0000000000000001E-3</v>
      </c>
    </row>
    <row r="37" spans="1:5" ht="15">
      <c r="A37" s="98">
        <v>4965</v>
      </c>
      <c r="B37">
        <v>14.14</v>
      </c>
      <c r="C37">
        <v>11.81</v>
      </c>
      <c r="D37" t="s">
        <v>218</v>
      </c>
      <c r="E37" s="97">
        <v>-1.61E-2</v>
      </c>
    </row>
    <row r="38" spans="1:5" ht="15">
      <c r="A38" s="98">
        <v>4964</v>
      </c>
      <c r="B38">
        <v>16.309999999999999</v>
      </c>
      <c r="C38">
        <v>14.78</v>
      </c>
      <c r="D38" t="s">
        <v>218</v>
      </c>
      <c r="E38" s="97">
        <v>9.0700000000000003E-2</v>
      </c>
    </row>
    <row r="39" spans="1:5" ht="15">
      <c r="A39" s="98">
        <v>4963</v>
      </c>
      <c r="B39">
        <v>15.19</v>
      </c>
      <c r="C39">
        <v>14.58</v>
      </c>
      <c r="D39" t="s">
        <v>218</v>
      </c>
      <c r="E39" s="97">
        <v>-3.0000000000000001E-3</v>
      </c>
    </row>
    <row r="40" spans="1:5" ht="15">
      <c r="A40" s="98">
        <v>4962</v>
      </c>
      <c r="B40">
        <v>15.21</v>
      </c>
      <c r="C40">
        <v>13.86</v>
      </c>
      <c r="D40" t="s">
        <v>218</v>
      </c>
      <c r="E40" s="97">
        <v>-3.1600000000000003E-2</v>
      </c>
    </row>
    <row r="41" spans="1:5" ht="15">
      <c r="A41" s="98">
        <v>4961</v>
      </c>
      <c r="B41">
        <v>17.04</v>
      </c>
      <c r="C41">
        <v>12.54</v>
      </c>
      <c r="D41" t="s">
        <v>218</v>
      </c>
      <c r="E41" s="97">
        <v>-6.4699999999999994E-2</v>
      </c>
    </row>
    <row r="42" spans="1:5" ht="15">
      <c r="A42" s="98">
        <v>4960</v>
      </c>
      <c r="B42">
        <v>17.940000000000001</v>
      </c>
      <c r="C42">
        <v>16.079999999999998</v>
      </c>
      <c r="D42" t="s">
        <v>218</v>
      </c>
      <c r="E42" s="97">
        <v>1.04E-2</v>
      </c>
    </row>
    <row r="43" spans="1:5" ht="15">
      <c r="A43" s="98">
        <v>4959</v>
      </c>
      <c r="B43">
        <v>16.670000000000002</v>
      </c>
      <c r="C43">
        <v>15.82</v>
      </c>
      <c r="D43" t="s">
        <v>218</v>
      </c>
      <c r="E43" s="97">
        <v>1.55E-2</v>
      </c>
    </row>
    <row r="44" spans="1:5" ht="15">
      <c r="A44" s="98">
        <v>4958</v>
      </c>
      <c r="B44">
        <v>16.63</v>
      </c>
      <c r="C44">
        <v>15.63</v>
      </c>
      <c r="D44" t="s">
        <v>218</v>
      </c>
      <c r="E44" s="97">
        <v>-9.1000000000000004E-3</v>
      </c>
    </row>
    <row r="45" spans="1:5" ht="15">
      <c r="A45" s="98">
        <v>4957</v>
      </c>
      <c r="B45">
        <v>14.96</v>
      </c>
      <c r="C45">
        <v>12.2</v>
      </c>
      <c r="D45" t="s">
        <v>218</v>
      </c>
      <c r="E45" s="97">
        <v>3.4000000000000002E-2</v>
      </c>
    </row>
    <row r="46" spans="1:5" ht="15">
      <c r="A46" s="98">
        <v>4956</v>
      </c>
      <c r="B46">
        <v>16.39</v>
      </c>
      <c r="C46">
        <v>16.07</v>
      </c>
      <c r="D46" t="s">
        <v>218</v>
      </c>
      <c r="E46" s="97">
        <v>-4.8899999999999999E-2</v>
      </c>
    </row>
    <row r="47" spans="1:5" ht="15">
      <c r="A47" s="98">
        <v>4955</v>
      </c>
      <c r="B47">
        <v>15</v>
      </c>
      <c r="C47">
        <v>14.35</v>
      </c>
      <c r="D47" t="s">
        <v>218</v>
      </c>
      <c r="E47" s="97">
        <v>-7.0400000000000004E-2</v>
      </c>
    </row>
    <row r="48" spans="1:5" ht="15">
      <c r="A48" s="98">
        <v>4954</v>
      </c>
      <c r="B48">
        <v>16.93</v>
      </c>
      <c r="C48">
        <v>16.079999999999998</v>
      </c>
      <c r="D48" t="s">
        <v>218</v>
      </c>
      <c r="E48" s="97">
        <v>-1.3899999999999999E-2</v>
      </c>
    </row>
    <row r="49" spans="1:5" ht="15">
      <c r="A49" s="98">
        <v>4953</v>
      </c>
      <c r="B49">
        <v>16.14</v>
      </c>
      <c r="C49">
        <v>13.89</v>
      </c>
      <c r="D49" t="s">
        <v>218</v>
      </c>
      <c r="E49" s="97">
        <v>5.1000000000000004E-3</v>
      </c>
    </row>
    <row r="50" spans="1:5" ht="15">
      <c r="A50" s="98">
        <v>4952</v>
      </c>
      <c r="B50">
        <v>17.48</v>
      </c>
      <c r="C50">
        <v>16.52</v>
      </c>
      <c r="D50" t="s">
        <v>218</v>
      </c>
      <c r="E50" s="97">
        <v>-6.8999999999999999E-3</v>
      </c>
    </row>
    <row r="51" spans="1:5" ht="15">
      <c r="A51" s="98">
        <v>4951</v>
      </c>
      <c r="B51">
        <v>15.18</v>
      </c>
      <c r="C51">
        <v>13.78</v>
      </c>
      <c r="D51" t="s">
        <v>218</v>
      </c>
      <c r="E51" s="97">
        <v>-4.3900000000000002E-2</v>
      </c>
    </row>
    <row r="52" spans="1:5" ht="15">
      <c r="A52" s="98">
        <v>4950</v>
      </c>
      <c r="B52">
        <v>15.89</v>
      </c>
      <c r="C52">
        <v>14.49</v>
      </c>
      <c r="D52" t="s">
        <v>218</v>
      </c>
      <c r="E52" s="97">
        <v>-2.35E-2</v>
      </c>
    </row>
    <row r="53" spans="1:5" ht="15">
      <c r="A53" s="98">
        <v>4949</v>
      </c>
      <c r="B53">
        <v>13.33</v>
      </c>
      <c r="C53">
        <v>12.76</v>
      </c>
      <c r="D53" t="s">
        <v>218</v>
      </c>
      <c r="E53" s="97">
        <v>1.1900000000000001E-2</v>
      </c>
    </row>
    <row r="54" spans="1:5" ht="15">
      <c r="A54" s="98">
        <v>4948</v>
      </c>
      <c r="B54">
        <v>13.74</v>
      </c>
      <c r="C54">
        <v>13.2</v>
      </c>
      <c r="D54" t="s">
        <v>218</v>
      </c>
      <c r="E54" s="97">
        <v>1.9400000000000001E-2</v>
      </c>
    </row>
    <row r="55" spans="1:5" ht="15">
      <c r="A55" s="98">
        <v>4947</v>
      </c>
      <c r="B55">
        <v>15.07</v>
      </c>
      <c r="C55">
        <v>14.3</v>
      </c>
      <c r="D55" t="s">
        <v>218</v>
      </c>
      <c r="E55" s="97">
        <v>-1.67E-2</v>
      </c>
    </row>
    <row r="56" spans="1:5" ht="15">
      <c r="A56" s="98">
        <v>4946</v>
      </c>
      <c r="B56">
        <v>13.97</v>
      </c>
      <c r="C56">
        <v>12.75</v>
      </c>
      <c r="D56" t="s">
        <v>218</v>
      </c>
      <c r="E56" s="97">
        <v>0.1187</v>
      </c>
    </row>
    <row r="57" spans="1:5" ht="15">
      <c r="A57" s="98">
        <v>4945</v>
      </c>
      <c r="B57">
        <v>12.76</v>
      </c>
      <c r="C57">
        <v>11.58</v>
      </c>
      <c r="D57" t="s">
        <v>218</v>
      </c>
      <c r="E57" s="97">
        <v>7.22E-2</v>
      </c>
    </row>
    <row r="58" spans="1:5" ht="15">
      <c r="A58" s="98">
        <v>4944</v>
      </c>
      <c r="B58">
        <v>14.14</v>
      </c>
      <c r="C58">
        <v>12.22</v>
      </c>
      <c r="D58" t="s">
        <v>218</v>
      </c>
      <c r="E58" s="97">
        <v>-5.28E-2</v>
      </c>
    </row>
    <row r="59" spans="1:5" ht="15">
      <c r="A59" s="98">
        <v>4943</v>
      </c>
      <c r="B59">
        <v>13.83</v>
      </c>
      <c r="C59">
        <v>12.88</v>
      </c>
      <c r="D59" t="s">
        <v>218</v>
      </c>
      <c r="E59" s="97">
        <v>-7.3999999999999996E-2</v>
      </c>
    </row>
    <row r="60" spans="1:5" ht="15">
      <c r="A60" s="98">
        <v>4942</v>
      </c>
      <c r="B60">
        <v>16.239999999999998</v>
      </c>
      <c r="C60">
        <v>14.9</v>
      </c>
      <c r="D60" t="s">
        <v>218</v>
      </c>
      <c r="E60" s="97">
        <v>6.9099999999999995E-2</v>
      </c>
    </row>
    <row r="61" spans="1:5" ht="15">
      <c r="A61" s="98">
        <v>4941</v>
      </c>
      <c r="B61">
        <v>16.96</v>
      </c>
      <c r="C61">
        <v>13.65</v>
      </c>
      <c r="D61" t="s">
        <v>218</v>
      </c>
      <c r="E61" s="97">
        <v>-1.26E-2</v>
      </c>
    </row>
    <row r="62" spans="1:5" ht="15">
      <c r="A62" s="98">
        <v>4940</v>
      </c>
      <c r="B62">
        <v>18.84</v>
      </c>
      <c r="C62">
        <v>17.11</v>
      </c>
      <c r="D62" t="s">
        <v>218</v>
      </c>
      <c r="E62" s="97">
        <v>5.0799999999999998E-2</v>
      </c>
    </row>
    <row r="63" spans="1:5" ht="15">
      <c r="A63" s="98">
        <v>4939</v>
      </c>
      <c r="B63">
        <v>21.94</v>
      </c>
      <c r="C63">
        <v>18.420000000000002</v>
      </c>
      <c r="D63" t="s">
        <v>218</v>
      </c>
      <c r="E63" s="97">
        <v>-2.4400000000000002E-2</v>
      </c>
    </row>
    <row r="64" spans="1:5" ht="15">
      <c r="A64" s="98">
        <v>4938</v>
      </c>
      <c r="B64">
        <v>28.3</v>
      </c>
      <c r="C64">
        <v>23.61</v>
      </c>
      <c r="D64" t="s">
        <v>218</v>
      </c>
      <c r="E64" s="97">
        <v>0.12959999999999999</v>
      </c>
    </row>
    <row r="65" spans="1:5" ht="15">
      <c r="A65" s="98">
        <v>4937</v>
      </c>
      <c r="B65">
        <v>21.63</v>
      </c>
      <c r="C65">
        <v>18.13</v>
      </c>
      <c r="D65" t="s">
        <v>218</v>
      </c>
      <c r="E65" s="97">
        <v>5.9299999999999999E-2</v>
      </c>
    </row>
    <row r="66" spans="1:5" ht="15">
      <c r="A66" s="98">
        <v>4936</v>
      </c>
      <c r="B66">
        <v>18.34</v>
      </c>
      <c r="C66">
        <v>16.8</v>
      </c>
      <c r="D66" t="s">
        <v>218</v>
      </c>
      <c r="E66" s="97">
        <v>-3.9E-2</v>
      </c>
    </row>
    <row r="67" spans="1:5" ht="15">
      <c r="A67" s="98">
        <v>4935</v>
      </c>
      <c r="B67">
        <v>18.239999999999998</v>
      </c>
      <c r="C67">
        <v>16.88</v>
      </c>
      <c r="D67" t="s">
        <v>218</v>
      </c>
      <c r="E67" s="97">
        <v>-4.4699999999999997E-2</v>
      </c>
    </row>
    <row r="68" spans="1:5" ht="15">
      <c r="A68" s="98">
        <v>4934</v>
      </c>
      <c r="B68">
        <v>17.579999999999998</v>
      </c>
      <c r="C68">
        <v>16.420000000000002</v>
      </c>
      <c r="D68" t="s">
        <v>218</v>
      </c>
      <c r="E68" s="97">
        <v>5.3400000000000003E-2</v>
      </c>
    </row>
    <row r="69" spans="1:5" ht="15">
      <c r="A69" s="98">
        <v>4933</v>
      </c>
      <c r="B69">
        <v>17.66</v>
      </c>
      <c r="C69">
        <v>16.43</v>
      </c>
      <c r="D69" t="s">
        <v>218</v>
      </c>
      <c r="E69" s="97">
        <v>-1.9300000000000001E-2</v>
      </c>
    </row>
    <row r="70" spans="1:5" ht="15">
      <c r="A70" s="98">
        <v>4932</v>
      </c>
      <c r="B70">
        <v>17.45</v>
      </c>
      <c r="C70">
        <v>16.239999999999998</v>
      </c>
      <c r="D70" t="s">
        <v>218</v>
      </c>
      <c r="E70" s="97">
        <v>2.0400000000000001E-2</v>
      </c>
    </row>
    <row r="71" spans="1:5" ht="15">
      <c r="A71" s="98">
        <v>4931</v>
      </c>
      <c r="B71">
        <v>17.96</v>
      </c>
      <c r="C71">
        <v>14.72</v>
      </c>
      <c r="D71" t="s">
        <v>218</v>
      </c>
      <c r="E71" s="97">
        <v>7.4300000000000005E-2</v>
      </c>
    </row>
    <row r="72" spans="1:5" ht="15">
      <c r="A72" s="98">
        <v>4930</v>
      </c>
      <c r="B72">
        <v>17.260000000000002</v>
      </c>
      <c r="C72">
        <v>16.149999999999999</v>
      </c>
      <c r="D72" t="s">
        <v>218</v>
      </c>
      <c r="E72" s="97">
        <v>-1.17E-2</v>
      </c>
    </row>
    <row r="73" spans="1:5" ht="15">
      <c r="A73" s="98">
        <v>4929</v>
      </c>
      <c r="B73">
        <v>16.66</v>
      </c>
      <c r="C73">
        <v>15.5</v>
      </c>
      <c r="D73" t="s">
        <v>218</v>
      </c>
      <c r="E73" s="97">
        <v>-7.4200000000000002E-2</v>
      </c>
    </row>
    <row r="74" spans="1:5" ht="15">
      <c r="A74" s="98">
        <v>4928</v>
      </c>
      <c r="B74">
        <v>17.88</v>
      </c>
      <c r="C74">
        <v>15.98</v>
      </c>
      <c r="D74" t="s">
        <v>218</v>
      </c>
      <c r="E74" s="97">
        <v>-3.7900000000000003E-2</v>
      </c>
    </row>
    <row r="75" spans="1:5" ht="15">
      <c r="A75" s="98">
        <v>4927</v>
      </c>
      <c r="B75">
        <v>17.760000000000002</v>
      </c>
      <c r="C75">
        <v>16.670000000000002</v>
      </c>
      <c r="D75" t="s">
        <v>218</v>
      </c>
      <c r="E75" s="97">
        <v>4.4999999999999997E-3</v>
      </c>
    </row>
    <row r="76" spans="1:5" ht="15">
      <c r="A76" s="98">
        <v>4926</v>
      </c>
      <c r="B76">
        <v>18.14</v>
      </c>
      <c r="C76">
        <v>16.48</v>
      </c>
      <c r="D76" t="s">
        <v>218</v>
      </c>
      <c r="E76" s="97">
        <v>0</v>
      </c>
    </row>
    <row r="77" spans="1:5" ht="15">
      <c r="A77" s="98">
        <v>4925</v>
      </c>
      <c r="B77">
        <v>16.559999999999999</v>
      </c>
      <c r="C77">
        <v>14.87</v>
      </c>
      <c r="D77" t="s">
        <v>218</v>
      </c>
      <c r="E77" s="97">
        <v>5.2699999999999997E-2</v>
      </c>
    </row>
    <row r="78" spans="1:5" ht="15">
      <c r="A78" s="98">
        <v>4924</v>
      </c>
      <c r="B78">
        <v>15.4</v>
      </c>
      <c r="C78">
        <v>14.07</v>
      </c>
      <c r="D78" t="s">
        <v>218</v>
      </c>
      <c r="E78" s="97">
        <v>-1.9300000000000001E-2</v>
      </c>
    </row>
    <row r="79" spans="1:5" ht="15">
      <c r="A79" s="98">
        <v>4923</v>
      </c>
      <c r="B79">
        <v>15.31</v>
      </c>
      <c r="C79">
        <v>14.07</v>
      </c>
      <c r="D79" t="s">
        <v>218</v>
      </c>
      <c r="E79" s="97">
        <v>-1.5900000000000001E-2</v>
      </c>
    </row>
    <row r="80" spans="1:5" ht="15">
      <c r="A80" s="98">
        <v>4922</v>
      </c>
      <c r="B80">
        <v>14.8</v>
      </c>
      <c r="C80">
        <v>13.78</v>
      </c>
      <c r="D80" t="s">
        <v>218</v>
      </c>
      <c r="E80" s="97">
        <v>4.1099999999999998E-2</v>
      </c>
    </row>
    <row r="81" spans="1:5" ht="15">
      <c r="A81" s="98">
        <v>4921</v>
      </c>
      <c r="B81">
        <v>14.88</v>
      </c>
      <c r="C81">
        <v>13.21</v>
      </c>
      <c r="D81" t="s">
        <v>218</v>
      </c>
      <c r="E81" s="97">
        <v>3.0099999999999998E-2</v>
      </c>
    </row>
    <row r="82" spans="1:5" ht="15">
      <c r="A82" s="98">
        <v>4920</v>
      </c>
      <c r="B82">
        <v>14.34</v>
      </c>
      <c r="C82">
        <v>13.05</v>
      </c>
      <c r="D82" t="s">
        <v>218</v>
      </c>
      <c r="E82" s="97">
        <v>-1.9900000000000001E-2</v>
      </c>
    </row>
    <row r="83" spans="1:5" ht="15">
      <c r="A83" s="98">
        <v>4919</v>
      </c>
      <c r="B83">
        <v>14.78</v>
      </c>
      <c r="C83">
        <v>13.99</v>
      </c>
      <c r="D83" t="s">
        <v>218</v>
      </c>
      <c r="E83" s="97">
        <v>-8.9300000000000004E-2</v>
      </c>
    </row>
    <row r="84" spans="1:5" ht="15">
      <c r="A84" s="98">
        <v>4918</v>
      </c>
      <c r="B84">
        <v>14.45</v>
      </c>
      <c r="C84">
        <v>13.03</v>
      </c>
      <c r="D84" t="s">
        <v>218</v>
      </c>
      <c r="E84" s="97">
        <v>-6.9999999999999999E-4</v>
      </c>
    </row>
    <row r="85" spans="1:5" ht="15">
      <c r="A85" s="98">
        <v>4917</v>
      </c>
      <c r="B85">
        <v>14.8</v>
      </c>
      <c r="C85">
        <v>13.71</v>
      </c>
      <c r="D85" t="s">
        <v>218</v>
      </c>
      <c r="E85" s="97">
        <v>-4.4400000000000002E-2</v>
      </c>
    </row>
    <row r="86" spans="1:5" ht="15">
      <c r="A86" s="98">
        <v>4916</v>
      </c>
      <c r="B86">
        <v>15.34</v>
      </c>
      <c r="C86">
        <v>13.62</v>
      </c>
      <c r="D86" t="s">
        <v>218</v>
      </c>
      <c r="E86" s="97">
        <v>4.5699999999999998E-2</v>
      </c>
    </row>
    <row r="87" spans="1:5" ht="15">
      <c r="A87" s="98">
        <v>4915</v>
      </c>
      <c r="B87">
        <v>15.54</v>
      </c>
      <c r="C87">
        <v>14.79</v>
      </c>
      <c r="D87" t="s">
        <v>218</v>
      </c>
      <c r="E87" s="97">
        <v>-3.5999999999999999E-3</v>
      </c>
    </row>
    <row r="88" spans="1:5" ht="15">
      <c r="A88" s="98">
        <v>4914</v>
      </c>
      <c r="B88">
        <v>16.649999999999999</v>
      </c>
      <c r="C88">
        <v>15.86</v>
      </c>
      <c r="D88" t="s">
        <v>218</v>
      </c>
      <c r="E88" s="97">
        <v>-1.21E-2</v>
      </c>
    </row>
    <row r="89" spans="1:5" ht="15">
      <c r="A89" s="98">
        <v>4913</v>
      </c>
      <c r="B89">
        <v>16.07</v>
      </c>
      <c r="C89">
        <v>15.1</v>
      </c>
      <c r="D89" t="s">
        <v>218</v>
      </c>
      <c r="E89" s="97">
        <v>-1.41E-2</v>
      </c>
    </row>
    <row r="90" spans="1:5" ht="15">
      <c r="A90" s="98">
        <v>4912</v>
      </c>
      <c r="B90">
        <v>16.28</v>
      </c>
      <c r="C90">
        <v>14.75</v>
      </c>
      <c r="D90" t="s">
        <v>218</v>
      </c>
      <c r="E90" s="97">
        <v>-9.7999999999999997E-3</v>
      </c>
    </row>
    <row r="91" spans="1:5" ht="15">
      <c r="A91" s="98">
        <v>4911</v>
      </c>
      <c r="B91">
        <v>16.16</v>
      </c>
      <c r="C91">
        <v>14.76</v>
      </c>
      <c r="D91" t="s">
        <v>218</v>
      </c>
      <c r="E91" s="97">
        <v>-2.9100000000000001E-2</v>
      </c>
    </row>
    <row r="92" spans="1:5" ht="15">
      <c r="A92" s="98">
        <v>4910</v>
      </c>
      <c r="B92">
        <v>16.11</v>
      </c>
      <c r="C92">
        <v>14.48</v>
      </c>
      <c r="D92" t="s">
        <v>218</v>
      </c>
      <c r="E92" s="97">
        <v>-7.4000000000000003E-3</v>
      </c>
    </row>
    <row r="93" spans="1:5" ht="15">
      <c r="A93" s="98">
        <v>4909</v>
      </c>
      <c r="B93">
        <v>15</v>
      </c>
      <c r="C93">
        <v>14.15</v>
      </c>
      <c r="D93" t="s">
        <v>218</v>
      </c>
      <c r="E93" s="97">
        <v>-8.09E-2</v>
      </c>
    </row>
    <row r="94" spans="1:5" ht="15">
      <c r="A94" s="98">
        <v>4908</v>
      </c>
      <c r="B94">
        <v>15.22</v>
      </c>
      <c r="C94">
        <v>14.08</v>
      </c>
      <c r="D94" t="s">
        <v>218</v>
      </c>
      <c r="E94" s="97">
        <v>-1.46E-2</v>
      </c>
    </row>
    <row r="95" spans="1:5" ht="15">
      <c r="A95" s="98">
        <v>4907</v>
      </c>
      <c r="B95">
        <v>13.82</v>
      </c>
      <c r="C95">
        <v>12.53</v>
      </c>
      <c r="D95" t="s">
        <v>218</v>
      </c>
      <c r="E95" s="97">
        <v>4.3E-3</v>
      </c>
    </row>
    <row r="96" spans="1:5" ht="15">
      <c r="A96" s="98">
        <v>4906</v>
      </c>
      <c r="B96">
        <v>12.46</v>
      </c>
      <c r="C96">
        <v>11.44</v>
      </c>
      <c r="D96" t="s">
        <v>218</v>
      </c>
      <c r="E96" s="97">
        <v>-2.9100000000000001E-2</v>
      </c>
    </row>
    <row r="97" spans="1:5" ht="15">
      <c r="A97" s="98">
        <v>4905</v>
      </c>
      <c r="B97">
        <v>13.03</v>
      </c>
      <c r="C97">
        <v>11.8</v>
      </c>
      <c r="D97" t="s">
        <v>218</v>
      </c>
      <c r="E97" s="97">
        <v>0</v>
      </c>
    </row>
    <row r="98" spans="1:5" ht="15">
      <c r="A98" s="98">
        <v>4904</v>
      </c>
      <c r="B98">
        <v>13.94</v>
      </c>
      <c r="C98">
        <v>13.24</v>
      </c>
      <c r="D98" t="s">
        <v>218</v>
      </c>
      <c r="E98" s="97">
        <v>-2.0299999999999999E-2</v>
      </c>
    </row>
    <row r="99" spans="1:5" ht="15">
      <c r="A99" s="98">
        <v>4903</v>
      </c>
      <c r="B99">
        <v>13.17</v>
      </c>
      <c r="C99">
        <v>12.42</v>
      </c>
      <c r="D99" t="s">
        <v>218</v>
      </c>
      <c r="E99" s="97">
        <v>-6.8199999999999997E-2</v>
      </c>
    </row>
    <row r="100" spans="1:5" ht="15">
      <c r="A100" s="98">
        <v>4902</v>
      </c>
      <c r="B100">
        <v>13.47</v>
      </c>
      <c r="C100">
        <v>12.39</v>
      </c>
      <c r="D100" t="s">
        <v>218</v>
      </c>
      <c r="E100" s="97">
        <v>-8.1600000000000006E-2</v>
      </c>
    </row>
    <row r="101" spans="1:5" ht="15">
      <c r="A101" s="98">
        <v>4901</v>
      </c>
      <c r="B101">
        <v>12.66</v>
      </c>
      <c r="C101">
        <v>12.26</v>
      </c>
      <c r="D101" t="s">
        <v>218</v>
      </c>
      <c r="E101" s="97">
        <v>6.4000000000000001E-2</v>
      </c>
    </row>
    <row r="102" spans="1:5" ht="15">
      <c r="A102" s="98">
        <v>4900</v>
      </c>
      <c r="B102">
        <v>13.01</v>
      </c>
      <c r="C102">
        <v>12.42</v>
      </c>
      <c r="D102" t="s">
        <v>218</v>
      </c>
      <c r="E102" s="97">
        <v>-7.7600000000000002E-2</v>
      </c>
    </row>
    <row r="103" spans="1:5" ht="15">
      <c r="A103" s="98">
        <v>4899</v>
      </c>
      <c r="B103">
        <v>13.46</v>
      </c>
      <c r="C103">
        <v>12.77</v>
      </c>
      <c r="D103" t="s">
        <v>218</v>
      </c>
      <c r="E103" s="97">
        <v>0.23139999999999999</v>
      </c>
    </row>
    <row r="104" spans="1:5" ht="15">
      <c r="A104" s="98">
        <v>4898</v>
      </c>
      <c r="B104">
        <v>13.47</v>
      </c>
      <c r="C104">
        <v>12.54</v>
      </c>
      <c r="D104" t="s">
        <v>218</v>
      </c>
      <c r="E104" s="97">
        <v>1.8E-3</v>
      </c>
    </row>
    <row r="105" spans="1:5" ht="15">
      <c r="A105" s="98">
        <v>4897</v>
      </c>
      <c r="B105">
        <v>13.06</v>
      </c>
      <c r="C105">
        <v>12.45</v>
      </c>
      <c r="D105" t="s">
        <v>218</v>
      </c>
      <c r="E105" s="97">
        <v>-1.1299999999999999E-2</v>
      </c>
    </row>
    <row r="106" spans="1:5" ht="15">
      <c r="A106" s="98">
        <v>4896</v>
      </c>
      <c r="B106">
        <v>13.36</v>
      </c>
      <c r="C106">
        <v>12.1</v>
      </c>
      <c r="D106" t="s">
        <v>218</v>
      </c>
      <c r="E106" s="97">
        <v>-2.0400000000000001E-2</v>
      </c>
    </row>
    <row r="107" spans="1:5" ht="15">
      <c r="A107" s="98">
        <v>4895</v>
      </c>
      <c r="B107">
        <v>13.03</v>
      </c>
      <c r="C107">
        <v>11.76</v>
      </c>
      <c r="D107" t="s">
        <v>218</v>
      </c>
      <c r="E107" s="97">
        <v>4.5100000000000001E-2</v>
      </c>
    </row>
    <row r="108" spans="1:5" ht="15">
      <c r="A108" s="98">
        <v>4894</v>
      </c>
      <c r="B108">
        <v>14.12</v>
      </c>
      <c r="C108">
        <v>13.04</v>
      </c>
      <c r="D108" t="s">
        <v>218</v>
      </c>
      <c r="E108" s="97">
        <v>-0.1173</v>
      </c>
    </row>
    <row r="109" spans="1:5" ht="15">
      <c r="A109" s="98">
        <v>4893</v>
      </c>
      <c r="B109">
        <v>13.72</v>
      </c>
      <c r="C109">
        <v>12.69</v>
      </c>
      <c r="D109" t="s">
        <v>218</v>
      </c>
      <c r="E109" s="97">
        <v>8.8999999999999996E-2</v>
      </c>
    </row>
    <row r="110" spans="1:5" ht="15">
      <c r="A110" s="98">
        <v>4892</v>
      </c>
      <c r="B110">
        <v>13.28</v>
      </c>
      <c r="C110">
        <v>13.1</v>
      </c>
      <c r="D110" t="s">
        <v>218</v>
      </c>
      <c r="E110" s="97">
        <v>0.1056</v>
      </c>
    </row>
    <row r="111" spans="1:5" ht="15">
      <c r="A111" s="98">
        <v>4891</v>
      </c>
      <c r="B111">
        <v>13.04</v>
      </c>
      <c r="C111">
        <v>12.45</v>
      </c>
      <c r="D111" t="s">
        <v>218</v>
      </c>
      <c r="E111" s="97">
        <v>1.9800000000000002E-2</v>
      </c>
    </row>
    <row r="112" spans="1:5" ht="15">
      <c r="A112" s="98">
        <v>4890</v>
      </c>
      <c r="B112">
        <v>12.61</v>
      </c>
      <c r="C112">
        <v>11.66</v>
      </c>
      <c r="D112" t="s">
        <v>218</v>
      </c>
      <c r="E112" s="97">
        <v>-8.9599999999999999E-2</v>
      </c>
    </row>
    <row r="113" spans="1:5" ht="15">
      <c r="A113" s="98">
        <v>4889</v>
      </c>
      <c r="B113">
        <v>11.93</v>
      </c>
      <c r="C113">
        <v>11.38</v>
      </c>
      <c r="D113" t="s">
        <v>218</v>
      </c>
      <c r="E113" s="97">
        <v>-4.9700000000000001E-2</v>
      </c>
    </row>
    <row r="114" spans="1:5" ht="15">
      <c r="A114" s="98">
        <v>4888</v>
      </c>
      <c r="B114">
        <v>12.39</v>
      </c>
      <c r="C114">
        <v>11.21</v>
      </c>
      <c r="D114" t="s">
        <v>218</v>
      </c>
      <c r="E114" s="97">
        <v>7.5600000000000001E-2</v>
      </c>
    </row>
    <row r="115" spans="1:5" ht="15">
      <c r="A115" s="98">
        <v>4887</v>
      </c>
      <c r="B115">
        <v>11.89</v>
      </c>
      <c r="C115">
        <v>11.2</v>
      </c>
      <c r="D115" t="s">
        <v>218</v>
      </c>
      <c r="E115" s="97">
        <v>-5.9999999999999995E-4</v>
      </c>
    </row>
    <row r="116" spans="1:5" ht="15">
      <c r="A116" s="98">
        <v>4886</v>
      </c>
      <c r="B116">
        <v>12.33</v>
      </c>
      <c r="C116">
        <v>10.48</v>
      </c>
      <c r="D116" t="s">
        <v>218</v>
      </c>
      <c r="E116" s="97">
        <v>-1.1999999999999999E-3</v>
      </c>
    </row>
    <row r="117" spans="1:5" ht="15">
      <c r="A117" s="98">
        <v>4885</v>
      </c>
      <c r="B117">
        <v>14.21</v>
      </c>
      <c r="C117">
        <v>13.38</v>
      </c>
      <c r="D117" t="s">
        <v>218</v>
      </c>
      <c r="E117" s="97">
        <v>0.12180000000000001</v>
      </c>
    </row>
    <row r="118" spans="1:5" ht="15">
      <c r="A118" s="98">
        <v>4884</v>
      </c>
      <c r="B118">
        <v>14.99</v>
      </c>
      <c r="C118">
        <v>13.6</v>
      </c>
      <c r="D118" t="s">
        <v>218</v>
      </c>
      <c r="E118" s="97">
        <v>-2.0199999999999999E-2</v>
      </c>
    </row>
    <row r="119" spans="1:5" ht="15">
      <c r="A119" s="98">
        <v>4883</v>
      </c>
      <c r="B119">
        <v>14.76</v>
      </c>
      <c r="C119">
        <v>14.02</v>
      </c>
      <c r="D119" t="s">
        <v>218</v>
      </c>
      <c r="E119" s="97">
        <v>2.4199999999999999E-2</v>
      </c>
    </row>
    <row r="120" spans="1:5" ht="15">
      <c r="A120" s="98">
        <v>4882</v>
      </c>
      <c r="B120">
        <v>14.28</v>
      </c>
      <c r="C120">
        <v>13.29</v>
      </c>
      <c r="D120" t="s">
        <v>218</v>
      </c>
      <c r="E120" s="97">
        <v>3.5000000000000003E-2</v>
      </c>
    </row>
    <row r="121" spans="1:5" ht="15">
      <c r="A121" s="98">
        <v>4881</v>
      </c>
      <c r="B121">
        <v>17.27</v>
      </c>
      <c r="C121">
        <v>15.31</v>
      </c>
      <c r="D121" t="s">
        <v>218</v>
      </c>
      <c r="E121" s="97">
        <v>-5.7000000000000002E-3</v>
      </c>
    </row>
    <row r="122" spans="1:5" ht="15">
      <c r="A122" s="98">
        <v>4880</v>
      </c>
      <c r="B122">
        <v>17.71</v>
      </c>
      <c r="C122">
        <v>15.51</v>
      </c>
      <c r="D122" t="s">
        <v>218</v>
      </c>
      <c r="E122" s="97">
        <v>1.8100000000000002E-2</v>
      </c>
    </row>
    <row r="123" spans="1:5" ht="15">
      <c r="A123" s="98">
        <v>4879</v>
      </c>
      <c r="B123">
        <v>15.75</v>
      </c>
      <c r="C123">
        <v>13.39</v>
      </c>
      <c r="D123" t="s">
        <v>218</v>
      </c>
      <c r="E123" s="97">
        <v>3.3700000000000001E-2</v>
      </c>
    </row>
    <row r="124" spans="1:5" ht="15">
      <c r="A124" s="98">
        <v>4878</v>
      </c>
      <c r="B124">
        <v>14.75</v>
      </c>
      <c r="C124">
        <v>14.26</v>
      </c>
      <c r="D124" t="s">
        <v>218</v>
      </c>
      <c r="E124" s="97">
        <v>2.69E-2</v>
      </c>
    </row>
    <row r="125" spans="1:5" ht="15">
      <c r="A125" s="98">
        <v>4877</v>
      </c>
      <c r="B125">
        <v>15.43</v>
      </c>
      <c r="C125">
        <v>13.86</v>
      </c>
      <c r="D125" t="s">
        <v>218</v>
      </c>
      <c r="E125" s="97">
        <v>4.58E-2</v>
      </c>
    </row>
    <row r="126" spans="1:5" ht="15">
      <c r="A126" s="98">
        <v>4876</v>
      </c>
      <c r="B126">
        <v>15.26</v>
      </c>
      <c r="C126">
        <v>14.36</v>
      </c>
      <c r="D126" t="s">
        <v>218</v>
      </c>
      <c r="E126" s="97">
        <v>-4.7399999999999998E-2</v>
      </c>
    </row>
    <row r="127" spans="1:5" ht="15">
      <c r="A127" s="98">
        <v>4875</v>
      </c>
      <c r="B127">
        <v>15.48</v>
      </c>
      <c r="C127">
        <v>14.6</v>
      </c>
      <c r="D127" t="s">
        <v>218</v>
      </c>
      <c r="E127" s="97">
        <v>2.0299999999999999E-2</v>
      </c>
    </row>
    <row r="128" spans="1:5" ht="15">
      <c r="A128" s="98">
        <v>4874</v>
      </c>
      <c r="B128">
        <v>15.63</v>
      </c>
      <c r="C128">
        <v>14.44</v>
      </c>
      <c r="D128" t="s">
        <v>218</v>
      </c>
      <c r="E128" s="97">
        <v>3.0999999999999999E-3</v>
      </c>
    </row>
    <row r="129" spans="1:5" ht="15">
      <c r="A129" s="98">
        <v>4873</v>
      </c>
      <c r="B129">
        <v>14.64</v>
      </c>
      <c r="C129">
        <v>13.24</v>
      </c>
      <c r="D129" t="s">
        <v>218</v>
      </c>
      <c r="E129" s="97">
        <v>1.7500000000000002E-2</v>
      </c>
    </row>
    <row r="130" spans="1:5" ht="15">
      <c r="A130" s="98">
        <v>4872</v>
      </c>
      <c r="B130">
        <v>14.88</v>
      </c>
      <c r="C130">
        <v>12.85</v>
      </c>
      <c r="D130" t="s">
        <v>218</v>
      </c>
      <c r="E130" s="97">
        <v>-3.2000000000000002E-3</v>
      </c>
    </row>
    <row r="131" spans="1:5" ht="15">
      <c r="A131" s="98">
        <v>4871</v>
      </c>
      <c r="B131">
        <v>14.61</v>
      </c>
      <c r="C131">
        <v>13.03</v>
      </c>
      <c r="D131" t="s">
        <v>218</v>
      </c>
      <c r="E131" s="97">
        <v>-4.1099999999999998E-2</v>
      </c>
    </row>
    <row r="132" spans="1:5" ht="15">
      <c r="A132" s="98">
        <v>4870</v>
      </c>
      <c r="B132">
        <v>14.16</v>
      </c>
      <c r="C132">
        <v>13.04</v>
      </c>
      <c r="D132" t="s">
        <v>218</v>
      </c>
      <c r="E132" s="97">
        <v>3.7100000000000001E-2</v>
      </c>
    </row>
    <row r="133" spans="1:5" ht="15">
      <c r="A133" s="98">
        <v>4869</v>
      </c>
      <c r="B133">
        <v>12.98</v>
      </c>
      <c r="C133">
        <v>12.17</v>
      </c>
      <c r="D133" t="s">
        <v>218</v>
      </c>
      <c r="E133" s="97">
        <v>-1.3299999999999999E-2</v>
      </c>
    </row>
    <row r="134" spans="1:5" ht="15">
      <c r="A134" s="98">
        <v>4868</v>
      </c>
      <c r="B134">
        <v>12.88</v>
      </c>
      <c r="C134">
        <v>11.39</v>
      </c>
      <c r="D134" t="s">
        <v>218</v>
      </c>
      <c r="E134" s="97">
        <v>1.34E-2</v>
      </c>
    </row>
    <row r="135" spans="1:5" ht="15">
      <c r="A135" s="98">
        <v>4867</v>
      </c>
      <c r="B135">
        <v>11.54</v>
      </c>
      <c r="C135">
        <v>11</v>
      </c>
      <c r="D135" t="s">
        <v>218</v>
      </c>
      <c r="E135" s="97">
        <v>-1.4800000000000001E-2</v>
      </c>
    </row>
    <row r="136" spans="1:5" ht="15">
      <c r="A136" s="98">
        <v>4866</v>
      </c>
      <c r="B136">
        <v>11.68</v>
      </c>
      <c r="C136">
        <v>11.16</v>
      </c>
      <c r="D136" t="s">
        <v>218</v>
      </c>
      <c r="E136" s="97">
        <v>-5.45E-2</v>
      </c>
    </row>
    <row r="137" spans="1:5" ht="15">
      <c r="A137" s="98">
        <v>4865</v>
      </c>
      <c r="B137">
        <v>11.91</v>
      </c>
      <c r="C137">
        <v>11</v>
      </c>
      <c r="D137" t="s">
        <v>218</v>
      </c>
      <c r="E137" s="97">
        <v>-6.2100000000000002E-2</v>
      </c>
    </row>
    <row r="138" spans="1:5" ht="15">
      <c r="A138" s="98">
        <v>4864</v>
      </c>
      <c r="B138">
        <v>12.13</v>
      </c>
      <c r="C138">
        <v>11.5</v>
      </c>
      <c r="D138" t="s">
        <v>218</v>
      </c>
      <c r="E138" s="97">
        <v>7.17E-2</v>
      </c>
    </row>
    <row r="139" spans="1:5" ht="15">
      <c r="A139" s="98">
        <v>4863</v>
      </c>
      <c r="B139">
        <v>12.56</v>
      </c>
      <c r="C139">
        <v>11.62</v>
      </c>
      <c r="D139" t="s">
        <v>218</v>
      </c>
      <c r="E139" s="97">
        <v>-1.3899999999999999E-2</v>
      </c>
    </row>
    <row r="140" spans="1:5" ht="15">
      <c r="A140" s="98">
        <v>4862</v>
      </c>
      <c r="B140">
        <v>11.89</v>
      </c>
      <c r="C140">
        <v>10.96</v>
      </c>
      <c r="D140" t="s">
        <v>218</v>
      </c>
      <c r="E140" s="97">
        <v>7.3000000000000001E-3</v>
      </c>
    </row>
    <row r="141" spans="1:5" ht="15">
      <c r="A141" s="98">
        <v>4861</v>
      </c>
      <c r="B141">
        <v>12.38</v>
      </c>
      <c r="C141">
        <v>11.44</v>
      </c>
      <c r="D141" t="s">
        <v>218</v>
      </c>
      <c r="E141" s="97">
        <v>-6.9999999999999999E-4</v>
      </c>
    </row>
    <row r="142" spans="1:5" ht="15">
      <c r="A142" s="98">
        <v>4860</v>
      </c>
      <c r="B142">
        <v>12.02</v>
      </c>
      <c r="C142">
        <v>11.65</v>
      </c>
      <c r="D142" t="s">
        <v>218</v>
      </c>
      <c r="E142" s="97">
        <v>6.9999999999999999E-4</v>
      </c>
    </row>
    <row r="143" spans="1:5" ht="15">
      <c r="A143" s="98">
        <v>4859</v>
      </c>
      <c r="B143">
        <v>12.26</v>
      </c>
      <c r="C143">
        <v>11.86</v>
      </c>
      <c r="D143" t="s">
        <v>218</v>
      </c>
      <c r="E143" s="97">
        <v>9.5999999999999992E-3</v>
      </c>
    </row>
    <row r="144" spans="1:5" ht="15">
      <c r="A144" s="98">
        <v>4858</v>
      </c>
      <c r="B144">
        <v>12.15</v>
      </c>
      <c r="C144">
        <v>11.69</v>
      </c>
      <c r="D144" t="s">
        <v>218</v>
      </c>
      <c r="E144" s="97">
        <v>-6.3200000000000006E-2</v>
      </c>
    </row>
    <row r="145" spans="1:5" ht="15">
      <c r="A145" s="98">
        <v>4857</v>
      </c>
      <c r="B145">
        <v>11.74</v>
      </c>
      <c r="C145">
        <v>11.05</v>
      </c>
      <c r="D145" t="s">
        <v>218</v>
      </c>
      <c r="E145" s="97">
        <v>-3.8699999999999998E-2</v>
      </c>
    </row>
    <row r="146" spans="1:5" ht="15">
      <c r="A146" s="98">
        <v>4856</v>
      </c>
      <c r="B146">
        <v>11.76</v>
      </c>
      <c r="C146">
        <v>11.13</v>
      </c>
      <c r="D146" t="s">
        <v>218</v>
      </c>
      <c r="E146" s="97">
        <v>-0.14749999999999999</v>
      </c>
    </row>
    <row r="147" spans="1:5" ht="15">
      <c r="A147" s="98">
        <v>4855</v>
      </c>
      <c r="B147">
        <v>11.43</v>
      </c>
      <c r="C147">
        <v>10.75</v>
      </c>
      <c r="D147" t="s">
        <v>218</v>
      </c>
      <c r="E147" s="97">
        <v>6.3600000000000004E-2</v>
      </c>
    </row>
    <row r="148" spans="1:5" ht="15">
      <c r="A148" s="98">
        <v>4854</v>
      </c>
      <c r="B148">
        <v>11.61</v>
      </c>
      <c r="C148">
        <v>11.15</v>
      </c>
      <c r="D148" t="s">
        <v>218</v>
      </c>
      <c r="E148" s="97">
        <v>0.1827</v>
      </c>
    </row>
    <row r="149" spans="1:5" ht="15">
      <c r="A149" s="98">
        <v>4853</v>
      </c>
      <c r="B149">
        <v>12.3</v>
      </c>
      <c r="C149">
        <v>11.46</v>
      </c>
      <c r="D149" t="s">
        <v>218</v>
      </c>
      <c r="E149" s="97">
        <v>-0.19170000000000001</v>
      </c>
    </row>
    <row r="150" spans="1:5" ht="15">
      <c r="A150" s="98">
        <v>4852</v>
      </c>
      <c r="B150">
        <v>12.98</v>
      </c>
      <c r="C150">
        <v>12.33</v>
      </c>
      <c r="D150" t="s">
        <v>218</v>
      </c>
      <c r="E150" s="97">
        <v>0.432</v>
      </c>
    </row>
    <row r="151" spans="1:5" ht="15">
      <c r="A151" s="98">
        <v>4851</v>
      </c>
      <c r="B151">
        <v>12.7</v>
      </c>
      <c r="C151">
        <v>11.69</v>
      </c>
      <c r="D151" t="s">
        <v>218</v>
      </c>
      <c r="E151" s="97">
        <v>-1.47E-2</v>
      </c>
    </row>
    <row r="152" spans="1:5" ht="15">
      <c r="A152" s="98">
        <v>4850</v>
      </c>
      <c r="B152">
        <v>13.32</v>
      </c>
      <c r="C152">
        <v>11.12</v>
      </c>
      <c r="D152" t="s">
        <v>218</v>
      </c>
      <c r="E152" s="97">
        <v>-9.7000000000000003E-3</v>
      </c>
    </row>
    <row r="153" spans="1:5" ht="15">
      <c r="A153" s="98">
        <v>4849</v>
      </c>
      <c r="B153">
        <v>12.63</v>
      </c>
      <c r="C153">
        <v>11.66</v>
      </c>
      <c r="D153" t="s">
        <v>218</v>
      </c>
      <c r="E153" s="97">
        <v>-3.7400000000000003E-2</v>
      </c>
    </row>
    <row r="154" spans="1:5" ht="15">
      <c r="A154" s="98">
        <v>4848</v>
      </c>
      <c r="B154">
        <v>12.89</v>
      </c>
      <c r="C154">
        <v>11.27</v>
      </c>
      <c r="D154" t="s">
        <v>218</v>
      </c>
      <c r="E154" s="97">
        <v>-2.6499999999999999E-2</v>
      </c>
    </row>
    <row r="155" spans="1:5" ht="15">
      <c r="A155" s="98">
        <v>4847</v>
      </c>
      <c r="B155">
        <v>12.13</v>
      </c>
      <c r="C155">
        <v>11.03</v>
      </c>
      <c r="D155" t="s">
        <v>218</v>
      </c>
      <c r="E155" s="97">
        <v>-5.2400000000000002E-2</v>
      </c>
    </row>
    <row r="156" spans="1:5" ht="15">
      <c r="A156" s="98">
        <v>4846</v>
      </c>
      <c r="B156">
        <v>12.73</v>
      </c>
      <c r="C156">
        <v>11.65</v>
      </c>
      <c r="D156" t="s">
        <v>218</v>
      </c>
      <c r="E156" s="97">
        <v>2.2000000000000001E-3</v>
      </c>
    </row>
    <row r="157" spans="1:5" ht="15">
      <c r="A157" s="98">
        <v>4845</v>
      </c>
      <c r="B157">
        <v>12.79</v>
      </c>
      <c r="C157">
        <v>11.17</v>
      </c>
      <c r="D157" t="s">
        <v>218</v>
      </c>
      <c r="E157" s="97">
        <v>-2.2499999999999999E-2</v>
      </c>
    </row>
    <row r="158" spans="1:5" ht="15">
      <c r="A158" s="98">
        <v>4844</v>
      </c>
      <c r="B158">
        <v>11.62</v>
      </c>
      <c r="C158">
        <v>11.16</v>
      </c>
      <c r="D158" t="s">
        <v>218</v>
      </c>
      <c r="E158" s="97">
        <v>0.1119</v>
      </c>
    </row>
    <row r="159" spans="1:5" ht="15">
      <c r="A159" s="98">
        <v>4843</v>
      </c>
      <c r="B159">
        <v>12.6</v>
      </c>
      <c r="C159">
        <v>11.65</v>
      </c>
      <c r="D159" t="s">
        <v>218</v>
      </c>
      <c r="E159" s="97">
        <v>-5.8900000000000001E-2</v>
      </c>
    </row>
    <row r="160" spans="1:5" ht="15">
      <c r="A160" s="98">
        <v>4842</v>
      </c>
      <c r="B160">
        <v>13.34</v>
      </c>
      <c r="C160">
        <v>12.44</v>
      </c>
      <c r="D160" t="s">
        <v>218</v>
      </c>
      <c r="E160" s="97">
        <v>6.93E-2</v>
      </c>
    </row>
    <row r="161" spans="1:5" ht="15">
      <c r="A161" s="98">
        <v>4841</v>
      </c>
      <c r="B161">
        <v>13.23</v>
      </c>
      <c r="C161">
        <v>12.55</v>
      </c>
      <c r="D161" t="s">
        <v>218</v>
      </c>
      <c r="E161" s="97">
        <v>-3.4200000000000001E-2</v>
      </c>
    </row>
    <row r="162" spans="1:5" ht="15">
      <c r="A162" s="98">
        <v>4840</v>
      </c>
      <c r="B162">
        <v>11.85</v>
      </c>
      <c r="C162">
        <v>11.14</v>
      </c>
      <c r="D162" t="s">
        <v>218</v>
      </c>
      <c r="E162" s="97">
        <v>2.98E-2</v>
      </c>
    </row>
    <row r="163" spans="1:5" ht="15">
      <c r="A163" s="98">
        <v>4839</v>
      </c>
      <c r="B163">
        <v>12.05</v>
      </c>
      <c r="C163">
        <v>11.56</v>
      </c>
      <c r="D163" t="s">
        <v>218</v>
      </c>
      <c r="E163" s="97">
        <v>-7.0599999999999996E-2</v>
      </c>
    </row>
    <row r="164" spans="1:5" ht="15">
      <c r="A164" s="98">
        <v>4838</v>
      </c>
      <c r="B164">
        <v>12.27</v>
      </c>
      <c r="C164">
        <v>11.52</v>
      </c>
      <c r="D164" t="s">
        <v>218</v>
      </c>
      <c r="E164" s="97">
        <v>1.2500000000000001E-2</v>
      </c>
    </row>
    <row r="165" spans="1:5" ht="15">
      <c r="A165" s="98">
        <v>4837</v>
      </c>
      <c r="B165">
        <v>12.84</v>
      </c>
      <c r="C165">
        <v>11.02</v>
      </c>
      <c r="D165" t="s">
        <v>218</v>
      </c>
      <c r="E165" s="97">
        <v>-0.03</v>
      </c>
    </row>
    <row r="166" spans="1:5" ht="15">
      <c r="A166" s="98">
        <v>4836</v>
      </c>
      <c r="B166">
        <v>12.81</v>
      </c>
      <c r="C166">
        <v>11.66</v>
      </c>
      <c r="D166" t="s">
        <v>218</v>
      </c>
      <c r="E166" s="97">
        <v>0.1042</v>
      </c>
    </row>
    <row r="167" spans="1:5" ht="15">
      <c r="A167" s="98">
        <v>4835</v>
      </c>
      <c r="B167">
        <v>11.81</v>
      </c>
      <c r="C167">
        <v>11.22</v>
      </c>
      <c r="D167" t="s">
        <v>218</v>
      </c>
      <c r="E167" s="97">
        <v>-0.1195</v>
      </c>
    </row>
    <row r="168" spans="1:5" ht="15">
      <c r="A168" s="98">
        <v>4834</v>
      </c>
      <c r="B168">
        <v>12.43</v>
      </c>
      <c r="C168">
        <v>11.18</v>
      </c>
      <c r="D168" t="s">
        <v>218</v>
      </c>
      <c r="E168" s="97">
        <v>7.7100000000000002E-2</v>
      </c>
    </row>
    <row r="169" spans="1:5" ht="15">
      <c r="A169" s="98">
        <v>4833</v>
      </c>
      <c r="B169">
        <v>12.66</v>
      </c>
      <c r="C169">
        <v>11.86</v>
      </c>
      <c r="D169" t="s">
        <v>218</v>
      </c>
      <c r="E169" s="97">
        <v>0.18229999999999999</v>
      </c>
    </row>
    <row r="170" spans="1:5" ht="15">
      <c r="A170" s="98">
        <v>4832</v>
      </c>
      <c r="B170">
        <v>11.73</v>
      </c>
      <c r="C170">
        <v>11.17</v>
      </c>
      <c r="D170" t="s">
        <v>218</v>
      </c>
      <c r="E170" s="97">
        <v>0</v>
      </c>
    </row>
    <row r="171" spans="1:5" ht="15">
      <c r="A171" s="98">
        <v>4831</v>
      </c>
      <c r="B171">
        <v>12.24</v>
      </c>
      <c r="C171">
        <v>11.48</v>
      </c>
      <c r="D171" t="s">
        <v>218</v>
      </c>
      <c r="E171" s="97">
        <v>-4.48E-2</v>
      </c>
    </row>
    <row r="172" spans="1:5" ht="15">
      <c r="A172" s="98">
        <v>4830</v>
      </c>
      <c r="B172">
        <v>12.49</v>
      </c>
      <c r="C172">
        <v>11.6</v>
      </c>
      <c r="D172" t="s">
        <v>218</v>
      </c>
      <c r="E172" s="97">
        <v>-3.5900000000000001E-2</v>
      </c>
    </row>
    <row r="173" spans="1:5" ht="15">
      <c r="A173" s="98">
        <v>4829</v>
      </c>
      <c r="B173">
        <v>12.03</v>
      </c>
      <c r="C173">
        <v>11.4</v>
      </c>
      <c r="D173" t="s">
        <v>218</v>
      </c>
      <c r="E173" s="97">
        <v>6.1400000000000003E-2</v>
      </c>
    </row>
    <row r="174" spans="1:5" ht="15">
      <c r="A174" s="98">
        <v>4828</v>
      </c>
      <c r="B174">
        <v>13.56</v>
      </c>
      <c r="C174">
        <v>11.62</v>
      </c>
      <c r="D174" t="s">
        <v>218</v>
      </c>
      <c r="E174" s="97">
        <v>-8.1799999999999998E-2</v>
      </c>
    </row>
    <row r="175" spans="1:5" ht="15">
      <c r="A175" s="98">
        <v>4827</v>
      </c>
      <c r="B175">
        <v>14.91</v>
      </c>
      <c r="C175">
        <v>13.44</v>
      </c>
      <c r="D175" t="s">
        <v>218</v>
      </c>
      <c r="E175" s="97">
        <v>-3.5999999999999997E-2</v>
      </c>
    </row>
    <row r="176" spans="1:5" ht="15">
      <c r="A176" s="98">
        <v>4826</v>
      </c>
      <c r="B176">
        <v>14.59</v>
      </c>
      <c r="C176">
        <v>12.96</v>
      </c>
      <c r="D176" t="s">
        <v>218</v>
      </c>
      <c r="E176" s="97">
        <v>-3.4700000000000002E-2</v>
      </c>
    </row>
    <row r="177" spans="1:5" ht="15">
      <c r="A177" s="98">
        <v>4825</v>
      </c>
      <c r="B177">
        <v>14.38</v>
      </c>
      <c r="C177">
        <v>12.92</v>
      </c>
      <c r="D177" t="s">
        <v>218</v>
      </c>
      <c r="E177" s="97">
        <v>3.7000000000000002E-3</v>
      </c>
    </row>
    <row r="178" spans="1:5" ht="15">
      <c r="A178" s="98">
        <v>4824</v>
      </c>
      <c r="B178">
        <v>13</v>
      </c>
      <c r="C178">
        <v>11.43</v>
      </c>
      <c r="D178" t="s">
        <v>218</v>
      </c>
      <c r="E178" s="97">
        <v>-3.78E-2</v>
      </c>
    </row>
    <row r="179" spans="1:5" ht="15">
      <c r="A179" s="98">
        <v>4823</v>
      </c>
      <c r="B179">
        <v>13.12</v>
      </c>
      <c r="C179">
        <v>11.75</v>
      </c>
      <c r="D179" t="s">
        <v>218</v>
      </c>
      <c r="E179" s="97">
        <v>-8.7900000000000006E-2</v>
      </c>
    </row>
    <row r="180" spans="1:5" ht="15">
      <c r="A180" s="98">
        <v>4822</v>
      </c>
      <c r="B180">
        <v>13.26</v>
      </c>
      <c r="C180">
        <v>12.71</v>
      </c>
      <c r="D180" t="s">
        <v>218</v>
      </c>
      <c r="E180" s="97">
        <v>-9.7000000000000003E-3</v>
      </c>
    </row>
    <row r="181" spans="1:5" ht="15">
      <c r="A181" s="98">
        <v>4821</v>
      </c>
      <c r="B181">
        <v>14.45</v>
      </c>
      <c r="C181">
        <v>13.35</v>
      </c>
      <c r="D181" t="s">
        <v>218</v>
      </c>
      <c r="E181" s="97">
        <v>5.2999999999999999E-2</v>
      </c>
    </row>
    <row r="182" spans="1:5" ht="15">
      <c r="A182" s="98">
        <v>4820</v>
      </c>
      <c r="B182">
        <v>16.079999999999998</v>
      </c>
      <c r="C182">
        <v>13.63</v>
      </c>
      <c r="D182" t="s">
        <v>218</v>
      </c>
      <c r="E182" s="97">
        <v>-0.12690000000000001</v>
      </c>
    </row>
    <row r="183" spans="1:5" ht="15">
      <c r="A183" s="98">
        <v>4819</v>
      </c>
      <c r="B183">
        <v>13.94</v>
      </c>
      <c r="C183">
        <v>13.43</v>
      </c>
      <c r="D183" t="s">
        <v>218</v>
      </c>
      <c r="E183" s="97">
        <v>-0.1116</v>
      </c>
    </row>
    <row r="184" spans="1:5" ht="15">
      <c r="A184" s="98">
        <v>4818</v>
      </c>
      <c r="B184">
        <v>14.87</v>
      </c>
      <c r="C184">
        <v>13.79</v>
      </c>
      <c r="D184" t="s">
        <v>218</v>
      </c>
      <c r="E184" s="97">
        <v>0.3402</v>
      </c>
    </row>
    <row r="185" spans="1:5" ht="15">
      <c r="A185" s="98">
        <v>4817</v>
      </c>
      <c r="B185">
        <v>15.01</v>
      </c>
      <c r="C185">
        <v>14.52</v>
      </c>
      <c r="D185" t="s">
        <v>218</v>
      </c>
      <c r="E185" s="97">
        <v>-6.9000000000000006E-2</v>
      </c>
    </row>
    <row r="186" spans="1:5" ht="15">
      <c r="A186" s="98">
        <v>4816</v>
      </c>
      <c r="B186">
        <v>15.13</v>
      </c>
      <c r="C186">
        <v>14.13</v>
      </c>
      <c r="D186" t="s">
        <v>218</v>
      </c>
      <c r="E186" s="97">
        <v>3.6799999999999999E-2</v>
      </c>
    </row>
    <row r="187" spans="1:5" ht="15">
      <c r="A187" s="98">
        <v>4815</v>
      </c>
      <c r="B187">
        <v>13.82</v>
      </c>
      <c r="C187">
        <v>12.97</v>
      </c>
      <c r="D187" t="s">
        <v>218</v>
      </c>
      <c r="E187" s="97">
        <v>0.1925</v>
      </c>
    </row>
    <row r="188" spans="1:5" ht="15">
      <c r="A188" s="98">
        <v>4814</v>
      </c>
      <c r="B188">
        <v>14.4</v>
      </c>
      <c r="C188">
        <v>13.23</v>
      </c>
      <c r="D188" t="s">
        <v>218</v>
      </c>
      <c r="E188" s="97">
        <v>-1.2E-2</v>
      </c>
    </row>
    <row r="189" spans="1:5" ht="15">
      <c r="A189" s="98">
        <v>4813</v>
      </c>
      <c r="B189">
        <v>14.56</v>
      </c>
      <c r="C189">
        <v>12.85</v>
      </c>
      <c r="D189" t="s">
        <v>218</v>
      </c>
      <c r="E189" s="97">
        <v>-1.5800000000000002E-2</v>
      </c>
    </row>
    <row r="190" spans="1:5" ht="15">
      <c r="A190" s="98">
        <v>4812</v>
      </c>
      <c r="B190">
        <v>16.399999999999999</v>
      </c>
      <c r="C190">
        <v>15.42</v>
      </c>
      <c r="D190" t="s">
        <v>218</v>
      </c>
      <c r="E190" s="97">
        <v>-2.47E-2</v>
      </c>
    </row>
    <row r="191" spans="1:5" ht="15">
      <c r="A191" s="98">
        <v>4811</v>
      </c>
      <c r="B191">
        <v>16.97</v>
      </c>
      <c r="C191">
        <v>14.08</v>
      </c>
      <c r="D191" t="s">
        <v>218</v>
      </c>
      <c r="E191" s="97">
        <v>2.69E-2</v>
      </c>
    </row>
    <row r="192" spans="1:5" ht="15">
      <c r="A192" s="98">
        <v>4810</v>
      </c>
      <c r="B192">
        <v>16.72</v>
      </c>
      <c r="C192">
        <v>15</v>
      </c>
      <c r="D192" t="s">
        <v>218</v>
      </c>
      <c r="E192" s="97">
        <v>-2.3199999999999998E-2</v>
      </c>
    </row>
    <row r="193" spans="1:5" ht="15">
      <c r="A193" s="98">
        <v>4809</v>
      </c>
      <c r="B193">
        <v>16.37</v>
      </c>
      <c r="C193">
        <v>15.3</v>
      </c>
      <c r="D193" t="s">
        <v>218</v>
      </c>
      <c r="E193" s="97">
        <v>-6.1000000000000004E-3</v>
      </c>
    </row>
    <row r="194" spans="1:5" ht="15">
      <c r="A194" s="98">
        <v>4808</v>
      </c>
      <c r="B194">
        <v>15.73</v>
      </c>
      <c r="C194">
        <v>14.85</v>
      </c>
      <c r="D194" t="s">
        <v>218</v>
      </c>
      <c r="E194" s="97">
        <v>-3.56E-2</v>
      </c>
    </row>
    <row r="195" spans="1:5" ht="15">
      <c r="A195" s="98">
        <v>4807</v>
      </c>
      <c r="B195">
        <v>15.62</v>
      </c>
      <c r="C195">
        <v>14.26</v>
      </c>
      <c r="D195" t="s">
        <v>218</v>
      </c>
      <c r="E195" s="97">
        <v>6.7000000000000002E-3</v>
      </c>
    </row>
    <row r="196" spans="1:5" ht="15">
      <c r="A196" s="98">
        <v>4806</v>
      </c>
      <c r="B196">
        <v>14.16</v>
      </c>
      <c r="C196">
        <v>13.4</v>
      </c>
      <c r="D196" t="s">
        <v>218</v>
      </c>
      <c r="E196" s="97">
        <v>-2.2599999999999999E-2</v>
      </c>
    </row>
    <row r="197" spans="1:5" ht="15">
      <c r="A197" s="98">
        <v>4805</v>
      </c>
      <c r="B197">
        <v>15.21</v>
      </c>
      <c r="C197">
        <v>13.59</v>
      </c>
      <c r="D197" t="s">
        <v>218</v>
      </c>
      <c r="E197" s="97">
        <v>-6.4799999999999996E-2</v>
      </c>
    </row>
    <row r="198" spans="1:5" ht="15">
      <c r="A198" s="98">
        <v>4804</v>
      </c>
      <c r="B198">
        <v>14.97</v>
      </c>
      <c r="C198">
        <v>12.75</v>
      </c>
      <c r="D198" t="s">
        <v>218</v>
      </c>
      <c r="E198" s="97">
        <v>0.13719999999999999</v>
      </c>
    </row>
    <row r="199" spans="1:5" ht="15">
      <c r="A199" s="98">
        <v>4803</v>
      </c>
      <c r="B199">
        <v>14.33</v>
      </c>
      <c r="C199">
        <v>13.18</v>
      </c>
      <c r="D199" t="s">
        <v>218</v>
      </c>
      <c r="E199" s="97">
        <v>-9.6600000000000005E-2</v>
      </c>
    </row>
    <row r="200" spans="1:5" ht="15">
      <c r="A200" s="98">
        <v>4802</v>
      </c>
      <c r="B200">
        <v>15.31</v>
      </c>
      <c r="C200">
        <v>14.13</v>
      </c>
      <c r="D200" t="s">
        <v>218</v>
      </c>
      <c r="E200" s="97">
        <v>-2.8E-3</v>
      </c>
    </row>
    <row r="201" spans="1:5" ht="15">
      <c r="A201" s="98">
        <v>4801</v>
      </c>
      <c r="B201">
        <v>15.6</v>
      </c>
      <c r="C201">
        <v>14.38</v>
      </c>
      <c r="D201" t="s">
        <v>218</v>
      </c>
      <c r="E201" s="97">
        <v>7.5899999999999995E-2</v>
      </c>
    </row>
    <row r="202" spans="1:5" ht="15">
      <c r="A202" s="98">
        <v>4800</v>
      </c>
      <c r="B202">
        <v>15.33</v>
      </c>
      <c r="C202">
        <v>13.87</v>
      </c>
      <c r="D202" t="s">
        <v>218</v>
      </c>
      <c r="E202" s="97">
        <v>-1.9199999999999998E-2</v>
      </c>
    </row>
    <row r="203" spans="1:5" ht="15">
      <c r="A203" s="98">
        <v>4799</v>
      </c>
      <c r="B203">
        <v>16.45</v>
      </c>
      <c r="C203">
        <v>15.5</v>
      </c>
      <c r="D203" t="s">
        <v>218</v>
      </c>
      <c r="E203" s="97">
        <v>5.28E-2</v>
      </c>
    </row>
    <row r="204" spans="1:5" ht="15">
      <c r="A204" s="98">
        <v>4798</v>
      </c>
      <c r="B204">
        <v>16.46</v>
      </c>
      <c r="C204">
        <v>15.81</v>
      </c>
      <c r="D204" t="s">
        <v>218</v>
      </c>
      <c r="E204" s="97">
        <v>1.5800000000000002E-2</v>
      </c>
    </row>
    <row r="205" spans="1:5" ht="15">
      <c r="A205" s="98">
        <v>4797</v>
      </c>
      <c r="B205">
        <v>17.22</v>
      </c>
      <c r="C205">
        <v>15.87</v>
      </c>
      <c r="D205" t="s">
        <v>218</v>
      </c>
      <c r="E205" s="97">
        <v>1.8499999999999999E-2</v>
      </c>
    </row>
    <row r="206" spans="1:5" ht="15">
      <c r="A206" s="98">
        <v>4796</v>
      </c>
      <c r="B206">
        <v>17.18</v>
      </c>
      <c r="C206">
        <v>16.11</v>
      </c>
      <c r="D206" t="s">
        <v>218</v>
      </c>
      <c r="E206" s="97">
        <v>2.3999999999999998E-3</v>
      </c>
    </row>
    <row r="207" spans="1:5" ht="15">
      <c r="A207" s="98">
        <v>4795</v>
      </c>
      <c r="B207">
        <v>16.03</v>
      </c>
      <c r="C207">
        <v>15.53</v>
      </c>
      <c r="D207" t="s">
        <v>218</v>
      </c>
      <c r="E207" s="97">
        <v>-2.3999999999999998E-3</v>
      </c>
    </row>
    <row r="208" spans="1:5" ht="15">
      <c r="A208" s="98">
        <v>4794</v>
      </c>
      <c r="B208">
        <v>15.9</v>
      </c>
      <c r="C208">
        <v>15.2</v>
      </c>
      <c r="D208" t="s">
        <v>218</v>
      </c>
      <c r="E208" s="97">
        <v>-8.1799999999999998E-2</v>
      </c>
    </row>
    <row r="209" spans="1:5" ht="15">
      <c r="A209" s="98">
        <v>4793</v>
      </c>
      <c r="B209">
        <v>15.22</v>
      </c>
      <c r="C209">
        <v>14.56</v>
      </c>
      <c r="D209" t="s">
        <v>218</v>
      </c>
      <c r="E209" s="97">
        <v>1.12E-2</v>
      </c>
    </row>
    <row r="210" spans="1:5" ht="15">
      <c r="A210" s="98">
        <v>4792</v>
      </c>
      <c r="B210">
        <v>15.17</v>
      </c>
      <c r="C210">
        <v>14.2</v>
      </c>
      <c r="D210" t="s">
        <v>218</v>
      </c>
      <c r="E210" s="97">
        <v>-9.5999999999999992E-3</v>
      </c>
    </row>
    <row r="211" spans="1:5" ht="15">
      <c r="A211" s="98">
        <v>4791</v>
      </c>
      <c r="B211">
        <v>15.18</v>
      </c>
      <c r="C211">
        <v>14.61</v>
      </c>
      <c r="D211" t="s">
        <v>218</v>
      </c>
      <c r="E211" s="97">
        <v>2.2000000000000001E-3</v>
      </c>
    </row>
    <row r="212" spans="1:5" ht="15">
      <c r="A212" s="98">
        <v>4790</v>
      </c>
      <c r="B212">
        <v>15.47</v>
      </c>
      <c r="C212">
        <v>14.41</v>
      </c>
      <c r="D212" t="s">
        <v>218</v>
      </c>
      <c r="E212" s="97">
        <v>1.2E-2</v>
      </c>
    </row>
    <row r="213" spans="1:5" ht="15">
      <c r="A213" s="98">
        <v>4789</v>
      </c>
      <c r="B213">
        <v>16.43</v>
      </c>
      <c r="C213">
        <v>14.32</v>
      </c>
      <c r="D213" t="s">
        <v>218</v>
      </c>
      <c r="E213" s="97">
        <v>-9.5999999999999992E-3</v>
      </c>
    </row>
    <row r="214" spans="1:5" ht="15">
      <c r="A214" s="98">
        <v>4788</v>
      </c>
      <c r="B214">
        <v>16.87</v>
      </c>
      <c r="C214">
        <v>14.87</v>
      </c>
      <c r="D214" t="s">
        <v>218</v>
      </c>
      <c r="E214" s="97">
        <v>-2.3199999999999998E-2</v>
      </c>
    </row>
    <row r="215" spans="1:5" ht="15">
      <c r="A215" s="98">
        <v>4787</v>
      </c>
      <c r="B215">
        <v>17.87</v>
      </c>
      <c r="C215">
        <v>16.82</v>
      </c>
      <c r="D215" t="s">
        <v>218</v>
      </c>
      <c r="E215" s="97">
        <v>1.4E-2</v>
      </c>
    </row>
    <row r="216" spans="1:5" ht="15">
      <c r="A216" s="98">
        <v>4786</v>
      </c>
      <c r="B216">
        <v>16.920000000000002</v>
      </c>
      <c r="C216">
        <v>15.54</v>
      </c>
      <c r="D216" t="s">
        <v>218</v>
      </c>
      <c r="E216" s="97">
        <v>-1.23E-2</v>
      </c>
    </row>
    <row r="217" spans="1:5" ht="15">
      <c r="A217" s="98">
        <v>4785</v>
      </c>
      <c r="B217">
        <v>17.329999999999998</v>
      </c>
      <c r="C217">
        <v>15.83</v>
      </c>
      <c r="D217" t="s">
        <v>218</v>
      </c>
      <c r="E217" s="97">
        <v>-2.8999999999999998E-3</v>
      </c>
    </row>
    <row r="218" spans="1:5" ht="15">
      <c r="A218" s="98">
        <v>4784</v>
      </c>
      <c r="B218">
        <v>16.739999999999998</v>
      </c>
      <c r="C218">
        <v>15.67</v>
      </c>
      <c r="D218" t="s">
        <v>218</v>
      </c>
      <c r="E218" s="97">
        <v>-5.0099999999999999E-2</v>
      </c>
    </row>
    <row r="219" spans="1:5" ht="15">
      <c r="A219" s="98">
        <v>4783</v>
      </c>
      <c r="B219">
        <v>16.91</v>
      </c>
      <c r="C219">
        <v>14.99</v>
      </c>
      <c r="D219" t="s">
        <v>218</v>
      </c>
      <c r="E219" s="97">
        <v>-8.2000000000000007E-3</v>
      </c>
    </row>
    <row r="220" spans="1:5" ht="15">
      <c r="A220" s="98">
        <v>4782</v>
      </c>
      <c r="B220">
        <v>16.989999999999998</v>
      </c>
      <c r="C220">
        <v>16.68</v>
      </c>
      <c r="D220" t="s">
        <v>218</v>
      </c>
      <c r="E220" s="97">
        <v>-0.18529999999999999</v>
      </c>
    </row>
    <row r="221" spans="1:5" ht="15">
      <c r="A221" s="98">
        <v>4781</v>
      </c>
      <c r="B221">
        <v>17.010000000000002</v>
      </c>
      <c r="C221">
        <v>14.75</v>
      </c>
      <c r="D221" t="s">
        <v>218</v>
      </c>
      <c r="E221" s="97">
        <v>-0.2069</v>
      </c>
    </row>
    <row r="222" spans="1:5" ht="15">
      <c r="A222" s="98">
        <v>4780</v>
      </c>
      <c r="B222">
        <v>16.03</v>
      </c>
      <c r="C222">
        <v>15.56</v>
      </c>
      <c r="D222" t="s">
        <v>218</v>
      </c>
      <c r="E222" s="97">
        <v>0.16689999999999999</v>
      </c>
    </row>
    <row r="223" spans="1:5" ht="15">
      <c r="A223" s="98">
        <v>4779</v>
      </c>
      <c r="B223">
        <v>16.14</v>
      </c>
      <c r="C223">
        <v>14.99</v>
      </c>
      <c r="D223" t="s">
        <v>218</v>
      </c>
      <c r="E223" s="97">
        <v>-5.0000000000000001E-4</v>
      </c>
    </row>
    <row r="224" spans="1:5" ht="15">
      <c r="A224" s="98">
        <v>4778</v>
      </c>
      <c r="B224">
        <v>16.27</v>
      </c>
      <c r="C224">
        <v>15.61</v>
      </c>
      <c r="D224" t="s">
        <v>218</v>
      </c>
      <c r="E224" s="97">
        <v>4.7899999999999998E-2</v>
      </c>
    </row>
    <row r="225" spans="1:5" ht="15">
      <c r="A225" s="98">
        <v>4777</v>
      </c>
      <c r="B225">
        <v>16.38</v>
      </c>
      <c r="C225">
        <v>15.28</v>
      </c>
      <c r="D225" t="s">
        <v>218</v>
      </c>
      <c r="E225" s="97">
        <v>4.2000000000000003E-2</v>
      </c>
    </row>
    <row r="226" spans="1:5" ht="15">
      <c r="A226" s="98">
        <v>4776</v>
      </c>
      <c r="B226">
        <v>17.39</v>
      </c>
      <c r="C226">
        <v>16.02</v>
      </c>
      <c r="D226" t="s">
        <v>218</v>
      </c>
      <c r="E226" s="97">
        <v>9.5999999999999992E-3</v>
      </c>
    </row>
    <row r="227" spans="1:5" ht="15">
      <c r="A227" s="98">
        <v>4775</v>
      </c>
      <c r="B227">
        <v>19.57</v>
      </c>
      <c r="C227">
        <v>18.27</v>
      </c>
      <c r="D227" t="s">
        <v>218</v>
      </c>
      <c r="E227" s="97">
        <v>1.7899999999999999E-2</v>
      </c>
    </row>
    <row r="228" spans="1:5" ht="15">
      <c r="A228" s="98">
        <v>4774</v>
      </c>
      <c r="B228">
        <v>18.510000000000002</v>
      </c>
      <c r="C228">
        <v>17.23</v>
      </c>
      <c r="D228" t="s">
        <v>218</v>
      </c>
      <c r="E228" s="97">
        <v>0.115</v>
      </c>
    </row>
    <row r="229" spans="1:5" ht="15">
      <c r="A229" s="98">
        <v>4773</v>
      </c>
      <c r="B229">
        <v>17.62</v>
      </c>
      <c r="C229">
        <v>16.829999999999998</v>
      </c>
      <c r="D229" t="s">
        <v>218</v>
      </c>
      <c r="E229" s="97">
        <v>-4.7100000000000003E-2</v>
      </c>
    </row>
    <row r="230" spans="1:5" ht="15">
      <c r="A230" s="98">
        <v>4772</v>
      </c>
      <c r="B230">
        <v>16.760000000000002</v>
      </c>
      <c r="C230">
        <v>15.65</v>
      </c>
      <c r="D230" t="s">
        <v>218</v>
      </c>
      <c r="E230" s="97">
        <v>-3.8800000000000001E-2</v>
      </c>
    </row>
    <row r="231" spans="1:5" ht="15">
      <c r="A231" s="98">
        <v>4771</v>
      </c>
      <c r="B231">
        <v>16.87</v>
      </c>
      <c r="C231">
        <v>15.53</v>
      </c>
      <c r="D231" t="s">
        <v>218</v>
      </c>
      <c r="E231" s="97">
        <v>2.6599999999999999E-2</v>
      </c>
    </row>
    <row r="232" spans="1:5" ht="15">
      <c r="A232" s="98">
        <v>4770</v>
      </c>
      <c r="B232">
        <v>17.04</v>
      </c>
      <c r="C232">
        <v>15.42</v>
      </c>
      <c r="D232" t="s">
        <v>218</v>
      </c>
      <c r="E232" s="97">
        <v>3.8199999999999998E-2</v>
      </c>
    </row>
    <row r="233" spans="1:5" ht="15">
      <c r="A233" s="98">
        <v>4769</v>
      </c>
      <c r="B233">
        <v>17.14</v>
      </c>
      <c r="C233">
        <v>16.100000000000001</v>
      </c>
      <c r="D233" t="s">
        <v>218</v>
      </c>
      <c r="E233" s="97">
        <v>2.4400000000000002E-2</v>
      </c>
    </row>
    <row r="234" spans="1:5" ht="15">
      <c r="A234" s="98">
        <v>4768</v>
      </c>
      <c r="B234">
        <v>17.03</v>
      </c>
      <c r="C234">
        <v>15.69</v>
      </c>
      <c r="D234" t="s">
        <v>218</v>
      </c>
      <c r="E234" s="97">
        <v>-2.9899999999999999E-2</v>
      </c>
    </row>
    <row r="235" spans="1:5" ht="15">
      <c r="A235" s="98">
        <v>4767</v>
      </c>
      <c r="B235">
        <v>16.86</v>
      </c>
      <c r="C235">
        <v>15.66</v>
      </c>
      <c r="D235" t="s">
        <v>218</v>
      </c>
      <c r="E235" s="97">
        <v>9.4000000000000004E-3</v>
      </c>
    </row>
    <row r="236" spans="1:5" ht="15">
      <c r="A236" s="98">
        <v>4766</v>
      </c>
      <c r="B236">
        <v>17.64</v>
      </c>
      <c r="C236">
        <v>16.170000000000002</v>
      </c>
      <c r="D236" t="s">
        <v>218</v>
      </c>
      <c r="E236" s="97">
        <v>-4.1000000000000002E-2</v>
      </c>
    </row>
    <row r="237" spans="1:5" ht="15">
      <c r="A237" s="98">
        <v>4765</v>
      </c>
      <c r="B237">
        <v>18.16</v>
      </c>
      <c r="C237">
        <v>16.12</v>
      </c>
      <c r="D237" t="s">
        <v>218</v>
      </c>
      <c r="E237" s="97">
        <v>7.3000000000000001E-3</v>
      </c>
    </row>
    <row r="238" spans="1:5" ht="15">
      <c r="A238" s="98">
        <v>4764</v>
      </c>
      <c r="B238">
        <v>17.22</v>
      </c>
      <c r="C238">
        <v>16.010000000000002</v>
      </c>
      <c r="D238" t="s">
        <v>218</v>
      </c>
      <c r="E238" s="97">
        <v>-3.8600000000000002E-2</v>
      </c>
    </row>
    <row r="239" spans="1:5" ht="15">
      <c r="A239" s="98">
        <v>4763</v>
      </c>
      <c r="B239">
        <v>17.440000000000001</v>
      </c>
      <c r="C239">
        <v>15.46</v>
      </c>
      <c r="D239" t="s">
        <v>218</v>
      </c>
      <c r="E239" s="97">
        <v>2.8799999999999999E-2</v>
      </c>
    </row>
    <row r="240" spans="1:5" ht="15">
      <c r="A240" s="98">
        <v>4762</v>
      </c>
      <c r="B240">
        <v>15.17</v>
      </c>
      <c r="C240">
        <v>14.33</v>
      </c>
      <c r="D240" t="s">
        <v>218</v>
      </c>
      <c r="E240" s="97">
        <v>4.8500000000000001E-2</v>
      </c>
    </row>
    <row r="241" spans="1:5" ht="15">
      <c r="A241" s="98">
        <v>4761</v>
      </c>
      <c r="B241">
        <v>15.11</v>
      </c>
      <c r="C241">
        <v>12.66</v>
      </c>
      <c r="D241" t="s">
        <v>218</v>
      </c>
      <c r="E241" s="97">
        <v>5.3800000000000001E-2</v>
      </c>
    </row>
    <row r="242" spans="1:5" ht="15">
      <c r="A242" s="98">
        <v>4760</v>
      </c>
      <c r="B242">
        <v>13.79</v>
      </c>
      <c r="C242">
        <v>12.67</v>
      </c>
      <c r="D242" t="s">
        <v>218</v>
      </c>
      <c r="E242" s="97">
        <v>-2.9000000000000001E-2</v>
      </c>
    </row>
    <row r="243" spans="1:5" ht="15">
      <c r="A243" s="98">
        <v>4759</v>
      </c>
      <c r="B243">
        <v>13.13</v>
      </c>
      <c r="C243">
        <v>11.87</v>
      </c>
      <c r="D243" t="s">
        <v>218</v>
      </c>
      <c r="E243" s="97">
        <v>-2.58E-2</v>
      </c>
    </row>
    <row r="244" spans="1:5" ht="15">
      <c r="A244" s="98">
        <v>4758</v>
      </c>
      <c r="B244">
        <v>13.67</v>
      </c>
      <c r="C244">
        <v>13.02</v>
      </c>
      <c r="D244" t="s">
        <v>218</v>
      </c>
      <c r="E244" s="97">
        <v>2.7099999999999999E-2</v>
      </c>
    </row>
    <row r="245" spans="1:5" ht="15">
      <c r="A245" s="98">
        <v>4757</v>
      </c>
      <c r="B245">
        <v>13.48</v>
      </c>
      <c r="C245">
        <v>12.78</v>
      </c>
      <c r="D245" t="s">
        <v>218</v>
      </c>
      <c r="E245" s="97">
        <v>2.3800000000000002E-2</v>
      </c>
    </row>
    <row r="246" spans="1:5" ht="15">
      <c r="A246" s="98">
        <v>4756</v>
      </c>
      <c r="B246">
        <v>12.94</v>
      </c>
      <c r="C246">
        <v>11.91</v>
      </c>
      <c r="D246" t="s">
        <v>218</v>
      </c>
      <c r="E246" s="97">
        <v>-1.11E-2</v>
      </c>
    </row>
    <row r="247" spans="1:5" ht="15">
      <c r="A247" s="98">
        <v>4755</v>
      </c>
      <c r="B247">
        <v>12.59</v>
      </c>
      <c r="C247">
        <v>12.12</v>
      </c>
      <c r="D247" t="s">
        <v>218</v>
      </c>
      <c r="E247" s="97">
        <v>1.5299999999999999E-2</v>
      </c>
    </row>
    <row r="248" spans="1:5" ht="15">
      <c r="A248" s="98">
        <v>4754</v>
      </c>
      <c r="B248">
        <v>12.04</v>
      </c>
      <c r="C248">
        <v>11.74</v>
      </c>
      <c r="D248" t="s">
        <v>218</v>
      </c>
      <c r="E248" s="97">
        <v>-1.0500000000000001E-2</v>
      </c>
    </row>
    <row r="249" spans="1:5" ht="15">
      <c r="A249" s="98">
        <v>4753</v>
      </c>
      <c r="B249">
        <v>12.37</v>
      </c>
      <c r="C249">
        <v>11.61</v>
      </c>
      <c r="D249" t="s">
        <v>218</v>
      </c>
      <c r="E249" s="97">
        <v>-7.1300000000000002E-2</v>
      </c>
    </row>
    <row r="250" spans="1:5" ht="15">
      <c r="A250" s="98">
        <v>4752</v>
      </c>
      <c r="B250">
        <v>13.21</v>
      </c>
      <c r="C250">
        <v>11.36</v>
      </c>
      <c r="D250" t="s">
        <v>218</v>
      </c>
      <c r="E250" s="97">
        <v>-8.7800000000000003E-2</v>
      </c>
    </row>
    <row r="251" spans="1:5" ht="15">
      <c r="A251" s="98">
        <v>4751</v>
      </c>
      <c r="B251">
        <v>12.87</v>
      </c>
      <c r="C251">
        <v>12.34</v>
      </c>
      <c r="D251" t="s">
        <v>218</v>
      </c>
      <c r="E251" s="97">
        <v>3.8999999999999998E-3</v>
      </c>
    </row>
    <row r="252" spans="1:5" ht="15">
      <c r="A252" s="98">
        <v>4750</v>
      </c>
      <c r="B252">
        <v>13.48</v>
      </c>
      <c r="C252">
        <v>12.34</v>
      </c>
      <c r="D252" t="s">
        <v>218</v>
      </c>
      <c r="E252" s="97">
        <v>7.6300000000000007E-2</v>
      </c>
    </row>
    <row r="253" spans="1:5" ht="15">
      <c r="A253" s="98">
        <v>4749</v>
      </c>
      <c r="B253">
        <v>14.71</v>
      </c>
      <c r="C253">
        <v>13.39</v>
      </c>
      <c r="D253" t="s">
        <v>218</v>
      </c>
      <c r="E253" s="97">
        <v>-1.8E-3</v>
      </c>
    </row>
    <row r="254" spans="1:5" ht="15">
      <c r="A254" s="98">
        <v>4748</v>
      </c>
      <c r="B254">
        <v>14.15</v>
      </c>
      <c r="C254">
        <v>13.53</v>
      </c>
      <c r="D254" t="s">
        <v>218</v>
      </c>
      <c r="E254" s="97">
        <v>-0.1037</v>
      </c>
    </row>
    <row r="255" spans="1:5" ht="15">
      <c r="A255" s="98">
        <v>4747</v>
      </c>
      <c r="B255">
        <v>14.19</v>
      </c>
      <c r="C255">
        <v>13.37</v>
      </c>
      <c r="D255" t="s">
        <v>218</v>
      </c>
      <c r="E255" s="97">
        <v>6.4999999999999997E-3</v>
      </c>
    </row>
    <row r="256" spans="1:5" ht="15">
      <c r="A256" s="98">
        <v>4746</v>
      </c>
      <c r="B256">
        <v>13.76</v>
      </c>
      <c r="C256">
        <v>12.79</v>
      </c>
      <c r="D256" t="s">
        <v>218</v>
      </c>
      <c r="E256" s="97">
        <v>-3.09E-2</v>
      </c>
    </row>
    <row r="257" spans="1:5" ht="15">
      <c r="A257" s="98">
        <v>4745</v>
      </c>
      <c r="B257">
        <v>14.08</v>
      </c>
      <c r="C257">
        <v>13.21</v>
      </c>
      <c r="D257" t="s">
        <v>218</v>
      </c>
      <c r="E257" s="97">
        <v>8.5300000000000001E-2</v>
      </c>
    </row>
    <row r="258" spans="1:5" ht="15">
      <c r="A258" s="98">
        <v>4744</v>
      </c>
      <c r="B258">
        <v>13.25</v>
      </c>
      <c r="C258">
        <v>11.97</v>
      </c>
      <c r="D258" t="s">
        <v>218</v>
      </c>
      <c r="E258" s="97">
        <v>-4.5600000000000002E-2</v>
      </c>
    </row>
    <row r="259" spans="1:5" ht="15">
      <c r="A259" s="98">
        <v>4743</v>
      </c>
      <c r="B259">
        <v>13.13</v>
      </c>
      <c r="C259">
        <v>11.95</v>
      </c>
      <c r="D259" t="s">
        <v>218</v>
      </c>
      <c r="E259" s="97">
        <v>4.7199999999999999E-2</v>
      </c>
    </row>
    <row r="260" spans="1:5" ht="15">
      <c r="A260" s="98">
        <v>4742</v>
      </c>
      <c r="B260">
        <v>13.56</v>
      </c>
      <c r="C260">
        <v>12.64</v>
      </c>
      <c r="D260" t="s">
        <v>218</v>
      </c>
      <c r="E260" s="97">
        <v>5.3900000000000003E-2</v>
      </c>
    </row>
    <row r="261" spans="1:5" ht="15">
      <c r="A261" s="98">
        <v>4741</v>
      </c>
      <c r="B261">
        <v>11.86</v>
      </c>
      <c r="C261">
        <v>11.02</v>
      </c>
      <c r="D261" t="s">
        <v>218</v>
      </c>
      <c r="E261" s="97">
        <v>-0.1027</v>
      </c>
    </row>
    <row r="262" spans="1:5" ht="15">
      <c r="A262" s="98">
        <v>4740</v>
      </c>
      <c r="B262">
        <v>11.53</v>
      </c>
      <c r="C262">
        <v>11.06</v>
      </c>
      <c r="D262" t="s">
        <v>218</v>
      </c>
      <c r="E262" s="97">
        <v>4.4400000000000002E-2</v>
      </c>
    </row>
    <row r="263" spans="1:5" ht="15">
      <c r="A263" s="98">
        <v>4739</v>
      </c>
      <c r="B263">
        <v>12.48</v>
      </c>
      <c r="C263">
        <v>11.61</v>
      </c>
      <c r="D263" t="s">
        <v>218</v>
      </c>
      <c r="E263" s="97">
        <v>-1.7100000000000001E-2</v>
      </c>
    </row>
    <row r="264" spans="1:5" ht="15">
      <c r="A264" s="98">
        <v>4738</v>
      </c>
      <c r="B264">
        <v>11.9</v>
      </c>
      <c r="C264">
        <v>11.21</v>
      </c>
      <c r="D264" t="s">
        <v>218</v>
      </c>
      <c r="E264" s="97">
        <v>-1.15E-2</v>
      </c>
    </row>
    <row r="265" spans="1:5" ht="15">
      <c r="A265" s="98">
        <v>4737</v>
      </c>
      <c r="B265">
        <v>12.34</v>
      </c>
      <c r="C265">
        <v>11.52</v>
      </c>
      <c r="D265" t="s">
        <v>218</v>
      </c>
      <c r="E265" s="97">
        <v>-2.6599999999999999E-2</v>
      </c>
    </row>
    <row r="266" spans="1:5" ht="15">
      <c r="A266" s="98">
        <v>4736</v>
      </c>
      <c r="B266">
        <v>12.48</v>
      </c>
      <c r="C266">
        <v>12</v>
      </c>
      <c r="D266" t="s">
        <v>218</v>
      </c>
      <c r="E266" s="97">
        <v>0.13300000000000001</v>
      </c>
    </row>
    <row r="267" spans="1:5" ht="15">
      <c r="A267" s="98">
        <v>4735</v>
      </c>
      <c r="B267">
        <v>13.89</v>
      </c>
      <c r="C267">
        <v>12.78</v>
      </c>
      <c r="D267" t="s">
        <v>218</v>
      </c>
      <c r="E267" s="97">
        <v>-2.58E-2</v>
      </c>
    </row>
    <row r="268" spans="1:5" ht="15">
      <c r="A268" s="98">
        <v>4734</v>
      </c>
      <c r="B268">
        <v>12.51</v>
      </c>
      <c r="C268">
        <v>11.84</v>
      </c>
      <c r="D268" t="s">
        <v>218</v>
      </c>
      <c r="E268" s="97">
        <v>0.1351</v>
      </c>
    </row>
    <row r="269" spans="1:5" ht="15">
      <c r="A269" s="98">
        <v>4733</v>
      </c>
      <c r="B269">
        <v>12.26</v>
      </c>
      <c r="C269">
        <v>11.17</v>
      </c>
      <c r="D269" t="s">
        <v>218</v>
      </c>
      <c r="E269" s="97">
        <v>-2.7000000000000001E-3</v>
      </c>
    </row>
    <row r="270" spans="1:5" ht="15">
      <c r="A270" s="98">
        <v>4732</v>
      </c>
      <c r="B270">
        <v>11.52</v>
      </c>
      <c r="C270">
        <v>10.89</v>
      </c>
      <c r="D270" t="s">
        <v>218</v>
      </c>
      <c r="E270" s="97">
        <v>-9.9000000000000008E-3</v>
      </c>
    </row>
    <row r="271" spans="1:5" ht="15">
      <c r="A271" s="98">
        <v>4731</v>
      </c>
      <c r="B271">
        <v>11.41</v>
      </c>
      <c r="C271">
        <v>10.76</v>
      </c>
      <c r="D271" t="s">
        <v>218</v>
      </c>
      <c r="E271" s="97">
        <v>-3.3E-3</v>
      </c>
    </row>
    <row r="272" spans="1:5" ht="15">
      <c r="A272" s="98">
        <v>4730</v>
      </c>
      <c r="B272">
        <v>12.67</v>
      </c>
      <c r="C272">
        <v>11.43</v>
      </c>
      <c r="D272" t="s">
        <v>218</v>
      </c>
      <c r="E272" s="97">
        <v>-5.3900000000000003E-2</v>
      </c>
    </row>
    <row r="273" spans="1:5" ht="15">
      <c r="A273" s="98">
        <v>4729</v>
      </c>
      <c r="B273">
        <v>12.25</v>
      </c>
      <c r="C273">
        <v>11.77</v>
      </c>
      <c r="D273" t="s">
        <v>218</v>
      </c>
      <c r="E273" s="97">
        <v>3.5299999999999998E-2</v>
      </c>
    </row>
    <row r="274" spans="1:5" ht="15">
      <c r="A274" s="98">
        <v>4728</v>
      </c>
      <c r="B274">
        <v>11.95</v>
      </c>
      <c r="C274">
        <v>11.53</v>
      </c>
      <c r="D274" t="s">
        <v>218</v>
      </c>
      <c r="E274" s="97">
        <v>-4.2999999999999997E-2</v>
      </c>
    </row>
    <row r="275" spans="1:5" ht="15">
      <c r="A275" s="98">
        <v>4727</v>
      </c>
      <c r="B275">
        <v>11.63</v>
      </c>
      <c r="C275">
        <v>11.09</v>
      </c>
      <c r="D275" t="s">
        <v>218</v>
      </c>
      <c r="E275" s="97">
        <v>-4.8999999999999998E-3</v>
      </c>
    </row>
    <row r="276" spans="1:5" ht="15">
      <c r="A276" s="98">
        <v>4726</v>
      </c>
      <c r="B276">
        <v>11.47</v>
      </c>
      <c r="C276">
        <v>10.51</v>
      </c>
      <c r="D276" t="s">
        <v>218</v>
      </c>
      <c r="E276" s="97">
        <v>8.3400000000000002E-2</v>
      </c>
    </row>
    <row r="277" spans="1:5" ht="15">
      <c r="A277" s="98">
        <v>4725</v>
      </c>
      <c r="B277">
        <v>11.67</v>
      </c>
      <c r="C277">
        <v>10.94</v>
      </c>
      <c r="D277" t="s">
        <v>218</v>
      </c>
      <c r="E277" s="97">
        <v>5.4399999999999997E-2</v>
      </c>
    </row>
    <row r="278" spans="1:5" ht="15">
      <c r="A278" s="98">
        <v>4724</v>
      </c>
      <c r="B278">
        <v>11.41</v>
      </c>
      <c r="C278">
        <v>11</v>
      </c>
      <c r="D278" t="s">
        <v>218</v>
      </c>
      <c r="E278" s="97">
        <v>-1.5100000000000001E-2</v>
      </c>
    </row>
    <row r="279" spans="1:5" ht="15">
      <c r="A279" s="98">
        <v>4723</v>
      </c>
      <c r="B279">
        <v>11.49</v>
      </c>
      <c r="C279">
        <v>11.03</v>
      </c>
      <c r="D279" t="s">
        <v>218</v>
      </c>
      <c r="E279" s="97">
        <v>-5.7000000000000002E-2</v>
      </c>
    </row>
    <row r="280" spans="1:5" ht="15">
      <c r="A280" s="98">
        <v>4722</v>
      </c>
      <c r="B280">
        <v>11.98</v>
      </c>
      <c r="C280">
        <v>11.23</v>
      </c>
      <c r="D280" t="s">
        <v>218</v>
      </c>
      <c r="E280" s="97">
        <v>-1.78E-2</v>
      </c>
    </row>
    <row r="281" spans="1:5" ht="15">
      <c r="A281" s="98">
        <v>4721</v>
      </c>
      <c r="B281">
        <v>11.71</v>
      </c>
      <c r="C281">
        <v>11.16</v>
      </c>
      <c r="D281" t="s">
        <v>218</v>
      </c>
      <c r="E281" s="97">
        <v>-3.7400000000000003E-2</v>
      </c>
    </row>
    <row r="282" spans="1:5" ht="15">
      <c r="A282" s="98">
        <v>4720</v>
      </c>
      <c r="B282">
        <v>11.77</v>
      </c>
      <c r="C282">
        <v>11.29</v>
      </c>
      <c r="D282" t="s">
        <v>218</v>
      </c>
      <c r="E282" s="97">
        <v>3.7499999999999999E-2</v>
      </c>
    </row>
    <row r="283" spans="1:5" ht="15">
      <c r="A283" s="98">
        <v>4719</v>
      </c>
      <c r="B283">
        <v>11.78</v>
      </c>
      <c r="C283">
        <v>11.32</v>
      </c>
      <c r="D283" t="s">
        <v>218</v>
      </c>
      <c r="E283" s="97">
        <v>0.06</v>
      </c>
    </row>
    <row r="284" spans="1:5" ht="15">
      <c r="A284" s="98">
        <v>4718</v>
      </c>
      <c r="B284">
        <v>11.74</v>
      </c>
      <c r="C284">
        <v>11.28</v>
      </c>
      <c r="D284" t="s">
        <v>218</v>
      </c>
      <c r="E284" s="97">
        <v>-0.1172</v>
      </c>
    </row>
    <row r="285" spans="1:5" ht="15">
      <c r="A285" s="98">
        <v>4717</v>
      </c>
      <c r="B285">
        <v>11.99</v>
      </c>
      <c r="C285">
        <v>11.55</v>
      </c>
      <c r="D285" t="s">
        <v>218</v>
      </c>
      <c r="E285" s="97">
        <v>8.9399999999999993E-2</v>
      </c>
    </row>
    <row r="286" spans="1:5" ht="15">
      <c r="A286" s="98">
        <v>4716</v>
      </c>
      <c r="B286">
        <v>12.06</v>
      </c>
      <c r="C286">
        <v>11.29</v>
      </c>
      <c r="D286" t="s">
        <v>218</v>
      </c>
      <c r="E286" s="97">
        <v>9.0499999999999997E-2</v>
      </c>
    </row>
    <row r="287" spans="1:5" ht="15">
      <c r="A287" s="98">
        <v>4715</v>
      </c>
      <c r="B287">
        <v>12.52</v>
      </c>
      <c r="C287">
        <v>12.05</v>
      </c>
      <c r="D287" t="s">
        <v>218</v>
      </c>
      <c r="E287" s="97">
        <v>1.2200000000000001E-2</v>
      </c>
    </row>
    <row r="288" spans="1:5" ht="15">
      <c r="A288" s="98">
        <v>4714</v>
      </c>
      <c r="B288">
        <v>11.76</v>
      </c>
      <c r="C288">
        <v>11.03</v>
      </c>
      <c r="D288" t="s">
        <v>218</v>
      </c>
      <c r="E288" s="97">
        <v>-6.4000000000000003E-3</v>
      </c>
    </row>
    <row r="289" spans="1:5" ht="15">
      <c r="A289" s="98">
        <v>4713</v>
      </c>
      <c r="B289">
        <v>11.35</v>
      </c>
      <c r="C289">
        <v>10.77</v>
      </c>
      <c r="D289" t="s">
        <v>218</v>
      </c>
      <c r="E289" s="97">
        <v>1.37E-2</v>
      </c>
    </row>
    <row r="290" spans="1:5" ht="15">
      <c r="A290" s="98">
        <v>4712</v>
      </c>
      <c r="B290">
        <v>11.32</v>
      </c>
      <c r="C290">
        <v>10.78</v>
      </c>
      <c r="D290" t="s">
        <v>218</v>
      </c>
      <c r="E290" s="97">
        <v>-2.12E-2</v>
      </c>
    </row>
    <row r="291" spans="1:5" ht="15">
      <c r="A291" s="98">
        <v>4711</v>
      </c>
      <c r="B291">
        <v>13.01</v>
      </c>
      <c r="C291">
        <v>10.89</v>
      </c>
      <c r="D291" t="s">
        <v>218</v>
      </c>
      <c r="E291" s="97">
        <v>-2.81E-2</v>
      </c>
    </row>
    <row r="292" spans="1:5" ht="15">
      <c r="A292" s="98">
        <v>4710</v>
      </c>
      <c r="B292">
        <v>12.39</v>
      </c>
      <c r="C292">
        <v>11.73</v>
      </c>
      <c r="D292" t="s">
        <v>218</v>
      </c>
      <c r="E292" s="97">
        <v>5.4999999999999997E-3</v>
      </c>
    </row>
    <row r="293" spans="1:5" ht="15">
      <c r="A293" s="98">
        <v>4709</v>
      </c>
      <c r="B293">
        <v>11.93</v>
      </c>
      <c r="C293">
        <v>11.36</v>
      </c>
      <c r="D293" t="s">
        <v>218</v>
      </c>
      <c r="E293" s="97">
        <v>3.27E-2</v>
      </c>
    </row>
    <row r="294" spans="1:5" ht="15">
      <c r="A294" s="98">
        <v>4708</v>
      </c>
      <c r="B294">
        <v>12.02</v>
      </c>
      <c r="C294">
        <v>11.46</v>
      </c>
      <c r="D294" t="s">
        <v>218</v>
      </c>
      <c r="E294" s="97">
        <v>-0.1108</v>
      </c>
    </row>
    <row r="295" spans="1:5" ht="15">
      <c r="A295" s="98">
        <v>4707</v>
      </c>
      <c r="B295">
        <v>11.91</v>
      </c>
      <c r="C295">
        <v>11.4</v>
      </c>
      <c r="D295" t="s">
        <v>218</v>
      </c>
      <c r="E295" s="97">
        <v>-3.7199999999999997E-2</v>
      </c>
    </row>
    <row r="296" spans="1:5" ht="15">
      <c r="A296" s="98">
        <v>4706</v>
      </c>
      <c r="B296">
        <v>12.65</v>
      </c>
      <c r="C296">
        <v>11.84</v>
      </c>
      <c r="D296" t="s">
        <v>218</v>
      </c>
      <c r="E296" s="97">
        <v>8.0000000000000002E-3</v>
      </c>
    </row>
    <row r="297" spans="1:5" ht="15">
      <c r="A297" s="98">
        <v>4705</v>
      </c>
      <c r="B297">
        <v>14.77</v>
      </c>
      <c r="C297">
        <v>12.33</v>
      </c>
      <c r="D297" t="s">
        <v>218</v>
      </c>
      <c r="E297" s="97">
        <v>0.1321</v>
      </c>
    </row>
    <row r="298" spans="1:5" ht="15">
      <c r="A298" s="98">
        <v>4704</v>
      </c>
      <c r="B298">
        <v>14.27</v>
      </c>
      <c r="C298">
        <v>13.21</v>
      </c>
      <c r="D298" t="s">
        <v>218</v>
      </c>
      <c r="E298" s="97">
        <v>-7.8200000000000006E-2</v>
      </c>
    </row>
    <row r="299" spans="1:5" ht="15">
      <c r="A299" s="98">
        <v>4703</v>
      </c>
      <c r="B299">
        <v>13.98</v>
      </c>
      <c r="C299">
        <v>12.89</v>
      </c>
      <c r="D299" t="s">
        <v>218</v>
      </c>
      <c r="E299" s="97">
        <v>-0.1206</v>
      </c>
    </row>
    <row r="300" spans="1:5" ht="15">
      <c r="A300" s="98">
        <v>4702</v>
      </c>
      <c r="B300">
        <v>13.27</v>
      </c>
      <c r="C300">
        <v>11.7</v>
      </c>
      <c r="D300" t="s">
        <v>218</v>
      </c>
      <c r="E300" s="97">
        <v>-1.3299999999999999E-2</v>
      </c>
    </row>
    <row r="301" spans="1:5" ht="15">
      <c r="A301" s="98">
        <v>4701</v>
      </c>
      <c r="B301">
        <v>12.46</v>
      </c>
      <c r="C301">
        <v>11.99</v>
      </c>
      <c r="D301" t="s">
        <v>218</v>
      </c>
      <c r="E301" s="97">
        <v>2.92E-2</v>
      </c>
    </row>
    <row r="302" spans="1:5" ht="15">
      <c r="A302" s="98">
        <v>4700</v>
      </c>
      <c r="B302">
        <v>12.61</v>
      </c>
      <c r="C302">
        <v>11.4</v>
      </c>
      <c r="D302" t="s">
        <v>218</v>
      </c>
      <c r="E302" s="97">
        <v>-2.0199999999999999E-2</v>
      </c>
    </row>
    <row r="303" spans="1:5" ht="15">
      <c r="A303" s="98">
        <v>4699</v>
      </c>
      <c r="B303">
        <v>12.68</v>
      </c>
      <c r="C303">
        <v>12.19</v>
      </c>
      <c r="D303" t="s">
        <v>218</v>
      </c>
      <c r="E303" s="97">
        <v>4.5100000000000001E-2</v>
      </c>
    </row>
    <row r="304" spans="1:5" ht="15">
      <c r="A304" s="98">
        <v>4698</v>
      </c>
      <c r="B304">
        <v>12.38</v>
      </c>
      <c r="C304">
        <v>11.78</v>
      </c>
      <c r="D304" t="s">
        <v>218</v>
      </c>
      <c r="E304" s="97">
        <v>3.4599999999999999E-2</v>
      </c>
    </row>
    <row r="305" spans="1:5" ht="15">
      <c r="A305" s="98">
        <v>4697</v>
      </c>
      <c r="B305">
        <v>12.13</v>
      </c>
      <c r="C305">
        <v>11.6</v>
      </c>
      <c r="D305" t="s">
        <v>218</v>
      </c>
      <c r="E305" s="97">
        <v>8.6E-3</v>
      </c>
    </row>
    <row r="306" spans="1:5" ht="15">
      <c r="A306" s="98">
        <v>4696</v>
      </c>
      <c r="B306">
        <v>11.9</v>
      </c>
      <c r="C306">
        <v>11.34</v>
      </c>
      <c r="D306" t="s">
        <v>218</v>
      </c>
      <c r="E306" s="97">
        <v>7.7100000000000002E-2</v>
      </c>
    </row>
    <row r="307" spans="1:5" ht="15">
      <c r="A307" s="98">
        <v>4695</v>
      </c>
      <c r="B307">
        <v>11.83</v>
      </c>
      <c r="C307">
        <v>10.79</v>
      </c>
      <c r="D307" t="s">
        <v>218</v>
      </c>
      <c r="E307" s="97">
        <v>-4.8899999999999999E-2</v>
      </c>
    </row>
    <row r="308" spans="1:5" ht="15">
      <c r="A308" s="98">
        <v>4694</v>
      </c>
      <c r="B308">
        <v>11.72</v>
      </c>
      <c r="C308">
        <v>11.27</v>
      </c>
      <c r="D308" t="s">
        <v>218</v>
      </c>
      <c r="E308" s="97">
        <v>5.6300000000000003E-2</v>
      </c>
    </row>
    <row r="309" spans="1:5" ht="15">
      <c r="A309" s="98">
        <v>4693</v>
      </c>
      <c r="B309">
        <v>11.75</v>
      </c>
      <c r="C309">
        <v>11.25</v>
      </c>
      <c r="D309" t="s">
        <v>218</v>
      </c>
      <c r="E309" s="97">
        <v>6.0000000000000001E-3</v>
      </c>
    </row>
    <row r="310" spans="1:5" ht="15">
      <c r="A310" s="98">
        <v>4692</v>
      </c>
      <c r="B310">
        <v>11.24</v>
      </c>
      <c r="C310">
        <v>10.98</v>
      </c>
      <c r="D310" t="s">
        <v>218</v>
      </c>
      <c r="E310" s="97">
        <v>7.1300000000000002E-2</v>
      </c>
    </row>
    <row r="311" spans="1:5" ht="15">
      <c r="A311" s="98">
        <v>4691</v>
      </c>
      <c r="B311">
        <v>12.11</v>
      </c>
      <c r="C311">
        <v>11.78</v>
      </c>
      <c r="D311" t="s">
        <v>218</v>
      </c>
      <c r="E311" s="97">
        <v>4.24E-2</v>
      </c>
    </row>
    <row r="312" spans="1:5" ht="15">
      <c r="A312" s="98">
        <v>4690</v>
      </c>
      <c r="B312">
        <v>11.65</v>
      </c>
      <c r="C312">
        <v>11.29</v>
      </c>
      <c r="D312" t="s">
        <v>218</v>
      </c>
      <c r="E312" s="97">
        <v>-5.8799999999999998E-2</v>
      </c>
    </row>
    <row r="313" spans="1:5" ht="15">
      <c r="A313" s="98">
        <v>4689</v>
      </c>
      <c r="B313">
        <v>12.93</v>
      </c>
      <c r="C313">
        <v>11.62</v>
      </c>
      <c r="D313" t="s">
        <v>218</v>
      </c>
      <c r="E313" s="97">
        <v>-2.3199999999999998E-2</v>
      </c>
    </row>
    <row r="314" spans="1:5" ht="15">
      <c r="A314" s="98">
        <v>4688</v>
      </c>
      <c r="B314">
        <v>13.03</v>
      </c>
      <c r="C314">
        <v>12.3</v>
      </c>
      <c r="D314" t="s">
        <v>218</v>
      </c>
      <c r="E314" s="97">
        <v>-1.4800000000000001E-2</v>
      </c>
    </row>
    <row r="315" spans="1:5" ht="15">
      <c r="A315" s="98">
        <v>4687</v>
      </c>
      <c r="B315">
        <v>13.79</v>
      </c>
      <c r="C315">
        <v>12.95</v>
      </c>
      <c r="D315" t="s">
        <v>218</v>
      </c>
      <c r="E315" s="97">
        <v>8.3900000000000002E-2</v>
      </c>
    </row>
    <row r="316" spans="1:5" ht="15">
      <c r="A316" s="98">
        <v>4686</v>
      </c>
      <c r="B316">
        <v>14.09</v>
      </c>
      <c r="C316">
        <v>12.42</v>
      </c>
      <c r="D316" t="s">
        <v>218</v>
      </c>
      <c r="E316" s="97">
        <v>-7.0599999999999996E-2</v>
      </c>
    </row>
    <row r="317" spans="1:5" ht="15">
      <c r="A317" s="98">
        <v>4685</v>
      </c>
      <c r="B317">
        <v>12.95</v>
      </c>
      <c r="C317">
        <v>11.76</v>
      </c>
      <c r="D317" t="s">
        <v>218</v>
      </c>
      <c r="E317" s="97">
        <v>-3.5299999999999998E-2</v>
      </c>
    </row>
    <row r="318" spans="1:5" ht="15">
      <c r="A318" s="98">
        <v>4684</v>
      </c>
      <c r="B318">
        <v>13.34</v>
      </c>
      <c r="C318">
        <v>12.73</v>
      </c>
      <c r="D318" t="s">
        <v>218</v>
      </c>
      <c r="E318" s="97">
        <v>-2.5999999999999999E-3</v>
      </c>
    </row>
    <row r="319" spans="1:5" ht="15">
      <c r="A319" s="98">
        <v>4683</v>
      </c>
      <c r="B319">
        <v>13.22</v>
      </c>
      <c r="C319">
        <v>11.65</v>
      </c>
      <c r="D319" t="s">
        <v>218</v>
      </c>
      <c r="E319" s="97">
        <v>-4.19E-2</v>
      </c>
    </row>
    <row r="320" spans="1:5" ht="15">
      <c r="A320" s="98">
        <v>4682</v>
      </c>
      <c r="B320">
        <v>13.66</v>
      </c>
      <c r="C320">
        <v>12.72</v>
      </c>
      <c r="D320" t="s">
        <v>218</v>
      </c>
      <c r="E320" s="97">
        <v>2.5000000000000001E-3</v>
      </c>
    </row>
    <row r="321" spans="1:5" ht="15">
      <c r="A321" s="98">
        <v>4681</v>
      </c>
      <c r="B321">
        <v>13.42</v>
      </c>
      <c r="C321">
        <v>12.62</v>
      </c>
      <c r="D321" t="s">
        <v>218</v>
      </c>
      <c r="E321" s="97">
        <v>1.9800000000000002E-2</v>
      </c>
    </row>
    <row r="322" spans="1:5" ht="15">
      <c r="A322" s="98">
        <v>4680</v>
      </c>
      <c r="B322">
        <v>13.6</v>
      </c>
      <c r="C322">
        <v>11.64</v>
      </c>
      <c r="D322" t="s">
        <v>218</v>
      </c>
      <c r="E322" s="97">
        <v>-0.10979999999999999</v>
      </c>
    </row>
    <row r="323" spans="1:5" ht="15">
      <c r="A323" s="98">
        <v>4679</v>
      </c>
      <c r="B323">
        <v>12.84</v>
      </c>
      <c r="C323">
        <v>11.8</v>
      </c>
      <c r="D323" t="s">
        <v>218</v>
      </c>
      <c r="E323" s="97">
        <v>-7.3300000000000004E-2</v>
      </c>
    </row>
    <row r="324" spans="1:5" ht="15">
      <c r="A324" s="98">
        <v>4678</v>
      </c>
      <c r="B324">
        <v>11.87</v>
      </c>
      <c r="C324">
        <v>11.1</v>
      </c>
      <c r="D324" t="s">
        <v>218</v>
      </c>
      <c r="E324" s="97">
        <v>1.6000000000000001E-3</v>
      </c>
    </row>
    <row r="325" spans="1:5" ht="15">
      <c r="A325" s="98">
        <v>4677</v>
      </c>
      <c r="B325">
        <v>12.89</v>
      </c>
      <c r="C325">
        <v>11.26</v>
      </c>
      <c r="D325" t="s">
        <v>218</v>
      </c>
      <c r="E325" s="97">
        <v>4.99E-2</v>
      </c>
    </row>
    <row r="326" spans="1:5" ht="15">
      <c r="A326" s="98">
        <v>4676</v>
      </c>
      <c r="B326">
        <v>13.07</v>
      </c>
      <c r="C326">
        <v>12.16</v>
      </c>
      <c r="D326" t="s">
        <v>218</v>
      </c>
      <c r="E326" s="97">
        <v>7.9600000000000004E-2</v>
      </c>
    </row>
    <row r="327" spans="1:5" ht="15">
      <c r="A327" s="98">
        <v>4675</v>
      </c>
      <c r="B327">
        <v>14.48</v>
      </c>
      <c r="C327">
        <v>13.09</v>
      </c>
      <c r="D327" t="s">
        <v>218</v>
      </c>
      <c r="E327" s="97">
        <v>-4.7300000000000002E-2</v>
      </c>
    </row>
    <row r="328" spans="1:5" ht="15">
      <c r="A328" s="98">
        <v>4674</v>
      </c>
      <c r="B328">
        <v>12.94</v>
      </c>
      <c r="C328">
        <v>12.09</v>
      </c>
      <c r="D328" t="s">
        <v>218</v>
      </c>
      <c r="E328" s="97">
        <v>-9.3600000000000003E-2</v>
      </c>
    </row>
    <row r="329" spans="1:5" ht="15">
      <c r="A329" s="98">
        <v>4673</v>
      </c>
      <c r="B329">
        <v>12.26</v>
      </c>
      <c r="C329">
        <v>10.95</v>
      </c>
      <c r="D329" t="s">
        <v>218</v>
      </c>
      <c r="E329" s="97">
        <v>-5.5199999999999999E-2</v>
      </c>
    </row>
    <row r="330" spans="1:5" ht="15">
      <c r="A330" s="98">
        <v>4672</v>
      </c>
      <c r="B330">
        <v>12.09</v>
      </c>
      <c r="C330">
        <v>11.55</v>
      </c>
      <c r="D330" t="s">
        <v>218</v>
      </c>
      <c r="E330" s="97">
        <v>9.9400000000000002E-2</v>
      </c>
    </row>
    <row r="331" spans="1:5" ht="15">
      <c r="A331" s="98">
        <v>4671</v>
      </c>
      <c r="B331">
        <v>12.53</v>
      </c>
      <c r="C331">
        <v>11.93</v>
      </c>
      <c r="D331" t="s">
        <v>218</v>
      </c>
      <c r="E331" s="97">
        <v>0.1444</v>
      </c>
    </row>
    <row r="332" spans="1:5" ht="15">
      <c r="A332" s="98">
        <v>4670</v>
      </c>
      <c r="B332">
        <v>12.84</v>
      </c>
      <c r="C332">
        <v>12.25</v>
      </c>
      <c r="D332" t="s">
        <v>218</v>
      </c>
      <c r="E332" s="97">
        <v>5.3100000000000001E-2</v>
      </c>
    </row>
    <row r="333" spans="1:5" ht="15">
      <c r="A333" s="98">
        <v>4669</v>
      </c>
      <c r="B333">
        <v>12.15</v>
      </c>
      <c r="C333">
        <v>11.71</v>
      </c>
      <c r="D333" t="s">
        <v>218</v>
      </c>
      <c r="E333" s="97">
        <v>-4.3900000000000002E-2</v>
      </c>
    </row>
    <row r="334" spans="1:5" ht="15">
      <c r="A334" s="98">
        <v>4668</v>
      </c>
      <c r="B334">
        <v>12.37</v>
      </c>
      <c r="C334">
        <v>11.51</v>
      </c>
      <c r="D334" t="s">
        <v>218</v>
      </c>
      <c r="E334" s="97">
        <v>-1.9400000000000001E-2</v>
      </c>
    </row>
    <row r="335" spans="1:5" ht="15">
      <c r="A335" s="98">
        <v>4667</v>
      </c>
      <c r="B335">
        <v>12.68</v>
      </c>
      <c r="C335">
        <v>11.12</v>
      </c>
      <c r="D335" t="s">
        <v>218</v>
      </c>
      <c r="E335" s="97">
        <v>-3.6799999999999999E-2</v>
      </c>
    </row>
    <row r="336" spans="1:5" ht="15">
      <c r="A336" s="98">
        <v>4666</v>
      </c>
      <c r="B336">
        <v>12.33</v>
      </c>
      <c r="C336">
        <v>11.78</v>
      </c>
      <c r="D336" t="s">
        <v>218</v>
      </c>
      <c r="E336" s="97">
        <v>2.2100000000000002E-2</v>
      </c>
    </row>
    <row r="337" spans="1:5" ht="15">
      <c r="A337" s="98">
        <v>4665</v>
      </c>
      <c r="B337">
        <v>11.82</v>
      </c>
      <c r="C337">
        <v>11.44</v>
      </c>
      <c r="D337" t="s">
        <v>218</v>
      </c>
      <c r="E337" s="97">
        <v>-8.6699999999999999E-2</v>
      </c>
    </row>
    <row r="338" spans="1:5" ht="15">
      <c r="A338" s="98">
        <v>4664</v>
      </c>
      <c r="B338">
        <v>13.46</v>
      </c>
      <c r="C338">
        <v>11.4</v>
      </c>
      <c r="D338" t="s">
        <v>218</v>
      </c>
      <c r="E338" s="97">
        <v>2.12E-2</v>
      </c>
    </row>
    <row r="339" spans="1:5" ht="15">
      <c r="A339" s="98">
        <v>4663</v>
      </c>
      <c r="B339">
        <v>12.66</v>
      </c>
      <c r="C339">
        <v>11.82</v>
      </c>
      <c r="D339" t="s">
        <v>218</v>
      </c>
      <c r="E339" s="97">
        <v>-4.1099999999999998E-2</v>
      </c>
    </row>
    <row r="340" spans="1:5" ht="15">
      <c r="A340" s="98">
        <v>4662</v>
      </c>
      <c r="B340">
        <v>12.37</v>
      </c>
      <c r="C340">
        <v>11.29</v>
      </c>
      <c r="D340" t="s">
        <v>218</v>
      </c>
      <c r="E340" s="97">
        <v>4.1200000000000001E-2</v>
      </c>
    </row>
    <row r="341" spans="1:5" ht="15">
      <c r="A341" s="98">
        <v>4661</v>
      </c>
      <c r="B341">
        <v>13.01</v>
      </c>
      <c r="C341">
        <v>12.17</v>
      </c>
      <c r="D341" t="s">
        <v>218</v>
      </c>
      <c r="E341" s="97">
        <v>5.1499999999999997E-2</v>
      </c>
    </row>
    <row r="342" spans="1:5" ht="15">
      <c r="A342" s="98">
        <v>4660</v>
      </c>
      <c r="B342">
        <v>13.44</v>
      </c>
      <c r="C342">
        <v>12.81</v>
      </c>
      <c r="D342" t="s">
        <v>218</v>
      </c>
      <c r="E342" s="97">
        <v>-2.29E-2</v>
      </c>
    </row>
    <row r="343" spans="1:5" ht="15">
      <c r="A343" s="98">
        <v>4659</v>
      </c>
      <c r="B343">
        <v>13.59</v>
      </c>
      <c r="C343">
        <v>12.87</v>
      </c>
      <c r="D343" t="s">
        <v>218</v>
      </c>
      <c r="E343" s="97">
        <v>5.04E-2</v>
      </c>
    </row>
    <row r="344" spans="1:5" ht="15">
      <c r="A344" s="98">
        <v>4658</v>
      </c>
      <c r="B344">
        <v>12.61</v>
      </c>
      <c r="C344">
        <v>11.18</v>
      </c>
      <c r="D344" t="s">
        <v>218</v>
      </c>
      <c r="E344" s="97">
        <v>-4.7999999999999996E-3</v>
      </c>
    </row>
    <row r="345" spans="1:5" ht="15">
      <c r="A345" s="98">
        <v>4657</v>
      </c>
      <c r="B345">
        <v>12.64</v>
      </c>
      <c r="C345">
        <v>11.78</v>
      </c>
      <c r="D345" t="s">
        <v>218</v>
      </c>
      <c r="E345" s="97">
        <v>-1.9900000000000001E-2</v>
      </c>
    </row>
    <row r="346" spans="1:5" ht="15">
      <c r="A346" s="98">
        <v>4656</v>
      </c>
      <c r="B346">
        <v>12.65</v>
      </c>
      <c r="C346">
        <v>12.03</v>
      </c>
      <c r="D346" t="s">
        <v>218</v>
      </c>
      <c r="E346" s="97">
        <v>-0.13339999999999999</v>
      </c>
    </row>
    <row r="347" spans="1:5" ht="15">
      <c r="A347" s="98">
        <v>4655</v>
      </c>
      <c r="B347">
        <v>12.65</v>
      </c>
      <c r="C347">
        <v>12.11</v>
      </c>
      <c r="D347" t="s">
        <v>218</v>
      </c>
      <c r="E347" s="97">
        <v>1.34E-2</v>
      </c>
    </row>
    <row r="348" spans="1:5" ht="15">
      <c r="A348" s="98">
        <v>4654</v>
      </c>
      <c r="B348">
        <v>13.49</v>
      </c>
      <c r="C348">
        <v>11.89</v>
      </c>
      <c r="D348" t="s">
        <v>218</v>
      </c>
      <c r="E348" s="97">
        <v>-1.37E-2</v>
      </c>
    </row>
    <row r="349" spans="1:5" ht="15">
      <c r="A349" s="98">
        <v>4653</v>
      </c>
      <c r="B349">
        <v>13.6</v>
      </c>
      <c r="C349">
        <v>12.6</v>
      </c>
      <c r="D349" t="s">
        <v>218</v>
      </c>
      <c r="E349" s="97">
        <v>-3.2399999999999998E-2</v>
      </c>
    </row>
    <row r="350" spans="1:5" ht="15">
      <c r="A350" s="98">
        <v>4652</v>
      </c>
      <c r="B350">
        <v>12.27</v>
      </c>
      <c r="C350">
        <v>11.49</v>
      </c>
      <c r="D350" t="s">
        <v>218</v>
      </c>
      <c r="E350" s="97">
        <v>0.12529999999999999</v>
      </c>
    </row>
    <row r="351" spans="1:5" ht="15">
      <c r="A351" s="98">
        <v>4651</v>
      </c>
      <c r="B351">
        <v>11.74</v>
      </c>
      <c r="C351">
        <v>11.05</v>
      </c>
      <c r="D351" t="s">
        <v>218</v>
      </c>
      <c r="E351" s="97">
        <v>-9.8100000000000007E-2</v>
      </c>
    </row>
    <row r="352" spans="1:5" ht="15">
      <c r="A352" s="98">
        <v>4650</v>
      </c>
      <c r="B352">
        <v>11.85</v>
      </c>
      <c r="C352">
        <v>10.08</v>
      </c>
      <c r="D352" t="s">
        <v>218</v>
      </c>
      <c r="E352" s="97">
        <v>0.16470000000000001</v>
      </c>
    </row>
    <row r="353" spans="1:5" ht="15">
      <c r="A353" s="98">
        <v>4649</v>
      </c>
      <c r="B353">
        <v>11.99</v>
      </c>
      <c r="C353">
        <v>11.31</v>
      </c>
      <c r="D353" t="s">
        <v>218</v>
      </c>
      <c r="E353" s="97">
        <v>-6.2E-2</v>
      </c>
    </row>
    <row r="354" spans="1:5" ht="15">
      <c r="A354" s="98">
        <v>4648</v>
      </c>
      <c r="B354">
        <v>12.56</v>
      </c>
      <c r="C354">
        <v>11.63</v>
      </c>
      <c r="D354" t="s">
        <v>218</v>
      </c>
      <c r="E354" s="97">
        <v>3.3E-3</v>
      </c>
    </row>
    <row r="355" spans="1:5" ht="15">
      <c r="A355" s="98">
        <v>4647</v>
      </c>
      <c r="B355">
        <v>12.97</v>
      </c>
      <c r="C355">
        <v>12.1</v>
      </c>
      <c r="D355" t="s">
        <v>218</v>
      </c>
      <c r="E355" s="97">
        <v>-0.13220000000000001</v>
      </c>
    </row>
    <row r="356" spans="1:5" ht="15">
      <c r="A356" s="98">
        <v>4646</v>
      </c>
      <c r="B356">
        <v>12.96</v>
      </c>
      <c r="C356">
        <v>12.05</v>
      </c>
      <c r="D356" t="s">
        <v>218</v>
      </c>
      <c r="E356" s="97">
        <v>-2.63E-2</v>
      </c>
    </row>
    <row r="357" spans="1:5" ht="15">
      <c r="A357" s="98">
        <v>4645</v>
      </c>
      <c r="B357">
        <v>12.85</v>
      </c>
      <c r="C357">
        <v>12.12</v>
      </c>
      <c r="D357" t="s">
        <v>218</v>
      </c>
      <c r="E357" s="97">
        <v>-0.1067</v>
      </c>
    </row>
    <row r="358" spans="1:5" ht="15">
      <c r="A358" s="98">
        <v>4644</v>
      </c>
      <c r="B358">
        <v>13.31</v>
      </c>
      <c r="C358">
        <v>12.41</v>
      </c>
      <c r="D358" t="s">
        <v>218</v>
      </c>
      <c r="E358" s="97">
        <v>9.8699999999999996E-2</v>
      </c>
    </row>
    <row r="359" spans="1:5" ht="15">
      <c r="A359" s="98">
        <v>4643</v>
      </c>
      <c r="B359">
        <v>14.05</v>
      </c>
      <c r="C359">
        <v>13.27</v>
      </c>
      <c r="D359" t="s">
        <v>218</v>
      </c>
      <c r="E359" s="97">
        <v>-6.2399999999999997E-2</v>
      </c>
    </row>
    <row r="360" spans="1:5" ht="15">
      <c r="A360" s="98">
        <v>4642</v>
      </c>
      <c r="B360">
        <v>13.63</v>
      </c>
      <c r="C360">
        <v>12.91</v>
      </c>
      <c r="D360" t="s">
        <v>218</v>
      </c>
      <c r="E360" s="97">
        <v>0.10979999999999999</v>
      </c>
    </row>
    <row r="361" spans="1:5" ht="15">
      <c r="A361" s="98">
        <v>4641</v>
      </c>
      <c r="B361">
        <v>13.99</v>
      </c>
      <c r="C361">
        <v>12.78</v>
      </c>
      <c r="D361" t="s">
        <v>218</v>
      </c>
      <c r="E361" s="97">
        <v>-2.2599999999999999E-2</v>
      </c>
    </row>
    <row r="362" spans="1:5" ht="15">
      <c r="A362" s="98">
        <v>4640</v>
      </c>
      <c r="B362">
        <v>13.03</v>
      </c>
      <c r="C362">
        <v>12.63</v>
      </c>
      <c r="D362" t="s">
        <v>218</v>
      </c>
      <c r="E362" s="97">
        <v>-1.9900000000000001E-2</v>
      </c>
    </row>
    <row r="363" spans="1:5" ht="15">
      <c r="A363" s="98">
        <v>4639</v>
      </c>
      <c r="B363">
        <v>13.45</v>
      </c>
      <c r="C363">
        <v>12.36</v>
      </c>
      <c r="D363" t="s">
        <v>218</v>
      </c>
      <c r="E363" s="97">
        <v>-0.1021</v>
      </c>
    </row>
    <row r="364" spans="1:5" ht="15">
      <c r="A364" s="98">
        <v>4638</v>
      </c>
      <c r="B364">
        <v>12.72</v>
      </c>
      <c r="C364">
        <v>11.71</v>
      </c>
      <c r="D364" t="s">
        <v>218</v>
      </c>
      <c r="E364" s="97">
        <v>-5.5100000000000003E-2</v>
      </c>
    </row>
    <row r="365" spans="1:5" ht="15">
      <c r="A365" s="98">
        <v>4637</v>
      </c>
      <c r="B365">
        <v>12</v>
      </c>
      <c r="C365">
        <v>11.05</v>
      </c>
      <c r="D365" t="s">
        <v>218</v>
      </c>
      <c r="E365" s="97">
        <v>-2.0299999999999999E-2</v>
      </c>
    </row>
    <row r="366" spans="1:5" ht="15">
      <c r="A366" s="98">
        <v>4636</v>
      </c>
      <c r="B366">
        <v>12.19</v>
      </c>
      <c r="C366">
        <v>11.01</v>
      </c>
      <c r="D366" t="s">
        <v>218</v>
      </c>
      <c r="E366" s="97">
        <v>0.1081</v>
      </c>
    </row>
    <row r="367" spans="1:5" ht="15">
      <c r="A367" s="98">
        <v>4635</v>
      </c>
      <c r="B367">
        <v>12.05</v>
      </c>
      <c r="C367">
        <v>10.95</v>
      </c>
      <c r="D367" t="s">
        <v>218</v>
      </c>
      <c r="E367" s="97">
        <v>-3.3E-3</v>
      </c>
    </row>
    <row r="368" spans="1:5" ht="15">
      <c r="A368" s="98">
        <v>4634</v>
      </c>
      <c r="B368">
        <v>10.95</v>
      </c>
      <c r="C368">
        <v>10.36</v>
      </c>
      <c r="D368" t="s">
        <v>218</v>
      </c>
      <c r="E368" s="97">
        <v>0.1479</v>
      </c>
    </row>
    <row r="369" spans="1:5" ht="15">
      <c r="A369" s="98">
        <v>4633</v>
      </c>
      <c r="B369">
        <v>11.35</v>
      </c>
      <c r="C369">
        <v>10.6</v>
      </c>
      <c r="D369" t="s">
        <v>218</v>
      </c>
      <c r="E369" s="97">
        <v>-3.3500000000000002E-2</v>
      </c>
    </row>
    <row r="370" spans="1:5" ht="15">
      <c r="A370" s="98">
        <v>4632</v>
      </c>
      <c r="B370">
        <v>11.47</v>
      </c>
      <c r="C370">
        <v>11.1</v>
      </c>
      <c r="D370" t="s">
        <v>218</v>
      </c>
      <c r="E370" s="97">
        <v>1.0200000000000001E-2</v>
      </c>
    </row>
    <row r="371" spans="1:5" ht="15">
      <c r="A371" s="98">
        <v>4631</v>
      </c>
      <c r="B371">
        <v>11.6</v>
      </c>
      <c r="C371">
        <v>11.19</v>
      </c>
      <c r="D371" t="s">
        <v>218</v>
      </c>
      <c r="E371" s="97">
        <v>-3.5400000000000001E-2</v>
      </c>
    </row>
    <row r="372" spans="1:5" ht="15">
      <c r="A372" s="98">
        <v>4630</v>
      </c>
      <c r="B372">
        <v>11.73</v>
      </c>
      <c r="C372">
        <v>10.88</v>
      </c>
      <c r="D372" t="s">
        <v>218</v>
      </c>
      <c r="E372" s="97">
        <v>-6.7000000000000002E-3</v>
      </c>
    </row>
    <row r="373" spans="1:5" ht="15">
      <c r="A373" s="98">
        <v>4629</v>
      </c>
      <c r="B373">
        <v>11.51</v>
      </c>
      <c r="C373">
        <v>10.97</v>
      </c>
      <c r="D373" t="s">
        <v>218</v>
      </c>
      <c r="E373" s="97">
        <v>2.1399999999999999E-2</v>
      </c>
    </row>
    <row r="374" spans="1:5" ht="15">
      <c r="A374" s="98">
        <v>4628</v>
      </c>
      <c r="B374">
        <v>12.12</v>
      </c>
      <c r="C374">
        <v>10.98</v>
      </c>
      <c r="D374" t="s">
        <v>218</v>
      </c>
      <c r="E374" s="97">
        <v>-0.1231</v>
      </c>
    </row>
    <row r="375" spans="1:5" ht="15">
      <c r="A375" s="98">
        <v>4627</v>
      </c>
      <c r="B375">
        <v>12.57</v>
      </c>
      <c r="C375">
        <v>11.66</v>
      </c>
      <c r="D375" t="s">
        <v>218</v>
      </c>
      <c r="E375" s="97">
        <v>2.4899999999999999E-2</v>
      </c>
    </row>
    <row r="376" spans="1:5" ht="15">
      <c r="A376" s="98">
        <v>4626</v>
      </c>
      <c r="B376">
        <v>12.41</v>
      </c>
      <c r="C376">
        <v>11.61</v>
      </c>
      <c r="D376" t="s">
        <v>218</v>
      </c>
      <c r="E376" s="97">
        <v>9.9699999999999997E-2</v>
      </c>
    </row>
    <row r="377" spans="1:5" ht="15">
      <c r="A377" s="98">
        <v>4625</v>
      </c>
      <c r="B377">
        <v>12.19</v>
      </c>
      <c r="C377">
        <v>11.47</v>
      </c>
      <c r="D377" t="s">
        <v>218</v>
      </c>
      <c r="E377" s="97">
        <v>1.37E-2</v>
      </c>
    </row>
    <row r="378" spans="1:5" ht="15">
      <c r="A378" s="98">
        <v>4624</v>
      </c>
      <c r="B378">
        <v>11.51</v>
      </c>
      <c r="C378">
        <v>10.75</v>
      </c>
      <c r="D378" t="s">
        <v>218</v>
      </c>
      <c r="E378" s="97">
        <v>4.5999999999999999E-3</v>
      </c>
    </row>
    <row r="379" spans="1:5" ht="15">
      <c r="A379" s="98">
        <v>4623</v>
      </c>
      <c r="B379">
        <v>12.55</v>
      </c>
      <c r="C379">
        <v>11.23</v>
      </c>
      <c r="D379" t="s">
        <v>218</v>
      </c>
      <c r="E379" s="97">
        <v>9.9500000000000005E-2</v>
      </c>
    </row>
    <row r="380" spans="1:5" ht="15">
      <c r="A380" s="98">
        <v>4622</v>
      </c>
      <c r="B380">
        <v>12.39</v>
      </c>
      <c r="C380">
        <v>11.19</v>
      </c>
      <c r="D380" t="s">
        <v>218</v>
      </c>
      <c r="E380" s="97">
        <v>5.6300000000000003E-2</v>
      </c>
    </row>
    <row r="381" spans="1:5" ht="15">
      <c r="A381" s="98">
        <v>4621</v>
      </c>
      <c r="B381">
        <v>12.39</v>
      </c>
      <c r="C381">
        <v>11.43</v>
      </c>
      <c r="D381" t="s">
        <v>218</v>
      </c>
      <c r="E381" s="97">
        <v>-6.2300000000000001E-2</v>
      </c>
    </row>
    <row r="382" spans="1:5" ht="15">
      <c r="A382" s="98">
        <v>4620</v>
      </c>
      <c r="B382">
        <v>12.11</v>
      </c>
      <c r="C382">
        <v>11.72</v>
      </c>
      <c r="D382" t="s">
        <v>218</v>
      </c>
      <c r="E382" s="97">
        <v>5.4100000000000002E-2</v>
      </c>
    </row>
    <row r="383" spans="1:5" ht="15">
      <c r="A383" s="98">
        <v>4619</v>
      </c>
      <c r="B383">
        <v>12.87</v>
      </c>
      <c r="C383">
        <v>10.93</v>
      </c>
      <c r="D383" t="s">
        <v>218</v>
      </c>
      <c r="E383" s="97">
        <v>5.7999999999999996E-3</v>
      </c>
    </row>
    <row r="384" spans="1:5" ht="15">
      <c r="A384" s="98">
        <v>4618</v>
      </c>
      <c r="B384">
        <v>13.06</v>
      </c>
      <c r="C384">
        <v>11.87</v>
      </c>
      <c r="D384" t="s">
        <v>218</v>
      </c>
      <c r="E384" s="97">
        <v>-1.15E-2</v>
      </c>
    </row>
    <row r="385" spans="1:5" ht="15">
      <c r="A385" s="98">
        <v>4617</v>
      </c>
      <c r="B385">
        <v>12.75</v>
      </c>
      <c r="C385">
        <v>12.07</v>
      </c>
      <c r="D385" t="s">
        <v>218</v>
      </c>
      <c r="E385" s="97">
        <v>9.11E-2</v>
      </c>
    </row>
    <row r="386" spans="1:5" ht="15">
      <c r="A386" s="98">
        <v>4616</v>
      </c>
      <c r="B386">
        <v>13.3</v>
      </c>
      <c r="C386">
        <v>10.92</v>
      </c>
      <c r="D386" t="s">
        <v>218</v>
      </c>
      <c r="E386" s="97">
        <v>4.0300000000000002E-2</v>
      </c>
    </row>
    <row r="387" spans="1:5" ht="15">
      <c r="A387" s="98">
        <v>4615</v>
      </c>
      <c r="B387">
        <v>12.96</v>
      </c>
      <c r="C387">
        <v>11.99</v>
      </c>
      <c r="D387" t="s">
        <v>218</v>
      </c>
      <c r="E387" s="97">
        <v>1.6899999999999998E-2</v>
      </c>
    </row>
    <row r="388" spans="1:5" ht="15">
      <c r="A388" s="98">
        <v>4614</v>
      </c>
      <c r="B388">
        <v>12.69</v>
      </c>
      <c r="C388">
        <v>12.22</v>
      </c>
      <c r="D388" t="s">
        <v>218</v>
      </c>
      <c r="E388" s="97">
        <v>-3.2099999999999997E-2</v>
      </c>
    </row>
    <row r="389" spans="1:5" ht="15">
      <c r="A389" s="98">
        <v>4613</v>
      </c>
      <c r="B389">
        <v>13.05</v>
      </c>
      <c r="C389">
        <v>12.45</v>
      </c>
      <c r="D389" t="s">
        <v>218</v>
      </c>
      <c r="E389" s="97">
        <v>5.0900000000000001E-2</v>
      </c>
    </row>
    <row r="390" spans="1:5" ht="15">
      <c r="A390" s="98">
        <v>4612</v>
      </c>
      <c r="B390">
        <v>15.26</v>
      </c>
      <c r="C390">
        <v>12.99</v>
      </c>
      <c r="D390" t="s">
        <v>218</v>
      </c>
      <c r="E390" s="97">
        <v>4.8999999999999998E-3</v>
      </c>
    </row>
    <row r="391" spans="1:5" ht="15">
      <c r="A391" s="98">
        <v>4611</v>
      </c>
      <c r="B391">
        <v>13.8</v>
      </c>
      <c r="C391">
        <v>12.77</v>
      </c>
      <c r="D391" t="s">
        <v>218</v>
      </c>
      <c r="E391" s="97">
        <v>-3.4500000000000003E-2</v>
      </c>
    </row>
    <row r="392" spans="1:5" ht="15">
      <c r="A392" s="98">
        <v>4610</v>
      </c>
      <c r="B392">
        <v>13.27</v>
      </c>
      <c r="C392">
        <v>11.73</v>
      </c>
      <c r="D392" t="s">
        <v>218</v>
      </c>
      <c r="E392" s="97">
        <v>-7.0699999999999999E-2</v>
      </c>
    </row>
    <row r="393" spans="1:5" ht="15">
      <c r="A393" s="98">
        <v>4609</v>
      </c>
      <c r="B393">
        <v>12.77</v>
      </c>
      <c r="C393">
        <v>12.39</v>
      </c>
      <c r="D393" t="s">
        <v>218</v>
      </c>
      <c r="E393" s="97">
        <v>-4.5900000000000003E-2</v>
      </c>
    </row>
    <row r="394" spans="1:5" ht="15">
      <c r="A394" s="98">
        <v>4608</v>
      </c>
      <c r="B394">
        <v>13.05</v>
      </c>
      <c r="C394">
        <v>12.54</v>
      </c>
      <c r="D394" t="s">
        <v>218</v>
      </c>
      <c r="E394" s="97">
        <v>8.77E-2</v>
      </c>
    </row>
    <row r="395" spans="1:5" ht="15">
      <c r="A395" s="98">
        <v>4607</v>
      </c>
      <c r="B395">
        <v>13.67</v>
      </c>
      <c r="C395">
        <v>12.85</v>
      </c>
      <c r="D395" t="s">
        <v>218</v>
      </c>
      <c r="E395" s="97">
        <v>-5.0099999999999999E-2</v>
      </c>
    </row>
    <row r="396" spans="1:5" ht="15">
      <c r="A396" s="98">
        <v>4606</v>
      </c>
      <c r="B396">
        <v>13.35</v>
      </c>
      <c r="C396">
        <v>13.02</v>
      </c>
      <c r="D396" t="s">
        <v>218</v>
      </c>
      <c r="E396" s="97">
        <v>-1.4999999999999999E-2</v>
      </c>
    </row>
    <row r="397" spans="1:5" ht="15">
      <c r="A397" s="98">
        <v>4605</v>
      </c>
      <c r="B397">
        <v>13.82</v>
      </c>
      <c r="C397">
        <v>13.03</v>
      </c>
      <c r="D397" t="s">
        <v>218</v>
      </c>
      <c r="E397" s="97">
        <v>9.7999999999999997E-3</v>
      </c>
    </row>
    <row r="398" spans="1:5" ht="15">
      <c r="A398" s="98">
        <v>4604</v>
      </c>
      <c r="B398">
        <v>13.87</v>
      </c>
      <c r="C398">
        <v>13.22</v>
      </c>
      <c r="D398" t="s">
        <v>218</v>
      </c>
      <c r="E398" s="97">
        <v>-5.5800000000000002E-2</v>
      </c>
    </row>
    <row r="399" spans="1:5" ht="15">
      <c r="A399" s="98">
        <v>4603</v>
      </c>
      <c r="B399">
        <v>14.15</v>
      </c>
      <c r="C399">
        <v>13.39</v>
      </c>
      <c r="D399" t="s">
        <v>218</v>
      </c>
      <c r="E399" s="97">
        <v>0</v>
      </c>
    </row>
    <row r="400" spans="1:5" ht="15">
      <c r="A400" s="98">
        <v>4602</v>
      </c>
      <c r="B400">
        <v>13.98</v>
      </c>
      <c r="C400">
        <v>13.09</v>
      </c>
      <c r="D400" t="s">
        <v>218</v>
      </c>
      <c r="E400" s="97">
        <v>0.1366</v>
      </c>
    </row>
    <row r="401" spans="1:5" ht="15">
      <c r="A401" s="98">
        <v>4601</v>
      </c>
      <c r="B401">
        <v>14.49</v>
      </c>
      <c r="C401">
        <v>13.76</v>
      </c>
      <c r="D401" t="s">
        <v>218</v>
      </c>
      <c r="E401" s="97">
        <v>-0.1409</v>
      </c>
    </row>
    <row r="402" spans="1:5" ht="15">
      <c r="A402" s="98">
        <v>4600</v>
      </c>
      <c r="B402">
        <v>13.81</v>
      </c>
      <c r="C402">
        <v>12.83</v>
      </c>
      <c r="D402" t="s">
        <v>218</v>
      </c>
      <c r="E402" s="97">
        <v>-1.8100000000000002E-2</v>
      </c>
    </row>
    <row r="403" spans="1:5" ht="15">
      <c r="A403" s="98">
        <v>4599</v>
      </c>
      <c r="B403">
        <v>13.99</v>
      </c>
      <c r="C403">
        <v>13.06</v>
      </c>
      <c r="D403" t="s">
        <v>218</v>
      </c>
      <c r="E403" s="97">
        <v>8.4000000000000005E-2</v>
      </c>
    </row>
    <row r="404" spans="1:5" ht="15">
      <c r="A404" s="98">
        <v>4598</v>
      </c>
      <c r="B404">
        <v>13.31</v>
      </c>
      <c r="C404">
        <v>13.06</v>
      </c>
      <c r="D404" t="s">
        <v>218</v>
      </c>
      <c r="E404" s="97">
        <v>0.1263</v>
      </c>
    </row>
    <row r="405" spans="1:5" ht="15">
      <c r="A405" s="98">
        <v>4597</v>
      </c>
      <c r="B405">
        <v>13.02</v>
      </c>
      <c r="C405">
        <v>12.6</v>
      </c>
      <c r="D405" t="s">
        <v>218</v>
      </c>
      <c r="E405" s="97">
        <v>1.5800000000000002E-2</v>
      </c>
    </row>
    <row r="406" spans="1:5" ht="15">
      <c r="A406" s="98">
        <v>4596</v>
      </c>
      <c r="B406">
        <v>13.35</v>
      </c>
      <c r="C406">
        <v>12.57</v>
      </c>
      <c r="D406" t="s">
        <v>218</v>
      </c>
      <c r="E406" s="97">
        <v>4.9799999999999997E-2</v>
      </c>
    </row>
    <row r="407" spans="1:5" ht="15">
      <c r="A407" s="98">
        <v>4595</v>
      </c>
      <c r="B407">
        <v>13.34</v>
      </c>
      <c r="C407">
        <v>12.45</v>
      </c>
      <c r="D407" t="s">
        <v>218</v>
      </c>
      <c r="E407" s="97">
        <v>1.2999999999999999E-3</v>
      </c>
    </row>
    <row r="408" spans="1:5" ht="15">
      <c r="A408" s="98">
        <v>4594</v>
      </c>
      <c r="B408">
        <v>14.35</v>
      </c>
      <c r="C408">
        <v>12.67</v>
      </c>
      <c r="D408" t="s">
        <v>218</v>
      </c>
      <c r="E408" s="97">
        <v>8.9999999999999993E-3</v>
      </c>
    </row>
    <row r="409" spans="1:5" ht="15">
      <c r="A409" s="98">
        <v>4593</v>
      </c>
      <c r="B409">
        <v>12.76</v>
      </c>
      <c r="C409">
        <v>12.27</v>
      </c>
      <c r="D409" t="s">
        <v>218</v>
      </c>
      <c r="E409" s="97">
        <v>1.2999999999999999E-3</v>
      </c>
    </row>
    <row r="410" spans="1:5" ht="15">
      <c r="A410" s="98">
        <v>4592</v>
      </c>
      <c r="B410">
        <v>12.59</v>
      </c>
      <c r="C410">
        <v>11.47</v>
      </c>
      <c r="D410" t="s">
        <v>218</v>
      </c>
      <c r="E410" s="97">
        <v>5.9999999999999995E-4</v>
      </c>
    </row>
    <row r="411" spans="1:5" ht="15">
      <c r="A411" s="98">
        <v>4591</v>
      </c>
      <c r="B411">
        <v>12.83</v>
      </c>
      <c r="C411">
        <v>12.09</v>
      </c>
      <c r="D411" t="s">
        <v>218</v>
      </c>
      <c r="E411" s="97">
        <v>-7.7000000000000002E-3</v>
      </c>
    </row>
    <row r="412" spans="1:5" ht="15">
      <c r="A412" s="98">
        <v>4590</v>
      </c>
      <c r="B412">
        <v>12.27</v>
      </c>
      <c r="C412">
        <v>11.36</v>
      </c>
      <c r="D412" t="s">
        <v>218</v>
      </c>
      <c r="E412" s="97">
        <v>9.3299999999999994E-2</v>
      </c>
    </row>
    <row r="413" spans="1:5" ht="15">
      <c r="A413" s="98">
        <v>4589</v>
      </c>
      <c r="B413">
        <v>13.78</v>
      </c>
      <c r="C413">
        <v>11.89</v>
      </c>
      <c r="D413" t="s">
        <v>218</v>
      </c>
      <c r="E413" s="97">
        <v>-3.78E-2</v>
      </c>
    </row>
    <row r="414" spans="1:5" ht="15">
      <c r="A414" s="98">
        <v>4588</v>
      </c>
      <c r="B414">
        <v>12.98</v>
      </c>
      <c r="C414">
        <v>12.43</v>
      </c>
      <c r="D414" t="s">
        <v>218</v>
      </c>
      <c r="E414" s="97">
        <v>-4.82E-2</v>
      </c>
    </row>
    <row r="415" spans="1:5" ht="15">
      <c r="A415" s="98">
        <v>4587</v>
      </c>
      <c r="B415">
        <v>13.37</v>
      </c>
      <c r="C415">
        <v>11.8</v>
      </c>
      <c r="D415" t="s">
        <v>218</v>
      </c>
      <c r="E415" s="97">
        <v>2.9100000000000001E-2</v>
      </c>
    </row>
    <row r="416" spans="1:5" ht="15">
      <c r="A416" s="98">
        <v>4586</v>
      </c>
      <c r="B416">
        <v>13.52</v>
      </c>
      <c r="C416">
        <v>12.86</v>
      </c>
      <c r="D416" t="s">
        <v>218</v>
      </c>
      <c r="E416" s="97">
        <v>-2.8899999999999999E-2</v>
      </c>
    </row>
    <row r="417" spans="1:5" ht="15">
      <c r="A417" s="98">
        <v>4585</v>
      </c>
      <c r="B417">
        <v>12.69</v>
      </c>
      <c r="C417">
        <v>12.11</v>
      </c>
      <c r="D417" t="s">
        <v>218</v>
      </c>
      <c r="E417" s="97">
        <v>3.5900000000000001E-2</v>
      </c>
    </row>
    <row r="418" spans="1:5" ht="15">
      <c r="A418" s="98">
        <v>4584</v>
      </c>
      <c r="B418">
        <v>13.2</v>
      </c>
      <c r="C418">
        <v>12.05</v>
      </c>
      <c r="D418" t="s">
        <v>218</v>
      </c>
      <c r="E418" s="97">
        <v>3.9399999999999998E-2</v>
      </c>
    </row>
    <row r="419" spans="1:5" ht="15">
      <c r="A419" s="98">
        <v>4583</v>
      </c>
      <c r="B419">
        <v>13.8</v>
      </c>
      <c r="C419">
        <v>11.63</v>
      </c>
      <c r="D419" t="s">
        <v>218</v>
      </c>
      <c r="E419" s="97">
        <v>-6.1600000000000002E-2</v>
      </c>
    </row>
    <row r="420" spans="1:5" ht="15">
      <c r="A420" s="98">
        <v>4582</v>
      </c>
      <c r="B420">
        <v>12.42</v>
      </c>
      <c r="C420">
        <v>11.74</v>
      </c>
      <c r="D420" t="s">
        <v>218</v>
      </c>
      <c r="E420" s="97">
        <v>7.1999999999999998E-3</v>
      </c>
    </row>
    <row r="421" spans="1:5" ht="15">
      <c r="A421" s="98">
        <v>4581</v>
      </c>
      <c r="B421">
        <v>11.95</v>
      </c>
      <c r="C421">
        <v>11.36</v>
      </c>
      <c r="D421" t="s">
        <v>218</v>
      </c>
      <c r="E421" s="97">
        <v>3.4500000000000003E-2</v>
      </c>
    </row>
    <row r="422" spans="1:5" ht="15">
      <c r="A422" s="98">
        <v>4580</v>
      </c>
      <c r="B422">
        <v>11.68</v>
      </c>
      <c r="C422">
        <v>10.83</v>
      </c>
      <c r="D422" t="s">
        <v>218</v>
      </c>
      <c r="E422" s="97">
        <v>-5.3699999999999998E-2</v>
      </c>
    </row>
    <row r="423" spans="1:5" ht="15">
      <c r="A423" s="98">
        <v>4579</v>
      </c>
      <c r="B423">
        <v>12.03</v>
      </c>
      <c r="C423">
        <v>11.28</v>
      </c>
      <c r="D423" t="s">
        <v>218</v>
      </c>
      <c r="E423" s="97">
        <v>-8.5900000000000004E-2</v>
      </c>
    </row>
    <row r="424" spans="1:5" ht="15">
      <c r="A424" s="98">
        <v>4578</v>
      </c>
      <c r="B424">
        <v>12.08</v>
      </c>
      <c r="C424">
        <v>10.19</v>
      </c>
      <c r="D424" t="s">
        <v>218</v>
      </c>
      <c r="E424" s="97">
        <v>-4.6800000000000001E-2</v>
      </c>
    </row>
    <row r="425" spans="1:5" ht="15">
      <c r="A425" s="98">
        <v>4577</v>
      </c>
      <c r="B425">
        <v>12.53</v>
      </c>
      <c r="C425">
        <v>10.65</v>
      </c>
      <c r="D425" t="s">
        <v>218</v>
      </c>
      <c r="E425" s="97">
        <v>-5.8700000000000002E-2</v>
      </c>
    </row>
    <row r="426" spans="1:5" ht="15">
      <c r="A426" s="98">
        <v>4576</v>
      </c>
      <c r="B426">
        <v>11.94</v>
      </c>
      <c r="C426">
        <v>10.49</v>
      </c>
      <c r="D426" t="s">
        <v>218</v>
      </c>
      <c r="E426" s="97">
        <v>-8.6199999999999999E-2</v>
      </c>
    </row>
    <row r="427" spans="1:5" ht="15">
      <c r="A427" s="98">
        <v>4575</v>
      </c>
      <c r="B427">
        <v>12.09</v>
      </c>
      <c r="C427">
        <v>11.31</v>
      </c>
      <c r="D427" t="s">
        <v>218</v>
      </c>
      <c r="E427" s="97">
        <v>0.15620000000000001</v>
      </c>
    </row>
    <row r="428" spans="1:5" ht="15">
      <c r="A428" s="98">
        <v>4574</v>
      </c>
      <c r="B428">
        <v>12.15</v>
      </c>
      <c r="C428">
        <v>11.32</v>
      </c>
      <c r="D428" t="s">
        <v>218</v>
      </c>
      <c r="E428" s="97">
        <v>4.3999999999999997E-2</v>
      </c>
    </row>
    <row r="429" spans="1:5" ht="15">
      <c r="A429" s="98">
        <v>4573</v>
      </c>
      <c r="B429">
        <v>12</v>
      </c>
      <c r="C429">
        <v>11.18</v>
      </c>
      <c r="D429" t="s">
        <v>218</v>
      </c>
      <c r="E429" s="97">
        <v>1.6999999999999999E-3</v>
      </c>
    </row>
    <row r="430" spans="1:5" ht="15">
      <c r="A430" s="98">
        <v>4572</v>
      </c>
      <c r="B430">
        <v>11.93</v>
      </c>
      <c r="C430">
        <v>10.87</v>
      </c>
      <c r="D430" t="s">
        <v>218</v>
      </c>
      <c r="E430" s="97">
        <v>-6.3500000000000001E-2</v>
      </c>
    </row>
    <row r="431" spans="1:5" ht="15">
      <c r="A431" s="98">
        <v>4571</v>
      </c>
      <c r="B431">
        <v>11.84</v>
      </c>
      <c r="C431">
        <v>11</v>
      </c>
      <c r="D431" t="s">
        <v>218</v>
      </c>
      <c r="E431" s="97">
        <v>2.6200000000000001E-2</v>
      </c>
    </row>
    <row r="432" spans="1:5" ht="15">
      <c r="A432" s="98">
        <v>4570</v>
      </c>
      <c r="B432">
        <v>12.72</v>
      </c>
      <c r="C432">
        <v>12.3</v>
      </c>
      <c r="D432" t="s">
        <v>218</v>
      </c>
      <c r="E432" s="97">
        <v>-1.26E-2</v>
      </c>
    </row>
    <row r="433" spans="1:5" ht="15">
      <c r="A433" s="98">
        <v>4569</v>
      </c>
      <c r="B433">
        <v>13.31</v>
      </c>
      <c r="C433">
        <v>12.4</v>
      </c>
      <c r="D433" t="s">
        <v>218</v>
      </c>
      <c r="E433" s="97">
        <v>5.0799999999999998E-2</v>
      </c>
    </row>
    <row r="434" spans="1:5" ht="15">
      <c r="A434" s="98">
        <v>4568</v>
      </c>
      <c r="B434">
        <v>12.81</v>
      </c>
      <c r="C434">
        <v>12.35</v>
      </c>
      <c r="D434" t="s">
        <v>218</v>
      </c>
      <c r="E434" s="97">
        <v>3.04E-2</v>
      </c>
    </row>
    <row r="435" spans="1:5" ht="15">
      <c r="A435" s="98">
        <v>4567</v>
      </c>
      <c r="B435">
        <v>13.18</v>
      </c>
      <c r="C435">
        <v>11.89</v>
      </c>
      <c r="D435" t="s">
        <v>218</v>
      </c>
      <c r="E435" s="97">
        <v>-7.6399999999999996E-2</v>
      </c>
    </row>
    <row r="436" spans="1:5" ht="15">
      <c r="A436" s="98">
        <v>4566</v>
      </c>
      <c r="B436">
        <v>12.94</v>
      </c>
      <c r="C436">
        <v>12.37</v>
      </c>
      <c r="D436" t="s">
        <v>218</v>
      </c>
      <c r="E436" s="97">
        <v>0</v>
      </c>
    </row>
    <row r="437" spans="1:5" ht="15">
      <c r="A437" s="98">
        <v>4565</v>
      </c>
      <c r="B437">
        <v>13.43</v>
      </c>
      <c r="C437">
        <v>12.31</v>
      </c>
      <c r="D437" t="s">
        <v>218</v>
      </c>
      <c r="E437" s="97">
        <v>2.3099999999999999E-2</v>
      </c>
    </row>
    <row r="438" spans="1:5" ht="15">
      <c r="A438" s="98">
        <v>4564</v>
      </c>
      <c r="B438">
        <v>13.23</v>
      </c>
      <c r="C438">
        <v>12.08</v>
      </c>
      <c r="D438" t="s">
        <v>218</v>
      </c>
      <c r="E438" s="97">
        <v>-7.4899999999999994E-2</v>
      </c>
    </row>
    <row r="439" spans="1:5" ht="15">
      <c r="A439" s="98">
        <v>4563</v>
      </c>
      <c r="B439">
        <v>13.95</v>
      </c>
      <c r="C439">
        <v>12.48</v>
      </c>
      <c r="D439" t="s">
        <v>218</v>
      </c>
      <c r="E439" s="97">
        <v>-9.0800000000000006E-2</v>
      </c>
    </row>
    <row r="440" spans="1:5" ht="15">
      <c r="A440" s="98">
        <v>4562</v>
      </c>
      <c r="B440">
        <v>12.87</v>
      </c>
      <c r="C440">
        <v>11.67</v>
      </c>
      <c r="D440" t="s">
        <v>218</v>
      </c>
      <c r="E440" s="97">
        <v>8.1900000000000001E-2</v>
      </c>
    </row>
    <row r="441" spans="1:5" ht="15">
      <c r="A441" s="98">
        <v>4561</v>
      </c>
      <c r="B441">
        <v>13.25</v>
      </c>
      <c r="C441">
        <v>12.09</v>
      </c>
      <c r="D441" t="s">
        <v>218</v>
      </c>
      <c r="E441" s="97">
        <v>2.63E-2</v>
      </c>
    </row>
    <row r="442" spans="1:5" ht="15">
      <c r="A442" s="98">
        <v>4560</v>
      </c>
      <c r="B442">
        <v>14.37</v>
      </c>
      <c r="C442">
        <v>12.29</v>
      </c>
      <c r="D442" t="s">
        <v>218</v>
      </c>
      <c r="E442" s="97">
        <v>-8.4199999999999997E-2</v>
      </c>
    </row>
    <row r="443" spans="1:5" ht="15">
      <c r="A443" s="98">
        <v>4559</v>
      </c>
      <c r="B443">
        <v>14.94</v>
      </c>
      <c r="C443">
        <v>14.26</v>
      </c>
      <c r="D443" t="s">
        <v>218</v>
      </c>
      <c r="E443" s="97">
        <v>0.1159</v>
      </c>
    </row>
    <row r="444" spans="1:5" ht="15">
      <c r="A444" s="98">
        <v>4558</v>
      </c>
      <c r="B444">
        <v>15.42</v>
      </c>
      <c r="C444">
        <v>13.31</v>
      </c>
      <c r="D444" t="s">
        <v>218</v>
      </c>
      <c r="E444" s="97">
        <v>2.5899999999999999E-2</v>
      </c>
    </row>
    <row r="445" spans="1:5" ht="15">
      <c r="A445" s="98">
        <v>4557</v>
      </c>
      <c r="B445">
        <v>16.29</v>
      </c>
      <c r="C445">
        <v>14.12</v>
      </c>
      <c r="D445" t="s">
        <v>218</v>
      </c>
      <c r="E445" s="97">
        <v>2.8899999999999999E-2</v>
      </c>
    </row>
    <row r="446" spans="1:5" ht="15">
      <c r="A446" s="98">
        <v>4556</v>
      </c>
      <c r="B446">
        <v>14.71</v>
      </c>
      <c r="C446">
        <v>13.45</v>
      </c>
      <c r="D446" t="s">
        <v>218</v>
      </c>
      <c r="E446" s="97">
        <v>-6.1999999999999998E-3</v>
      </c>
    </row>
    <row r="447" spans="1:5" ht="15">
      <c r="A447" s="98">
        <v>4555</v>
      </c>
      <c r="B447">
        <v>15.52</v>
      </c>
      <c r="C447">
        <v>14.58</v>
      </c>
      <c r="D447" t="s">
        <v>218</v>
      </c>
      <c r="E447" s="97">
        <v>3.8600000000000002E-2</v>
      </c>
    </row>
    <row r="448" spans="1:5" ht="15">
      <c r="A448" s="98">
        <v>4554</v>
      </c>
      <c r="B448">
        <v>16.47</v>
      </c>
      <c r="C448">
        <v>14.97</v>
      </c>
      <c r="D448" t="s">
        <v>218</v>
      </c>
      <c r="E448" s="97">
        <v>-4.8899999999999999E-2</v>
      </c>
    </row>
    <row r="449" spans="1:5" ht="15">
      <c r="A449" s="98">
        <v>4553</v>
      </c>
      <c r="B449">
        <v>14.82</v>
      </c>
      <c r="C449">
        <v>14.43</v>
      </c>
      <c r="D449" t="s">
        <v>218</v>
      </c>
      <c r="E449" s="97">
        <v>-3.0700000000000002E-2</v>
      </c>
    </row>
    <row r="450" spans="1:5" ht="15">
      <c r="A450" s="98">
        <v>4552</v>
      </c>
      <c r="B450">
        <v>14.64</v>
      </c>
      <c r="C450">
        <v>13.66</v>
      </c>
      <c r="D450" t="s">
        <v>218</v>
      </c>
      <c r="E450" s="97">
        <v>-4.58E-2</v>
      </c>
    </row>
    <row r="451" spans="1:5" ht="15">
      <c r="A451" s="98">
        <v>4551</v>
      </c>
      <c r="B451">
        <v>14.39</v>
      </c>
      <c r="C451">
        <v>13.49</v>
      </c>
      <c r="D451" t="s">
        <v>218</v>
      </c>
      <c r="E451" s="97">
        <v>2.0999999999999999E-3</v>
      </c>
    </row>
    <row r="452" spans="1:5" ht="15">
      <c r="A452" s="98">
        <v>4550</v>
      </c>
      <c r="B452">
        <v>15.35</v>
      </c>
      <c r="C452">
        <v>14.57</v>
      </c>
      <c r="D452" t="s">
        <v>218</v>
      </c>
      <c r="E452" s="97">
        <v>4.7E-2</v>
      </c>
    </row>
    <row r="453" spans="1:5" ht="15">
      <c r="A453" s="98">
        <v>4549</v>
      </c>
      <c r="B453">
        <v>14.86</v>
      </c>
      <c r="C453">
        <v>14.03</v>
      </c>
      <c r="D453" t="s">
        <v>218</v>
      </c>
      <c r="E453" s="97">
        <v>-2.2000000000000001E-3</v>
      </c>
    </row>
    <row r="454" spans="1:5" ht="15">
      <c r="A454" s="98">
        <v>4548</v>
      </c>
      <c r="B454">
        <v>14.56</v>
      </c>
      <c r="C454">
        <v>12.55</v>
      </c>
      <c r="D454" t="s">
        <v>218</v>
      </c>
      <c r="E454" s="97">
        <v>1.4200000000000001E-2</v>
      </c>
    </row>
    <row r="455" spans="1:5" ht="15">
      <c r="A455" s="98">
        <v>4547</v>
      </c>
      <c r="B455">
        <v>14.38</v>
      </c>
      <c r="C455">
        <v>13.48</v>
      </c>
      <c r="D455" t="s">
        <v>218</v>
      </c>
      <c r="E455" s="97">
        <v>-3.1699999999999999E-2</v>
      </c>
    </row>
    <row r="456" spans="1:5" ht="15">
      <c r="A456" s="98">
        <v>4546</v>
      </c>
      <c r="B456">
        <v>13.77</v>
      </c>
      <c r="C456">
        <v>13.13</v>
      </c>
      <c r="D456" t="s">
        <v>218</v>
      </c>
      <c r="E456" s="97">
        <v>1.29E-2</v>
      </c>
    </row>
    <row r="457" spans="1:5" ht="15">
      <c r="A457" s="98">
        <v>4545</v>
      </c>
      <c r="B457">
        <v>14.7</v>
      </c>
      <c r="C457">
        <v>14.03</v>
      </c>
      <c r="D457" t="s">
        <v>218</v>
      </c>
      <c r="E457" s="97">
        <v>2.1299999999999999E-2</v>
      </c>
    </row>
    <row r="458" spans="1:5" ht="15">
      <c r="A458" s="98">
        <v>4544</v>
      </c>
      <c r="B458">
        <v>14.33</v>
      </c>
      <c r="C458">
        <v>13.85</v>
      </c>
      <c r="D458" t="s">
        <v>218</v>
      </c>
      <c r="E458" s="97">
        <v>-0.08</v>
      </c>
    </row>
    <row r="459" spans="1:5" ht="15">
      <c r="A459" s="98">
        <v>4543</v>
      </c>
      <c r="B459">
        <v>14.72</v>
      </c>
      <c r="C459">
        <v>13.39</v>
      </c>
      <c r="D459" t="s">
        <v>218</v>
      </c>
      <c r="E459" s="97">
        <v>-4.8800000000000003E-2</v>
      </c>
    </row>
    <row r="460" spans="1:5" ht="15">
      <c r="A460" s="98">
        <v>4542</v>
      </c>
      <c r="B460">
        <v>16.989999999999998</v>
      </c>
      <c r="C460">
        <v>14.41</v>
      </c>
      <c r="D460" t="s">
        <v>218</v>
      </c>
      <c r="E460" s="97">
        <v>-5.8999999999999997E-2</v>
      </c>
    </row>
    <row r="461" spans="1:5" ht="15">
      <c r="A461" s="98">
        <v>4541</v>
      </c>
      <c r="B461">
        <v>15.9</v>
      </c>
      <c r="C461">
        <v>14.63</v>
      </c>
      <c r="D461" t="s">
        <v>218</v>
      </c>
      <c r="E461" s="97">
        <v>6.1699999999999998E-2</v>
      </c>
    </row>
    <row r="462" spans="1:5" ht="15">
      <c r="A462" s="98">
        <v>4540</v>
      </c>
      <c r="B462">
        <v>14.8</v>
      </c>
      <c r="C462">
        <v>14.25</v>
      </c>
      <c r="D462" t="s">
        <v>218</v>
      </c>
      <c r="E462" s="97">
        <v>2.1499999999999998E-2</v>
      </c>
    </row>
    <row r="463" spans="1:5" ht="15">
      <c r="A463" s="98">
        <v>4539</v>
      </c>
      <c r="B463">
        <v>14.08</v>
      </c>
      <c r="C463">
        <v>13.43</v>
      </c>
      <c r="D463" t="s">
        <v>218</v>
      </c>
      <c r="E463" s="97">
        <v>-2.76E-2</v>
      </c>
    </row>
    <row r="464" spans="1:5" ht="15">
      <c r="A464" s="98">
        <v>4538</v>
      </c>
      <c r="B464">
        <v>13.98</v>
      </c>
      <c r="C464">
        <v>13.39</v>
      </c>
      <c r="D464" t="s">
        <v>218</v>
      </c>
      <c r="E464" s="97">
        <v>1.7399999999999999E-2</v>
      </c>
    </row>
    <row r="465" spans="1:5" ht="15">
      <c r="A465" s="98">
        <v>4537</v>
      </c>
      <c r="B465">
        <v>13.64</v>
      </c>
      <c r="C465">
        <v>13.09</v>
      </c>
      <c r="D465" t="s">
        <v>218</v>
      </c>
      <c r="E465" s="97">
        <v>-1.7999999999999999E-2</v>
      </c>
    </row>
    <row r="466" spans="1:5" ht="15">
      <c r="A466" s="98">
        <v>4536</v>
      </c>
      <c r="B466">
        <v>13.08</v>
      </c>
      <c r="C466">
        <v>12.12</v>
      </c>
      <c r="D466" t="s">
        <v>218</v>
      </c>
      <c r="E466" s="97">
        <v>2.1299999999999999E-2</v>
      </c>
    </row>
    <row r="467" spans="1:5" ht="15">
      <c r="A467" s="98">
        <v>4535</v>
      </c>
      <c r="B467">
        <v>13.45</v>
      </c>
      <c r="C467">
        <v>12.66</v>
      </c>
      <c r="D467" t="s">
        <v>218</v>
      </c>
      <c r="E467" s="97">
        <v>-3.9600000000000003E-2</v>
      </c>
    </row>
    <row r="468" spans="1:5" ht="15">
      <c r="A468" s="98">
        <v>4534</v>
      </c>
      <c r="B468">
        <v>13.99</v>
      </c>
      <c r="C468">
        <v>12.78</v>
      </c>
      <c r="D468" t="s">
        <v>218</v>
      </c>
      <c r="E468" s="97">
        <v>-3.3300000000000003E-2</v>
      </c>
    </row>
    <row r="469" spans="1:5" ht="15">
      <c r="A469" s="98">
        <v>4533</v>
      </c>
      <c r="B469">
        <v>13.03</v>
      </c>
      <c r="C469">
        <v>12.11</v>
      </c>
      <c r="D469" t="s">
        <v>218</v>
      </c>
      <c r="E469" s="97">
        <v>-3.27E-2</v>
      </c>
    </row>
    <row r="470" spans="1:5" ht="15">
      <c r="A470" s="98">
        <v>4532</v>
      </c>
      <c r="B470">
        <v>13.19</v>
      </c>
      <c r="C470">
        <v>12.31</v>
      </c>
      <c r="D470" t="s">
        <v>218</v>
      </c>
      <c r="E470" s="97">
        <v>-1.84E-2</v>
      </c>
    </row>
    <row r="471" spans="1:5" ht="15">
      <c r="A471" s="98">
        <v>4531</v>
      </c>
      <c r="B471">
        <v>13.45</v>
      </c>
      <c r="C471">
        <v>12.61</v>
      </c>
      <c r="D471" t="s">
        <v>218</v>
      </c>
      <c r="E471" s="97">
        <v>3.3099999999999997E-2</v>
      </c>
    </row>
    <row r="472" spans="1:5" ht="15">
      <c r="A472" s="98">
        <v>4530</v>
      </c>
      <c r="B472">
        <v>14.1</v>
      </c>
      <c r="C472">
        <v>13.01</v>
      </c>
      <c r="D472" t="s">
        <v>218</v>
      </c>
      <c r="E472" s="97">
        <v>-3.6999999999999998E-2</v>
      </c>
    </row>
    <row r="473" spans="1:5" ht="15">
      <c r="A473" s="98">
        <v>4529</v>
      </c>
      <c r="B473">
        <v>13.97</v>
      </c>
      <c r="C473">
        <v>13.14</v>
      </c>
      <c r="D473" t="s">
        <v>218</v>
      </c>
      <c r="E473" s="97">
        <v>7.3499999999999996E-2</v>
      </c>
    </row>
    <row r="474" spans="1:5" ht="15">
      <c r="A474" s="98">
        <v>4528</v>
      </c>
      <c r="B474">
        <v>13.9</v>
      </c>
      <c r="C474">
        <v>12.94</v>
      </c>
      <c r="D474" t="s">
        <v>218</v>
      </c>
      <c r="E474" s="97">
        <v>5.6899999999999999E-2</v>
      </c>
    </row>
    <row r="475" spans="1:5" ht="15">
      <c r="A475" s="98">
        <v>4527</v>
      </c>
      <c r="B475">
        <v>13.01</v>
      </c>
      <c r="C475">
        <v>12.47</v>
      </c>
      <c r="D475" t="s">
        <v>218</v>
      </c>
      <c r="E475" s="97">
        <v>-2.0299999999999999E-2</v>
      </c>
    </row>
    <row r="476" spans="1:5" ht="15">
      <c r="A476" s="98">
        <v>4526</v>
      </c>
      <c r="B476">
        <v>12.8</v>
      </c>
      <c r="C476">
        <v>12.35</v>
      </c>
      <c r="D476" t="s">
        <v>218</v>
      </c>
      <c r="E476" s="97">
        <v>-1.26E-2</v>
      </c>
    </row>
    <row r="477" spans="1:5" ht="15">
      <c r="A477" s="98">
        <v>4525</v>
      </c>
      <c r="B477">
        <v>13.27</v>
      </c>
      <c r="C477">
        <v>12.17</v>
      </c>
      <c r="D477" t="s">
        <v>218</v>
      </c>
      <c r="E477" s="97">
        <v>-7.7100000000000002E-2</v>
      </c>
    </row>
    <row r="478" spans="1:5" ht="15">
      <c r="A478" s="98">
        <v>4524</v>
      </c>
      <c r="B478">
        <v>12.34</v>
      </c>
      <c r="C478">
        <v>11.73</v>
      </c>
      <c r="D478" t="s">
        <v>218</v>
      </c>
      <c r="E478" s="97">
        <v>-6.8199999999999997E-2</v>
      </c>
    </row>
    <row r="479" spans="1:5" ht="15">
      <c r="A479" s="98">
        <v>4523</v>
      </c>
      <c r="B479">
        <v>11.96</v>
      </c>
      <c r="C479">
        <v>11.61</v>
      </c>
      <c r="D479" t="s">
        <v>218</v>
      </c>
      <c r="E479" s="97">
        <v>2.5899999999999999E-2</v>
      </c>
    </row>
    <row r="480" spans="1:5" ht="15">
      <c r="A480" s="98">
        <v>4522</v>
      </c>
      <c r="B480">
        <v>12.8</v>
      </c>
      <c r="C480">
        <v>11.81</v>
      </c>
      <c r="D480" t="s">
        <v>218</v>
      </c>
      <c r="E480" s="97">
        <v>-3.27E-2</v>
      </c>
    </row>
    <row r="481" spans="1:5" ht="15">
      <c r="A481" s="98">
        <v>4521</v>
      </c>
      <c r="B481">
        <v>12.7</v>
      </c>
      <c r="C481">
        <v>10.57</v>
      </c>
      <c r="D481" t="s">
        <v>218</v>
      </c>
      <c r="E481" s="97">
        <v>-3.5700000000000003E-2</v>
      </c>
    </row>
    <row r="482" spans="1:5" ht="15">
      <c r="A482" s="98">
        <v>4520</v>
      </c>
      <c r="B482">
        <v>12.26</v>
      </c>
      <c r="C482">
        <v>11.52</v>
      </c>
      <c r="D482" t="s">
        <v>218</v>
      </c>
      <c r="E482" s="97">
        <v>2.4799999999999999E-2</v>
      </c>
    </row>
    <row r="483" spans="1:5" ht="15">
      <c r="A483" s="98">
        <v>4519</v>
      </c>
      <c r="B483">
        <v>11.96</v>
      </c>
      <c r="C483">
        <v>10.93</v>
      </c>
      <c r="D483" t="s">
        <v>218</v>
      </c>
      <c r="E483" s="97">
        <v>-1.01E-2</v>
      </c>
    </row>
    <row r="484" spans="1:5" ht="15">
      <c r="A484" s="98">
        <v>4518</v>
      </c>
      <c r="B484">
        <v>11.92</v>
      </c>
      <c r="C484">
        <v>10.9</v>
      </c>
      <c r="D484" t="s">
        <v>218</v>
      </c>
      <c r="E484" s="97">
        <v>-2.69E-2</v>
      </c>
    </row>
    <row r="485" spans="1:5" ht="15">
      <c r="A485" s="98">
        <v>4517</v>
      </c>
      <c r="B485">
        <v>11.64</v>
      </c>
      <c r="C485">
        <v>11.04</v>
      </c>
      <c r="D485" t="s">
        <v>218</v>
      </c>
      <c r="E485" s="97">
        <v>-0.1376</v>
      </c>
    </row>
    <row r="486" spans="1:5" ht="15">
      <c r="A486" s="98">
        <v>4516</v>
      </c>
      <c r="B486">
        <v>11.35</v>
      </c>
      <c r="C486">
        <v>10.06</v>
      </c>
      <c r="D486" t="s">
        <v>218</v>
      </c>
      <c r="E486" s="97">
        <v>6.7000000000000004E-2</v>
      </c>
    </row>
    <row r="487" spans="1:5" ht="15">
      <c r="A487" s="98">
        <v>4515</v>
      </c>
      <c r="B487">
        <v>11.98</v>
      </c>
      <c r="C487">
        <v>10.47</v>
      </c>
      <c r="D487" t="s">
        <v>218</v>
      </c>
      <c r="E487" s="97">
        <v>1.9199999999999998E-2</v>
      </c>
    </row>
    <row r="488" spans="1:5" ht="15">
      <c r="A488" s="98">
        <v>4514</v>
      </c>
      <c r="B488">
        <v>13.17</v>
      </c>
      <c r="C488">
        <v>10.82</v>
      </c>
      <c r="D488" t="s">
        <v>218</v>
      </c>
      <c r="E488" s="97">
        <v>1.04E-2</v>
      </c>
    </row>
    <row r="489" spans="1:5" ht="15">
      <c r="A489" s="98">
        <v>4513</v>
      </c>
      <c r="B489">
        <v>13.18</v>
      </c>
      <c r="C489">
        <v>12.14</v>
      </c>
      <c r="D489" t="s">
        <v>218</v>
      </c>
      <c r="E489" s="97">
        <v>1.1599999999999999E-2</v>
      </c>
    </row>
    <row r="490" spans="1:5" ht="15">
      <c r="A490" s="98">
        <v>4512</v>
      </c>
      <c r="B490">
        <v>12.67</v>
      </c>
      <c r="C490">
        <v>10.15</v>
      </c>
      <c r="D490" t="s">
        <v>218</v>
      </c>
      <c r="E490" s="97">
        <v>4.0000000000000001E-3</v>
      </c>
    </row>
    <row r="491" spans="1:5" ht="15">
      <c r="A491" s="98">
        <v>4511</v>
      </c>
      <c r="B491">
        <v>12.21</v>
      </c>
      <c r="C491">
        <v>10.88</v>
      </c>
      <c r="D491" t="s">
        <v>218</v>
      </c>
      <c r="E491" s="97">
        <v>-1.4E-2</v>
      </c>
    </row>
    <row r="492" spans="1:5" ht="15">
      <c r="A492" s="98">
        <v>4510</v>
      </c>
      <c r="B492">
        <v>11.34</v>
      </c>
      <c r="C492">
        <v>10.07</v>
      </c>
      <c r="D492" t="s">
        <v>218</v>
      </c>
      <c r="E492" s="97">
        <v>-9.2700000000000005E-2</v>
      </c>
    </row>
    <row r="493" spans="1:5" ht="15">
      <c r="A493" s="98">
        <v>4509</v>
      </c>
      <c r="B493">
        <v>11.51</v>
      </c>
      <c r="C493">
        <v>10.15</v>
      </c>
      <c r="D493" t="s">
        <v>218</v>
      </c>
      <c r="E493" s="97">
        <v>-4.6399999999999997E-2</v>
      </c>
    </row>
    <row r="494" spans="1:5" ht="15">
      <c r="A494" s="98">
        <v>4508</v>
      </c>
      <c r="B494">
        <v>11.44</v>
      </c>
      <c r="C494">
        <v>10.27</v>
      </c>
      <c r="D494" t="s">
        <v>218</v>
      </c>
      <c r="E494" s="97">
        <v>-6.7900000000000002E-2</v>
      </c>
    </row>
    <row r="495" spans="1:5" ht="15">
      <c r="A495" s="98">
        <v>4507</v>
      </c>
      <c r="B495">
        <v>12.22</v>
      </c>
      <c r="C495">
        <v>11.12</v>
      </c>
      <c r="D495" t="s">
        <v>218</v>
      </c>
      <c r="E495" s="97">
        <v>1.44E-2</v>
      </c>
    </row>
    <row r="496" spans="1:5" ht="15">
      <c r="A496" s="98">
        <v>4506</v>
      </c>
      <c r="B496">
        <v>14.86</v>
      </c>
      <c r="C496">
        <v>11.02</v>
      </c>
      <c r="D496" t="s">
        <v>218</v>
      </c>
      <c r="E496" s="97">
        <v>6.2899999999999998E-2</v>
      </c>
    </row>
    <row r="497" spans="1:5" ht="15">
      <c r="A497" s="98">
        <v>4505</v>
      </c>
      <c r="B497">
        <v>15.42</v>
      </c>
      <c r="C497">
        <v>13.11</v>
      </c>
      <c r="D497" t="s">
        <v>218</v>
      </c>
      <c r="E497" s="97">
        <v>-2.86E-2</v>
      </c>
    </row>
    <row r="498" spans="1:5" ht="15">
      <c r="A498" s="98">
        <v>4504</v>
      </c>
      <c r="B498">
        <v>12.34</v>
      </c>
      <c r="C498">
        <v>11.11</v>
      </c>
      <c r="D498" t="s">
        <v>218</v>
      </c>
      <c r="E498" s="97">
        <v>2.8400000000000002E-2</v>
      </c>
    </row>
    <row r="499" spans="1:5" ht="15">
      <c r="A499" s="98">
        <v>4503</v>
      </c>
      <c r="B499">
        <v>13.01</v>
      </c>
      <c r="C499">
        <v>10.65</v>
      </c>
      <c r="D499" t="s">
        <v>218</v>
      </c>
      <c r="E499" s="97">
        <v>-7.2700000000000001E-2</v>
      </c>
    </row>
    <row r="500" spans="1:5" ht="15">
      <c r="A500" s="98">
        <v>4502</v>
      </c>
      <c r="B500">
        <v>11.58</v>
      </c>
      <c r="C500">
        <v>10.97</v>
      </c>
      <c r="D500" t="s">
        <v>218</v>
      </c>
      <c r="E500" s="97">
        <v>2.98E-2</v>
      </c>
    </row>
    <row r="501" spans="1:5" ht="15">
      <c r="A501" s="98">
        <v>4501</v>
      </c>
      <c r="B501">
        <v>11.87</v>
      </c>
      <c r="C501">
        <v>11.48</v>
      </c>
      <c r="D501" t="s">
        <v>218</v>
      </c>
      <c r="E501" s="97">
        <v>7.3400000000000007E-2</v>
      </c>
    </row>
    <row r="502" spans="1:5" ht="15">
      <c r="A502" s="98">
        <v>4500</v>
      </c>
      <c r="B502">
        <v>12.65</v>
      </c>
      <c r="C502">
        <v>11.19</v>
      </c>
      <c r="D502" t="s">
        <v>218</v>
      </c>
      <c r="E502" s="97">
        <v>2.8999999999999998E-3</v>
      </c>
    </row>
    <row r="503" spans="1:5" ht="15">
      <c r="A503" s="98">
        <v>4499</v>
      </c>
      <c r="B503">
        <v>12.37</v>
      </c>
      <c r="C503">
        <v>11.9</v>
      </c>
      <c r="D503" t="s">
        <v>218</v>
      </c>
      <c r="E503" s="97">
        <v>3.6299999999999999E-2</v>
      </c>
    </row>
    <row r="504" spans="1:5" ht="15">
      <c r="A504" s="98">
        <v>4498</v>
      </c>
      <c r="B504">
        <v>13.14</v>
      </c>
      <c r="C504">
        <v>12.31</v>
      </c>
      <c r="D504" t="s">
        <v>218</v>
      </c>
      <c r="E504" s="97">
        <v>-8.4400000000000003E-2</v>
      </c>
    </row>
    <row r="505" spans="1:5" ht="15">
      <c r="A505" s="98">
        <v>4497</v>
      </c>
      <c r="B505">
        <v>13.39</v>
      </c>
      <c r="C505">
        <v>12.19</v>
      </c>
      <c r="D505" t="s">
        <v>218</v>
      </c>
      <c r="E505" s="97">
        <v>-9.2600000000000002E-2</v>
      </c>
    </row>
    <row r="506" spans="1:5" ht="15">
      <c r="A506" s="98">
        <v>4496</v>
      </c>
      <c r="B506">
        <v>12.29</v>
      </c>
      <c r="C506">
        <v>11.45</v>
      </c>
      <c r="D506" t="s">
        <v>218</v>
      </c>
      <c r="E506" s="97">
        <v>0.31590000000000001</v>
      </c>
    </row>
    <row r="507" spans="1:5" ht="15">
      <c r="A507" s="98">
        <v>4495</v>
      </c>
      <c r="B507">
        <v>14.23</v>
      </c>
      <c r="C507">
        <v>11.23</v>
      </c>
      <c r="D507" t="s">
        <v>218</v>
      </c>
      <c r="E507" s="97">
        <v>-7.9399999999999998E-2</v>
      </c>
    </row>
    <row r="508" spans="1:5" ht="15">
      <c r="A508" s="98">
        <v>4494</v>
      </c>
      <c r="B508">
        <v>14.74</v>
      </c>
      <c r="C508">
        <v>13.55</v>
      </c>
      <c r="D508" t="s">
        <v>218</v>
      </c>
      <c r="E508" s="97">
        <v>-1.03E-2</v>
      </c>
    </row>
    <row r="509" spans="1:5" ht="15">
      <c r="A509" s="98">
        <v>4493</v>
      </c>
      <c r="B509">
        <v>13.22</v>
      </c>
      <c r="C509">
        <v>12.44</v>
      </c>
      <c r="D509" t="s">
        <v>218</v>
      </c>
      <c r="E509" s="97">
        <v>-1.11E-2</v>
      </c>
    </row>
    <row r="510" spans="1:5" ht="15">
      <c r="A510" s="98">
        <v>4492</v>
      </c>
      <c r="B510">
        <v>15.48</v>
      </c>
      <c r="C510">
        <v>13.04</v>
      </c>
      <c r="D510" t="s">
        <v>218</v>
      </c>
      <c r="E510" s="97">
        <v>-6.8400000000000002E-2</v>
      </c>
    </row>
    <row r="511" spans="1:5" ht="15">
      <c r="A511" s="98">
        <v>4491</v>
      </c>
      <c r="B511">
        <v>16.87</v>
      </c>
      <c r="C511">
        <v>15.65</v>
      </c>
      <c r="D511" t="s">
        <v>218</v>
      </c>
      <c r="E511" s="97">
        <v>-5.8400000000000001E-2</v>
      </c>
    </row>
    <row r="512" spans="1:5" ht="15">
      <c r="A512" s="98">
        <v>4490</v>
      </c>
      <c r="B512">
        <v>16.100000000000001</v>
      </c>
      <c r="C512">
        <v>14.62</v>
      </c>
      <c r="D512" t="s">
        <v>218</v>
      </c>
      <c r="E512" s="97">
        <v>0.1605</v>
      </c>
    </row>
    <row r="513" spans="1:5" ht="15">
      <c r="A513" s="98">
        <v>4489</v>
      </c>
      <c r="B513">
        <v>15</v>
      </c>
      <c r="C513">
        <v>14.15</v>
      </c>
      <c r="D513" t="s">
        <v>218</v>
      </c>
      <c r="E513" s="97">
        <v>0.22140000000000001</v>
      </c>
    </row>
    <row r="514" spans="1:5" ht="15">
      <c r="A514" s="98">
        <v>4488</v>
      </c>
      <c r="B514">
        <v>15.13</v>
      </c>
      <c r="C514">
        <v>14.03</v>
      </c>
      <c r="D514" t="s">
        <v>218</v>
      </c>
      <c r="E514" s="97">
        <v>-3.6499999999999998E-2</v>
      </c>
    </row>
    <row r="515" spans="1:5" ht="15">
      <c r="A515" s="98">
        <v>4487</v>
      </c>
      <c r="B515">
        <v>15.33</v>
      </c>
      <c r="C515">
        <v>14.09</v>
      </c>
      <c r="D515" t="s">
        <v>218</v>
      </c>
      <c r="E515" s="97">
        <v>-0.1474</v>
      </c>
    </row>
    <row r="516" spans="1:5" ht="15">
      <c r="A516" s="98">
        <v>4486</v>
      </c>
      <c r="B516">
        <v>14.31</v>
      </c>
      <c r="C516">
        <v>13.55</v>
      </c>
      <c r="D516" t="s">
        <v>218</v>
      </c>
      <c r="E516" s="97">
        <v>-7.3200000000000001E-2</v>
      </c>
    </row>
    <row r="517" spans="1:5" ht="15">
      <c r="A517" s="98">
        <v>4485</v>
      </c>
      <c r="B517">
        <v>14.36</v>
      </c>
      <c r="C517">
        <v>13.54</v>
      </c>
      <c r="D517" t="s">
        <v>218</v>
      </c>
      <c r="E517" s="97">
        <v>0.1012</v>
      </c>
    </row>
    <row r="518" spans="1:5" ht="15">
      <c r="A518" s="98">
        <v>4484</v>
      </c>
      <c r="B518">
        <v>13.57</v>
      </c>
      <c r="C518">
        <v>12.59</v>
      </c>
      <c r="D518" t="s">
        <v>218</v>
      </c>
      <c r="E518" s="97">
        <v>-6.5799999999999997E-2</v>
      </c>
    </row>
    <row r="519" spans="1:5" ht="15">
      <c r="A519" s="98">
        <v>4483</v>
      </c>
      <c r="B519">
        <v>13.53</v>
      </c>
      <c r="C519">
        <v>12.52</v>
      </c>
      <c r="D519" t="s">
        <v>218</v>
      </c>
      <c r="E519" s="97">
        <v>-9.9500000000000005E-2</v>
      </c>
    </row>
    <row r="520" spans="1:5" ht="15">
      <c r="A520" s="98">
        <v>4482</v>
      </c>
      <c r="B520">
        <v>13.67</v>
      </c>
      <c r="C520">
        <v>13.32</v>
      </c>
      <c r="D520" t="s">
        <v>218</v>
      </c>
      <c r="E520" s="97">
        <v>9.9000000000000008E-3</v>
      </c>
    </row>
    <row r="521" spans="1:5" ht="15">
      <c r="A521" s="98">
        <v>4481</v>
      </c>
      <c r="B521">
        <v>12.99</v>
      </c>
      <c r="C521">
        <v>12.5</v>
      </c>
      <c r="D521" t="s">
        <v>218</v>
      </c>
      <c r="E521" s="97">
        <v>9.1300000000000006E-2</v>
      </c>
    </row>
    <row r="522" spans="1:5" ht="15">
      <c r="A522" s="98">
        <v>4480</v>
      </c>
      <c r="B522">
        <v>12.99</v>
      </c>
      <c r="C522">
        <v>12.28</v>
      </c>
      <c r="D522" t="s">
        <v>218</v>
      </c>
      <c r="E522" s="97">
        <v>-5.4800000000000001E-2</v>
      </c>
    </row>
    <row r="523" spans="1:5" ht="15">
      <c r="A523" s="98">
        <v>4479</v>
      </c>
      <c r="B523">
        <v>12.65</v>
      </c>
      <c r="C523">
        <v>11.91</v>
      </c>
      <c r="D523" t="s">
        <v>218</v>
      </c>
      <c r="E523" s="97">
        <v>0.18240000000000001</v>
      </c>
    </row>
    <row r="524" spans="1:5" ht="15">
      <c r="A524" s="98">
        <v>4478</v>
      </c>
      <c r="B524">
        <v>12.34</v>
      </c>
      <c r="C524">
        <v>12.05</v>
      </c>
      <c r="D524" t="s">
        <v>218</v>
      </c>
      <c r="E524" s="97">
        <v>-8.0100000000000005E-2</v>
      </c>
    </row>
    <row r="525" spans="1:5" ht="15">
      <c r="A525" s="98">
        <v>4477</v>
      </c>
      <c r="B525">
        <v>12.42</v>
      </c>
      <c r="C525">
        <v>11.39</v>
      </c>
      <c r="D525" t="s">
        <v>218</v>
      </c>
      <c r="E525" s="97">
        <v>-1.7899999999999999E-2</v>
      </c>
    </row>
    <row r="526" spans="1:5" ht="15">
      <c r="A526" s="98">
        <v>4476</v>
      </c>
      <c r="B526">
        <v>13.04</v>
      </c>
      <c r="C526">
        <v>12.35</v>
      </c>
      <c r="D526" t="s">
        <v>218</v>
      </c>
      <c r="E526" s="97">
        <v>-4.87E-2</v>
      </c>
    </row>
    <row r="527" spans="1:5" ht="15">
      <c r="A527" s="98">
        <v>4475</v>
      </c>
      <c r="B527">
        <v>12.87</v>
      </c>
      <c r="C527">
        <v>11.11</v>
      </c>
      <c r="D527" t="s">
        <v>218</v>
      </c>
      <c r="E527" s="97">
        <v>-4.7999999999999996E-3</v>
      </c>
    </row>
    <row r="528" spans="1:5" ht="15">
      <c r="A528" s="98">
        <v>4474</v>
      </c>
      <c r="B528">
        <v>13.48</v>
      </c>
      <c r="C528">
        <v>12.42</v>
      </c>
      <c r="D528" t="s">
        <v>218</v>
      </c>
      <c r="E528" s="97">
        <v>-8.7800000000000003E-2</v>
      </c>
    </row>
    <row r="529" spans="1:5" ht="15">
      <c r="A529" s="98">
        <v>4473</v>
      </c>
      <c r="B529">
        <v>14.04</v>
      </c>
      <c r="C529">
        <v>13.37</v>
      </c>
      <c r="D529" t="s">
        <v>218</v>
      </c>
      <c r="E529" s="97">
        <v>-1.9E-3</v>
      </c>
    </row>
    <row r="530" spans="1:5" ht="15">
      <c r="A530" s="98">
        <v>4472</v>
      </c>
      <c r="B530">
        <v>14.68</v>
      </c>
      <c r="C530">
        <v>13.51</v>
      </c>
      <c r="D530" t="s">
        <v>218</v>
      </c>
      <c r="E530" s="97">
        <v>-4.07E-2</v>
      </c>
    </row>
    <row r="531" spans="1:5" ht="15">
      <c r="A531" s="98">
        <v>4471</v>
      </c>
      <c r="B531">
        <v>14.77</v>
      </c>
      <c r="C531">
        <v>14.04</v>
      </c>
      <c r="D531" t="s">
        <v>218</v>
      </c>
      <c r="E531" s="97">
        <v>-7.3700000000000002E-2</v>
      </c>
    </row>
    <row r="532" spans="1:5" ht="15">
      <c r="A532" s="98">
        <v>4470</v>
      </c>
      <c r="B532">
        <v>14.11</v>
      </c>
      <c r="C532">
        <v>13.43</v>
      </c>
      <c r="D532" t="s">
        <v>218</v>
      </c>
      <c r="E532" s="97">
        <v>-0.1019</v>
      </c>
    </row>
    <row r="533" spans="1:5" ht="15">
      <c r="A533" s="98">
        <v>4469</v>
      </c>
      <c r="B533">
        <v>15.4</v>
      </c>
      <c r="C533">
        <v>14.17</v>
      </c>
      <c r="D533" t="s">
        <v>218</v>
      </c>
      <c r="E533" s="97">
        <v>5.8000000000000003E-2</v>
      </c>
    </row>
    <row r="534" spans="1:5" ht="15">
      <c r="A534" s="98">
        <v>4468</v>
      </c>
      <c r="B534">
        <v>14.99</v>
      </c>
      <c r="C534">
        <v>14.43</v>
      </c>
      <c r="D534" t="s">
        <v>218</v>
      </c>
      <c r="E534" s="97">
        <v>0.1061</v>
      </c>
    </row>
    <row r="535" spans="1:5" ht="15">
      <c r="A535" s="98">
        <v>4467</v>
      </c>
      <c r="B535">
        <v>15.42</v>
      </c>
      <c r="C535">
        <v>14.61</v>
      </c>
      <c r="D535" t="s">
        <v>218</v>
      </c>
      <c r="E535" s="97">
        <v>-5.45E-2</v>
      </c>
    </row>
    <row r="536" spans="1:5" ht="15">
      <c r="A536" s="98">
        <v>4466</v>
      </c>
      <c r="B536">
        <v>15.6</v>
      </c>
      <c r="C536">
        <v>14.68</v>
      </c>
      <c r="D536" t="s">
        <v>218</v>
      </c>
      <c r="E536" s="97">
        <v>8.9399999999999993E-2</v>
      </c>
    </row>
    <row r="537" spans="1:5" ht="15">
      <c r="A537" s="98">
        <v>4465</v>
      </c>
      <c r="B537">
        <v>16.309999999999999</v>
      </c>
      <c r="C537">
        <v>15.64</v>
      </c>
      <c r="D537" t="s">
        <v>218</v>
      </c>
      <c r="E537" s="97">
        <v>-3.3599999999999998E-2</v>
      </c>
    </row>
    <row r="538" spans="1:5" ht="15">
      <c r="A538" s="98">
        <v>4464</v>
      </c>
      <c r="B538">
        <v>16.350000000000001</v>
      </c>
      <c r="C538">
        <v>14.93</v>
      </c>
      <c r="D538" t="s">
        <v>218</v>
      </c>
      <c r="E538" s="97">
        <v>-5.4100000000000002E-2</v>
      </c>
    </row>
    <row r="539" spans="1:5" ht="15">
      <c r="A539" s="98">
        <v>4463</v>
      </c>
      <c r="B539">
        <v>17.18</v>
      </c>
      <c r="C539">
        <v>16.170000000000002</v>
      </c>
      <c r="D539" t="s">
        <v>218</v>
      </c>
      <c r="E539" s="97">
        <v>-2.3999999999999998E-3</v>
      </c>
    </row>
    <row r="540" spans="1:5" ht="15">
      <c r="A540" s="98">
        <v>4462</v>
      </c>
      <c r="B540">
        <v>15.56</v>
      </c>
      <c r="C540">
        <v>14.47</v>
      </c>
      <c r="D540" t="s">
        <v>218</v>
      </c>
      <c r="E540" s="97">
        <v>0.108</v>
      </c>
    </row>
    <row r="541" spans="1:5" ht="15">
      <c r="A541" s="98">
        <v>4461</v>
      </c>
      <c r="B541">
        <v>14.57</v>
      </c>
      <c r="C541">
        <v>14</v>
      </c>
      <c r="D541" t="s">
        <v>218</v>
      </c>
      <c r="E541" s="97">
        <v>0.13569999999999999</v>
      </c>
    </row>
    <row r="542" spans="1:5" ht="15">
      <c r="A542" s="98">
        <v>4460</v>
      </c>
      <c r="B542">
        <v>15.81</v>
      </c>
      <c r="C542">
        <v>14.64</v>
      </c>
      <c r="D542" t="s">
        <v>218</v>
      </c>
      <c r="E542" s="97">
        <v>4.0000000000000001E-3</v>
      </c>
    </row>
    <row r="543" spans="1:5" ht="15">
      <c r="A543" s="98">
        <v>4459</v>
      </c>
      <c r="B543">
        <v>16.39</v>
      </c>
      <c r="C543">
        <v>15.44</v>
      </c>
      <c r="D543" t="s">
        <v>218</v>
      </c>
      <c r="E543" s="97">
        <v>5.6500000000000002E-2</v>
      </c>
    </row>
    <row r="544" spans="1:5" ht="15">
      <c r="A544" s="98">
        <v>4458</v>
      </c>
      <c r="B544">
        <v>17.03</v>
      </c>
      <c r="C544">
        <v>16.45</v>
      </c>
      <c r="D544" t="s">
        <v>218</v>
      </c>
      <c r="E544" s="97">
        <v>-3.1E-2</v>
      </c>
    </row>
    <row r="545" spans="1:5" ht="15">
      <c r="A545" s="98">
        <v>4457</v>
      </c>
      <c r="B545">
        <v>16.84</v>
      </c>
      <c r="C545">
        <v>15.36</v>
      </c>
      <c r="D545" t="s">
        <v>218</v>
      </c>
      <c r="E545" s="97">
        <v>-7.5999999999999998E-2</v>
      </c>
    </row>
    <row r="546" spans="1:5" ht="15">
      <c r="A546" s="98">
        <v>4456</v>
      </c>
      <c r="B546">
        <v>17.39</v>
      </c>
      <c r="C546">
        <v>16.37</v>
      </c>
      <c r="D546" t="s">
        <v>218</v>
      </c>
      <c r="E546" s="97">
        <v>-6.2600000000000003E-2</v>
      </c>
    </row>
    <row r="547" spans="1:5" ht="15">
      <c r="A547" s="98">
        <v>4455</v>
      </c>
      <c r="B547">
        <v>17.920000000000002</v>
      </c>
      <c r="C547">
        <v>16.670000000000002</v>
      </c>
      <c r="D547" t="s">
        <v>218</v>
      </c>
      <c r="E547" s="97">
        <v>-4.3499999999999997E-2</v>
      </c>
    </row>
    <row r="548" spans="1:5" ht="15">
      <c r="A548" s="98">
        <v>4454</v>
      </c>
      <c r="B548">
        <v>17.03</v>
      </c>
      <c r="C548">
        <v>16.2</v>
      </c>
      <c r="D548" t="s">
        <v>218</v>
      </c>
      <c r="E548" s="97">
        <v>1.8E-3</v>
      </c>
    </row>
    <row r="549" spans="1:5" ht="15">
      <c r="A549" s="98">
        <v>4453</v>
      </c>
      <c r="B549">
        <v>16.68</v>
      </c>
      <c r="C549">
        <v>16.100000000000001</v>
      </c>
      <c r="D549" t="s">
        <v>218</v>
      </c>
      <c r="E549" s="97">
        <v>0.12239999999999999</v>
      </c>
    </row>
    <row r="550" spans="1:5" ht="15">
      <c r="A550" s="98">
        <v>4452</v>
      </c>
      <c r="B550">
        <v>16.579999999999998</v>
      </c>
      <c r="C550">
        <v>16.03</v>
      </c>
      <c r="D550" t="s">
        <v>218</v>
      </c>
      <c r="E550" s="97">
        <v>2.8199999999999999E-2</v>
      </c>
    </row>
    <row r="551" spans="1:5" ht="15">
      <c r="A551" s="98">
        <v>4451</v>
      </c>
      <c r="B551">
        <v>17.100000000000001</v>
      </c>
      <c r="C551">
        <v>16.41</v>
      </c>
      <c r="D551" t="s">
        <v>218</v>
      </c>
      <c r="E551" s="97">
        <v>-9.7799999999999998E-2</v>
      </c>
    </row>
    <row r="552" spans="1:5" ht="15">
      <c r="A552" s="98">
        <v>4450</v>
      </c>
      <c r="B552">
        <v>21.36</v>
      </c>
      <c r="C552">
        <v>17.5</v>
      </c>
      <c r="D552" t="s">
        <v>218</v>
      </c>
      <c r="E552" s="97">
        <v>9.0800000000000006E-2</v>
      </c>
    </row>
    <row r="553" spans="1:5" ht="15">
      <c r="A553" s="98">
        <v>4449</v>
      </c>
      <c r="B553">
        <v>21.26</v>
      </c>
      <c r="C553">
        <v>17.29</v>
      </c>
      <c r="D553" t="s">
        <v>218</v>
      </c>
      <c r="E553" s="97">
        <v>6.6000000000000003E-2</v>
      </c>
    </row>
    <row r="554" spans="1:5" ht="15">
      <c r="A554" s="98">
        <v>4448</v>
      </c>
      <c r="B554">
        <v>19.809999999999999</v>
      </c>
      <c r="C554">
        <v>18.22</v>
      </c>
      <c r="D554" t="s">
        <v>218</v>
      </c>
      <c r="E554" s="97">
        <v>6.3E-3</v>
      </c>
    </row>
    <row r="555" spans="1:5" ht="15">
      <c r="A555" s="98">
        <v>4447</v>
      </c>
      <c r="B555">
        <v>18.87</v>
      </c>
      <c r="C555">
        <v>18.02</v>
      </c>
      <c r="D555" t="s">
        <v>218</v>
      </c>
      <c r="E555" s="97">
        <v>-3.8600000000000002E-2</v>
      </c>
    </row>
    <row r="556" spans="1:5" ht="15">
      <c r="A556" s="98">
        <v>4446</v>
      </c>
      <c r="B556">
        <v>18.2</v>
      </c>
      <c r="C556">
        <v>16.93</v>
      </c>
      <c r="D556" t="s">
        <v>218</v>
      </c>
      <c r="E556" s="97">
        <v>1.89E-2</v>
      </c>
    </row>
    <row r="557" spans="1:5" ht="15">
      <c r="A557" s="98">
        <v>4445</v>
      </c>
      <c r="B557">
        <v>17.100000000000001</v>
      </c>
      <c r="C557">
        <v>14.98</v>
      </c>
      <c r="D557" t="s">
        <v>218</v>
      </c>
      <c r="E557" s="97">
        <v>-9.2999999999999999E-2</v>
      </c>
    </row>
    <row r="558" spans="1:5" ht="15">
      <c r="A558" s="98">
        <v>4444</v>
      </c>
      <c r="B558">
        <v>17.39</v>
      </c>
      <c r="C558">
        <v>16.489999999999998</v>
      </c>
      <c r="D558" t="s">
        <v>218</v>
      </c>
      <c r="E558" s="97">
        <v>-0.10489999999999999</v>
      </c>
    </row>
    <row r="559" spans="1:5" ht="15">
      <c r="A559" s="98">
        <v>4443</v>
      </c>
      <c r="B559">
        <v>18.420000000000002</v>
      </c>
      <c r="C559">
        <v>16.809999999999999</v>
      </c>
      <c r="D559" t="s">
        <v>218</v>
      </c>
      <c r="E559" s="97">
        <v>0.1075</v>
      </c>
    </row>
    <row r="560" spans="1:5" ht="15">
      <c r="A560" s="98">
        <v>4442</v>
      </c>
      <c r="B560">
        <v>19.45</v>
      </c>
      <c r="C560">
        <v>18.28</v>
      </c>
      <c r="D560" t="s">
        <v>218</v>
      </c>
      <c r="E560" s="97">
        <v>-1.0200000000000001E-2</v>
      </c>
    </row>
    <row r="561" spans="1:5" ht="15">
      <c r="A561" s="98">
        <v>4441</v>
      </c>
      <c r="B561">
        <v>18.36</v>
      </c>
      <c r="C561">
        <v>17.579999999999998</v>
      </c>
      <c r="D561" t="s">
        <v>218</v>
      </c>
      <c r="E561" s="97">
        <v>-0.1454</v>
      </c>
    </row>
    <row r="562" spans="1:5" ht="15">
      <c r="A562" s="98">
        <v>4440</v>
      </c>
      <c r="B562">
        <v>17.420000000000002</v>
      </c>
      <c r="C562">
        <v>16.93</v>
      </c>
      <c r="D562" t="s">
        <v>218</v>
      </c>
      <c r="E562" s="97">
        <v>-1.4200000000000001E-2</v>
      </c>
    </row>
    <row r="563" spans="1:5" ht="15">
      <c r="A563" s="98">
        <v>4439</v>
      </c>
      <c r="B563">
        <v>17.98</v>
      </c>
      <c r="C563">
        <v>17.12</v>
      </c>
      <c r="D563" t="s">
        <v>218</v>
      </c>
      <c r="E563" s="97">
        <v>8.8999999999999999E-3</v>
      </c>
    </row>
    <row r="564" spans="1:5" ht="15">
      <c r="A564" s="98">
        <v>4438</v>
      </c>
      <c r="B564">
        <v>18.260000000000002</v>
      </c>
      <c r="C564">
        <v>17.66</v>
      </c>
      <c r="D564" t="s">
        <v>218</v>
      </c>
      <c r="E564" s="97">
        <v>0.35120000000000001</v>
      </c>
    </row>
    <row r="565" spans="1:5" ht="15">
      <c r="A565" s="98">
        <v>4437</v>
      </c>
      <c r="B565">
        <v>18.3</v>
      </c>
      <c r="C565">
        <v>17.309999999999999</v>
      </c>
      <c r="D565" t="s">
        <v>218</v>
      </c>
      <c r="E565" s="97">
        <v>-3.8699999999999998E-2</v>
      </c>
    </row>
    <row r="566" spans="1:5" ht="15">
      <c r="A566" s="98">
        <v>4436</v>
      </c>
      <c r="B566">
        <v>18.32</v>
      </c>
      <c r="C566">
        <v>17.68</v>
      </c>
      <c r="D566" t="s">
        <v>218</v>
      </c>
      <c r="E566" s="97">
        <v>3.0700000000000002E-2</v>
      </c>
    </row>
    <row r="567" spans="1:5" ht="15">
      <c r="A567" s="98">
        <v>4435</v>
      </c>
      <c r="B567">
        <v>18.88</v>
      </c>
      <c r="C567">
        <v>18.03</v>
      </c>
      <c r="D567" t="s">
        <v>218</v>
      </c>
      <c r="E567" s="97">
        <v>-0.1235</v>
      </c>
    </row>
    <row r="568" spans="1:5" ht="15">
      <c r="A568" s="98">
        <v>4434</v>
      </c>
      <c r="B568">
        <v>18.71</v>
      </c>
      <c r="C568">
        <v>17.88</v>
      </c>
      <c r="D568" t="s">
        <v>218</v>
      </c>
      <c r="E568" s="97">
        <v>-6.7699999999999996E-2</v>
      </c>
    </row>
    <row r="569" spans="1:5" ht="15">
      <c r="A569" s="98">
        <v>4433</v>
      </c>
      <c r="B569">
        <v>17.34</v>
      </c>
      <c r="C569">
        <v>16.27</v>
      </c>
      <c r="D569" t="s">
        <v>218</v>
      </c>
      <c r="E569" s="97">
        <v>-9.2799999999999994E-2</v>
      </c>
    </row>
    <row r="570" spans="1:5" ht="15">
      <c r="A570" s="98">
        <v>4432</v>
      </c>
      <c r="B570">
        <v>16.559999999999999</v>
      </c>
      <c r="C570">
        <v>16.16</v>
      </c>
      <c r="D570" t="s">
        <v>218</v>
      </c>
      <c r="E570" s="97">
        <v>0.22620000000000001</v>
      </c>
    </row>
    <row r="571" spans="1:5" ht="15">
      <c r="A571" s="98">
        <v>4431</v>
      </c>
      <c r="B571">
        <v>16.2</v>
      </c>
      <c r="C571">
        <v>15.89</v>
      </c>
      <c r="D571" t="s">
        <v>218</v>
      </c>
      <c r="E571" s="97">
        <v>-0.26960000000000001</v>
      </c>
    </row>
    <row r="572" spans="1:5" ht="15">
      <c r="A572" s="98">
        <v>4430</v>
      </c>
      <c r="B572">
        <v>20.78</v>
      </c>
      <c r="C572">
        <v>18.149999999999999</v>
      </c>
      <c r="D572" t="s">
        <v>218</v>
      </c>
      <c r="E572" s="97">
        <v>0.5</v>
      </c>
    </row>
    <row r="573" spans="1:5" ht="15">
      <c r="A573" s="98">
        <v>4429</v>
      </c>
      <c r="B573">
        <v>17.420000000000002</v>
      </c>
      <c r="C573">
        <v>16.96</v>
      </c>
      <c r="D573" t="s">
        <v>218</v>
      </c>
      <c r="E573" s="97">
        <v>1.0699999999999999E-2</v>
      </c>
    </row>
    <row r="574" spans="1:5" ht="15">
      <c r="A574" s="98">
        <v>4428</v>
      </c>
      <c r="B574">
        <v>20.46</v>
      </c>
      <c r="C574">
        <v>17.52</v>
      </c>
      <c r="D574" t="s">
        <v>218</v>
      </c>
      <c r="E574" s="97">
        <v>0.35410000000000003</v>
      </c>
    </row>
    <row r="575" spans="1:5" ht="15">
      <c r="A575" s="98">
        <v>4427</v>
      </c>
      <c r="B575">
        <v>21.09</v>
      </c>
      <c r="C575">
        <v>19.23</v>
      </c>
      <c r="D575" t="s">
        <v>218</v>
      </c>
      <c r="E575" s="97">
        <v>-5.6899999999999999E-2</v>
      </c>
    </row>
    <row r="576" spans="1:5" ht="15">
      <c r="A576" s="98">
        <v>4426</v>
      </c>
      <c r="B576">
        <v>18.73</v>
      </c>
      <c r="C576">
        <v>17.309999999999999</v>
      </c>
      <c r="D576" t="s">
        <v>218</v>
      </c>
      <c r="E576" s="97">
        <v>4.7800000000000002E-2</v>
      </c>
    </row>
    <row r="577" spans="1:5" ht="15">
      <c r="A577" s="98">
        <v>4425</v>
      </c>
      <c r="B577">
        <v>17.54</v>
      </c>
      <c r="C577">
        <v>16.82</v>
      </c>
      <c r="D577" t="s">
        <v>218</v>
      </c>
      <c r="E577" s="97">
        <v>-6.3E-2</v>
      </c>
    </row>
    <row r="578" spans="1:5" ht="15">
      <c r="A578" s="98">
        <v>4424</v>
      </c>
      <c r="B578">
        <v>16.559999999999999</v>
      </c>
      <c r="C578">
        <v>16.21</v>
      </c>
      <c r="D578" t="s">
        <v>218</v>
      </c>
      <c r="E578" s="97">
        <v>6.3600000000000004E-2</v>
      </c>
    </row>
    <row r="579" spans="1:5" ht="15">
      <c r="A579" s="98">
        <v>4423</v>
      </c>
      <c r="B579">
        <v>17.3</v>
      </c>
      <c r="C579">
        <v>16.36</v>
      </c>
      <c r="D579" t="s">
        <v>218</v>
      </c>
      <c r="E579" s="97">
        <v>3.3099999999999997E-2</v>
      </c>
    </row>
    <row r="580" spans="1:5" ht="15">
      <c r="A580" s="98">
        <v>4422</v>
      </c>
      <c r="B580">
        <v>17.059999999999999</v>
      </c>
      <c r="C580">
        <v>16.239999999999998</v>
      </c>
      <c r="D580" t="s">
        <v>218</v>
      </c>
      <c r="E580" s="97">
        <v>0.13589999999999999</v>
      </c>
    </row>
    <row r="581" spans="1:5" ht="15">
      <c r="A581" s="98">
        <v>4421</v>
      </c>
      <c r="B581">
        <v>15.4</v>
      </c>
      <c r="C581">
        <v>14.3</v>
      </c>
      <c r="D581" t="s">
        <v>218</v>
      </c>
      <c r="E581" s="97">
        <v>4.5499999999999999E-2</v>
      </c>
    </row>
    <row r="582" spans="1:5" ht="15">
      <c r="A582" s="98">
        <v>4420</v>
      </c>
      <c r="B582">
        <v>15.7</v>
      </c>
      <c r="C582">
        <v>14.76</v>
      </c>
      <c r="D582" t="s">
        <v>218</v>
      </c>
      <c r="E582" s="97">
        <v>0.1045</v>
      </c>
    </row>
    <row r="583" spans="1:5" ht="15">
      <c r="A583" s="98">
        <v>4419</v>
      </c>
      <c r="B583">
        <v>15.46</v>
      </c>
      <c r="C583">
        <v>14.89</v>
      </c>
      <c r="D583" t="s">
        <v>218</v>
      </c>
      <c r="E583" s="97">
        <v>-2.3E-3</v>
      </c>
    </row>
    <row r="584" spans="1:5" ht="15">
      <c r="A584" s="98">
        <v>4418</v>
      </c>
      <c r="B584">
        <v>15.13</v>
      </c>
      <c r="C584">
        <v>13.99</v>
      </c>
      <c r="D584" t="s">
        <v>218</v>
      </c>
      <c r="E584" s="97">
        <v>-8.0100000000000005E-2</v>
      </c>
    </row>
    <row r="585" spans="1:5" ht="15">
      <c r="A585" s="98">
        <v>4417</v>
      </c>
      <c r="B585">
        <v>15.35</v>
      </c>
      <c r="C585">
        <v>14.59</v>
      </c>
      <c r="D585" t="s">
        <v>218</v>
      </c>
      <c r="E585" s="97">
        <v>-6.1999999999999998E-3</v>
      </c>
    </row>
    <row r="586" spans="1:5" ht="15">
      <c r="A586" s="98">
        <v>4416</v>
      </c>
      <c r="B586">
        <v>14.93</v>
      </c>
      <c r="C586">
        <v>14.46</v>
      </c>
      <c r="D586" t="s">
        <v>218</v>
      </c>
      <c r="E586" s="97">
        <v>-8.3099999999999993E-2</v>
      </c>
    </row>
    <row r="587" spans="1:5" ht="15">
      <c r="A587" s="98">
        <v>4415</v>
      </c>
      <c r="B587">
        <v>15.67</v>
      </c>
      <c r="C587">
        <v>15.35</v>
      </c>
      <c r="D587" t="s">
        <v>218</v>
      </c>
      <c r="E587" s="97">
        <v>7.2700000000000001E-2</v>
      </c>
    </row>
    <row r="588" spans="1:5" ht="15">
      <c r="A588" s="98">
        <v>4414</v>
      </c>
      <c r="B588">
        <v>16.010000000000002</v>
      </c>
      <c r="C588">
        <v>15.71</v>
      </c>
      <c r="D588" t="s">
        <v>218</v>
      </c>
      <c r="E588" s="97">
        <v>-6.1100000000000002E-2</v>
      </c>
    </row>
    <row r="589" spans="1:5" ht="15">
      <c r="A589" s="98">
        <v>4413</v>
      </c>
      <c r="B589">
        <v>16.87</v>
      </c>
      <c r="C589">
        <v>15.75</v>
      </c>
      <c r="D589" t="s">
        <v>218</v>
      </c>
      <c r="E589" s="97">
        <v>4.4699999999999997E-2</v>
      </c>
    </row>
    <row r="590" spans="1:5" ht="15">
      <c r="A590" s="98">
        <v>4412</v>
      </c>
      <c r="B590">
        <v>18.96</v>
      </c>
      <c r="C590">
        <v>16.72</v>
      </c>
      <c r="D590" t="s">
        <v>218</v>
      </c>
      <c r="E590" s="97">
        <v>2E-3</v>
      </c>
    </row>
    <row r="591" spans="1:5" ht="15">
      <c r="A591" s="98">
        <v>4411</v>
      </c>
      <c r="B591">
        <v>17.39</v>
      </c>
      <c r="C591">
        <v>15.56</v>
      </c>
      <c r="D591" t="s">
        <v>218</v>
      </c>
      <c r="E591" s="97">
        <v>8.0500000000000002E-2</v>
      </c>
    </row>
    <row r="592" spans="1:5" ht="15">
      <c r="A592" s="98">
        <v>4410</v>
      </c>
      <c r="B592">
        <v>17.87</v>
      </c>
      <c r="C592">
        <v>16.72</v>
      </c>
      <c r="D592" t="s">
        <v>218</v>
      </c>
      <c r="E592" s="97">
        <v>0.153</v>
      </c>
    </row>
    <row r="593" spans="1:5" ht="15">
      <c r="A593" s="98">
        <v>4409</v>
      </c>
      <c r="B593">
        <v>17.239999999999998</v>
      </c>
      <c r="C593">
        <v>16.52</v>
      </c>
      <c r="D593" t="s">
        <v>218</v>
      </c>
      <c r="E593" s="97">
        <v>0</v>
      </c>
    </row>
    <row r="594" spans="1:5" ht="15">
      <c r="A594" s="98">
        <v>4408</v>
      </c>
      <c r="B594">
        <v>18.690000000000001</v>
      </c>
      <c r="C594">
        <v>15.78</v>
      </c>
      <c r="D594" t="s">
        <v>218</v>
      </c>
      <c r="E594" s="97">
        <v>-2.3900000000000001E-2</v>
      </c>
    </row>
    <row r="595" spans="1:5" ht="15">
      <c r="A595" s="98">
        <v>4407</v>
      </c>
      <c r="B595">
        <v>17.05</v>
      </c>
      <c r="C595">
        <v>15.38</v>
      </c>
      <c r="D595" t="s">
        <v>218</v>
      </c>
      <c r="E595" s="97">
        <v>1.7399999999999999E-2</v>
      </c>
    </row>
    <row r="596" spans="1:5" ht="15">
      <c r="A596" s="98">
        <v>4406</v>
      </c>
      <c r="B596">
        <v>16.32</v>
      </c>
      <c r="C596">
        <v>15.3</v>
      </c>
      <c r="D596" t="s">
        <v>218</v>
      </c>
      <c r="E596" s="97">
        <v>1.2E-2</v>
      </c>
    </row>
    <row r="597" spans="1:5" ht="15">
      <c r="A597" s="98">
        <v>4405</v>
      </c>
      <c r="B597">
        <v>16.260000000000002</v>
      </c>
      <c r="C597">
        <v>14.88</v>
      </c>
      <c r="D597" t="s">
        <v>218</v>
      </c>
      <c r="E597" s="97">
        <v>-3.9300000000000002E-2</v>
      </c>
    </row>
    <row r="598" spans="1:5" ht="15">
      <c r="A598" s="98">
        <v>4404</v>
      </c>
      <c r="B598">
        <v>15.18</v>
      </c>
      <c r="C598">
        <v>14.66</v>
      </c>
      <c r="D598" t="s">
        <v>218</v>
      </c>
      <c r="E598" s="97">
        <v>-4.3400000000000001E-2</v>
      </c>
    </row>
    <row r="599" spans="1:5" ht="15">
      <c r="A599" s="98">
        <v>4403</v>
      </c>
      <c r="B599">
        <v>15.83</v>
      </c>
      <c r="C599">
        <v>14.57</v>
      </c>
      <c r="D599" t="s">
        <v>218</v>
      </c>
      <c r="E599" s="97">
        <v>-9.9099999999999994E-2</v>
      </c>
    </row>
    <row r="600" spans="1:5" ht="15">
      <c r="A600" s="98">
        <v>4402</v>
      </c>
      <c r="B600">
        <v>16.010000000000002</v>
      </c>
      <c r="C600">
        <v>15.53</v>
      </c>
      <c r="D600" t="s">
        <v>218</v>
      </c>
      <c r="E600" s="97">
        <v>-6.7599999999999993E-2</v>
      </c>
    </row>
    <row r="601" spans="1:5" ht="15">
      <c r="A601" s="98">
        <v>4401</v>
      </c>
      <c r="B601">
        <v>15.2</v>
      </c>
      <c r="C601">
        <v>14.56</v>
      </c>
      <c r="D601" t="s">
        <v>218</v>
      </c>
      <c r="E601" s="97">
        <v>-2.5600000000000001E-2</v>
      </c>
    </row>
    <row r="602" spans="1:5" ht="15">
      <c r="A602" s="98">
        <v>4400</v>
      </c>
      <c r="B602">
        <v>16.36</v>
      </c>
      <c r="C602">
        <v>14.89</v>
      </c>
      <c r="D602" t="s">
        <v>218</v>
      </c>
      <c r="E602" s="97">
        <v>9.3799999999999994E-2</v>
      </c>
    </row>
    <row r="603" spans="1:5" ht="15">
      <c r="A603" s="98">
        <v>4399</v>
      </c>
      <c r="B603">
        <v>16.37</v>
      </c>
      <c r="C603">
        <v>15.59</v>
      </c>
      <c r="D603" t="s">
        <v>218</v>
      </c>
      <c r="E603" s="97">
        <v>4.1599999999999998E-2</v>
      </c>
    </row>
    <row r="604" spans="1:5" ht="15">
      <c r="A604" s="98">
        <v>4398</v>
      </c>
      <c r="B604">
        <v>16.100000000000001</v>
      </c>
      <c r="C604">
        <v>15.46</v>
      </c>
      <c r="D604" t="s">
        <v>218</v>
      </c>
      <c r="E604" s="97">
        <v>-1.7999999999999999E-2</v>
      </c>
    </row>
    <row r="605" spans="1:5" ht="15">
      <c r="A605" s="98">
        <v>4397</v>
      </c>
      <c r="B605">
        <v>16.41</v>
      </c>
      <c r="C605">
        <v>15.73</v>
      </c>
      <c r="D605" t="s">
        <v>218</v>
      </c>
      <c r="E605" s="97">
        <v>-5.6500000000000002E-2</v>
      </c>
    </row>
    <row r="606" spans="1:5" ht="15">
      <c r="A606" s="98">
        <v>4396</v>
      </c>
      <c r="B606">
        <v>15.76</v>
      </c>
      <c r="C606">
        <v>15.44</v>
      </c>
      <c r="D606" t="s">
        <v>218</v>
      </c>
      <c r="E606" s="97">
        <v>-8.5099999999999995E-2</v>
      </c>
    </row>
    <row r="607" spans="1:5" ht="15">
      <c r="A607" s="98">
        <v>4395</v>
      </c>
      <c r="B607">
        <v>16.97</v>
      </c>
      <c r="C607">
        <v>16.04</v>
      </c>
      <c r="D607" t="s">
        <v>218</v>
      </c>
      <c r="E607" s="97">
        <v>-3.8699999999999998E-2</v>
      </c>
    </row>
    <row r="608" spans="1:5" ht="15">
      <c r="A608" s="98">
        <v>4394</v>
      </c>
      <c r="B608">
        <v>17.75</v>
      </c>
      <c r="C608">
        <v>16.75</v>
      </c>
      <c r="D608" t="s">
        <v>218</v>
      </c>
      <c r="E608" s="97">
        <v>6.6100000000000006E-2</v>
      </c>
    </row>
    <row r="609" spans="1:5" ht="15">
      <c r="A609" s="98">
        <v>4393</v>
      </c>
      <c r="B609">
        <v>17.14</v>
      </c>
      <c r="C609">
        <v>16.010000000000002</v>
      </c>
      <c r="D609" t="s">
        <v>218</v>
      </c>
      <c r="E609" s="97">
        <v>0.1676</v>
      </c>
    </row>
    <row r="610" spans="1:5" ht="15">
      <c r="A610" s="98">
        <v>4392</v>
      </c>
      <c r="B610">
        <v>16.29</v>
      </c>
      <c r="C610">
        <v>15.5</v>
      </c>
      <c r="D610" t="s">
        <v>218</v>
      </c>
      <c r="E610" s="97">
        <v>-6.88E-2</v>
      </c>
    </row>
    <row r="611" spans="1:5" ht="15">
      <c r="A611" s="98">
        <v>4391</v>
      </c>
      <c r="B611">
        <v>17.03</v>
      </c>
      <c r="C611">
        <v>16.579999999999998</v>
      </c>
      <c r="D611" t="s">
        <v>218</v>
      </c>
      <c r="E611" s="97">
        <v>3.9800000000000002E-2</v>
      </c>
    </row>
    <row r="612" spans="1:5" ht="15">
      <c r="A612" s="98">
        <v>4390</v>
      </c>
      <c r="B612">
        <v>16.39</v>
      </c>
      <c r="C612">
        <v>16.12</v>
      </c>
      <c r="D612" t="s">
        <v>218</v>
      </c>
      <c r="E612" s="97">
        <v>6.13E-2</v>
      </c>
    </row>
    <row r="613" spans="1:5" ht="15">
      <c r="A613" s="98">
        <v>4389</v>
      </c>
      <c r="B613">
        <v>16.45</v>
      </c>
      <c r="C613">
        <v>15.93</v>
      </c>
      <c r="D613" t="s">
        <v>218</v>
      </c>
      <c r="E613" s="97">
        <v>-5.4300000000000001E-2</v>
      </c>
    </row>
    <row r="614" spans="1:5" ht="15">
      <c r="A614" s="98">
        <v>4388</v>
      </c>
      <c r="B614">
        <v>16.86</v>
      </c>
      <c r="C614">
        <v>16.329999999999998</v>
      </c>
      <c r="D614" t="s">
        <v>218</v>
      </c>
      <c r="E614" s="97">
        <v>3.9800000000000002E-2</v>
      </c>
    </row>
    <row r="615" spans="1:5" ht="15">
      <c r="A615" s="98">
        <v>4387</v>
      </c>
      <c r="B615">
        <v>17.690000000000001</v>
      </c>
      <c r="C615">
        <v>16.100000000000001</v>
      </c>
      <c r="D615" t="s">
        <v>218</v>
      </c>
      <c r="E615" s="97">
        <v>-2.2700000000000001E-2</v>
      </c>
    </row>
    <row r="616" spans="1:5" ht="15">
      <c r="A616" s="98">
        <v>4386</v>
      </c>
      <c r="B616">
        <v>17.16</v>
      </c>
      <c r="C616">
        <v>16.55</v>
      </c>
      <c r="D616" t="s">
        <v>218</v>
      </c>
      <c r="E616" s="97">
        <v>3.0099999999999998E-2</v>
      </c>
    </row>
    <row r="617" spans="1:5" ht="15">
      <c r="A617" s="98">
        <v>4385</v>
      </c>
      <c r="B617">
        <v>16.82</v>
      </c>
      <c r="C617">
        <v>16</v>
      </c>
      <c r="D617" t="s">
        <v>218</v>
      </c>
      <c r="E617" s="97">
        <v>-7.7000000000000002E-3</v>
      </c>
    </row>
    <row r="618" spans="1:5" ht="15">
      <c r="A618" s="98">
        <v>4384</v>
      </c>
      <c r="B618">
        <v>17.2</v>
      </c>
      <c r="C618">
        <v>16.350000000000001</v>
      </c>
      <c r="D618" t="s">
        <v>218</v>
      </c>
      <c r="E618" s="97">
        <v>-1.15E-2</v>
      </c>
    </row>
    <row r="619" spans="1:5" ht="15">
      <c r="A619" s="98">
        <v>4383</v>
      </c>
      <c r="B619">
        <v>17.670000000000002</v>
      </c>
      <c r="C619">
        <v>16.8</v>
      </c>
      <c r="D619" t="s">
        <v>218</v>
      </c>
      <c r="E619" s="97">
        <v>0.1845</v>
      </c>
    </row>
    <row r="620" spans="1:5" ht="15">
      <c r="A620" s="98">
        <v>4382</v>
      </c>
      <c r="B620">
        <v>18.88</v>
      </c>
      <c r="C620">
        <v>16.7</v>
      </c>
      <c r="D620" t="s">
        <v>218</v>
      </c>
      <c r="E620" s="97">
        <v>-3.32E-2</v>
      </c>
    </row>
    <row r="621" spans="1:5" ht="15">
      <c r="A621" s="98">
        <v>4381</v>
      </c>
      <c r="B621">
        <v>17.899999999999999</v>
      </c>
      <c r="C621">
        <v>17.11</v>
      </c>
      <c r="D621" t="s">
        <v>218</v>
      </c>
      <c r="E621" s="97">
        <v>-6.7999999999999996E-3</v>
      </c>
    </row>
    <row r="622" spans="1:5" ht="15">
      <c r="A622" s="98">
        <v>4380</v>
      </c>
      <c r="B622">
        <v>17.47</v>
      </c>
      <c r="C622">
        <v>16.64</v>
      </c>
      <c r="D622" t="s">
        <v>218</v>
      </c>
      <c r="E622" s="97">
        <v>-5.74E-2</v>
      </c>
    </row>
    <row r="623" spans="1:5" ht="15">
      <c r="A623" s="98">
        <v>4379</v>
      </c>
      <c r="B623">
        <v>17.71</v>
      </c>
      <c r="C623">
        <v>17.18</v>
      </c>
      <c r="D623" t="s">
        <v>218</v>
      </c>
      <c r="E623" s="97">
        <v>-4.2099999999999999E-2</v>
      </c>
    </row>
    <row r="624" spans="1:5" ht="15">
      <c r="A624" s="98">
        <v>4378</v>
      </c>
      <c r="B624">
        <v>17.309999999999999</v>
      </c>
      <c r="C624">
        <v>16.73</v>
      </c>
      <c r="D624" t="s">
        <v>218</v>
      </c>
      <c r="E624" s="97">
        <v>-2.46E-2</v>
      </c>
    </row>
    <row r="625" spans="1:5" ht="15">
      <c r="A625" s="98">
        <v>4377</v>
      </c>
      <c r="B625">
        <v>16.12</v>
      </c>
      <c r="C625">
        <v>14.53</v>
      </c>
      <c r="D625" t="s">
        <v>218</v>
      </c>
      <c r="E625" s="97">
        <v>4.82E-2</v>
      </c>
    </row>
    <row r="626" spans="1:5" ht="15">
      <c r="A626" s="98">
        <v>4376</v>
      </c>
      <c r="B626">
        <v>16.38</v>
      </c>
      <c r="C626">
        <v>15.75</v>
      </c>
      <c r="D626" t="s">
        <v>218</v>
      </c>
      <c r="E626" s="97">
        <v>0.1231</v>
      </c>
    </row>
    <row r="627" spans="1:5" ht="15">
      <c r="A627" s="98">
        <v>4375</v>
      </c>
      <c r="B627">
        <v>15.85</v>
      </c>
      <c r="C627">
        <v>15.39</v>
      </c>
      <c r="D627" t="s">
        <v>218</v>
      </c>
      <c r="E627" s="97">
        <v>-4.3700000000000003E-2</v>
      </c>
    </row>
    <row r="628" spans="1:5" ht="15">
      <c r="A628" s="98">
        <v>4374</v>
      </c>
      <c r="B628">
        <v>15.57</v>
      </c>
      <c r="C628">
        <v>14.95</v>
      </c>
      <c r="D628" t="s">
        <v>218</v>
      </c>
      <c r="E628" s="97">
        <v>-7.5200000000000003E-2</v>
      </c>
    </row>
    <row r="629" spans="1:5" ht="15">
      <c r="A629" s="98">
        <v>4373</v>
      </c>
      <c r="B629">
        <v>15.1</v>
      </c>
      <c r="C629">
        <v>14.15</v>
      </c>
      <c r="D629" t="s">
        <v>218</v>
      </c>
      <c r="E629" s="97">
        <v>-3.78E-2</v>
      </c>
    </row>
    <row r="630" spans="1:5" ht="15">
      <c r="A630" s="98">
        <v>4372</v>
      </c>
      <c r="B630">
        <v>13.92</v>
      </c>
      <c r="C630">
        <v>13.55</v>
      </c>
      <c r="D630" t="s">
        <v>218</v>
      </c>
      <c r="E630" s="97">
        <v>6.8500000000000005E-2</v>
      </c>
    </row>
    <row r="631" spans="1:5" ht="15">
      <c r="A631" s="98">
        <v>4371</v>
      </c>
      <c r="B631">
        <v>14.08</v>
      </c>
      <c r="C631">
        <v>13.75</v>
      </c>
      <c r="D631" t="s">
        <v>218</v>
      </c>
      <c r="E631" s="97">
        <v>6.4899999999999999E-2</v>
      </c>
    </row>
    <row r="632" spans="1:5" ht="15">
      <c r="A632" s="98">
        <v>4370</v>
      </c>
      <c r="B632">
        <v>14.45</v>
      </c>
      <c r="C632">
        <v>13.92</v>
      </c>
      <c r="D632" t="s">
        <v>218</v>
      </c>
      <c r="E632" s="97">
        <v>-5.4300000000000001E-2</v>
      </c>
    </row>
    <row r="633" spans="1:5" ht="15">
      <c r="A633" s="98">
        <v>4369</v>
      </c>
      <c r="B633">
        <v>14.66</v>
      </c>
      <c r="C633">
        <v>13.8</v>
      </c>
      <c r="D633" t="s">
        <v>218</v>
      </c>
      <c r="E633" s="97">
        <v>6.54E-2</v>
      </c>
    </row>
    <row r="634" spans="1:5" ht="15">
      <c r="A634" s="98">
        <v>4368</v>
      </c>
      <c r="B634">
        <v>16.84</v>
      </c>
      <c r="C634">
        <v>14.92</v>
      </c>
      <c r="D634" t="s">
        <v>218</v>
      </c>
      <c r="E634" s="97">
        <v>-7.2800000000000004E-2</v>
      </c>
    </row>
    <row r="635" spans="1:5" ht="15">
      <c r="A635" s="98">
        <v>4367</v>
      </c>
      <c r="B635">
        <v>16.829999999999998</v>
      </c>
      <c r="C635">
        <v>15.93</v>
      </c>
      <c r="D635" t="s">
        <v>218</v>
      </c>
      <c r="E635" s="97">
        <v>-6.7400000000000002E-2</v>
      </c>
    </row>
    <row r="636" spans="1:5" ht="15">
      <c r="A636" s="98">
        <v>4366</v>
      </c>
      <c r="B636">
        <v>16.02</v>
      </c>
      <c r="C636">
        <v>15.43</v>
      </c>
      <c r="D636" t="s">
        <v>218</v>
      </c>
      <c r="E636" s="97">
        <v>1.0999999999999999E-2</v>
      </c>
    </row>
    <row r="637" spans="1:5" ht="15">
      <c r="A637" s="98">
        <v>4365</v>
      </c>
      <c r="B637">
        <v>16.47</v>
      </c>
      <c r="C637">
        <v>15.51</v>
      </c>
      <c r="D637" t="s">
        <v>218</v>
      </c>
      <c r="E637" s="97">
        <v>6.5600000000000006E-2</v>
      </c>
    </row>
    <row r="638" spans="1:5" ht="15">
      <c r="A638" s="98">
        <v>4364</v>
      </c>
      <c r="B638">
        <v>19.2</v>
      </c>
      <c r="C638">
        <v>15.76</v>
      </c>
      <c r="D638" t="s">
        <v>218</v>
      </c>
      <c r="E638" s="97">
        <v>2.2800000000000001E-2</v>
      </c>
    </row>
    <row r="639" spans="1:5" ht="15">
      <c r="A639" s="98">
        <v>4363</v>
      </c>
      <c r="B639">
        <v>17.5</v>
      </c>
      <c r="C639">
        <v>16.79</v>
      </c>
      <c r="D639" t="s">
        <v>218</v>
      </c>
      <c r="E639" s="97">
        <v>4.4400000000000002E-2</v>
      </c>
    </row>
    <row r="640" spans="1:5" ht="15">
      <c r="A640" s="98">
        <v>4362</v>
      </c>
      <c r="B640">
        <v>20.11</v>
      </c>
      <c r="C640">
        <v>17.13</v>
      </c>
      <c r="D640" t="s">
        <v>218</v>
      </c>
      <c r="E640" s="97">
        <v>8.4099999999999994E-2</v>
      </c>
    </row>
    <row r="641" spans="1:5" ht="15">
      <c r="A641" s="98">
        <v>4361</v>
      </c>
      <c r="B641">
        <v>27.05</v>
      </c>
      <c r="C641">
        <v>19.48</v>
      </c>
      <c r="D641" t="s">
        <v>218</v>
      </c>
      <c r="E641" s="97">
        <v>8.8999999999999999E-3</v>
      </c>
    </row>
    <row r="642" spans="1:5" ht="15">
      <c r="A642" s="98">
        <v>4360</v>
      </c>
      <c r="B642">
        <v>20.34</v>
      </c>
      <c r="C642">
        <v>19.12</v>
      </c>
      <c r="D642" t="s">
        <v>218</v>
      </c>
      <c r="E642" s="97">
        <v>-4.7600000000000003E-2</v>
      </c>
    </row>
    <row r="643" spans="1:5" ht="15">
      <c r="A643" s="98">
        <v>4359</v>
      </c>
      <c r="B643">
        <v>19.57</v>
      </c>
      <c r="C643">
        <v>17.920000000000002</v>
      </c>
      <c r="D643" t="s">
        <v>218</v>
      </c>
      <c r="E643" s="97">
        <v>-1.7299999999999999E-2</v>
      </c>
    </row>
    <row r="644" spans="1:5" ht="15">
      <c r="A644" s="98">
        <v>4358</v>
      </c>
      <c r="B644">
        <v>17.86</v>
      </c>
      <c r="C644">
        <v>16.73</v>
      </c>
      <c r="D644" t="s">
        <v>218</v>
      </c>
      <c r="E644" s="97">
        <v>-9.4999999999999998E-3</v>
      </c>
    </row>
    <row r="645" spans="1:5" ht="15">
      <c r="A645" s="98">
        <v>4357</v>
      </c>
      <c r="B645">
        <v>21.31</v>
      </c>
      <c r="C645">
        <v>19.3</v>
      </c>
      <c r="D645" t="s">
        <v>218</v>
      </c>
      <c r="E645" s="97">
        <v>7.3499999999999996E-2</v>
      </c>
    </row>
    <row r="646" spans="1:5" ht="15">
      <c r="A646" s="98">
        <v>4356</v>
      </c>
      <c r="B646">
        <v>21.8</v>
      </c>
      <c r="C646">
        <v>19.28</v>
      </c>
      <c r="D646" t="s">
        <v>218</v>
      </c>
      <c r="E646" s="97">
        <v>-2.52E-2</v>
      </c>
    </row>
    <row r="647" spans="1:5" ht="15">
      <c r="A647" s="98">
        <v>4355</v>
      </c>
      <c r="B647">
        <v>24.19</v>
      </c>
      <c r="C647">
        <v>21.43</v>
      </c>
      <c r="D647" t="s">
        <v>218</v>
      </c>
      <c r="E647" s="97">
        <v>-4.8000000000000001E-2</v>
      </c>
    </row>
    <row r="648" spans="1:5" ht="15">
      <c r="A648" s="98">
        <v>4354</v>
      </c>
      <c r="B648">
        <v>19.690000000000001</v>
      </c>
      <c r="C648">
        <v>18.61</v>
      </c>
      <c r="D648" t="s">
        <v>218</v>
      </c>
      <c r="E648" s="97">
        <v>-6.6600000000000006E-2</v>
      </c>
    </row>
    <row r="649" spans="1:5" ht="15">
      <c r="A649" s="98">
        <v>4353</v>
      </c>
      <c r="B649">
        <v>18.8</v>
      </c>
      <c r="C649">
        <v>17.350000000000001</v>
      </c>
      <c r="D649" t="s">
        <v>218</v>
      </c>
      <c r="E649" s="97">
        <v>0.107</v>
      </c>
    </row>
    <row r="650" spans="1:5" ht="15">
      <c r="A650" s="98">
        <v>4352</v>
      </c>
      <c r="B650">
        <v>20.51</v>
      </c>
      <c r="C650">
        <v>18.440000000000001</v>
      </c>
      <c r="D650" t="s">
        <v>218</v>
      </c>
      <c r="E650" s="97">
        <v>-5.8400000000000001E-2</v>
      </c>
    </row>
    <row r="651" spans="1:5" ht="15">
      <c r="A651" s="98">
        <v>4351</v>
      </c>
      <c r="B651">
        <v>21.57</v>
      </c>
      <c r="C651">
        <v>19.829999999999998</v>
      </c>
      <c r="D651" t="s">
        <v>218</v>
      </c>
      <c r="E651" s="97">
        <v>-3.8399999999999997E-2</v>
      </c>
    </row>
    <row r="652" spans="1:5" ht="15">
      <c r="A652" s="98">
        <v>4350</v>
      </c>
      <c r="B652">
        <v>20.2</v>
      </c>
      <c r="C652">
        <v>19.27</v>
      </c>
      <c r="D652" t="s">
        <v>218</v>
      </c>
      <c r="E652" s="97">
        <v>-9.9000000000000008E-3</v>
      </c>
    </row>
    <row r="653" spans="1:5" ht="15">
      <c r="A653" s="98">
        <v>4349</v>
      </c>
      <c r="B653">
        <v>19.39</v>
      </c>
      <c r="C653">
        <v>18.23</v>
      </c>
      <c r="D653" t="s">
        <v>218</v>
      </c>
      <c r="E653" s="97">
        <v>3.0099999999999998E-2</v>
      </c>
    </row>
    <row r="654" spans="1:5" ht="15">
      <c r="A654" s="98">
        <v>4348</v>
      </c>
      <c r="B654">
        <v>17.489999999999998</v>
      </c>
      <c r="C654">
        <v>16.16</v>
      </c>
      <c r="D654" t="s">
        <v>218</v>
      </c>
      <c r="E654" s="97">
        <v>-7.1599999999999997E-2</v>
      </c>
    </row>
    <row r="655" spans="1:5" ht="15">
      <c r="A655" s="98">
        <v>4347</v>
      </c>
      <c r="B655">
        <v>17.54</v>
      </c>
      <c r="C655">
        <v>16.84</v>
      </c>
      <c r="D655" t="s">
        <v>218</v>
      </c>
      <c r="E655" s="97">
        <v>4.4400000000000002E-2</v>
      </c>
    </row>
    <row r="656" spans="1:5" ht="15">
      <c r="A656" s="98">
        <v>4346</v>
      </c>
      <c r="B656">
        <v>17.88</v>
      </c>
      <c r="C656">
        <v>16.93</v>
      </c>
      <c r="D656" t="s">
        <v>218</v>
      </c>
      <c r="E656" s="97">
        <v>1.24E-2</v>
      </c>
    </row>
    <row r="657" spans="1:5" ht="15">
      <c r="A657" s="98">
        <v>4345</v>
      </c>
      <c r="B657">
        <v>17.170000000000002</v>
      </c>
      <c r="C657">
        <v>16.22</v>
      </c>
      <c r="D657" t="s">
        <v>218</v>
      </c>
      <c r="E657" s="97">
        <v>-2.0299999999999999E-2</v>
      </c>
    </row>
    <row r="658" spans="1:5" ht="15">
      <c r="A658" s="98">
        <v>4344</v>
      </c>
      <c r="B658">
        <v>16.579999999999998</v>
      </c>
      <c r="C658">
        <v>15.97</v>
      </c>
      <c r="D658" t="s">
        <v>218</v>
      </c>
      <c r="E658" s="97">
        <v>-1.43E-2</v>
      </c>
    </row>
    <row r="659" spans="1:5" ht="15">
      <c r="A659" s="98">
        <v>4343</v>
      </c>
      <c r="B659">
        <v>16.53</v>
      </c>
      <c r="C659">
        <v>15.25</v>
      </c>
      <c r="D659" t="s">
        <v>218</v>
      </c>
      <c r="E659" s="97">
        <v>5.7000000000000002E-3</v>
      </c>
    </row>
    <row r="660" spans="1:5" ht="15">
      <c r="A660" s="98">
        <v>4342</v>
      </c>
      <c r="B660">
        <v>16.5</v>
      </c>
      <c r="C660">
        <v>15.45</v>
      </c>
      <c r="D660" t="s">
        <v>218</v>
      </c>
      <c r="E660" s="97">
        <v>-1.9199999999999998E-2</v>
      </c>
    </row>
    <row r="661" spans="1:5" ht="15">
      <c r="A661" s="98">
        <v>4341</v>
      </c>
      <c r="B661">
        <v>17</v>
      </c>
      <c r="C661">
        <v>15.71</v>
      </c>
      <c r="D661" t="s">
        <v>218</v>
      </c>
      <c r="E661" s="97">
        <v>1.6999999999999999E-3</v>
      </c>
    </row>
    <row r="662" spans="1:5" ht="15">
      <c r="A662" s="98">
        <v>4340</v>
      </c>
      <c r="B662">
        <v>16.61</v>
      </c>
      <c r="C662">
        <v>15.84</v>
      </c>
      <c r="D662" t="s">
        <v>218</v>
      </c>
      <c r="E662" s="97">
        <v>-2.4799999999999999E-2</v>
      </c>
    </row>
    <row r="663" spans="1:5" ht="15">
      <c r="A663" s="98">
        <v>4339</v>
      </c>
      <c r="B663">
        <v>16.09</v>
      </c>
      <c r="C663">
        <v>15.29</v>
      </c>
      <c r="D663" t="s">
        <v>218</v>
      </c>
      <c r="E663" s="97">
        <v>-6.5799999999999997E-2</v>
      </c>
    </row>
    <row r="664" spans="1:5" ht="15">
      <c r="A664" s="98">
        <v>4338</v>
      </c>
      <c r="B664">
        <v>15.73</v>
      </c>
      <c r="C664">
        <v>14.57</v>
      </c>
      <c r="D664" t="s">
        <v>218</v>
      </c>
      <c r="E664" s="97">
        <v>8.5400000000000004E-2</v>
      </c>
    </row>
    <row r="665" spans="1:5" ht="15">
      <c r="A665" s="98">
        <v>4337</v>
      </c>
      <c r="B665">
        <v>15.49</v>
      </c>
      <c r="C665">
        <v>15.22</v>
      </c>
      <c r="D665" t="s">
        <v>218</v>
      </c>
      <c r="E665" s="97">
        <v>-5.0000000000000001E-3</v>
      </c>
    </row>
    <row r="666" spans="1:5" ht="15">
      <c r="A666" s="98">
        <v>4336</v>
      </c>
      <c r="B666">
        <v>15.54</v>
      </c>
      <c r="C666">
        <v>14.73</v>
      </c>
      <c r="D666" t="s">
        <v>218</v>
      </c>
      <c r="E666" s="97">
        <v>-6.0999999999999999E-2</v>
      </c>
    </row>
    <row r="667" spans="1:5" ht="15">
      <c r="A667" s="98">
        <v>4335</v>
      </c>
      <c r="B667">
        <v>15.1</v>
      </c>
      <c r="C667">
        <v>14.51</v>
      </c>
      <c r="D667" t="s">
        <v>218</v>
      </c>
      <c r="E667" s="97">
        <v>-5.1499999999999997E-2</v>
      </c>
    </row>
    <row r="668" spans="1:5" ht="15">
      <c r="A668" s="98">
        <v>4334</v>
      </c>
      <c r="B668">
        <v>13.91</v>
      </c>
      <c r="C668">
        <v>13.22</v>
      </c>
      <c r="D668" t="s">
        <v>218</v>
      </c>
      <c r="E668" s="97">
        <v>-1.9400000000000001E-2</v>
      </c>
    </row>
    <row r="669" spans="1:5" ht="15">
      <c r="A669" s="98">
        <v>4333</v>
      </c>
      <c r="B669">
        <v>15.08</v>
      </c>
      <c r="C669">
        <v>13.67</v>
      </c>
      <c r="D669" t="s">
        <v>218</v>
      </c>
      <c r="E669" s="97">
        <v>-0.15670000000000001</v>
      </c>
    </row>
    <row r="670" spans="1:5" ht="15">
      <c r="A670" s="98">
        <v>4332</v>
      </c>
      <c r="B670">
        <v>15.66</v>
      </c>
      <c r="C670">
        <v>14.7</v>
      </c>
      <c r="D670" t="s">
        <v>218</v>
      </c>
      <c r="E670" s="97">
        <v>-7.3200000000000001E-2</v>
      </c>
    </row>
    <row r="671" spans="1:5" ht="15">
      <c r="A671" s="98">
        <v>4331</v>
      </c>
      <c r="B671">
        <v>15.62</v>
      </c>
      <c r="C671">
        <v>14.54</v>
      </c>
      <c r="D671" t="s">
        <v>218</v>
      </c>
      <c r="E671" s="97">
        <v>-0.1031</v>
      </c>
    </row>
    <row r="672" spans="1:5" ht="15">
      <c r="A672" s="98">
        <v>4330</v>
      </c>
      <c r="B672">
        <v>15.98</v>
      </c>
      <c r="C672">
        <v>14.84</v>
      </c>
      <c r="D672" t="s">
        <v>218</v>
      </c>
      <c r="E672" s="97">
        <v>0.2089</v>
      </c>
    </row>
    <row r="673" spans="1:5" ht="15">
      <c r="A673" s="98">
        <v>4329</v>
      </c>
      <c r="B673">
        <v>16.690000000000001</v>
      </c>
      <c r="C673">
        <v>15.43</v>
      </c>
      <c r="D673" t="s">
        <v>218</v>
      </c>
      <c r="E673" s="97">
        <v>0.151</v>
      </c>
    </row>
    <row r="674" spans="1:5" ht="15">
      <c r="A674" s="98">
        <v>4328</v>
      </c>
      <c r="B674">
        <v>17.25</v>
      </c>
      <c r="C674">
        <v>16.09</v>
      </c>
      <c r="D674" t="s">
        <v>218</v>
      </c>
      <c r="E674" s="97">
        <v>5.2299999999999999E-2</v>
      </c>
    </row>
    <row r="675" spans="1:5" ht="15">
      <c r="A675" s="98">
        <v>4327</v>
      </c>
      <c r="B675">
        <v>19.78</v>
      </c>
      <c r="C675">
        <v>18.27</v>
      </c>
      <c r="D675" t="s">
        <v>218</v>
      </c>
      <c r="E675" s="97">
        <v>-8.2299999999999998E-2</v>
      </c>
    </row>
    <row r="676" spans="1:5" ht="15">
      <c r="A676" s="98">
        <v>4326</v>
      </c>
      <c r="B676">
        <v>19.07</v>
      </c>
      <c r="C676">
        <v>18.55</v>
      </c>
      <c r="D676" t="s">
        <v>218</v>
      </c>
      <c r="E676" s="97">
        <v>8.2100000000000006E-2</v>
      </c>
    </row>
    <row r="677" spans="1:5" ht="15">
      <c r="A677" s="98">
        <v>4325</v>
      </c>
      <c r="B677">
        <v>20.53</v>
      </c>
      <c r="C677">
        <v>18.96</v>
      </c>
      <c r="D677" t="s">
        <v>218</v>
      </c>
      <c r="E677" s="97">
        <v>2.0199999999999999E-2</v>
      </c>
    </row>
    <row r="678" spans="1:5" ht="15">
      <c r="A678" s="98">
        <v>4324</v>
      </c>
      <c r="B678">
        <v>18.190000000000001</v>
      </c>
      <c r="C678">
        <v>16.84</v>
      </c>
      <c r="D678" t="s">
        <v>218</v>
      </c>
      <c r="E678" s="97">
        <v>-4.07E-2</v>
      </c>
    </row>
    <row r="679" spans="1:5" ht="15">
      <c r="A679" s="98">
        <v>4323</v>
      </c>
      <c r="B679">
        <v>17.13</v>
      </c>
      <c r="C679">
        <v>16.29</v>
      </c>
      <c r="D679" t="s">
        <v>218</v>
      </c>
      <c r="E679" s="97">
        <v>8.3900000000000002E-2</v>
      </c>
    </row>
    <row r="680" spans="1:5" ht="15">
      <c r="A680" s="98">
        <v>4322</v>
      </c>
      <c r="B680">
        <v>16.8</v>
      </c>
      <c r="C680">
        <v>16.25</v>
      </c>
      <c r="D680" t="s">
        <v>218</v>
      </c>
      <c r="E680" s="97">
        <v>2.47E-2</v>
      </c>
    </row>
    <row r="681" spans="1:5" ht="15">
      <c r="A681" s="98">
        <v>4321</v>
      </c>
      <c r="B681">
        <v>16.559999999999999</v>
      </c>
      <c r="C681">
        <v>15.91</v>
      </c>
      <c r="D681" t="s">
        <v>218</v>
      </c>
      <c r="E681" s="97">
        <v>-0.1014</v>
      </c>
    </row>
    <row r="682" spans="1:5" ht="15">
      <c r="A682" s="98">
        <v>4320</v>
      </c>
      <c r="B682">
        <v>16.09</v>
      </c>
      <c r="C682">
        <v>15.36</v>
      </c>
      <c r="D682" t="s">
        <v>218</v>
      </c>
      <c r="E682" s="97">
        <v>-1.4800000000000001E-2</v>
      </c>
    </row>
    <row r="683" spans="1:5" ht="15">
      <c r="A683" s="98">
        <v>4319</v>
      </c>
      <c r="B683">
        <v>15.89</v>
      </c>
      <c r="C683">
        <v>15.15</v>
      </c>
      <c r="D683" t="s">
        <v>218</v>
      </c>
      <c r="E683" s="97">
        <v>0.14499999999999999</v>
      </c>
    </row>
    <row r="684" spans="1:5" ht="15">
      <c r="A684" s="98">
        <v>4318</v>
      </c>
      <c r="B684">
        <v>15.96</v>
      </c>
      <c r="C684">
        <v>15.24</v>
      </c>
      <c r="D684" t="s">
        <v>218</v>
      </c>
      <c r="E684" s="97">
        <v>-4.53E-2</v>
      </c>
    </row>
    <row r="685" spans="1:5" ht="15">
      <c r="A685" s="98">
        <v>4317</v>
      </c>
      <c r="B685">
        <v>16.22</v>
      </c>
      <c r="C685">
        <v>15.56</v>
      </c>
      <c r="D685" t="s">
        <v>218</v>
      </c>
      <c r="E685" s="97">
        <v>-9.8500000000000004E-2</v>
      </c>
    </row>
    <row r="686" spans="1:5" ht="15">
      <c r="A686" s="98">
        <v>4316</v>
      </c>
      <c r="B686">
        <v>16.46</v>
      </c>
      <c r="C686">
        <v>15.76</v>
      </c>
      <c r="D686" t="s">
        <v>218</v>
      </c>
      <c r="E686" s="97">
        <v>-3.6600000000000001E-2</v>
      </c>
    </row>
    <row r="687" spans="1:5" ht="15">
      <c r="A687" s="98">
        <v>4315</v>
      </c>
      <c r="B687">
        <v>16.489999999999998</v>
      </c>
      <c r="C687">
        <v>15.93</v>
      </c>
      <c r="D687" t="s">
        <v>218</v>
      </c>
      <c r="E687" s="97">
        <v>6.3899999999999998E-2</v>
      </c>
    </row>
    <row r="688" spans="1:5" ht="15">
      <c r="A688" s="98">
        <v>4314</v>
      </c>
      <c r="B688">
        <v>16.18</v>
      </c>
      <c r="C688">
        <v>14.55</v>
      </c>
      <c r="D688" t="s">
        <v>218</v>
      </c>
      <c r="E688" s="97">
        <v>0.26600000000000001</v>
      </c>
    </row>
    <row r="689" spans="1:5" ht="15">
      <c r="A689" s="98">
        <v>4313</v>
      </c>
      <c r="B689">
        <v>16.739999999999998</v>
      </c>
      <c r="C689">
        <v>16.32</v>
      </c>
      <c r="D689" t="s">
        <v>218</v>
      </c>
      <c r="E689" s="97">
        <v>-9.5999999999999992E-3</v>
      </c>
    </row>
    <row r="690" spans="1:5" ht="15">
      <c r="A690" s="98">
        <v>4312</v>
      </c>
      <c r="B690">
        <v>16.899999999999999</v>
      </c>
      <c r="C690">
        <v>16.13</v>
      </c>
      <c r="D690" t="s">
        <v>218</v>
      </c>
      <c r="E690" s="97">
        <v>-7.7999999999999996E-3</v>
      </c>
    </row>
    <row r="691" spans="1:5" ht="15">
      <c r="A691" s="98">
        <v>4311</v>
      </c>
      <c r="B691">
        <v>16.329999999999998</v>
      </c>
      <c r="C691">
        <v>15.82</v>
      </c>
      <c r="D691" t="s">
        <v>218</v>
      </c>
      <c r="E691" s="97">
        <v>2.1399999999999999E-2</v>
      </c>
    </row>
    <row r="692" spans="1:5" ht="15">
      <c r="A692" s="98">
        <v>4310</v>
      </c>
      <c r="B692">
        <v>16.510000000000002</v>
      </c>
      <c r="C692">
        <v>15.7</v>
      </c>
      <c r="D692" t="s">
        <v>218</v>
      </c>
      <c r="E692" s="97">
        <v>2.63E-2</v>
      </c>
    </row>
    <row r="693" spans="1:5" ht="15">
      <c r="A693" s="98">
        <v>4309</v>
      </c>
      <c r="B693">
        <v>16.66</v>
      </c>
      <c r="C693">
        <v>16.04</v>
      </c>
      <c r="D693" t="s">
        <v>218</v>
      </c>
      <c r="E693" s="97">
        <v>1.66E-2</v>
      </c>
    </row>
    <row r="694" spans="1:5" ht="15">
      <c r="A694" s="98">
        <v>4308</v>
      </c>
      <c r="B694">
        <v>17.079999999999998</v>
      </c>
      <c r="C694">
        <v>16.21</v>
      </c>
      <c r="D694" t="s">
        <v>218</v>
      </c>
      <c r="E694" s="97">
        <v>-2.4899999999999999E-2</v>
      </c>
    </row>
    <row r="695" spans="1:5" ht="15">
      <c r="A695" s="98">
        <v>4307</v>
      </c>
      <c r="B695">
        <v>17.52</v>
      </c>
      <c r="C695">
        <v>16.8</v>
      </c>
      <c r="D695" t="s">
        <v>218</v>
      </c>
      <c r="E695" s="97">
        <v>1.3899999999999999E-2</v>
      </c>
    </row>
    <row r="696" spans="1:5" ht="15">
      <c r="A696" s="98">
        <v>4306</v>
      </c>
      <c r="B696">
        <v>17.12</v>
      </c>
      <c r="C696">
        <v>16.690000000000001</v>
      </c>
      <c r="D696" t="s">
        <v>218</v>
      </c>
      <c r="E696" s="97">
        <v>3.8E-3</v>
      </c>
    </row>
    <row r="697" spans="1:5" ht="15">
      <c r="A697" s="98">
        <v>4305</v>
      </c>
      <c r="B697">
        <v>16.98</v>
      </c>
      <c r="C697">
        <v>16.48</v>
      </c>
      <c r="D697" t="s">
        <v>218</v>
      </c>
      <c r="E697" s="97">
        <v>-2.8899999999999999E-2</v>
      </c>
    </row>
    <row r="698" spans="1:5" ht="15">
      <c r="A698" s="98">
        <v>4304</v>
      </c>
      <c r="B698">
        <v>15.46</v>
      </c>
      <c r="C698">
        <v>14.78</v>
      </c>
      <c r="D698" t="s">
        <v>218</v>
      </c>
      <c r="E698" s="97">
        <v>2.1999999999999999E-2</v>
      </c>
    </row>
    <row r="699" spans="1:5" ht="15">
      <c r="A699" s="98">
        <v>4303</v>
      </c>
      <c r="B699">
        <v>15.51</v>
      </c>
      <c r="C699">
        <v>14.96</v>
      </c>
      <c r="D699" t="s">
        <v>218</v>
      </c>
      <c r="E699" s="97">
        <v>-4.5499999999999999E-2</v>
      </c>
    </row>
    <row r="700" spans="1:5" ht="15">
      <c r="A700" s="98">
        <v>4302</v>
      </c>
      <c r="B700">
        <v>15.63</v>
      </c>
      <c r="C700">
        <v>15.02</v>
      </c>
      <c r="D700" t="s">
        <v>218</v>
      </c>
      <c r="E700" s="97">
        <v>-3.5299999999999998E-2</v>
      </c>
    </row>
    <row r="701" spans="1:5" ht="15">
      <c r="A701" s="98">
        <v>4301</v>
      </c>
      <c r="B701">
        <v>16.3</v>
      </c>
      <c r="C701">
        <v>15.62</v>
      </c>
      <c r="D701" t="s">
        <v>218</v>
      </c>
      <c r="E701" s="97">
        <v>-1.8700000000000001E-2</v>
      </c>
    </row>
    <row r="702" spans="1:5" ht="15">
      <c r="A702" s="98">
        <v>4300</v>
      </c>
      <c r="B702">
        <v>16.350000000000001</v>
      </c>
      <c r="C702">
        <v>15.92</v>
      </c>
      <c r="D702" t="s">
        <v>218</v>
      </c>
      <c r="E702" s="97">
        <v>-9.7299999999999998E-2</v>
      </c>
    </row>
    <row r="703" spans="1:5" ht="15">
      <c r="A703" s="98">
        <v>4299</v>
      </c>
      <c r="B703">
        <v>15.57</v>
      </c>
      <c r="C703">
        <v>14.96</v>
      </c>
      <c r="D703" t="s">
        <v>218</v>
      </c>
      <c r="E703" s="97">
        <v>-2.5399999999999999E-2</v>
      </c>
    </row>
    <row r="704" spans="1:5" ht="15">
      <c r="A704" s="98">
        <v>4298</v>
      </c>
      <c r="B704">
        <v>15.38</v>
      </c>
      <c r="C704">
        <v>14.63</v>
      </c>
      <c r="D704" t="s">
        <v>218</v>
      </c>
      <c r="E704" s="97">
        <v>0.2409</v>
      </c>
    </row>
    <row r="705" spans="1:5" ht="15">
      <c r="A705" s="98">
        <v>4297</v>
      </c>
      <c r="B705">
        <v>16.77</v>
      </c>
      <c r="C705">
        <v>14.82</v>
      </c>
      <c r="D705" t="s">
        <v>218</v>
      </c>
      <c r="E705" s="97">
        <v>-2.9399999999999999E-2</v>
      </c>
    </row>
    <row r="706" spans="1:5" ht="15">
      <c r="A706" s="98">
        <v>4296</v>
      </c>
      <c r="B706">
        <v>16.07</v>
      </c>
      <c r="C706">
        <v>15.59</v>
      </c>
      <c r="D706" t="s">
        <v>218</v>
      </c>
      <c r="E706" s="97">
        <v>-5.3999999999999999E-2</v>
      </c>
    </row>
    <row r="707" spans="1:5" ht="15">
      <c r="A707" s="98">
        <v>4295</v>
      </c>
      <c r="B707">
        <v>15.46</v>
      </c>
      <c r="C707">
        <v>14.99</v>
      </c>
      <c r="D707" t="s">
        <v>218</v>
      </c>
      <c r="E707" s="97">
        <v>-3.3999999999999998E-3</v>
      </c>
    </row>
    <row r="708" spans="1:5" ht="15">
      <c r="A708" s="98">
        <v>4294</v>
      </c>
      <c r="B708">
        <v>15.55</v>
      </c>
      <c r="C708">
        <v>15.02</v>
      </c>
      <c r="D708" t="s">
        <v>218</v>
      </c>
      <c r="E708" s="97">
        <v>-4.4400000000000002E-2</v>
      </c>
    </row>
    <row r="709" spans="1:5" ht="15">
      <c r="A709" s="98">
        <v>4293</v>
      </c>
      <c r="B709">
        <v>16.23</v>
      </c>
      <c r="C709">
        <v>15.25</v>
      </c>
      <c r="D709" t="s">
        <v>218</v>
      </c>
      <c r="E709" s="97">
        <v>2.6700000000000002E-2</v>
      </c>
    </row>
    <row r="710" spans="1:5" ht="15">
      <c r="A710" s="98">
        <v>4292</v>
      </c>
      <c r="B710">
        <v>16.79</v>
      </c>
      <c r="C710">
        <v>16.239999999999998</v>
      </c>
      <c r="D710" t="s">
        <v>218</v>
      </c>
      <c r="E710" s="97">
        <v>3.9300000000000002E-2</v>
      </c>
    </row>
    <row r="711" spans="1:5" ht="15">
      <c r="A711" s="98">
        <v>4291</v>
      </c>
      <c r="B711">
        <v>17.16</v>
      </c>
      <c r="C711">
        <v>16.2</v>
      </c>
      <c r="D711" t="s">
        <v>218</v>
      </c>
      <c r="E711" s="97">
        <v>9.0700000000000003E-2</v>
      </c>
    </row>
    <row r="712" spans="1:5" ht="15">
      <c r="A712" s="98">
        <v>4290</v>
      </c>
      <c r="B712">
        <v>17</v>
      </c>
      <c r="C712">
        <v>16.170000000000002</v>
      </c>
      <c r="D712" t="s">
        <v>218</v>
      </c>
      <c r="E712" s="97">
        <v>2.6499999999999999E-2</v>
      </c>
    </row>
    <row r="713" spans="1:5" ht="15">
      <c r="A713" s="98">
        <v>4289</v>
      </c>
      <c r="B713">
        <v>17.62</v>
      </c>
      <c r="C713">
        <v>16.84</v>
      </c>
      <c r="D713" t="s">
        <v>218</v>
      </c>
      <c r="E713" s="97">
        <v>-5.67E-2</v>
      </c>
    </row>
    <row r="714" spans="1:5" ht="15">
      <c r="A714" s="98">
        <v>4288</v>
      </c>
      <c r="B714">
        <v>18.36</v>
      </c>
      <c r="C714">
        <v>17.13</v>
      </c>
      <c r="D714" t="s">
        <v>218</v>
      </c>
      <c r="E714" s="97">
        <v>9.1999999999999998E-3</v>
      </c>
    </row>
    <row r="715" spans="1:5" ht="15">
      <c r="A715" s="98">
        <v>4287</v>
      </c>
      <c r="B715">
        <v>18.84</v>
      </c>
      <c r="C715">
        <v>18.09</v>
      </c>
      <c r="D715" t="s">
        <v>218</v>
      </c>
      <c r="E715" s="97">
        <v>-3.85E-2</v>
      </c>
    </row>
    <row r="716" spans="1:5" ht="15">
      <c r="A716" s="98">
        <v>4286</v>
      </c>
      <c r="B716">
        <v>19.21</v>
      </c>
      <c r="C716">
        <v>18.170000000000002</v>
      </c>
      <c r="D716" t="s">
        <v>218</v>
      </c>
      <c r="E716" s="97">
        <v>-3.7100000000000001E-2</v>
      </c>
    </row>
    <row r="717" spans="1:5" ht="15">
      <c r="A717" s="98">
        <v>4285</v>
      </c>
      <c r="B717">
        <v>18.329999999999998</v>
      </c>
      <c r="C717">
        <v>17.82</v>
      </c>
      <c r="D717" t="s">
        <v>218</v>
      </c>
      <c r="E717" s="97">
        <v>2.3300000000000001E-2</v>
      </c>
    </row>
    <row r="718" spans="1:5" ht="15">
      <c r="A718" s="98">
        <v>4284</v>
      </c>
      <c r="B718">
        <v>18.3</v>
      </c>
      <c r="C718">
        <v>17.260000000000002</v>
      </c>
      <c r="D718" t="s">
        <v>218</v>
      </c>
      <c r="E718" s="97">
        <v>-1.49E-2</v>
      </c>
    </row>
    <row r="719" spans="1:5" ht="15">
      <c r="A719" s="98">
        <v>4283</v>
      </c>
      <c r="B719">
        <v>18.61</v>
      </c>
      <c r="C719">
        <v>18.03</v>
      </c>
      <c r="D719" t="s">
        <v>218</v>
      </c>
      <c r="E719" s="97">
        <v>2.23E-2</v>
      </c>
    </row>
    <row r="720" spans="1:5" ht="15">
      <c r="A720" s="98">
        <v>4282</v>
      </c>
      <c r="B720">
        <v>17.670000000000002</v>
      </c>
      <c r="C720">
        <v>16.97</v>
      </c>
      <c r="D720" t="s">
        <v>218</v>
      </c>
      <c r="E720" s="97">
        <v>-2.07E-2</v>
      </c>
    </row>
    <row r="721" spans="1:5" ht="15">
      <c r="A721" s="98">
        <v>4281</v>
      </c>
      <c r="B721">
        <v>17.329999999999998</v>
      </c>
      <c r="C721">
        <v>16.05</v>
      </c>
      <c r="D721" t="s">
        <v>218</v>
      </c>
      <c r="E721" s="97">
        <v>-1.3100000000000001E-2</v>
      </c>
    </row>
    <row r="722" spans="1:5" ht="15">
      <c r="A722" s="98">
        <v>4280</v>
      </c>
      <c r="B722">
        <v>17.52</v>
      </c>
      <c r="C722">
        <v>16.66</v>
      </c>
      <c r="D722" t="s">
        <v>218</v>
      </c>
      <c r="E722" s="97">
        <v>-7.9000000000000008E-3</v>
      </c>
    </row>
    <row r="723" spans="1:5" ht="15">
      <c r="A723" s="98">
        <v>4279</v>
      </c>
      <c r="B723">
        <v>16.55</v>
      </c>
      <c r="C723">
        <v>15.62</v>
      </c>
      <c r="D723" t="s">
        <v>218</v>
      </c>
      <c r="E723" s="97">
        <v>1.3100000000000001E-2</v>
      </c>
    </row>
    <row r="724" spans="1:5" ht="15">
      <c r="A724" s="98">
        <v>4278</v>
      </c>
      <c r="B724">
        <v>14.73</v>
      </c>
      <c r="C724">
        <v>13.88</v>
      </c>
      <c r="D724" t="s">
        <v>218</v>
      </c>
      <c r="E724" s="97">
        <v>1.3899999999999999E-2</v>
      </c>
    </row>
    <row r="725" spans="1:5" ht="15">
      <c r="A725" s="98">
        <v>4277</v>
      </c>
      <c r="B725">
        <v>16.14</v>
      </c>
      <c r="C725">
        <v>15.22</v>
      </c>
      <c r="D725" t="s">
        <v>218</v>
      </c>
      <c r="E725" s="97">
        <v>-1.37E-2</v>
      </c>
    </row>
    <row r="726" spans="1:5" ht="15">
      <c r="A726" s="98">
        <v>4276</v>
      </c>
      <c r="B726">
        <v>15.41</v>
      </c>
      <c r="C726">
        <v>14.7</v>
      </c>
      <c r="D726" t="s">
        <v>218</v>
      </c>
      <c r="E726" s="97">
        <v>-8.5000000000000006E-3</v>
      </c>
    </row>
    <row r="727" spans="1:5" ht="15">
      <c r="A727" s="98">
        <v>4275</v>
      </c>
      <c r="B727">
        <v>14.62</v>
      </c>
      <c r="C727">
        <v>13.63</v>
      </c>
      <c r="D727" t="s">
        <v>218</v>
      </c>
      <c r="E727" s="97">
        <v>7.2900000000000006E-2</v>
      </c>
    </row>
    <row r="728" spans="1:5" ht="15">
      <c r="A728" s="98">
        <v>4274</v>
      </c>
      <c r="B728">
        <v>14.88</v>
      </c>
      <c r="C728">
        <v>13.45</v>
      </c>
      <c r="D728" t="s">
        <v>218</v>
      </c>
      <c r="E728" s="97">
        <v>6.6000000000000003E-2</v>
      </c>
    </row>
    <row r="729" spans="1:5" ht="15">
      <c r="A729" s="98">
        <v>4273</v>
      </c>
      <c r="B729">
        <v>15.48</v>
      </c>
      <c r="C729">
        <v>14.71</v>
      </c>
      <c r="D729" t="s">
        <v>218</v>
      </c>
      <c r="E729" s="97">
        <v>-6.3100000000000003E-2</v>
      </c>
    </row>
    <row r="730" spans="1:5" ht="15">
      <c r="A730" s="98">
        <v>4272</v>
      </c>
      <c r="B730">
        <v>15.61</v>
      </c>
      <c r="C730">
        <v>14.96</v>
      </c>
      <c r="D730" t="s">
        <v>218</v>
      </c>
      <c r="E730" s="97">
        <v>4.8999999999999998E-3</v>
      </c>
    </row>
    <row r="731" spans="1:5" ht="15">
      <c r="A731" s="98">
        <v>4271</v>
      </c>
      <c r="B731">
        <v>16.100000000000001</v>
      </c>
      <c r="C731">
        <v>15.23</v>
      </c>
      <c r="D731" t="s">
        <v>218</v>
      </c>
      <c r="E731" s="97">
        <v>1.8599999999999998E-2</v>
      </c>
    </row>
    <row r="732" spans="1:5" ht="15">
      <c r="A732" s="98">
        <v>4270</v>
      </c>
      <c r="B732">
        <v>16.53</v>
      </c>
      <c r="C732">
        <v>15.77</v>
      </c>
      <c r="D732" t="s">
        <v>218</v>
      </c>
      <c r="E732" s="97">
        <v>-7.3599999999999999E-2</v>
      </c>
    </row>
    <row r="733" spans="1:5" ht="15">
      <c r="A733" s="98">
        <v>4269</v>
      </c>
      <c r="B733">
        <v>15.24</v>
      </c>
      <c r="C733">
        <v>14.68</v>
      </c>
      <c r="D733" t="s">
        <v>218</v>
      </c>
      <c r="E733" s="97">
        <v>-3.0700000000000002E-2</v>
      </c>
    </row>
    <row r="734" spans="1:5" ht="15">
      <c r="A734" s="98">
        <v>4268</v>
      </c>
      <c r="B734">
        <v>16.03</v>
      </c>
      <c r="C734">
        <v>15.17</v>
      </c>
      <c r="D734" t="s">
        <v>218</v>
      </c>
      <c r="E734" s="97">
        <v>1.8700000000000001E-2</v>
      </c>
    </row>
    <row r="735" spans="1:5" ht="15">
      <c r="A735" s="98">
        <v>4267</v>
      </c>
      <c r="B735">
        <v>17.670000000000002</v>
      </c>
      <c r="C735">
        <v>16.55</v>
      </c>
      <c r="D735" t="s">
        <v>218</v>
      </c>
      <c r="E735" s="97">
        <v>3.3999999999999998E-3</v>
      </c>
    </row>
    <row r="736" spans="1:5" ht="15">
      <c r="A736" s="98">
        <v>4266</v>
      </c>
      <c r="B736">
        <v>17.22</v>
      </c>
      <c r="C736">
        <v>16.86</v>
      </c>
      <c r="D736" t="s">
        <v>218</v>
      </c>
      <c r="E736" s="97">
        <v>-3.3999999999999998E-3</v>
      </c>
    </row>
    <row r="737" spans="1:5" ht="15">
      <c r="A737" s="98">
        <v>4265</v>
      </c>
      <c r="B737">
        <v>18.260000000000002</v>
      </c>
      <c r="C737">
        <v>16.68</v>
      </c>
      <c r="D737" t="s">
        <v>218</v>
      </c>
      <c r="E737" s="97">
        <v>2.0899999999999998E-2</v>
      </c>
    </row>
    <row r="738" spans="1:5" ht="15">
      <c r="A738" s="98">
        <v>4264</v>
      </c>
      <c r="B738">
        <v>18.73</v>
      </c>
      <c r="C738">
        <v>17.93</v>
      </c>
      <c r="D738" t="s">
        <v>218</v>
      </c>
      <c r="E738" s="97">
        <v>-2.76E-2</v>
      </c>
    </row>
    <row r="739" spans="1:5" ht="15">
      <c r="A739" s="98">
        <v>4263</v>
      </c>
      <c r="B739">
        <v>18.82</v>
      </c>
      <c r="C739">
        <v>17.59</v>
      </c>
      <c r="D739" t="s">
        <v>218</v>
      </c>
      <c r="E739" s="97">
        <v>-1.3899999999999999E-2</v>
      </c>
    </row>
    <row r="740" spans="1:5" ht="15">
      <c r="A740" s="98">
        <v>4262</v>
      </c>
      <c r="B740">
        <v>18.920000000000002</v>
      </c>
      <c r="C740">
        <v>17.91</v>
      </c>
      <c r="D740" t="s">
        <v>218</v>
      </c>
      <c r="E740" s="97">
        <v>-1.6999999999999999E-3</v>
      </c>
    </row>
    <row r="741" spans="1:5" ht="15">
      <c r="A741" s="98">
        <v>4261</v>
      </c>
      <c r="B741">
        <v>18.52</v>
      </c>
      <c r="C741">
        <v>17.38</v>
      </c>
      <c r="D741" t="s">
        <v>218</v>
      </c>
      <c r="E741" s="97">
        <v>5.9999999999999995E-4</v>
      </c>
    </row>
    <row r="742" spans="1:5" ht="15">
      <c r="A742" s="98">
        <v>4260</v>
      </c>
      <c r="B742">
        <v>21.88</v>
      </c>
      <c r="C742">
        <v>18.440000000000001</v>
      </c>
      <c r="D742" t="s">
        <v>218</v>
      </c>
      <c r="E742" s="97">
        <v>-7.1199999999999999E-2</v>
      </c>
    </row>
    <row r="743" spans="1:5" ht="15">
      <c r="A743" s="98">
        <v>4259</v>
      </c>
      <c r="B743">
        <v>18.52</v>
      </c>
      <c r="C743">
        <v>17.75</v>
      </c>
      <c r="D743" t="s">
        <v>218</v>
      </c>
      <c r="E743" s="97">
        <v>-9.2200000000000004E-2</v>
      </c>
    </row>
    <row r="744" spans="1:5" ht="15">
      <c r="A744" s="98">
        <v>4258</v>
      </c>
      <c r="B744">
        <v>17.91</v>
      </c>
      <c r="C744">
        <v>17.190000000000001</v>
      </c>
      <c r="D744" t="s">
        <v>218</v>
      </c>
      <c r="E744" s="97">
        <v>-9.2600000000000002E-2</v>
      </c>
    </row>
    <row r="745" spans="1:5" ht="15">
      <c r="A745" s="98">
        <v>4257</v>
      </c>
      <c r="B745">
        <v>20.43</v>
      </c>
      <c r="C745">
        <v>18.61</v>
      </c>
      <c r="D745" t="s">
        <v>218</v>
      </c>
      <c r="E745" s="97">
        <v>9.3399999999999997E-2</v>
      </c>
    </row>
    <row r="746" spans="1:5" ht="15">
      <c r="A746" s="98">
        <v>4256</v>
      </c>
      <c r="B746">
        <v>20.45</v>
      </c>
      <c r="C746">
        <v>18.66</v>
      </c>
      <c r="D746" t="s">
        <v>218</v>
      </c>
      <c r="E746" s="97">
        <v>-3.1099999999999999E-2</v>
      </c>
    </row>
    <row r="747" spans="1:5" ht="15">
      <c r="A747" s="98">
        <v>4255</v>
      </c>
      <c r="B747">
        <v>21.32</v>
      </c>
      <c r="C747">
        <v>19.809999999999999</v>
      </c>
      <c r="D747" t="s">
        <v>218</v>
      </c>
      <c r="E747" s="97">
        <v>0.13600000000000001</v>
      </c>
    </row>
    <row r="748" spans="1:5" ht="15">
      <c r="A748" s="98">
        <v>4254</v>
      </c>
      <c r="B748">
        <v>22.04</v>
      </c>
      <c r="C748">
        <v>20.73</v>
      </c>
      <c r="D748" t="s">
        <v>218</v>
      </c>
      <c r="E748" s="97">
        <v>-5.1900000000000002E-2</v>
      </c>
    </row>
    <row r="749" spans="1:5" ht="15">
      <c r="A749" s="98">
        <v>4253</v>
      </c>
      <c r="B749">
        <v>22.13</v>
      </c>
      <c r="C749">
        <v>20.399999999999999</v>
      </c>
      <c r="D749" t="s">
        <v>218</v>
      </c>
      <c r="E749" s="97">
        <v>0.123</v>
      </c>
    </row>
    <row r="750" spans="1:5" ht="15">
      <c r="A750" s="98">
        <v>4252</v>
      </c>
      <c r="B750">
        <v>20.079999999999998</v>
      </c>
      <c r="C750">
        <v>18.940000000000001</v>
      </c>
      <c r="D750" t="s">
        <v>218</v>
      </c>
      <c r="E750" s="97">
        <v>1.83E-2</v>
      </c>
    </row>
    <row r="751" spans="1:5" ht="15">
      <c r="A751" s="98">
        <v>4251</v>
      </c>
      <c r="B751">
        <v>18.97</v>
      </c>
      <c r="C751">
        <v>18.46</v>
      </c>
      <c r="D751" t="s">
        <v>218</v>
      </c>
      <c r="E751" s="97">
        <v>-3.7900000000000003E-2</v>
      </c>
    </row>
    <row r="752" spans="1:5" ht="15">
      <c r="A752" s="98">
        <v>4250</v>
      </c>
      <c r="B752">
        <v>19.72</v>
      </c>
      <c r="C752">
        <v>16.829999999999998</v>
      </c>
      <c r="D752" t="s">
        <v>218</v>
      </c>
      <c r="E752" s="97">
        <v>-0.13830000000000001</v>
      </c>
    </row>
    <row r="753" spans="1:5" ht="15">
      <c r="A753" s="98">
        <v>4249</v>
      </c>
      <c r="B753">
        <v>19.670000000000002</v>
      </c>
      <c r="C753">
        <v>18.989999999999998</v>
      </c>
      <c r="D753" t="s">
        <v>218</v>
      </c>
      <c r="E753" s="97">
        <v>-3.6299999999999999E-2</v>
      </c>
    </row>
    <row r="754" spans="1:5" ht="15">
      <c r="A754" s="98">
        <v>4248</v>
      </c>
      <c r="B754">
        <v>19.22</v>
      </c>
      <c r="C754">
        <v>18.68</v>
      </c>
      <c r="D754" t="s">
        <v>218</v>
      </c>
      <c r="E754" s="97">
        <v>0.1178</v>
      </c>
    </row>
    <row r="755" spans="1:5" ht="15">
      <c r="A755" s="98">
        <v>4247</v>
      </c>
      <c r="B755">
        <v>18.71</v>
      </c>
      <c r="C755">
        <v>18.190000000000001</v>
      </c>
      <c r="D755" t="s">
        <v>218</v>
      </c>
      <c r="E755" s="97">
        <v>-1.9900000000000001E-2</v>
      </c>
    </row>
    <row r="756" spans="1:5" ht="15">
      <c r="A756" s="98">
        <v>4246</v>
      </c>
      <c r="B756">
        <v>19.13</v>
      </c>
      <c r="C756">
        <v>18.670000000000002</v>
      </c>
      <c r="D756" t="s">
        <v>218</v>
      </c>
      <c r="E756" s="97">
        <v>0.1057</v>
      </c>
    </row>
    <row r="757" spans="1:5" ht="15">
      <c r="A757" s="98">
        <v>4245</v>
      </c>
      <c r="B757">
        <v>19.72</v>
      </c>
      <c r="C757">
        <v>19.23</v>
      </c>
      <c r="D757" t="s">
        <v>218</v>
      </c>
      <c r="E757" s="97">
        <v>9.1999999999999998E-3</v>
      </c>
    </row>
    <row r="758" spans="1:5" ht="15">
      <c r="A758" s="98">
        <v>4244</v>
      </c>
      <c r="B758">
        <v>20.92</v>
      </c>
      <c r="C758">
        <v>19.8</v>
      </c>
      <c r="D758" t="s">
        <v>218</v>
      </c>
      <c r="E758" s="97">
        <v>-3.2000000000000001E-2</v>
      </c>
    </row>
    <row r="759" spans="1:5" ht="15">
      <c r="A759" s="98">
        <v>4243</v>
      </c>
      <c r="B759">
        <v>22.8</v>
      </c>
      <c r="C759">
        <v>21.1</v>
      </c>
      <c r="D759" t="s">
        <v>218</v>
      </c>
      <c r="E759" s="97">
        <v>4.3200000000000002E-2</v>
      </c>
    </row>
    <row r="760" spans="1:5" ht="15">
      <c r="A760" s="98">
        <v>4242</v>
      </c>
      <c r="B760">
        <v>19.920000000000002</v>
      </c>
      <c r="C760">
        <v>19.04</v>
      </c>
      <c r="D760" t="s">
        <v>218</v>
      </c>
      <c r="E760" s="97">
        <v>1.6000000000000001E-3</v>
      </c>
    </row>
    <row r="761" spans="1:5" ht="15">
      <c r="A761" s="98">
        <v>4241</v>
      </c>
      <c r="B761">
        <v>20.440000000000001</v>
      </c>
      <c r="C761">
        <v>19.420000000000002</v>
      </c>
      <c r="D761" t="s">
        <v>218</v>
      </c>
      <c r="E761" s="97">
        <v>-1.4E-2</v>
      </c>
    </row>
    <row r="762" spans="1:5" ht="15">
      <c r="A762" s="98">
        <v>4240</v>
      </c>
      <c r="B762">
        <v>20.71</v>
      </c>
      <c r="C762">
        <v>19.309999999999999</v>
      </c>
      <c r="D762" t="s">
        <v>218</v>
      </c>
      <c r="E762" s="97">
        <v>-5.3199999999999997E-2</v>
      </c>
    </row>
    <row r="763" spans="1:5" ht="15">
      <c r="A763" s="98">
        <v>4239</v>
      </c>
      <c r="B763">
        <v>20.53</v>
      </c>
      <c r="C763">
        <v>18.600000000000001</v>
      </c>
      <c r="D763" t="s">
        <v>218</v>
      </c>
      <c r="E763" s="97">
        <v>-9.3200000000000005E-2</v>
      </c>
    </row>
    <row r="764" spans="1:5" ht="15">
      <c r="A764" s="98">
        <v>4238</v>
      </c>
      <c r="B764">
        <v>21.1</v>
      </c>
      <c r="C764">
        <v>19.87</v>
      </c>
      <c r="D764" t="s">
        <v>218</v>
      </c>
      <c r="E764" s="97">
        <v>-1.1900000000000001E-2</v>
      </c>
    </row>
    <row r="765" spans="1:5" ht="15">
      <c r="A765" s="98">
        <v>4237</v>
      </c>
      <c r="B765">
        <v>20.82</v>
      </c>
      <c r="C765">
        <v>19.510000000000002</v>
      </c>
      <c r="D765" t="s">
        <v>218</v>
      </c>
      <c r="E765" s="97">
        <v>2.9700000000000001E-2</v>
      </c>
    </row>
    <row r="766" spans="1:5" ht="15">
      <c r="A766" s="98">
        <v>4236</v>
      </c>
      <c r="B766">
        <v>20.23</v>
      </c>
      <c r="C766">
        <v>19.28</v>
      </c>
      <c r="D766" t="s">
        <v>218</v>
      </c>
      <c r="E766" s="97">
        <v>1.5299999999999999E-2</v>
      </c>
    </row>
    <row r="767" spans="1:5" ht="15">
      <c r="A767" s="98">
        <v>4235</v>
      </c>
      <c r="B767">
        <v>20.100000000000001</v>
      </c>
      <c r="C767">
        <v>18.829999999999998</v>
      </c>
      <c r="D767" t="s">
        <v>218</v>
      </c>
      <c r="E767" s="97">
        <v>8.2000000000000007E-3</v>
      </c>
    </row>
    <row r="768" spans="1:5" ht="15">
      <c r="A768" s="98">
        <v>4234</v>
      </c>
      <c r="B768">
        <v>19.739999999999998</v>
      </c>
      <c r="C768">
        <v>19.14</v>
      </c>
      <c r="D768" t="s">
        <v>218</v>
      </c>
      <c r="E768" s="97">
        <v>2.4199999999999999E-2</v>
      </c>
    </row>
    <row r="769" spans="1:5" ht="15">
      <c r="A769" s="98">
        <v>4233</v>
      </c>
      <c r="B769">
        <v>20.07</v>
      </c>
      <c r="C769">
        <v>19.22</v>
      </c>
      <c r="D769" t="s">
        <v>218</v>
      </c>
      <c r="E769" s="97">
        <v>1.8599999999999998E-2</v>
      </c>
    </row>
    <row r="770" spans="1:5" ht="15">
      <c r="A770" s="98">
        <v>4232</v>
      </c>
      <c r="B770">
        <v>19.82</v>
      </c>
      <c r="C770">
        <v>18.600000000000001</v>
      </c>
      <c r="D770" t="s">
        <v>218</v>
      </c>
      <c r="E770" s="97">
        <v>5.7000000000000002E-2</v>
      </c>
    </row>
    <row r="771" spans="1:5" ht="15">
      <c r="A771" s="98">
        <v>4231</v>
      </c>
      <c r="B771">
        <v>19.18</v>
      </c>
      <c r="C771">
        <v>18.41</v>
      </c>
      <c r="D771" t="s">
        <v>218</v>
      </c>
      <c r="E771" s="97">
        <v>-2.5399999999999999E-2</v>
      </c>
    </row>
    <row r="772" spans="1:5" ht="15">
      <c r="A772" s="98">
        <v>4230</v>
      </c>
      <c r="B772">
        <v>18.7</v>
      </c>
      <c r="C772">
        <v>17.8</v>
      </c>
      <c r="D772" t="s">
        <v>218</v>
      </c>
      <c r="E772" s="97">
        <v>-2.63E-2</v>
      </c>
    </row>
    <row r="773" spans="1:5" ht="15">
      <c r="A773" s="98">
        <v>4229</v>
      </c>
      <c r="B773">
        <v>18.02</v>
      </c>
      <c r="C773">
        <v>17.07</v>
      </c>
      <c r="D773" t="s">
        <v>218</v>
      </c>
      <c r="E773" s="97">
        <v>-4.07E-2</v>
      </c>
    </row>
    <row r="774" spans="1:5" ht="15">
      <c r="A774" s="98">
        <v>4228</v>
      </c>
      <c r="B774">
        <v>18.59</v>
      </c>
      <c r="C774">
        <v>16.36</v>
      </c>
      <c r="D774" t="s">
        <v>218</v>
      </c>
      <c r="E774" s="97">
        <v>8.0699999999999994E-2</v>
      </c>
    </row>
    <row r="775" spans="1:5" ht="15">
      <c r="A775" s="98">
        <v>4227</v>
      </c>
      <c r="B775">
        <v>20.07</v>
      </c>
      <c r="C775">
        <v>18.350000000000001</v>
      </c>
      <c r="D775" t="s">
        <v>218</v>
      </c>
      <c r="E775" s="97">
        <v>3.2000000000000002E-3</v>
      </c>
    </row>
    <row r="776" spans="1:5" ht="15">
      <c r="A776" s="98">
        <v>4226</v>
      </c>
      <c r="B776">
        <v>20.52</v>
      </c>
      <c r="C776">
        <v>19.760000000000002</v>
      </c>
      <c r="D776" t="s">
        <v>218</v>
      </c>
      <c r="E776" s="97">
        <v>-4.2799999999999998E-2</v>
      </c>
    </row>
    <row r="777" spans="1:5" ht="15">
      <c r="A777" s="98">
        <v>4225</v>
      </c>
      <c r="B777">
        <v>21.06</v>
      </c>
      <c r="C777">
        <v>19.41</v>
      </c>
      <c r="D777" t="s">
        <v>218</v>
      </c>
      <c r="E777" s="97">
        <v>4.2500000000000003E-2</v>
      </c>
    </row>
    <row r="778" spans="1:5" ht="15">
      <c r="A778" s="98">
        <v>4224</v>
      </c>
      <c r="B778">
        <v>20.69</v>
      </c>
      <c r="C778">
        <v>20.22</v>
      </c>
      <c r="D778" t="s">
        <v>218</v>
      </c>
      <c r="E778" s="97">
        <v>7.4000000000000003E-3</v>
      </c>
    </row>
    <row r="779" spans="1:5" ht="15">
      <c r="A779" s="98">
        <v>4223</v>
      </c>
      <c r="B779">
        <v>20.079999999999998</v>
      </c>
      <c r="C779">
        <v>19.47</v>
      </c>
      <c r="D779" t="s">
        <v>218</v>
      </c>
      <c r="E779" s="97">
        <v>-1.6000000000000001E-3</v>
      </c>
    </row>
    <row r="780" spans="1:5" ht="15">
      <c r="A780" s="98">
        <v>4222</v>
      </c>
      <c r="B780">
        <v>20.07</v>
      </c>
      <c r="C780">
        <v>19.559999999999999</v>
      </c>
      <c r="D780" t="s">
        <v>218</v>
      </c>
      <c r="E780" s="97">
        <v>-8.4500000000000006E-2</v>
      </c>
    </row>
    <row r="781" spans="1:5" ht="15">
      <c r="A781" s="98">
        <v>4221</v>
      </c>
      <c r="B781">
        <v>19.690000000000001</v>
      </c>
      <c r="C781">
        <v>19.43</v>
      </c>
      <c r="D781" t="s">
        <v>218</v>
      </c>
      <c r="E781" s="97">
        <v>-3.9399999999999998E-2</v>
      </c>
    </row>
    <row r="782" spans="1:5" ht="15">
      <c r="A782" s="98">
        <v>4220</v>
      </c>
      <c r="B782">
        <v>21.39</v>
      </c>
      <c r="C782">
        <v>19.5</v>
      </c>
      <c r="D782" t="s">
        <v>218</v>
      </c>
      <c r="E782" s="97">
        <v>3.3E-3</v>
      </c>
    </row>
    <row r="783" spans="1:5" ht="15">
      <c r="A783" s="98">
        <v>4219</v>
      </c>
      <c r="B783">
        <v>20.68</v>
      </c>
      <c r="C783">
        <v>20.04</v>
      </c>
      <c r="D783" t="s">
        <v>218</v>
      </c>
      <c r="E783" s="97">
        <v>-1.24E-2</v>
      </c>
    </row>
    <row r="784" spans="1:5" ht="15">
      <c r="A784" s="98">
        <v>4218</v>
      </c>
      <c r="B784">
        <v>19.88</v>
      </c>
      <c r="C784">
        <v>18.71</v>
      </c>
      <c r="D784" t="s">
        <v>218</v>
      </c>
      <c r="E784" s="97">
        <v>-7.5200000000000003E-2</v>
      </c>
    </row>
    <row r="785" spans="1:5" ht="15">
      <c r="A785" s="98">
        <v>4217</v>
      </c>
      <c r="B785">
        <v>21.13</v>
      </c>
      <c r="C785">
        <v>19.649999999999999</v>
      </c>
      <c r="D785" t="s">
        <v>218</v>
      </c>
      <c r="E785" s="97">
        <v>4.58E-2</v>
      </c>
    </row>
    <row r="786" spans="1:5" ht="15">
      <c r="A786" s="98">
        <v>4216</v>
      </c>
      <c r="B786">
        <v>20.72</v>
      </c>
      <c r="C786">
        <v>19.97</v>
      </c>
      <c r="D786" t="s">
        <v>218</v>
      </c>
      <c r="E786" s="97">
        <v>-5.0599999999999999E-2</v>
      </c>
    </row>
    <row r="787" spans="1:5" ht="15">
      <c r="A787" s="98">
        <v>4215</v>
      </c>
      <c r="B787">
        <v>19.89</v>
      </c>
      <c r="C787">
        <v>19.420000000000002</v>
      </c>
      <c r="D787" t="s">
        <v>218</v>
      </c>
      <c r="E787" s="97">
        <v>1.9400000000000001E-2</v>
      </c>
    </row>
    <row r="788" spans="1:5" ht="15">
      <c r="A788" s="98">
        <v>4214</v>
      </c>
      <c r="B788">
        <v>19.73</v>
      </c>
      <c r="C788">
        <v>19.100000000000001</v>
      </c>
      <c r="D788" t="s">
        <v>218</v>
      </c>
      <c r="E788" s="97">
        <v>2.8799999999999999E-2</v>
      </c>
    </row>
    <row r="789" spans="1:5" ht="15">
      <c r="A789" s="98">
        <v>4213</v>
      </c>
      <c r="B789">
        <v>19.36</v>
      </c>
      <c r="C789">
        <v>19</v>
      </c>
      <c r="D789" t="s">
        <v>218</v>
      </c>
      <c r="E789" s="97">
        <v>2.7000000000000001E-3</v>
      </c>
    </row>
    <row r="790" spans="1:5" ht="15">
      <c r="A790" s="98">
        <v>4212</v>
      </c>
      <c r="B790">
        <v>20.059999999999999</v>
      </c>
      <c r="C790">
        <v>19.649999999999999</v>
      </c>
      <c r="D790" t="s">
        <v>218</v>
      </c>
      <c r="E790" s="97">
        <v>3.8199999999999998E-2</v>
      </c>
    </row>
    <row r="791" spans="1:5" ht="15">
      <c r="A791" s="98">
        <v>4211</v>
      </c>
      <c r="B791">
        <v>20.65</v>
      </c>
      <c r="C791">
        <v>19.82</v>
      </c>
      <c r="D791" t="s">
        <v>218</v>
      </c>
      <c r="E791" s="97">
        <v>-9.0499999999999997E-2</v>
      </c>
    </row>
    <row r="792" spans="1:5" ht="15">
      <c r="A792" s="98">
        <v>4210</v>
      </c>
      <c r="B792">
        <v>21.54</v>
      </c>
      <c r="C792">
        <v>20.69</v>
      </c>
      <c r="D792" t="s">
        <v>218</v>
      </c>
      <c r="E792" s="97">
        <v>6.0400000000000002E-2</v>
      </c>
    </row>
    <row r="793" spans="1:5" ht="15">
      <c r="A793" s="98">
        <v>4209</v>
      </c>
      <c r="B793">
        <v>21.41</v>
      </c>
      <c r="C793">
        <v>20.49</v>
      </c>
      <c r="D793" t="s">
        <v>218</v>
      </c>
      <c r="E793" s="97">
        <v>7.1999999999999998E-3</v>
      </c>
    </row>
    <row r="794" spans="1:5" ht="15">
      <c r="A794" s="98">
        <v>4208</v>
      </c>
      <c r="B794">
        <v>20.96</v>
      </c>
      <c r="C794">
        <v>19.84</v>
      </c>
      <c r="D794" t="s">
        <v>218</v>
      </c>
      <c r="E794" s="97">
        <v>3.95E-2</v>
      </c>
    </row>
    <row r="795" spans="1:5" ht="15">
      <c r="A795" s="98">
        <v>4207</v>
      </c>
      <c r="B795">
        <v>20.2</v>
      </c>
      <c r="C795">
        <v>19.899999999999999</v>
      </c>
      <c r="D795" t="s">
        <v>218</v>
      </c>
      <c r="E795" s="97">
        <v>-2.3199999999999998E-2</v>
      </c>
    </row>
    <row r="796" spans="1:5" ht="15">
      <c r="A796" s="98">
        <v>4206</v>
      </c>
      <c r="B796">
        <v>21.25</v>
      </c>
      <c r="C796">
        <v>19.399999999999999</v>
      </c>
      <c r="D796" t="s">
        <v>218</v>
      </c>
      <c r="E796" s="97">
        <v>1.34E-2</v>
      </c>
    </row>
    <row r="797" spans="1:5" ht="15">
      <c r="A797" s="98">
        <v>4205</v>
      </c>
      <c r="B797">
        <v>21.32</v>
      </c>
      <c r="C797">
        <v>20.41</v>
      </c>
      <c r="D797" t="s">
        <v>218</v>
      </c>
      <c r="E797" s="97">
        <v>-1.72E-2</v>
      </c>
    </row>
    <row r="798" spans="1:5" ht="15">
      <c r="A798" s="98">
        <v>4204</v>
      </c>
      <c r="B798">
        <v>21.55</v>
      </c>
      <c r="C798">
        <v>20.76</v>
      </c>
      <c r="D798" t="s">
        <v>218</v>
      </c>
      <c r="E798" s="97">
        <v>2.5000000000000001E-2</v>
      </c>
    </row>
    <row r="799" spans="1:5" ht="15">
      <c r="A799" s="98">
        <v>4203</v>
      </c>
      <c r="B799">
        <v>21.89</v>
      </c>
      <c r="C799">
        <v>20.88</v>
      </c>
      <c r="D799" t="s">
        <v>218</v>
      </c>
      <c r="E799" s="97">
        <v>1.6500000000000001E-2</v>
      </c>
    </row>
    <row r="800" spans="1:5" ht="15">
      <c r="A800" s="98">
        <v>4202</v>
      </c>
      <c r="B800">
        <v>20.83</v>
      </c>
      <c r="C800">
        <v>20.27</v>
      </c>
      <c r="D800" t="s">
        <v>218</v>
      </c>
      <c r="E800" s="97">
        <v>-3.5499999999999997E-2</v>
      </c>
    </row>
    <row r="801" spans="1:5" ht="15">
      <c r="A801" s="98">
        <v>4201</v>
      </c>
      <c r="B801">
        <v>20.079999999999998</v>
      </c>
      <c r="C801">
        <v>19.41</v>
      </c>
      <c r="D801" t="s">
        <v>218</v>
      </c>
      <c r="E801" s="97">
        <v>-3.5900000000000001E-2</v>
      </c>
    </row>
    <row r="802" spans="1:5" ht="15">
      <c r="A802" s="98">
        <v>4200</v>
      </c>
      <c r="B802">
        <v>20.51</v>
      </c>
      <c r="C802">
        <v>19.47</v>
      </c>
      <c r="D802" t="s">
        <v>218</v>
      </c>
      <c r="E802" s="97">
        <v>-1.89E-2</v>
      </c>
    </row>
    <row r="803" spans="1:5" ht="15">
      <c r="A803" s="98">
        <v>4199</v>
      </c>
      <c r="B803">
        <v>19.55</v>
      </c>
      <c r="C803">
        <v>19.21</v>
      </c>
      <c r="D803" t="s">
        <v>218</v>
      </c>
      <c r="E803" s="97">
        <v>-2.3099999999999999E-2</v>
      </c>
    </row>
    <row r="804" spans="1:5" ht="15">
      <c r="A804" s="98">
        <v>4198</v>
      </c>
      <c r="B804">
        <v>20.14</v>
      </c>
      <c r="C804">
        <v>18.98</v>
      </c>
      <c r="D804" t="s">
        <v>218</v>
      </c>
      <c r="E804" s="97">
        <v>0.1168</v>
      </c>
    </row>
    <row r="805" spans="1:5" ht="15">
      <c r="A805" s="98">
        <v>4197</v>
      </c>
      <c r="B805">
        <v>19.46</v>
      </c>
      <c r="C805">
        <v>19.14</v>
      </c>
      <c r="D805" t="s">
        <v>218</v>
      </c>
      <c r="E805" s="97">
        <v>-8.1100000000000005E-2</v>
      </c>
    </row>
    <row r="806" spans="1:5" ht="15">
      <c r="A806" s="98">
        <v>4196</v>
      </c>
      <c r="B806">
        <v>19.809999999999999</v>
      </c>
      <c r="C806">
        <v>18.71</v>
      </c>
      <c r="D806" t="s">
        <v>218</v>
      </c>
      <c r="E806" s="97">
        <v>-2.93E-2</v>
      </c>
    </row>
    <row r="807" spans="1:5" ht="15">
      <c r="A807" s="98">
        <v>4195</v>
      </c>
      <c r="B807">
        <v>20.49</v>
      </c>
      <c r="C807">
        <v>19.239999999999998</v>
      </c>
      <c r="D807" t="s">
        <v>218</v>
      </c>
      <c r="E807" s="97">
        <v>-8.2900000000000001E-2</v>
      </c>
    </row>
    <row r="808" spans="1:5" ht="15">
      <c r="A808" s="98">
        <v>4194</v>
      </c>
      <c r="B808">
        <v>19.95</v>
      </c>
      <c r="C808">
        <v>19.579999999999998</v>
      </c>
      <c r="D808" t="s">
        <v>218</v>
      </c>
      <c r="E808" s="97">
        <v>-4.2599999999999999E-2</v>
      </c>
    </row>
    <row r="809" spans="1:5" ht="15">
      <c r="A809" s="98">
        <v>4193</v>
      </c>
      <c r="B809">
        <v>21.91</v>
      </c>
      <c r="C809">
        <v>20.92</v>
      </c>
      <c r="D809" t="s">
        <v>218</v>
      </c>
      <c r="E809" s="97">
        <v>0.1129</v>
      </c>
    </row>
    <row r="810" spans="1:5" ht="15">
      <c r="A810" s="98">
        <v>4192</v>
      </c>
      <c r="B810">
        <v>21.56</v>
      </c>
      <c r="C810">
        <v>20.77</v>
      </c>
      <c r="D810" t="s">
        <v>218</v>
      </c>
      <c r="E810" s="97">
        <v>-0.1067</v>
      </c>
    </row>
    <row r="811" spans="1:5" ht="15">
      <c r="A811" s="98">
        <v>4191</v>
      </c>
      <c r="B811">
        <v>21.95</v>
      </c>
      <c r="C811">
        <v>21.29</v>
      </c>
      <c r="D811" t="s">
        <v>218</v>
      </c>
      <c r="E811" s="97">
        <v>2.5100000000000001E-2</v>
      </c>
    </row>
    <row r="812" spans="1:5" ht="15">
      <c r="A812" s="98">
        <v>4190</v>
      </c>
      <c r="B812">
        <v>21.91</v>
      </c>
      <c r="C812">
        <v>21.02</v>
      </c>
      <c r="D812" t="s">
        <v>218</v>
      </c>
      <c r="E812" s="97">
        <v>-2.7699999999999999E-2</v>
      </c>
    </row>
    <row r="813" spans="1:5" ht="15">
      <c r="A813" s="98">
        <v>4189</v>
      </c>
      <c r="B813">
        <v>20.67</v>
      </c>
      <c r="C813">
        <v>17.440000000000001</v>
      </c>
      <c r="D813" t="s">
        <v>218</v>
      </c>
      <c r="E813" s="97">
        <v>7.0099999999999996E-2</v>
      </c>
    </row>
    <row r="814" spans="1:5" ht="15">
      <c r="A814" s="98">
        <v>4188</v>
      </c>
      <c r="B814">
        <v>20.72</v>
      </c>
      <c r="C814">
        <v>19.95</v>
      </c>
      <c r="D814" t="s">
        <v>218</v>
      </c>
      <c r="E814" s="97">
        <v>6.7000000000000002E-3</v>
      </c>
    </row>
    <row r="815" spans="1:5" ht="15">
      <c r="A815" s="98">
        <v>4187</v>
      </c>
      <c r="B815">
        <v>19.940000000000001</v>
      </c>
      <c r="C815">
        <v>19.14</v>
      </c>
      <c r="D815" t="s">
        <v>218</v>
      </c>
      <c r="E815" s="97">
        <v>-3.5900000000000001E-2</v>
      </c>
    </row>
    <row r="816" spans="1:5" ht="15">
      <c r="A816" s="98">
        <v>4186</v>
      </c>
      <c r="B816">
        <v>18.75</v>
      </c>
      <c r="C816">
        <v>18.23</v>
      </c>
      <c r="D816" t="s">
        <v>218</v>
      </c>
      <c r="E816" s="97">
        <v>7.5200000000000003E-2</v>
      </c>
    </row>
    <row r="817" spans="1:5" ht="15">
      <c r="A817" s="98">
        <v>4185</v>
      </c>
      <c r="B817">
        <v>20.79</v>
      </c>
      <c r="C817">
        <v>17.3</v>
      </c>
      <c r="D817" t="s">
        <v>218</v>
      </c>
      <c r="E817" s="97">
        <v>1.0699999999999999E-2</v>
      </c>
    </row>
    <row r="818" spans="1:5" ht="15">
      <c r="A818" s="98">
        <v>4184</v>
      </c>
      <c r="B818">
        <v>22.44</v>
      </c>
      <c r="C818">
        <v>21.21</v>
      </c>
      <c r="D818" t="s">
        <v>218</v>
      </c>
      <c r="E818" s="97">
        <v>-6.7799999999999999E-2</v>
      </c>
    </row>
    <row r="819" spans="1:5" ht="15">
      <c r="A819" s="98">
        <v>4183</v>
      </c>
      <c r="B819">
        <v>23.04</v>
      </c>
      <c r="C819">
        <v>20.67</v>
      </c>
      <c r="D819" t="s">
        <v>218</v>
      </c>
      <c r="E819" s="97">
        <v>-5.3E-3</v>
      </c>
    </row>
    <row r="820" spans="1:5" ht="15">
      <c r="A820" s="98">
        <v>4182</v>
      </c>
      <c r="B820">
        <v>21.76</v>
      </c>
      <c r="C820">
        <v>20.46</v>
      </c>
      <c r="D820" t="s">
        <v>218</v>
      </c>
      <c r="E820" s="97">
        <v>1.9800000000000002E-2</v>
      </c>
    </row>
    <row r="821" spans="1:5" ht="15">
      <c r="A821" s="98">
        <v>4181</v>
      </c>
      <c r="B821">
        <v>21.49</v>
      </c>
      <c r="C821">
        <v>20.62</v>
      </c>
      <c r="D821" t="s">
        <v>218</v>
      </c>
      <c r="E821" s="97">
        <v>1.34E-2</v>
      </c>
    </row>
    <row r="822" spans="1:5" ht="15">
      <c r="A822" s="98">
        <v>4180</v>
      </c>
      <c r="B822">
        <v>20.72</v>
      </c>
      <c r="C822">
        <v>19.149999999999999</v>
      </c>
      <c r="D822" t="s">
        <v>218</v>
      </c>
      <c r="E822" s="97">
        <v>0.13500000000000001</v>
      </c>
    </row>
    <row r="823" spans="1:5" ht="15">
      <c r="A823" s="98">
        <v>4179</v>
      </c>
      <c r="B823">
        <v>19.27</v>
      </c>
      <c r="C823">
        <v>18.350000000000001</v>
      </c>
      <c r="D823" t="s">
        <v>218</v>
      </c>
      <c r="E823" s="97">
        <v>1.04E-2</v>
      </c>
    </row>
    <row r="824" spans="1:5" ht="15">
      <c r="A824" s="98">
        <v>4178</v>
      </c>
      <c r="B824">
        <v>18.78</v>
      </c>
      <c r="C824">
        <v>18.420000000000002</v>
      </c>
      <c r="D824" t="s">
        <v>218</v>
      </c>
      <c r="E824" s="97">
        <v>1.84E-2</v>
      </c>
    </row>
    <row r="825" spans="1:5" ht="15">
      <c r="A825" s="98">
        <v>4177</v>
      </c>
      <c r="B825">
        <v>18.899999999999999</v>
      </c>
      <c r="C825">
        <v>18.059999999999999</v>
      </c>
      <c r="D825" t="s">
        <v>218</v>
      </c>
      <c r="E825" s="97">
        <v>-1.6299999999999999E-2</v>
      </c>
    </row>
    <row r="826" spans="1:5" ht="15">
      <c r="A826" s="98">
        <v>4176</v>
      </c>
      <c r="B826">
        <v>19.02</v>
      </c>
      <c r="C826">
        <v>18.62</v>
      </c>
      <c r="D826" t="s">
        <v>218</v>
      </c>
      <c r="E826" s="97">
        <v>-5.0000000000000001E-3</v>
      </c>
    </row>
    <row r="827" spans="1:5" ht="15">
      <c r="A827" s="98">
        <v>4175</v>
      </c>
      <c r="B827">
        <v>20.02</v>
      </c>
      <c r="C827">
        <v>19.27</v>
      </c>
      <c r="D827" t="s">
        <v>218</v>
      </c>
      <c r="E827" s="97">
        <v>-1.8599999999999998E-2</v>
      </c>
    </row>
    <row r="828" spans="1:5" ht="15">
      <c r="A828" s="98">
        <v>4174</v>
      </c>
      <c r="B828">
        <v>20.13</v>
      </c>
      <c r="C828">
        <v>19.09</v>
      </c>
      <c r="D828" t="s">
        <v>218</v>
      </c>
      <c r="E828" s="97">
        <v>2.8199999999999999E-2</v>
      </c>
    </row>
    <row r="829" spans="1:5" ht="15">
      <c r="A829" s="98">
        <v>4173</v>
      </c>
      <c r="B829">
        <v>19.02</v>
      </c>
      <c r="C829">
        <v>18</v>
      </c>
      <c r="D829" t="s">
        <v>218</v>
      </c>
      <c r="E829" s="97">
        <v>-6.3399999999999998E-2</v>
      </c>
    </row>
    <row r="830" spans="1:5" ht="15">
      <c r="A830" s="98">
        <v>4172</v>
      </c>
      <c r="B830">
        <v>18.510000000000002</v>
      </c>
      <c r="C830">
        <v>17.57</v>
      </c>
      <c r="D830" t="s">
        <v>218</v>
      </c>
      <c r="E830" s="97">
        <v>-2.6100000000000002E-2</v>
      </c>
    </row>
    <row r="831" spans="1:5" ht="15">
      <c r="A831" s="98">
        <v>4171</v>
      </c>
      <c r="B831">
        <v>18.77</v>
      </c>
      <c r="C831">
        <v>18.12</v>
      </c>
      <c r="D831" t="s">
        <v>218</v>
      </c>
      <c r="E831" s="97">
        <v>-4.8999999999999998E-3</v>
      </c>
    </row>
    <row r="832" spans="1:5" ht="15">
      <c r="A832" s="98">
        <v>4170</v>
      </c>
      <c r="B832">
        <v>19.14</v>
      </c>
      <c r="C832">
        <v>18.13</v>
      </c>
      <c r="D832" t="s">
        <v>218</v>
      </c>
      <c r="E832" s="97">
        <v>4.5699999999999998E-2</v>
      </c>
    </row>
    <row r="833" spans="1:5" ht="15">
      <c r="A833" s="98">
        <v>4169</v>
      </c>
      <c r="B833">
        <v>20.46</v>
      </c>
      <c r="C833">
        <v>19.18</v>
      </c>
      <c r="D833" t="s">
        <v>218</v>
      </c>
      <c r="E833" s="97">
        <v>2.0199999999999999E-2</v>
      </c>
    </row>
    <row r="834" spans="1:5" ht="15">
      <c r="A834" s="98">
        <v>4168</v>
      </c>
      <c r="B834">
        <v>20</v>
      </c>
      <c r="C834">
        <v>19.059999999999999</v>
      </c>
      <c r="D834" t="s">
        <v>218</v>
      </c>
      <c r="E834" s="97">
        <v>-3.15E-2</v>
      </c>
    </row>
    <row r="835" spans="1:5" ht="15">
      <c r="A835" s="98">
        <v>4167</v>
      </c>
      <c r="B835">
        <v>20.55</v>
      </c>
      <c r="C835">
        <v>19.82</v>
      </c>
      <c r="D835" t="s">
        <v>218</v>
      </c>
      <c r="E835" s="97">
        <v>-4.7100000000000003E-2</v>
      </c>
    </row>
    <row r="836" spans="1:5" ht="15">
      <c r="A836" s="98">
        <v>4166</v>
      </c>
      <c r="B836">
        <v>20.99</v>
      </c>
      <c r="C836">
        <v>20.149999999999999</v>
      </c>
      <c r="D836" t="s">
        <v>218</v>
      </c>
      <c r="E836" s="97">
        <v>-3.9399999999999998E-2</v>
      </c>
    </row>
    <row r="837" spans="1:5" ht="15">
      <c r="A837" s="98">
        <v>4165</v>
      </c>
      <c r="B837">
        <v>21.47</v>
      </c>
      <c r="C837">
        <v>20.88</v>
      </c>
      <c r="D837" t="s">
        <v>218</v>
      </c>
      <c r="E837" s="97">
        <v>7.1499999999999994E-2</v>
      </c>
    </row>
    <row r="838" spans="1:5" ht="15">
      <c r="A838" s="98">
        <v>4164</v>
      </c>
      <c r="B838">
        <v>22.26</v>
      </c>
      <c r="C838">
        <v>21.04</v>
      </c>
      <c r="D838" t="s">
        <v>218</v>
      </c>
      <c r="E838" s="97">
        <v>-7.8600000000000003E-2</v>
      </c>
    </row>
    <row r="839" spans="1:5" ht="15">
      <c r="A839" s="98">
        <v>4163</v>
      </c>
      <c r="B839">
        <v>20.66</v>
      </c>
      <c r="C839">
        <v>19.46</v>
      </c>
      <c r="D839" t="s">
        <v>218</v>
      </c>
      <c r="E839" s="97">
        <v>-1.0699999999999999E-2</v>
      </c>
    </row>
    <row r="840" spans="1:5" ht="15">
      <c r="A840" s="98">
        <v>4162</v>
      </c>
      <c r="B840">
        <v>20.29</v>
      </c>
      <c r="C840">
        <v>19.2</v>
      </c>
      <c r="D840" t="s">
        <v>218</v>
      </c>
      <c r="E840" s="97">
        <v>4.4200000000000003E-2</v>
      </c>
    </row>
    <row r="841" spans="1:5" ht="15">
      <c r="A841" s="98">
        <v>4161</v>
      </c>
      <c r="B841">
        <v>20.88</v>
      </c>
      <c r="C841">
        <v>19.87</v>
      </c>
      <c r="D841" t="s">
        <v>218</v>
      </c>
      <c r="E841" s="97">
        <v>0.01</v>
      </c>
    </row>
    <row r="842" spans="1:5" ht="15">
      <c r="A842" s="98">
        <v>4160</v>
      </c>
      <c r="B842">
        <v>18.88</v>
      </c>
      <c r="C842">
        <v>17.28</v>
      </c>
      <c r="D842" t="s">
        <v>218</v>
      </c>
      <c r="E842" s="97">
        <v>1.34E-2</v>
      </c>
    </row>
    <row r="843" spans="1:5" ht="15">
      <c r="A843" s="98">
        <v>4159</v>
      </c>
      <c r="B843">
        <v>20.13</v>
      </c>
      <c r="C843">
        <v>18.37</v>
      </c>
      <c r="D843" t="s">
        <v>218</v>
      </c>
      <c r="E843" s="97">
        <v>5.3E-3</v>
      </c>
    </row>
    <row r="844" spans="1:5" ht="15">
      <c r="A844" s="98">
        <v>4158</v>
      </c>
      <c r="B844">
        <v>22.26</v>
      </c>
      <c r="C844">
        <v>20.83</v>
      </c>
      <c r="D844" t="s">
        <v>218</v>
      </c>
      <c r="E844" s="97">
        <v>-2.1999999999999999E-2</v>
      </c>
    </row>
    <row r="845" spans="1:5" ht="15">
      <c r="A845" s="98">
        <v>4157</v>
      </c>
      <c r="B845">
        <v>21.53</v>
      </c>
      <c r="C845">
        <v>20.63</v>
      </c>
      <c r="D845" t="s">
        <v>218</v>
      </c>
      <c r="E845" s="97">
        <v>-2.8400000000000002E-2</v>
      </c>
    </row>
    <row r="846" spans="1:5" ht="15">
      <c r="A846" s="98">
        <v>4156</v>
      </c>
      <c r="B846">
        <v>21.48</v>
      </c>
      <c r="C846">
        <v>20.350000000000001</v>
      </c>
      <c r="D846" t="s">
        <v>218</v>
      </c>
      <c r="E846" s="97">
        <v>-4.2099999999999999E-2</v>
      </c>
    </row>
    <row r="847" spans="1:5" ht="15">
      <c r="A847" s="98">
        <v>4155</v>
      </c>
      <c r="B847">
        <v>21.5</v>
      </c>
      <c r="C847">
        <v>20.010000000000002</v>
      </c>
      <c r="D847" t="s">
        <v>218</v>
      </c>
      <c r="E847" s="97">
        <v>-9.4799999999999995E-2</v>
      </c>
    </row>
    <row r="848" spans="1:5" ht="15">
      <c r="A848" s="98">
        <v>4154</v>
      </c>
      <c r="B848">
        <v>20.85</v>
      </c>
      <c r="C848">
        <v>20.07</v>
      </c>
      <c r="D848" t="s">
        <v>218</v>
      </c>
      <c r="E848" s="97">
        <v>-1.5599999999999999E-2</v>
      </c>
    </row>
    <row r="849" spans="1:5" ht="15">
      <c r="A849" s="98">
        <v>4153</v>
      </c>
      <c r="B849">
        <v>21.02</v>
      </c>
      <c r="C849">
        <v>20.53</v>
      </c>
      <c r="D849" t="s">
        <v>218</v>
      </c>
      <c r="E849" s="97">
        <v>-8.3400000000000002E-2</v>
      </c>
    </row>
    <row r="850" spans="1:5" ht="15">
      <c r="A850" s="98">
        <v>4152</v>
      </c>
      <c r="B850">
        <v>21.32</v>
      </c>
      <c r="C850">
        <v>20.48</v>
      </c>
      <c r="D850" t="s">
        <v>218</v>
      </c>
      <c r="E850" s="97">
        <v>-4.8599999999999997E-2</v>
      </c>
    </row>
    <row r="851" spans="1:5" ht="15">
      <c r="A851" s="98">
        <v>4151</v>
      </c>
      <c r="B851">
        <v>21.14</v>
      </c>
      <c r="C851">
        <v>19.87</v>
      </c>
      <c r="D851" t="s">
        <v>218</v>
      </c>
      <c r="E851" s="97">
        <v>1.2E-2</v>
      </c>
    </row>
    <row r="852" spans="1:5" ht="15">
      <c r="A852" s="98">
        <v>4150</v>
      </c>
      <c r="B852">
        <v>21.82</v>
      </c>
      <c r="C852">
        <v>18.579999999999998</v>
      </c>
      <c r="D852" t="s">
        <v>218</v>
      </c>
      <c r="E852" s="97">
        <v>0.1769</v>
      </c>
    </row>
    <row r="853" spans="1:5" ht="15">
      <c r="A853" s="98">
        <v>4149</v>
      </c>
      <c r="B853">
        <v>21.95</v>
      </c>
      <c r="C853">
        <v>21.26</v>
      </c>
      <c r="D853" t="s">
        <v>218</v>
      </c>
      <c r="E853" s="97">
        <v>1.6500000000000001E-2</v>
      </c>
    </row>
    <row r="854" spans="1:5" ht="15">
      <c r="A854" s="98">
        <v>4148</v>
      </c>
      <c r="B854">
        <v>21.72</v>
      </c>
      <c r="C854">
        <v>19.13</v>
      </c>
      <c r="D854" t="s">
        <v>218</v>
      </c>
      <c r="E854" s="97">
        <v>-4.07E-2</v>
      </c>
    </row>
    <row r="855" spans="1:5" ht="15">
      <c r="A855" s="98">
        <v>4147</v>
      </c>
      <c r="B855">
        <v>19.62</v>
      </c>
      <c r="C855">
        <v>18.82</v>
      </c>
      <c r="D855" t="s">
        <v>218</v>
      </c>
      <c r="E855" s="97">
        <v>0.1052</v>
      </c>
    </row>
    <row r="856" spans="1:5" ht="15">
      <c r="A856" s="98">
        <v>4146</v>
      </c>
      <c r="B856">
        <v>19.239999999999998</v>
      </c>
      <c r="C856">
        <v>18.68</v>
      </c>
      <c r="D856" t="s">
        <v>218</v>
      </c>
      <c r="E856" s="97">
        <v>-5.1999999999999998E-3</v>
      </c>
    </row>
    <row r="857" spans="1:5" ht="15">
      <c r="A857" s="98">
        <v>4145</v>
      </c>
      <c r="B857">
        <v>18.52</v>
      </c>
      <c r="C857">
        <v>18.010000000000002</v>
      </c>
      <c r="D857" t="s">
        <v>218</v>
      </c>
      <c r="E857" s="97">
        <v>8.72E-2</v>
      </c>
    </row>
    <row r="858" spans="1:5" ht="15">
      <c r="A858" s="98">
        <v>4144</v>
      </c>
      <c r="B858">
        <v>19.920000000000002</v>
      </c>
      <c r="C858">
        <v>19.12</v>
      </c>
      <c r="D858" t="s">
        <v>218</v>
      </c>
      <c r="E858" s="97">
        <v>3.8800000000000001E-2</v>
      </c>
    </row>
    <row r="859" spans="1:5" ht="15">
      <c r="A859" s="98">
        <v>4143</v>
      </c>
      <c r="B859">
        <v>19.579999999999998</v>
      </c>
      <c r="C859">
        <v>19.22</v>
      </c>
      <c r="D859" t="s">
        <v>218</v>
      </c>
      <c r="E859" s="97">
        <v>-4.3900000000000002E-2</v>
      </c>
    </row>
    <row r="860" spans="1:5" ht="15">
      <c r="A860" s="98">
        <v>4142</v>
      </c>
      <c r="B860">
        <v>19.77</v>
      </c>
      <c r="C860">
        <v>18.82</v>
      </c>
      <c r="D860" t="s">
        <v>218</v>
      </c>
      <c r="E860" s="97">
        <v>-3.3599999999999998E-2</v>
      </c>
    </row>
    <row r="861" spans="1:5" ht="15">
      <c r="A861" s="98">
        <v>4141</v>
      </c>
      <c r="B861">
        <v>19.48</v>
      </c>
      <c r="C861">
        <v>18.850000000000001</v>
      </c>
      <c r="D861" t="s">
        <v>218</v>
      </c>
      <c r="E861" s="97">
        <v>1.9E-3</v>
      </c>
    </row>
    <row r="862" spans="1:5" ht="15">
      <c r="A862" s="98">
        <v>4140</v>
      </c>
      <c r="B862">
        <v>21.19</v>
      </c>
      <c r="C862">
        <v>20.76</v>
      </c>
      <c r="D862" t="s">
        <v>218</v>
      </c>
      <c r="E862" s="97">
        <v>-9.4799999999999995E-2</v>
      </c>
    </row>
    <row r="863" spans="1:5" ht="15">
      <c r="A863" s="98">
        <v>4139</v>
      </c>
      <c r="B863">
        <v>20.010000000000002</v>
      </c>
      <c r="C863">
        <v>19.559999999999999</v>
      </c>
      <c r="D863" t="s">
        <v>218</v>
      </c>
      <c r="E863" s="97">
        <v>-7.3000000000000001E-3</v>
      </c>
    </row>
    <row r="864" spans="1:5" ht="15">
      <c r="A864" s="98">
        <v>4138</v>
      </c>
      <c r="B864">
        <v>20.39</v>
      </c>
      <c r="C864">
        <v>19.88</v>
      </c>
      <c r="D864" t="s">
        <v>218</v>
      </c>
      <c r="E864" s="97">
        <v>-5.8200000000000002E-2</v>
      </c>
    </row>
    <row r="865" spans="1:5" ht="15">
      <c r="A865" s="98">
        <v>4137</v>
      </c>
      <c r="B865">
        <v>20.37</v>
      </c>
      <c r="C865">
        <v>20.05</v>
      </c>
      <c r="D865" t="s">
        <v>218</v>
      </c>
      <c r="E865" s="97">
        <v>-9.3700000000000006E-2</v>
      </c>
    </row>
    <row r="866" spans="1:5" ht="15">
      <c r="A866" s="98">
        <v>4136</v>
      </c>
      <c r="B866">
        <v>19.48</v>
      </c>
      <c r="C866">
        <v>18.920000000000002</v>
      </c>
      <c r="D866" t="s">
        <v>218</v>
      </c>
      <c r="E866" s="97">
        <v>8.9999999999999998E-4</v>
      </c>
    </row>
    <row r="867" spans="1:5" ht="15">
      <c r="A867" s="98">
        <v>4135</v>
      </c>
      <c r="B867">
        <v>19.66</v>
      </c>
      <c r="C867">
        <v>19.36</v>
      </c>
      <c r="D867" t="s">
        <v>218</v>
      </c>
      <c r="E867" s="97">
        <v>-7.85E-2</v>
      </c>
    </row>
    <row r="868" spans="1:5" ht="15">
      <c r="A868" s="98">
        <v>4134</v>
      </c>
      <c r="B868">
        <v>19.28</v>
      </c>
      <c r="C868">
        <v>18.79</v>
      </c>
      <c r="D868" t="s">
        <v>218</v>
      </c>
      <c r="E868" s="97">
        <v>3.0700000000000002E-2</v>
      </c>
    </row>
    <row r="869" spans="1:5" ht="15">
      <c r="A869" s="98">
        <v>4133</v>
      </c>
      <c r="B869">
        <v>19.239999999999998</v>
      </c>
      <c r="C869">
        <v>18.850000000000001</v>
      </c>
      <c r="D869" t="s">
        <v>218</v>
      </c>
      <c r="E869" s="97">
        <v>0.20430000000000001</v>
      </c>
    </row>
    <row r="870" spans="1:5" ht="15">
      <c r="A870" s="98">
        <v>4132</v>
      </c>
      <c r="B870">
        <v>18.940000000000001</v>
      </c>
      <c r="C870">
        <v>18.2</v>
      </c>
      <c r="D870" t="s">
        <v>218</v>
      </c>
      <c r="E870" s="97">
        <v>-2.35E-2</v>
      </c>
    </row>
    <row r="871" spans="1:5" ht="15">
      <c r="A871" s="98">
        <v>4131</v>
      </c>
      <c r="B871">
        <v>19.760000000000002</v>
      </c>
      <c r="C871">
        <v>18.989999999999998</v>
      </c>
      <c r="D871" t="s">
        <v>218</v>
      </c>
      <c r="E871" s="97">
        <v>-0.15110000000000001</v>
      </c>
    </row>
    <row r="872" spans="1:5" ht="15">
      <c r="A872" s="98">
        <v>4130</v>
      </c>
      <c r="B872">
        <v>20.21</v>
      </c>
      <c r="C872">
        <v>19.73</v>
      </c>
      <c r="D872" t="s">
        <v>218</v>
      </c>
      <c r="E872" s="97">
        <v>0.1082</v>
      </c>
    </row>
    <row r="873" spans="1:5" ht="15">
      <c r="A873" s="98">
        <v>4129</v>
      </c>
      <c r="B873">
        <v>20.96</v>
      </c>
      <c r="C873">
        <v>19.87</v>
      </c>
      <c r="D873" t="s">
        <v>218</v>
      </c>
      <c r="E873" s="97">
        <v>8.0500000000000002E-2</v>
      </c>
    </row>
    <row r="874" spans="1:5" ht="15">
      <c r="A874" s="98">
        <v>4128</v>
      </c>
      <c r="B874">
        <v>20.66</v>
      </c>
      <c r="C874">
        <v>20.260000000000002</v>
      </c>
      <c r="D874" t="s">
        <v>218</v>
      </c>
      <c r="E874" s="97">
        <v>-0.1525</v>
      </c>
    </row>
    <row r="875" spans="1:5" ht="15">
      <c r="A875" s="98">
        <v>4127</v>
      </c>
      <c r="B875">
        <v>21</v>
      </c>
      <c r="C875">
        <v>19.91</v>
      </c>
      <c r="D875" t="s">
        <v>218</v>
      </c>
      <c r="E875" s="97">
        <v>1.18E-2</v>
      </c>
    </row>
    <row r="876" spans="1:5" ht="15">
      <c r="A876" s="98">
        <v>4126</v>
      </c>
      <c r="B876">
        <v>20.36</v>
      </c>
      <c r="C876">
        <v>19.8</v>
      </c>
      <c r="D876" t="s">
        <v>218</v>
      </c>
      <c r="E876" s="97">
        <v>-9.6799999999999997E-2</v>
      </c>
    </row>
    <row r="877" spans="1:5" ht="15">
      <c r="A877" s="98">
        <v>4125</v>
      </c>
      <c r="B877">
        <v>21.64</v>
      </c>
      <c r="C877">
        <v>20.25</v>
      </c>
      <c r="D877" t="s">
        <v>218</v>
      </c>
      <c r="E877" s="97">
        <v>-4.4400000000000002E-2</v>
      </c>
    </row>
    <row r="878" spans="1:5" ht="15">
      <c r="A878" s="98">
        <v>4124</v>
      </c>
      <c r="B878">
        <v>21.58</v>
      </c>
      <c r="C878">
        <v>20.5</v>
      </c>
      <c r="D878" t="s">
        <v>218</v>
      </c>
      <c r="E878" s="97">
        <v>-0.12429999999999999</v>
      </c>
    </row>
    <row r="879" spans="1:5" ht="15">
      <c r="A879" s="98">
        <v>4123</v>
      </c>
      <c r="B879">
        <v>22.28</v>
      </c>
      <c r="C879">
        <v>20.56</v>
      </c>
      <c r="D879" t="s">
        <v>218</v>
      </c>
      <c r="E879" s="97">
        <v>0.2964</v>
      </c>
    </row>
    <row r="880" spans="1:5" ht="15">
      <c r="A880" s="98">
        <v>4122</v>
      </c>
      <c r="B880">
        <v>22.13</v>
      </c>
      <c r="C880">
        <v>21.4</v>
      </c>
      <c r="D880" t="s">
        <v>218</v>
      </c>
      <c r="E880" s="97">
        <v>5.28E-2</v>
      </c>
    </row>
    <row r="881" spans="1:5" ht="15">
      <c r="A881" s="98">
        <v>4121</v>
      </c>
      <c r="B881">
        <v>21.35</v>
      </c>
      <c r="C881">
        <v>20.86</v>
      </c>
      <c r="D881" t="s">
        <v>218</v>
      </c>
      <c r="E881" s="97">
        <v>8.7900000000000006E-2</v>
      </c>
    </row>
    <row r="882" spans="1:5" ht="15">
      <c r="A882" s="98">
        <v>4120</v>
      </c>
      <c r="B882">
        <v>21.91</v>
      </c>
      <c r="C882">
        <v>21.34</v>
      </c>
      <c r="D882" t="s">
        <v>218</v>
      </c>
      <c r="E882" s="97">
        <v>-1.2800000000000001E-2</v>
      </c>
    </row>
    <row r="883" spans="1:5" ht="15">
      <c r="A883" s="98">
        <v>4119</v>
      </c>
      <c r="B883">
        <v>21.54</v>
      </c>
      <c r="C883">
        <v>20.92</v>
      </c>
      <c r="D883" t="s">
        <v>218</v>
      </c>
      <c r="E883" s="97">
        <v>0.1709</v>
      </c>
    </row>
    <row r="884" spans="1:5" ht="15">
      <c r="A884" s="98">
        <v>4118</v>
      </c>
      <c r="B884">
        <v>20.74</v>
      </c>
      <c r="C884">
        <v>19.64</v>
      </c>
      <c r="D884" t="s">
        <v>218</v>
      </c>
      <c r="E884" s="97">
        <v>4.5499999999999999E-2</v>
      </c>
    </row>
    <row r="885" spans="1:5" ht="15">
      <c r="A885" s="98">
        <v>4117</v>
      </c>
      <c r="B885">
        <v>18.64</v>
      </c>
      <c r="C885">
        <v>17.82</v>
      </c>
      <c r="D885" t="s">
        <v>218</v>
      </c>
      <c r="E885" s="97">
        <v>-9.8900000000000002E-2</v>
      </c>
    </row>
    <row r="886" spans="1:5" ht="15">
      <c r="A886" s="98">
        <v>4116</v>
      </c>
      <c r="B886">
        <v>19.38</v>
      </c>
      <c r="C886">
        <v>18.440000000000001</v>
      </c>
      <c r="D886" t="s">
        <v>218</v>
      </c>
      <c r="E886" s="97">
        <v>-1.7999999999999999E-2</v>
      </c>
    </row>
    <row r="887" spans="1:5" ht="15">
      <c r="A887" s="98">
        <v>4115</v>
      </c>
      <c r="B887">
        <v>19.22</v>
      </c>
      <c r="C887">
        <v>18.760000000000002</v>
      </c>
      <c r="D887" t="s">
        <v>218</v>
      </c>
      <c r="E887" s="97">
        <v>-0.29570000000000002</v>
      </c>
    </row>
    <row r="888" spans="1:5" ht="15">
      <c r="A888" s="98">
        <v>4114</v>
      </c>
      <c r="B888">
        <v>20.51</v>
      </c>
      <c r="C888">
        <v>18.57</v>
      </c>
      <c r="D888" t="s">
        <v>218</v>
      </c>
      <c r="E888" s="97">
        <v>0.2485</v>
      </c>
    </row>
    <row r="889" spans="1:5" ht="15">
      <c r="A889" s="98">
        <v>4113</v>
      </c>
      <c r="B889">
        <v>20.29</v>
      </c>
      <c r="C889">
        <v>19.62</v>
      </c>
      <c r="D889" t="s">
        <v>218</v>
      </c>
      <c r="E889" s="97">
        <v>0.31669999999999998</v>
      </c>
    </row>
    <row r="890" spans="1:5" ht="15">
      <c r="A890" s="98">
        <v>4112</v>
      </c>
      <c r="B890">
        <v>19.34</v>
      </c>
      <c r="C890">
        <v>18.72</v>
      </c>
      <c r="D890" t="s">
        <v>218</v>
      </c>
      <c r="E890" s="97">
        <v>4.4900000000000002E-2</v>
      </c>
    </row>
    <row r="891" spans="1:5" ht="15">
      <c r="A891" s="98">
        <v>4111</v>
      </c>
      <c r="B891">
        <v>19.84</v>
      </c>
      <c r="C891">
        <v>18.93</v>
      </c>
      <c r="D891" t="s">
        <v>218</v>
      </c>
      <c r="E891" s="97">
        <v>0.18079999999999999</v>
      </c>
    </row>
    <row r="892" spans="1:5" ht="15">
      <c r="A892" s="98">
        <v>4110</v>
      </c>
      <c r="B892">
        <v>20.100000000000001</v>
      </c>
      <c r="C892">
        <v>18.98</v>
      </c>
      <c r="D892" t="s">
        <v>218</v>
      </c>
      <c r="E892" s="97">
        <v>-8.4400000000000003E-2</v>
      </c>
    </row>
    <row r="893" spans="1:5" ht="15">
      <c r="A893" s="98">
        <v>4109</v>
      </c>
      <c r="B893">
        <v>19.84</v>
      </c>
      <c r="C893">
        <v>19.149999999999999</v>
      </c>
      <c r="D893" t="s">
        <v>218</v>
      </c>
      <c r="E893" s="97">
        <v>0.1958</v>
      </c>
    </row>
    <row r="894" spans="1:5" ht="15">
      <c r="A894" s="98">
        <v>4108</v>
      </c>
      <c r="B894">
        <v>20.82</v>
      </c>
      <c r="C894">
        <v>19.899999999999999</v>
      </c>
      <c r="D894" t="s">
        <v>218</v>
      </c>
      <c r="E894" s="97">
        <v>-0.12520000000000001</v>
      </c>
    </row>
    <row r="895" spans="1:5" ht="15">
      <c r="A895" s="98">
        <v>4107</v>
      </c>
      <c r="B895">
        <v>23.05</v>
      </c>
      <c r="C895">
        <v>21.01</v>
      </c>
      <c r="D895" t="s">
        <v>218</v>
      </c>
      <c r="E895" s="97">
        <v>-7.5800000000000006E-2</v>
      </c>
    </row>
    <row r="896" spans="1:5" ht="15">
      <c r="A896" s="98">
        <v>4106</v>
      </c>
      <c r="B896">
        <v>23.71</v>
      </c>
      <c r="C896">
        <v>23.34</v>
      </c>
      <c r="D896" t="s">
        <v>218</v>
      </c>
      <c r="E896" s="97">
        <v>0.30570000000000003</v>
      </c>
    </row>
    <row r="897" spans="1:5" ht="15">
      <c r="A897" s="98">
        <v>4105</v>
      </c>
      <c r="B897">
        <v>23.17</v>
      </c>
      <c r="C897">
        <v>21.76</v>
      </c>
      <c r="D897" t="s">
        <v>218</v>
      </c>
      <c r="E897" s="97">
        <v>5.11E-2</v>
      </c>
    </row>
    <row r="898" spans="1:5" ht="15">
      <c r="A898" s="98">
        <v>4104</v>
      </c>
      <c r="B898">
        <v>21.57</v>
      </c>
      <c r="C898">
        <v>21.04</v>
      </c>
      <c r="D898" t="s">
        <v>218</v>
      </c>
      <c r="E898" s="97">
        <v>9.1000000000000004E-3</v>
      </c>
    </row>
    <row r="899" spans="1:5" ht="15">
      <c r="A899" s="98">
        <v>4103</v>
      </c>
      <c r="B899">
        <v>22.1</v>
      </c>
      <c r="C899">
        <v>20.91</v>
      </c>
      <c r="D899" t="s">
        <v>218</v>
      </c>
      <c r="E899" s="97">
        <v>9.1999999999999998E-3</v>
      </c>
    </row>
    <row r="900" spans="1:5" ht="15">
      <c r="A900" s="98">
        <v>4102</v>
      </c>
      <c r="B900">
        <v>20.97</v>
      </c>
      <c r="C900">
        <v>20.48</v>
      </c>
      <c r="D900" t="s">
        <v>218</v>
      </c>
      <c r="E900" s="97">
        <v>3.7499999999999999E-2</v>
      </c>
    </row>
    <row r="901" spans="1:5" ht="15">
      <c r="A901" s="98">
        <v>4101</v>
      </c>
      <c r="B901">
        <v>22.14</v>
      </c>
      <c r="C901">
        <v>20.57</v>
      </c>
      <c r="D901" t="s">
        <v>218</v>
      </c>
      <c r="E901" s="97">
        <v>-9.2799999999999994E-2</v>
      </c>
    </row>
    <row r="902" spans="1:5" ht="15">
      <c r="A902" s="98">
        <v>4100</v>
      </c>
      <c r="B902">
        <v>22.37</v>
      </c>
      <c r="C902">
        <v>21.81</v>
      </c>
      <c r="D902" t="s">
        <v>218</v>
      </c>
      <c r="E902" s="97">
        <v>-5.5599999999999997E-2</v>
      </c>
    </row>
    <row r="903" spans="1:5" ht="15">
      <c r="A903" s="98">
        <v>4099</v>
      </c>
      <c r="B903">
        <v>22.06</v>
      </c>
      <c r="C903">
        <v>21.34</v>
      </c>
      <c r="D903" t="s">
        <v>218</v>
      </c>
      <c r="E903" s="97">
        <v>0.15540000000000001</v>
      </c>
    </row>
    <row r="904" spans="1:5" ht="15">
      <c r="A904" s="98">
        <v>4098</v>
      </c>
      <c r="B904">
        <v>21.98</v>
      </c>
      <c r="C904">
        <v>21.24</v>
      </c>
      <c r="D904" t="s">
        <v>218</v>
      </c>
      <c r="E904" s="97">
        <v>1.9199999999999998E-2</v>
      </c>
    </row>
    <row r="905" spans="1:5" ht="15">
      <c r="A905" s="98">
        <v>4097</v>
      </c>
      <c r="B905">
        <v>22.97</v>
      </c>
      <c r="C905">
        <v>21.29</v>
      </c>
      <c r="D905" t="s">
        <v>218</v>
      </c>
      <c r="E905" s="97">
        <v>-3.7699999999999997E-2</v>
      </c>
    </row>
    <row r="906" spans="1:5" ht="15">
      <c r="A906" s="98">
        <v>4096</v>
      </c>
      <c r="B906">
        <v>23.34</v>
      </c>
      <c r="C906">
        <v>21.92</v>
      </c>
      <c r="D906" t="s">
        <v>218</v>
      </c>
      <c r="E906" s="97">
        <v>3.9800000000000002E-2</v>
      </c>
    </row>
    <row r="907" spans="1:5" ht="15">
      <c r="A907" s="98">
        <v>4095</v>
      </c>
      <c r="B907">
        <v>21.78</v>
      </c>
      <c r="C907">
        <v>20.64</v>
      </c>
      <c r="D907" t="s">
        <v>218</v>
      </c>
      <c r="E907" s="97">
        <v>-3.4700000000000002E-2</v>
      </c>
    </row>
    <row r="908" spans="1:5" ht="15">
      <c r="A908" s="98">
        <v>4094</v>
      </c>
      <c r="B908">
        <v>20.89</v>
      </c>
      <c r="C908">
        <v>19.96</v>
      </c>
      <c r="D908" t="s">
        <v>218</v>
      </c>
      <c r="E908" s="97">
        <v>-2.06E-2</v>
      </c>
    </row>
    <row r="909" spans="1:5" ht="15">
      <c r="A909" s="98">
        <v>4093</v>
      </c>
      <c r="B909">
        <v>19.98</v>
      </c>
      <c r="C909">
        <v>19.329999999999998</v>
      </c>
      <c r="D909" t="s">
        <v>218</v>
      </c>
      <c r="E909" s="97">
        <v>-8.3999999999999995E-3</v>
      </c>
    </row>
    <row r="910" spans="1:5" ht="15">
      <c r="A910" s="98">
        <v>4092</v>
      </c>
      <c r="B910">
        <v>23.23</v>
      </c>
      <c r="C910">
        <v>21.03</v>
      </c>
      <c r="D910" t="s">
        <v>218</v>
      </c>
      <c r="E910" s="97">
        <v>2.4E-2</v>
      </c>
    </row>
    <row r="911" spans="1:5" ht="15">
      <c r="A911" s="98">
        <v>4091</v>
      </c>
      <c r="B911">
        <v>23.58</v>
      </c>
      <c r="C911">
        <v>22.59</v>
      </c>
      <c r="D911" t="s">
        <v>218</v>
      </c>
      <c r="E911" s="97">
        <v>-4.6399999999999997E-2</v>
      </c>
    </row>
    <row r="912" spans="1:5" ht="15">
      <c r="A912" s="98">
        <v>4090</v>
      </c>
      <c r="B912">
        <v>23.9</v>
      </c>
      <c r="C912">
        <v>22.03</v>
      </c>
      <c r="D912" t="s">
        <v>218</v>
      </c>
      <c r="E912" s="97">
        <v>-2.58E-2</v>
      </c>
    </row>
    <row r="913" spans="1:5" ht="15">
      <c r="A913" s="98">
        <v>4089</v>
      </c>
      <c r="B913">
        <v>25.47</v>
      </c>
      <c r="C913">
        <v>23.52</v>
      </c>
      <c r="D913" t="s">
        <v>218</v>
      </c>
      <c r="E913" s="97">
        <v>-6.7999999999999996E-3</v>
      </c>
    </row>
    <row r="914" spans="1:5" ht="15">
      <c r="A914" s="98">
        <v>4088</v>
      </c>
      <c r="B914">
        <v>23.88</v>
      </c>
      <c r="C914">
        <v>23.11</v>
      </c>
      <c r="D914" t="s">
        <v>218</v>
      </c>
      <c r="E914" s="97">
        <v>2.69E-2</v>
      </c>
    </row>
    <row r="915" spans="1:5" ht="15">
      <c r="A915" s="98">
        <v>4087</v>
      </c>
      <c r="B915">
        <v>25.05</v>
      </c>
      <c r="C915">
        <v>22.91</v>
      </c>
      <c r="D915" t="s">
        <v>218</v>
      </c>
      <c r="E915" s="97">
        <v>-2.6200000000000001E-2</v>
      </c>
    </row>
    <row r="916" spans="1:5" ht="15">
      <c r="A916" s="98">
        <v>4086</v>
      </c>
      <c r="B916">
        <v>26.31</v>
      </c>
      <c r="C916">
        <v>24.37</v>
      </c>
      <c r="D916" t="s">
        <v>218</v>
      </c>
      <c r="E916" s="97">
        <v>-1.01E-2</v>
      </c>
    </row>
    <row r="917" spans="1:5" ht="15">
      <c r="A917" s="98">
        <v>4085</v>
      </c>
      <c r="B917">
        <v>23.31</v>
      </c>
      <c r="C917">
        <v>22.61</v>
      </c>
      <c r="D917" t="s">
        <v>218</v>
      </c>
      <c r="E917" s="97">
        <v>-3.4200000000000001E-2</v>
      </c>
    </row>
    <row r="918" spans="1:5" ht="15">
      <c r="A918" s="98">
        <v>4084</v>
      </c>
      <c r="B918">
        <v>22.63</v>
      </c>
      <c r="C918">
        <v>21.03</v>
      </c>
      <c r="D918" t="s">
        <v>218</v>
      </c>
      <c r="E918" s="97">
        <v>4.8399999999999999E-2</v>
      </c>
    </row>
    <row r="919" spans="1:5" ht="15">
      <c r="A919" s="98">
        <v>4083</v>
      </c>
      <c r="B919">
        <v>24.08</v>
      </c>
      <c r="C919">
        <v>21.33</v>
      </c>
      <c r="D919" t="s">
        <v>218</v>
      </c>
      <c r="E919" s="97">
        <v>7.3400000000000007E-2</v>
      </c>
    </row>
    <row r="920" spans="1:5" ht="15">
      <c r="A920" s="98">
        <v>4082</v>
      </c>
      <c r="B920">
        <v>26.24</v>
      </c>
      <c r="C920">
        <v>24.67</v>
      </c>
      <c r="D920" t="s">
        <v>218</v>
      </c>
      <c r="E920" s="97">
        <v>-3.0800000000000001E-2</v>
      </c>
    </row>
    <row r="921" spans="1:5" ht="15">
      <c r="A921" s="98">
        <v>4081</v>
      </c>
      <c r="B921">
        <v>24.46</v>
      </c>
      <c r="C921">
        <v>23.63</v>
      </c>
      <c r="D921" t="s">
        <v>218</v>
      </c>
      <c r="E921" s="97">
        <v>-5.8999999999999999E-3</v>
      </c>
    </row>
    <row r="922" spans="1:5" ht="15">
      <c r="A922" s="98">
        <v>4080</v>
      </c>
      <c r="B922">
        <v>24.91</v>
      </c>
      <c r="C922">
        <v>24.2</v>
      </c>
      <c r="D922" t="s">
        <v>218</v>
      </c>
      <c r="E922" s="97">
        <v>2.1100000000000001E-2</v>
      </c>
    </row>
    <row r="923" spans="1:5" ht="15">
      <c r="A923" s="98">
        <v>4079</v>
      </c>
      <c r="B923">
        <v>25.38</v>
      </c>
      <c r="C923">
        <v>24.18</v>
      </c>
      <c r="D923" t="s">
        <v>218</v>
      </c>
      <c r="E923" s="97">
        <v>-1.7100000000000001E-2</v>
      </c>
    </row>
    <row r="924" spans="1:5" ht="15">
      <c r="A924" s="98">
        <v>4078</v>
      </c>
      <c r="B924">
        <v>25.53</v>
      </c>
      <c r="C924">
        <v>23.79</v>
      </c>
      <c r="D924" t="s">
        <v>218</v>
      </c>
      <c r="E924" s="97">
        <v>-4.41E-2</v>
      </c>
    </row>
    <row r="925" spans="1:5" ht="15">
      <c r="A925" s="98">
        <v>4077</v>
      </c>
      <c r="B925">
        <v>25.06</v>
      </c>
      <c r="C925">
        <v>24.41</v>
      </c>
      <c r="D925" t="s">
        <v>218</v>
      </c>
      <c r="E925" s="97">
        <v>-1.72E-2</v>
      </c>
    </row>
    <row r="926" spans="1:5" ht="15">
      <c r="A926" s="98">
        <v>4076</v>
      </c>
      <c r="B926">
        <v>25.91</v>
      </c>
      <c r="C926">
        <v>24.46</v>
      </c>
      <c r="D926" t="s">
        <v>218</v>
      </c>
      <c r="E926" s="97">
        <v>2.3900000000000001E-2</v>
      </c>
    </row>
    <row r="927" spans="1:5" ht="15">
      <c r="A927" s="98">
        <v>4075</v>
      </c>
      <c r="B927">
        <v>24.96</v>
      </c>
      <c r="C927">
        <v>24.41</v>
      </c>
      <c r="D927" t="s">
        <v>218</v>
      </c>
      <c r="E927" s="97">
        <v>-2.6599999999999999E-2</v>
      </c>
    </row>
    <row r="928" spans="1:5" ht="15">
      <c r="A928" s="98">
        <v>4074</v>
      </c>
      <c r="B928">
        <v>25.6</v>
      </c>
      <c r="C928">
        <v>24.75</v>
      </c>
      <c r="D928" t="s">
        <v>218</v>
      </c>
      <c r="E928" s="97">
        <v>-2.75E-2</v>
      </c>
    </row>
    <row r="929" spans="1:5" ht="15">
      <c r="A929" s="98">
        <v>4073</v>
      </c>
      <c r="B929">
        <v>24.86</v>
      </c>
      <c r="C929">
        <v>23.95</v>
      </c>
      <c r="D929" t="s">
        <v>218</v>
      </c>
      <c r="E929" s="97">
        <v>3.6299999999999999E-2</v>
      </c>
    </row>
    <row r="930" spans="1:5" ht="15">
      <c r="A930" s="98">
        <v>4072</v>
      </c>
      <c r="B930">
        <v>24.54</v>
      </c>
      <c r="C930">
        <v>23.97</v>
      </c>
      <c r="D930" t="s">
        <v>218</v>
      </c>
      <c r="E930" s="97">
        <v>7.3000000000000001E-3</v>
      </c>
    </row>
    <row r="931" spans="1:5" ht="15">
      <c r="A931" s="98">
        <v>4071</v>
      </c>
      <c r="B931">
        <v>24.77</v>
      </c>
      <c r="C931">
        <v>23.53</v>
      </c>
      <c r="D931" t="s">
        <v>218</v>
      </c>
      <c r="E931" s="97">
        <v>2.12E-2</v>
      </c>
    </row>
    <row r="932" spans="1:5" ht="15">
      <c r="A932" s="98">
        <v>4070</v>
      </c>
      <c r="B932">
        <v>24.64</v>
      </c>
      <c r="C932">
        <v>24.09</v>
      </c>
      <c r="D932" t="s">
        <v>218</v>
      </c>
      <c r="E932" s="97">
        <v>-6.9400000000000003E-2</v>
      </c>
    </row>
    <row r="933" spans="1:5" ht="15">
      <c r="A933" s="98">
        <v>4069</v>
      </c>
      <c r="B933">
        <v>27.33</v>
      </c>
      <c r="C933">
        <v>25.47</v>
      </c>
      <c r="D933" t="s">
        <v>218</v>
      </c>
      <c r="E933" s="97">
        <v>-5.7999999999999996E-3</v>
      </c>
    </row>
    <row r="934" spans="1:5" ht="15">
      <c r="A934" s="98">
        <v>4068</v>
      </c>
      <c r="B934">
        <v>26.36</v>
      </c>
      <c r="C934">
        <v>24.94</v>
      </c>
      <c r="D934" t="s">
        <v>218</v>
      </c>
      <c r="E934" s="97">
        <v>-1.21E-2</v>
      </c>
    </row>
    <row r="935" spans="1:5" ht="15">
      <c r="A935" s="98">
        <v>4067</v>
      </c>
      <c r="B935">
        <v>26.15</v>
      </c>
      <c r="C935">
        <v>25.1</v>
      </c>
      <c r="D935" t="s">
        <v>218</v>
      </c>
      <c r="E935" s="97">
        <v>-1.04E-2</v>
      </c>
    </row>
    <row r="936" spans="1:5" ht="15">
      <c r="A936" s="98">
        <v>4066</v>
      </c>
      <c r="B936">
        <v>25.1</v>
      </c>
      <c r="C936">
        <v>23.61</v>
      </c>
      <c r="D936" t="s">
        <v>218</v>
      </c>
      <c r="E936" s="97">
        <v>-1.23E-2</v>
      </c>
    </row>
    <row r="937" spans="1:5" ht="15">
      <c r="A937" s="98">
        <v>4065</v>
      </c>
      <c r="B937">
        <v>24.8</v>
      </c>
      <c r="C937">
        <v>23.69</v>
      </c>
      <c r="D937" t="s">
        <v>218</v>
      </c>
      <c r="E937" s="97">
        <v>-2.9899999999999999E-2</v>
      </c>
    </row>
    <row r="938" spans="1:5" ht="15">
      <c r="A938" s="98">
        <v>4064</v>
      </c>
      <c r="B938">
        <v>23.87</v>
      </c>
      <c r="C938">
        <v>22.76</v>
      </c>
      <c r="D938" t="s">
        <v>218</v>
      </c>
      <c r="E938" s="97">
        <v>-8.3999999999999995E-3</v>
      </c>
    </row>
    <row r="939" spans="1:5" ht="15">
      <c r="A939" s="98">
        <v>4063</v>
      </c>
      <c r="B939">
        <v>23.06</v>
      </c>
      <c r="C939">
        <v>21.67</v>
      </c>
      <c r="D939" t="s">
        <v>218</v>
      </c>
      <c r="E939" s="97">
        <v>-5.1499999999999997E-2</v>
      </c>
    </row>
    <row r="940" spans="1:5" ht="15">
      <c r="A940" s="98">
        <v>4062</v>
      </c>
      <c r="B940">
        <v>22.87</v>
      </c>
      <c r="C940">
        <v>21.99</v>
      </c>
      <c r="D940" t="s">
        <v>218</v>
      </c>
      <c r="E940" s="97">
        <v>7.17E-2</v>
      </c>
    </row>
    <row r="941" spans="1:5" ht="15">
      <c r="A941" s="98">
        <v>4061</v>
      </c>
      <c r="B941">
        <v>22.62</v>
      </c>
      <c r="C941">
        <v>21.94</v>
      </c>
      <c r="D941" t="s">
        <v>218</v>
      </c>
      <c r="E941" s="97">
        <v>-4.0000000000000001E-3</v>
      </c>
    </row>
    <row r="942" spans="1:5" ht="15">
      <c r="A942" s="98">
        <v>4060</v>
      </c>
      <c r="B942">
        <v>23.88</v>
      </c>
      <c r="C942">
        <v>21.43</v>
      </c>
      <c r="D942" t="s">
        <v>218</v>
      </c>
      <c r="E942" s="97">
        <v>-2.9600000000000001E-2</v>
      </c>
    </row>
    <row r="943" spans="1:5" ht="15">
      <c r="A943" s="98">
        <v>4059</v>
      </c>
      <c r="B943">
        <v>23.33</v>
      </c>
      <c r="C943">
        <v>22.46</v>
      </c>
      <c r="D943" t="s">
        <v>218</v>
      </c>
      <c r="E943" s="97">
        <v>-5.0200000000000002E-2</v>
      </c>
    </row>
    <row r="944" spans="1:5" ht="15">
      <c r="A944" s="98">
        <v>4058</v>
      </c>
      <c r="B944">
        <v>22.67</v>
      </c>
      <c r="C944">
        <v>21.82</v>
      </c>
      <c r="D944" t="s">
        <v>218</v>
      </c>
      <c r="E944" s="97">
        <v>-2.3800000000000002E-2</v>
      </c>
    </row>
    <row r="945" spans="1:5" ht="15">
      <c r="A945" s="98">
        <v>4057</v>
      </c>
      <c r="B945">
        <v>23.23</v>
      </c>
      <c r="C945">
        <v>22.15</v>
      </c>
      <c r="D945" t="s">
        <v>218</v>
      </c>
      <c r="E945" s="97">
        <v>-2.1100000000000001E-2</v>
      </c>
    </row>
    <row r="946" spans="1:5" ht="15">
      <c r="A946" s="98">
        <v>4056</v>
      </c>
      <c r="B946">
        <v>22.91</v>
      </c>
      <c r="C946">
        <v>22.05</v>
      </c>
      <c r="D946" t="s">
        <v>218</v>
      </c>
      <c r="E946" s="97">
        <v>-5.1299999999999998E-2</v>
      </c>
    </row>
    <row r="947" spans="1:5" ht="15">
      <c r="A947" s="98">
        <v>4055</v>
      </c>
      <c r="B947">
        <v>22.99</v>
      </c>
      <c r="C947">
        <v>22.27</v>
      </c>
      <c r="D947" t="s">
        <v>218</v>
      </c>
      <c r="E947" s="97">
        <v>-5.67E-2</v>
      </c>
    </row>
    <row r="948" spans="1:5" ht="15">
      <c r="A948" s="98">
        <v>4054</v>
      </c>
      <c r="B948">
        <v>22.73</v>
      </c>
      <c r="C948">
        <v>22.26</v>
      </c>
      <c r="D948" t="s">
        <v>218</v>
      </c>
      <c r="E948" s="97">
        <v>-2.3099999999999999E-2</v>
      </c>
    </row>
    <row r="949" spans="1:5" ht="15">
      <c r="A949" s="98">
        <v>4053</v>
      </c>
      <c r="B949">
        <v>22.17</v>
      </c>
      <c r="C949">
        <v>20.75</v>
      </c>
      <c r="D949" t="s">
        <v>218</v>
      </c>
      <c r="E949" s="97">
        <v>-1.9199999999999998E-2</v>
      </c>
    </row>
    <row r="950" spans="1:5" ht="15">
      <c r="A950" s="98">
        <v>4052</v>
      </c>
      <c r="B950">
        <v>22.23</v>
      </c>
      <c r="C950">
        <v>21.59</v>
      </c>
      <c r="D950" t="s">
        <v>218</v>
      </c>
      <c r="E950" s="97">
        <v>1.5299999999999999E-2</v>
      </c>
    </row>
    <row r="951" spans="1:5" ht="15">
      <c r="A951" s="98">
        <v>4051</v>
      </c>
      <c r="B951">
        <v>21.65</v>
      </c>
      <c r="C951">
        <v>20.27</v>
      </c>
      <c r="D951" t="s">
        <v>218</v>
      </c>
      <c r="E951" s="97">
        <v>1.1999999999999999E-3</v>
      </c>
    </row>
    <row r="952" spans="1:5" ht="15">
      <c r="A952" s="98">
        <v>4050</v>
      </c>
      <c r="B952">
        <v>21.91</v>
      </c>
      <c r="C952">
        <v>20.39</v>
      </c>
      <c r="D952" t="s">
        <v>218</v>
      </c>
      <c r="E952" s="97">
        <v>0.2074</v>
      </c>
    </row>
    <row r="953" spans="1:5" ht="15">
      <c r="A953" s="98">
        <v>4049</v>
      </c>
      <c r="B953">
        <v>23.5</v>
      </c>
      <c r="C953">
        <v>22.05</v>
      </c>
      <c r="D953" t="s">
        <v>218</v>
      </c>
      <c r="E953" s="97">
        <v>5.5999999999999999E-3</v>
      </c>
    </row>
    <row r="954" spans="1:5" ht="15">
      <c r="A954" s="98">
        <v>4048</v>
      </c>
      <c r="B954">
        <v>20.54</v>
      </c>
      <c r="C954">
        <v>19.75</v>
      </c>
      <c r="D954" t="s">
        <v>218</v>
      </c>
      <c r="E954" s="97">
        <v>-4.9099999999999998E-2</v>
      </c>
    </row>
    <row r="955" spans="1:5" ht="15">
      <c r="A955" s="98">
        <v>4047</v>
      </c>
      <c r="B955">
        <v>20.7</v>
      </c>
      <c r="C955">
        <v>19.78</v>
      </c>
      <c r="D955" t="s">
        <v>218</v>
      </c>
      <c r="E955" s="97">
        <v>-8.2500000000000004E-2</v>
      </c>
    </row>
    <row r="956" spans="1:5" ht="15">
      <c r="A956" s="98">
        <v>4046</v>
      </c>
      <c r="B956">
        <v>20.97</v>
      </c>
      <c r="C956">
        <v>19.850000000000001</v>
      </c>
      <c r="D956" t="s">
        <v>218</v>
      </c>
      <c r="E956" s="97">
        <v>3.7499999999999999E-2</v>
      </c>
    </row>
    <row r="957" spans="1:5" ht="15">
      <c r="A957" s="98">
        <v>4045</v>
      </c>
      <c r="B957">
        <v>21.01</v>
      </c>
      <c r="C957">
        <v>19.28</v>
      </c>
      <c r="D957" t="s">
        <v>218</v>
      </c>
      <c r="E957" s="97">
        <v>2.5499999999999998E-2</v>
      </c>
    </row>
    <row r="958" spans="1:5" ht="15">
      <c r="A958" s="98">
        <v>4044</v>
      </c>
      <c r="B958">
        <v>21.05</v>
      </c>
      <c r="C958">
        <v>19.489999999999998</v>
      </c>
      <c r="D958" t="s">
        <v>218</v>
      </c>
      <c r="E958" s="97">
        <v>-5.74E-2</v>
      </c>
    </row>
    <row r="959" spans="1:5" ht="15">
      <c r="A959" s="98">
        <v>4043</v>
      </c>
      <c r="B959">
        <v>22.85</v>
      </c>
      <c r="C959">
        <v>20.09</v>
      </c>
      <c r="D959" t="s">
        <v>218</v>
      </c>
      <c r="E959" s="97">
        <v>-3.3799999999999997E-2</v>
      </c>
    </row>
    <row r="960" spans="1:5" ht="15">
      <c r="A960" s="98">
        <v>4042</v>
      </c>
      <c r="B960">
        <v>21.46</v>
      </c>
      <c r="C960">
        <v>20.67</v>
      </c>
      <c r="D960" t="s">
        <v>218</v>
      </c>
      <c r="E960" s="97">
        <v>-6.9599999999999995E-2</v>
      </c>
    </row>
    <row r="961" spans="1:5" ht="15">
      <c r="A961" s="98">
        <v>4041</v>
      </c>
      <c r="B961">
        <v>20.21</v>
      </c>
      <c r="C961">
        <v>19.48</v>
      </c>
      <c r="D961" t="s">
        <v>218</v>
      </c>
      <c r="E961" s="97">
        <v>0.2263</v>
      </c>
    </row>
    <row r="962" spans="1:5" ht="15">
      <c r="A962" s="98">
        <v>4040</v>
      </c>
      <c r="B962">
        <v>20.170000000000002</v>
      </c>
      <c r="C962">
        <v>19.559999999999999</v>
      </c>
      <c r="D962" t="s">
        <v>218</v>
      </c>
      <c r="E962" s="97">
        <v>0.19220000000000001</v>
      </c>
    </row>
    <row r="963" spans="1:5" ht="15">
      <c r="A963" s="98">
        <v>4039</v>
      </c>
      <c r="B963">
        <v>24.11</v>
      </c>
      <c r="C963">
        <v>21.66</v>
      </c>
      <c r="D963" t="s">
        <v>218</v>
      </c>
      <c r="E963" s="97">
        <v>6.2600000000000003E-2</v>
      </c>
    </row>
    <row r="964" spans="1:5" ht="15">
      <c r="A964" s="98">
        <v>4038</v>
      </c>
      <c r="B964">
        <v>23.49</v>
      </c>
      <c r="C964">
        <v>20.88</v>
      </c>
      <c r="D964" t="s">
        <v>218</v>
      </c>
      <c r="E964" s="97">
        <v>-1.84E-2</v>
      </c>
    </row>
    <row r="965" spans="1:5" ht="15">
      <c r="A965" s="98">
        <v>4037</v>
      </c>
      <c r="B965">
        <v>32.64</v>
      </c>
      <c r="C965">
        <v>24.77</v>
      </c>
      <c r="D965" t="s">
        <v>218</v>
      </c>
      <c r="E965" s="97">
        <v>1.5900000000000001E-2</v>
      </c>
    </row>
    <row r="966" spans="1:5" ht="15">
      <c r="A966" s="98">
        <v>4036</v>
      </c>
      <c r="B966">
        <v>48.64</v>
      </c>
      <c r="C966">
        <v>30.69</v>
      </c>
      <c r="D966" t="s">
        <v>218</v>
      </c>
      <c r="E966" s="97">
        <v>-1.23E-2</v>
      </c>
    </row>
    <row r="967" spans="1:5" ht="15">
      <c r="A967" s="98">
        <v>4035</v>
      </c>
      <c r="B967">
        <v>34.43</v>
      </c>
      <c r="C967">
        <v>28.83</v>
      </c>
      <c r="D967" t="s">
        <v>218</v>
      </c>
      <c r="E967" s="97">
        <v>-2.1899999999999999E-2</v>
      </c>
    </row>
    <row r="968" spans="1:5" ht="15">
      <c r="A968" s="98">
        <v>4034</v>
      </c>
      <c r="B968">
        <v>38.56</v>
      </c>
      <c r="C968">
        <v>35.840000000000003</v>
      </c>
      <c r="D968" t="s">
        <v>218</v>
      </c>
      <c r="E968" s="97">
        <v>3.9899999999999998E-2</v>
      </c>
    </row>
    <row r="969" spans="1:5" ht="15">
      <c r="A969" s="98">
        <v>4033</v>
      </c>
      <c r="B969">
        <v>37.25</v>
      </c>
      <c r="C969">
        <v>35.020000000000003</v>
      </c>
      <c r="D969" t="s">
        <v>218</v>
      </c>
      <c r="E969" s="97">
        <v>-3.2000000000000001E-2</v>
      </c>
    </row>
    <row r="970" spans="1:5" ht="15">
      <c r="A970" s="98">
        <v>4032</v>
      </c>
      <c r="B970">
        <v>32.67</v>
      </c>
      <c r="C970">
        <v>31.9</v>
      </c>
      <c r="D970" t="s">
        <v>218</v>
      </c>
      <c r="E970" s="97">
        <v>-4.8800000000000003E-2</v>
      </c>
    </row>
    <row r="971" spans="1:5" ht="15">
      <c r="A971" s="98">
        <v>4031</v>
      </c>
      <c r="B971">
        <v>33.28</v>
      </c>
      <c r="C971">
        <v>31.23</v>
      </c>
      <c r="D971" t="s">
        <v>218</v>
      </c>
      <c r="E971" s="97">
        <v>-5.1999999999999998E-3</v>
      </c>
    </row>
    <row r="972" spans="1:5" ht="15">
      <c r="A972" s="98">
        <v>4030</v>
      </c>
      <c r="B972">
        <v>32.659999999999997</v>
      </c>
      <c r="C972">
        <v>31.18</v>
      </c>
      <c r="D972" t="s">
        <v>218</v>
      </c>
      <c r="E972" s="97">
        <v>-9.7999999999999997E-3</v>
      </c>
    </row>
    <row r="973" spans="1:5" ht="15">
      <c r="A973" s="98">
        <v>4029</v>
      </c>
      <c r="B973">
        <v>33.450000000000003</v>
      </c>
      <c r="C973">
        <v>32.33</v>
      </c>
      <c r="D973" t="s">
        <v>218</v>
      </c>
      <c r="E973" s="97">
        <v>-3.44E-2</v>
      </c>
    </row>
    <row r="974" spans="1:5" ht="15">
      <c r="A974" s="98">
        <v>4028</v>
      </c>
      <c r="B974">
        <v>38.22</v>
      </c>
      <c r="C974">
        <v>34.770000000000003</v>
      </c>
      <c r="D974" t="s">
        <v>218</v>
      </c>
      <c r="E974" s="97">
        <v>-7.5600000000000001E-2</v>
      </c>
    </row>
    <row r="975" spans="1:5" ht="15">
      <c r="A975" s="98">
        <v>4027</v>
      </c>
      <c r="B975">
        <v>36.76</v>
      </c>
      <c r="C975">
        <v>35.04</v>
      </c>
      <c r="D975" t="s">
        <v>218</v>
      </c>
      <c r="E975" s="97">
        <v>8.6199999999999999E-2</v>
      </c>
    </row>
    <row r="976" spans="1:5" ht="15">
      <c r="A976" s="98">
        <v>4026</v>
      </c>
      <c r="B976">
        <v>36.92</v>
      </c>
      <c r="C976">
        <v>36.299999999999997</v>
      </c>
      <c r="D976" t="s">
        <v>218</v>
      </c>
      <c r="E976" s="97">
        <v>-2.5000000000000001E-3</v>
      </c>
    </row>
    <row r="977" spans="1:5" ht="15">
      <c r="A977" s="98">
        <v>4025</v>
      </c>
      <c r="B977">
        <v>37.86</v>
      </c>
      <c r="C977">
        <v>35.729999999999997</v>
      </c>
      <c r="D977" t="s">
        <v>218</v>
      </c>
      <c r="E977" s="97">
        <v>4.0000000000000001E-3</v>
      </c>
    </row>
    <row r="978" spans="1:5" ht="15">
      <c r="A978" s="98">
        <v>4024</v>
      </c>
      <c r="B978">
        <v>38.46</v>
      </c>
      <c r="C978">
        <v>36.43</v>
      </c>
      <c r="D978" t="s">
        <v>218</v>
      </c>
      <c r="E978" s="97">
        <v>2.3599999999999999E-2</v>
      </c>
    </row>
    <row r="979" spans="1:5" ht="15">
      <c r="A979" s="98">
        <v>4023</v>
      </c>
      <c r="B979">
        <v>36.299999999999997</v>
      </c>
      <c r="C979">
        <v>33.54</v>
      </c>
      <c r="D979" t="s">
        <v>218</v>
      </c>
      <c r="E979" s="97">
        <v>-1.2200000000000001E-2</v>
      </c>
    </row>
    <row r="980" spans="1:5" ht="15">
      <c r="A980" s="98">
        <v>4022</v>
      </c>
      <c r="B980">
        <v>32.619999999999997</v>
      </c>
      <c r="C980">
        <v>31.13</v>
      </c>
      <c r="D980" t="s">
        <v>218</v>
      </c>
      <c r="E980" s="97">
        <v>8.6999999999999994E-3</v>
      </c>
    </row>
    <row r="981" spans="1:5" ht="15">
      <c r="A981" s="98">
        <v>4021</v>
      </c>
      <c r="B981">
        <v>32.340000000000003</v>
      </c>
      <c r="C981">
        <v>31</v>
      </c>
      <c r="D981" t="s">
        <v>218</v>
      </c>
      <c r="E981" s="97">
        <v>-4.6399999999999997E-2</v>
      </c>
    </row>
    <row r="982" spans="1:5" ht="15">
      <c r="A982" s="98">
        <v>4020</v>
      </c>
      <c r="B982">
        <v>31.27</v>
      </c>
      <c r="C982">
        <v>29.84</v>
      </c>
      <c r="D982" t="s">
        <v>218</v>
      </c>
      <c r="E982" s="97">
        <v>-5.4899999999999997E-2</v>
      </c>
    </row>
    <row r="983" spans="1:5" ht="15">
      <c r="A983" s="98">
        <v>4019</v>
      </c>
      <c r="B983">
        <v>28.81</v>
      </c>
      <c r="C983">
        <v>27.17</v>
      </c>
      <c r="D983" t="s">
        <v>218</v>
      </c>
      <c r="E983" s="97">
        <v>-3.6900000000000002E-2</v>
      </c>
    </row>
    <row r="984" spans="1:5" ht="15">
      <c r="A984" s="98">
        <v>4018</v>
      </c>
      <c r="B984">
        <v>27.67</v>
      </c>
      <c r="C984">
        <v>26.42</v>
      </c>
      <c r="D984" t="s">
        <v>218</v>
      </c>
      <c r="E984" s="97">
        <v>9.5899999999999999E-2</v>
      </c>
    </row>
    <row r="985" spans="1:5" ht="15">
      <c r="A985" s="98">
        <v>4017</v>
      </c>
      <c r="B985">
        <v>30.12</v>
      </c>
      <c r="C985">
        <v>28.58</v>
      </c>
      <c r="D985" t="s">
        <v>218</v>
      </c>
      <c r="E985" s="97">
        <v>-4.4200000000000003E-2</v>
      </c>
    </row>
    <row r="986" spans="1:5" ht="15">
      <c r="A986" s="98">
        <v>4016</v>
      </c>
      <c r="B986">
        <v>30.32</v>
      </c>
      <c r="C986">
        <v>28.89</v>
      </c>
      <c r="D986" t="s">
        <v>218</v>
      </c>
      <c r="E986" s="97">
        <v>1.61E-2</v>
      </c>
    </row>
    <row r="987" spans="1:5" ht="15">
      <c r="A987" s="98">
        <v>4015</v>
      </c>
      <c r="B987">
        <v>28.27</v>
      </c>
      <c r="C987">
        <v>27.03</v>
      </c>
      <c r="D987" t="s">
        <v>218</v>
      </c>
      <c r="E987" s="97">
        <v>-2.0400000000000001E-2</v>
      </c>
    </row>
    <row r="988" spans="1:5" ht="15">
      <c r="A988" s="98">
        <v>4014</v>
      </c>
      <c r="B988">
        <v>27.86</v>
      </c>
      <c r="C988">
        <v>25.97</v>
      </c>
      <c r="D988" t="s">
        <v>218</v>
      </c>
      <c r="E988" s="97">
        <v>-3.27E-2</v>
      </c>
    </row>
    <row r="989" spans="1:5" ht="15">
      <c r="A989" s="98">
        <v>4013</v>
      </c>
      <c r="B989">
        <v>26.06</v>
      </c>
      <c r="C989">
        <v>25.51</v>
      </c>
      <c r="D989" t="s">
        <v>218</v>
      </c>
      <c r="E989" s="97">
        <v>-1.4999999999999999E-2</v>
      </c>
    </row>
    <row r="990" spans="1:5" ht="15">
      <c r="A990" s="98">
        <v>4012</v>
      </c>
      <c r="B990">
        <v>25.55</v>
      </c>
      <c r="C990">
        <v>23.46</v>
      </c>
      <c r="D990" t="s">
        <v>218</v>
      </c>
      <c r="E990" s="97">
        <v>-4.3499999999999997E-2</v>
      </c>
    </row>
    <row r="991" spans="1:5" ht="15">
      <c r="A991" s="98">
        <v>4011</v>
      </c>
      <c r="B991">
        <v>24.06</v>
      </c>
      <c r="C991">
        <v>22.64</v>
      </c>
      <c r="D991" t="s">
        <v>218</v>
      </c>
      <c r="E991" s="97">
        <v>7.1900000000000006E-2</v>
      </c>
    </row>
    <row r="992" spans="1:5" ht="15">
      <c r="A992" s="98">
        <v>4010</v>
      </c>
      <c r="B992">
        <v>23.05</v>
      </c>
      <c r="C992">
        <v>20.41</v>
      </c>
      <c r="D992" t="s">
        <v>218</v>
      </c>
      <c r="E992" s="97">
        <v>0.04</v>
      </c>
    </row>
    <row r="993" spans="1:5" ht="15">
      <c r="A993" s="98">
        <v>4009</v>
      </c>
      <c r="B993">
        <v>23.53</v>
      </c>
      <c r="C993">
        <v>22.88</v>
      </c>
      <c r="D993" t="s">
        <v>218</v>
      </c>
      <c r="E993" s="97">
        <v>-5.3900000000000003E-2</v>
      </c>
    </row>
    <row r="994" spans="1:5" ht="15">
      <c r="A994" s="98">
        <v>4008</v>
      </c>
      <c r="B994">
        <v>23.79</v>
      </c>
      <c r="C994">
        <v>23.1</v>
      </c>
      <c r="D994" t="s">
        <v>218</v>
      </c>
      <c r="E994" s="97">
        <v>6.3399999999999998E-2</v>
      </c>
    </row>
    <row r="995" spans="1:5" ht="15">
      <c r="A995" s="98">
        <v>4007</v>
      </c>
      <c r="B995">
        <v>25.22</v>
      </c>
      <c r="C995">
        <v>22.88</v>
      </c>
      <c r="D995" t="s">
        <v>218</v>
      </c>
      <c r="E995" s="97">
        <v>-3.6499999999999998E-2</v>
      </c>
    </row>
    <row r="996" spans="1:5" ht="15">
      <c r="A996" s="98">
        <v>4006</v>
      </c>
      <c r="B996">
        <v>28.01</v>
      </c>
      <c r="C996">
        <v>26.56</v>
      </c>
      <c r="D996" t="s">
        <v>218</v>
      </c>
      <c r="E996" s="97">
        <v>-0.1057</v>
      </c>
    </row>
    <row r="997" spans="1:5" ht="15">
      <c r="A997" s="98">
        <v>4005</v>
      </c>
      <c r="B997">
        <v>27.92</v>
      </c>
      <c r="C997">
        <v>26.49</v>
      </c>
      <c r="D997" t="s">
        <v>218</v>
      </c>
      <c r="E997" s="97">
        <v>-9.2999999999999992E-3</v>
      </c>
    </row>
    <row r="998" spans="1:5" ht="15">
      <c r="A998" s="98">
        <v>4004</v>
      </c>
      <c r="B998">
        <v>28.81</v>
      </c>
      <c r="C998">
        <v>27.32</v>
      </c>
      <c r="D998" t="s">
        <v>218</v>
      </c>
      <c r="E998" s="97">
        <v>0.20799999999999999</v>
      </c>
    </row>
    <row r="999" spans="1:5" ht="15">
      <c r="A999" s="98">
        <v>4003</v>
      </c>
      <c r="B999">
        <v>26.51</v>
      </c>
      <c r="C999">
        <v>25.48</v>
      </c>
      <c r="D999" t="s">
        <v>218</v>
      </c>
      <c r="E999" s="97">
        <v>5.0000000000000001E-4</v>
      </c>
    </row>
    <row r="1000" spans="1:5" ht="15">
      <c r="A1000" s="98">
        <v>4002</v>
      </c>
      <c r="B1000">
        <v>26.79</v>
      </c>
      <c r="C1000">
        <v>25.41</v>
      </c>
      <c r="D1000" t="s">
        <v>218</v>
      </c>
      <c r="E1000" s="97">
        <v>-3.2599999999999997E-2</v>
      </c>
    </row>
    <row r="1001" spans="1:5" ht="15">
      <c r="A1001" s="98">
        <v>4001</v>
      </c>
      <c r="B1001">
        <v>27.63</v>
      </c>
      <c r="C1001">
        <v>26.11</v>
      </c>
      <c r="D1001" t="s">
        <v>218</v>
      </c>
      <c r="E1001" s="97">
        <v>-4.6399999999999997E-2</v>
      </c>
    </row>
    <row r="1002" spans="1:5" ht="15">
      <c r="A1002" s="98">
        <v>4000</v>
      </c>
      <c r="B1002">
        <v>33.08</v>
      </c>
      <c r="C1002">
        <v>29.11</v>
      </c>
      <c r="D1002" t="s">
        <v>218</v>
      </c>
      <c r="E1002" s="97">
        <v>-1.9400000000000001E-2</v>
      </c>
    </row>
    <row r="1003" spans="1:5" ht="15">
      <c r="A1003" s="98">
        <v>3999</v>
      </c>
      <c r="B1003">
        <v>29.42</v>
      </c>
      <c r="C1003">
        <v>28.56</v>
      </c>
      <c r="D1003" t="s">
        <v>218</v>
      </c>
      <c r="E1003" s="97">
        <v>4.6199999999999998E-2</v>
      </c>
    </row>
    <row r="1004" spans="1:5" ht="15">
      <c r="A1004" s="98">
        <v>3998</v>
      </c>
      <c r="B1004">
        <v>29.86</v>
      </c>
      <c r="C1004">
        <v>28.21</v>
      </c>
      <c r="D1004" t="s">
        <v>218</v>
      </c>
      <c r="E1004" s="97">
        <v>-3.4799999999999998E-2</v>
      </c>
    </row>
    <row r="1005" spans="1:5" ht="15">
      <c r="A1005" s="98">
        <v>3997</v>
      </c>
      <c r="B1005">
        <v>30.83</v>
      </c>
      <c r="C1005">
        <v>29.52</v>
      </c>
      <c r="D1005" t="s">
        <v>218</v>
      </c>
      <c r="E1005" s="97">
        <v>-2.1000000000000001E-2</v>
      </c>
    </row>
    <row r="1006" spans="1:5" ht="15">
      <c r="A1006" s="98">
        <v>3996</v>
      </c>
      <c r="B1006">
        <v>30.04</v>
      </c>
      <c r="C1006">
        <v>29.26</v>
      </c>
      <c r="D1006" t="s">
        <v>218</v>
      </c>
      <c r="E1006" s="97">
        <v>-2.01E-2</v>
      </c>
    </row>
    <row r="1007" spans="1:5" ht="15">
      <c r="A1007" s="98">
        <v>3995</v>
      </c>
      <c r="B1007">
        <v>28.77</v>
      </c>
      <c r="C1007">
        <v>26.79</v>
      </c>
      <c r="D1007" t="s">
        <v>218</v>
      </c>
      <c r="E1007" s="97">
        <v>-3.6299999999999999E-2</v>
      </c>
    </row>
    <row r="1008" spans="1:5" ht="15">
      <c r="A1008" s="98">
        <v>3994</v>
      </c>
      <c r="B1008">
        <v>26.28</v>
      </c>
      <c r="C1008">
        <v>24.35</v>
      </c>
      <c r="D1008" t="s">
        <v>218</v>
      </c>
      <c r="E1008" s="97">
        <v>5.21E-2</v>
      </c>
    </row>
    <row r="1009" spans="1:5" ht="15">
      <c r="A1009" s="98">
        <v>3993</v>
      </c>
      <c r="B1009">
        <v>24.52</v>
      </c>
      <c r="C1009">
        <v>23.59</v>
      </c>
      <c r="D1009" t="s">
        <v>218</v>
      </c>
      <c r="E1009" s="97">
        <v>8.8000000000000005E-3</v>
      </c>
    </row>
    <row r="1010" spans="1:5" ht="15">
      <c r="A1010" s="98">
        <v>3992</v>
      </c>
      <c r="B1010">
        <v>24.93</v>
      </c>
      <c r="C1010">
        <v>23.42</v>
      </c>
      <c r="D1010" t="s">
        <v>218</v>
      </c>
      <c r="E1010" s="97">
        <v>-1.34E-2</v>
      </c>
    </row>
    <row r="1011" spans="1:5" ht="15">
      <c r="A1011" s="98">
        <v>3991</v>
      </c>
      <c r="B1011">
        <v>25.02</v>
      </c>
      <c r="C1011">
        <v>23.02</v>
      </c>
      <c r="D1011" t="s">
        <v>218</v>
      </c>
      <c r="E1011" s="97">
        <v>-4.2999999999999997E-2</v>
      </c>
    </row>
    <row r="1012" spans="1:5" ht="15">
      <c r="A1012" s="98">
        <v>3990</v>
      </c>
      <c r="B1012">
        <v>25.97</v>
      </c>
      <c r="C1012">
        <v>24.87</v>
      </c>
      <c r="D1012" t="s">
        <v>218</v>
      </c>
      <c r="E1012" s="97">
        <v>-4.8800000000000003E-2</v>
      </c>
    </row>
    <row r="1013" spans="1:5" ht="15">
      <c r="A1013" s="98">
        <v>3989</v>
      </c>
      <c r="B1013">
        <v>27.43</v>
      </c>
      <c r="C1013">
        <v>25.07</v>
      </c>
      <c r="D1013" t="s">
        <v>218</v>
      </c>
      <c r="E1013" s="97">
        <v>-8.2600000000000007E-2</v>
      </c>
    </row>
    <row r="1014" spans="1:5" ht="15">
      <c r="A1014" s="98">
        <v>3988</v>
      </c>
      <c r="B1014">
        <v>26.7</v>
      </c>
      <c r="C1014">
        <v>25.62</v>
      </c>
      <c r="D1014" t="s">
        <v>218</v>
      </c>
      <c r="E1014" s="97">
        <v>-3.78E-2</v>
      </c>
    </row>
    <row r="1015" spans="1:5" ht="15">
      <c r="A1015" s="98">
        <v>3987</v>
      </c>
      <c r="B1015">
        <v>29.35</v>
      </c>
      <c r="C1015">
        <v>25.69</v>
      </c>
      <c r="D1015" t="s">
        <v>218</v>
      </c>
      <c r="E1015" s="97">
        <v>-3.2599999999999997E-2</v>
      </c>
    </row>
    <row r="1016" spans="1:5" ht="15">
      <c r="A1016" s="98">
        <v>3986</v>
      </c>
      <c r="B1016">
        <v>31.08</v>
      </c>
      <c r="C1016">
        <v>28.02</v>
      </c>
      <c r="D1016" t="s">
        <v>218</v>
      </c>
      <c r="E1016" s="97">
        <v>-2.9700000000000001E-2</v>
      </c>
    </row>
    <row r="1017" spans="1:5" ht="15">
      <c r="A1017" s="98">
        <v>3985</v>
      </c>
      <c r="B1017">
        <v>26.79</v>
      </c>
      <c r="C1017">
        <v>25.12</v>
      </c>
      <c r="D1017" t="s">
        <v>218</v>
      </c>
      <c r="E1017" s="97">
        <v>0.23949999999999999</v>
      </c>
    </row>
    <row r="1018" spans="1:5" ht="15">
      <c r="A1018" s="98">
        <v>3984</v>
      </c>
      <c r="B1018">
        <v>25.04</v>
      </c>
      <c r="C1018">
        <v>23.62</v>
      </c>
      <c r="D1018" t="s">
        <v>218</v>
      </c>
      <c r="E1018" s="97">
        <v>-0.1129</v>
      </c>
    </row>
    <row r="1019" spans="1:5" ht="15">
      <c r="A1019" s="98">
        <v>3983</v>
      </c>
      <c r="B1019">
        <v>24.4</v>
      </c>
      <c r="C1019">
        <v>23.33</v>
      </c>
      <c r="D1019" t="s">
        <v>218</v>
      </c>
      <c r="E1019" s="97">
        <v>0.124</v>
      </c>
    </row>
    <row r="1020" spans="1:5" ht="15">
      <c r="A1020" s="98">
        <v>3982</v>
      </c>
      <c r="B1020">
        <v>22.36</v>
      </c>
      <c r="C1020">
        <v>20.55</v>
      </c>
      <c r="D1020" t="s">
        <v>218</v>
      </c>
      <c r="E1020" s="97">
        <v>2.1399999999999999E-2</v>
      </c>
    </row>
    <row r="1021" spans="1:5" ht="15">
      <c r="A1021" s="98">
        <v>3981</v>
      </c>
      <c r="B1021">
        <v>23.14</v>
      </c>
      <c r="C1021">
        <v>21.65</v>
      </c>
      <c r="D1021" t="s">
        <v>218</v>
      </c>
      <c r="E1021" s="97">
        <v>9.1600000000000001E-2</v>
      </c>
    </row>
    <row r="1022" spans="1:5" ht="15">
      <c r="A1022" s="98">
        <v>3980</v>
      </c>
      <c r="B1022">
        <v>23.59</v>
      </c>
      <c r="C1022">
        <v>22.38</v>
      </c>
      <c r="D1022" t="s">
        <v>218</v>
      </c>
      <c r="E1022" s="97">
        <v>7.6399999999999996E-2</v>
      </c>
    </row>
    <row r="1023" spans="1:5" ht="15">
      <c r="A1023" s="98">
        <v>3979</v>
      </c>
      <c r="B1023">
        <v>23.69</v>
      </c>
      <c r="C1023">
        <v>22.97</v>
      </c>
      <c r="D1023" t="s">
        <v>218</v>
      </c>
      <c r="E1023" s="97">
        <v>-6.8900000000000003E-2</v>
      </c>
    </row>
    <row r="1024" spans="1:5" ht="15">
      <c r="A1024" s="98">
        <v>3978</v>
      </c>
      <c r="B1024">
        <v>24.41</v>
      </c>
      <c r="C1024">
        <v>22.7</v>
      </c>
      <c r="D1024" t="s">
        <v>218</v>
      </c>
      <c r="E1024" s="97">
        <v>6.3200000000000006E-2</v>
      </c>
    </row>
    <row r="1025" spans="1:5" ht="15">
      <c r="A1025" s="98">
        <v>3977</v>
      </c>
      <c r="B1025">
        <v>24.43</v>
      </c>
      <c r="C1025">
        <v>23.47</v>
      </c>
      <c r="D1025" t="s">
        <v>218</v>
      </c>
      <c r="E1025" s="97">
        <v>-2.75E-2</v>
      </c>
    </row>
    <row r="1026" spans="1:5" ht="15">
      <c r="A1026" s="98">
        <v>3976</v>
      </c>
      <c r="B1026">
        <v>23.17</v>
      </c>
      <c r="C1026">
        <v>22</v>
      </c>
      <c r="D1026" t="s">
        <v>218</v>
      </c>
      <c r="E1026" s="97">
        <v>2.8E-3</v>
      </c>
    </row>
    <row r="1027" spans="1:5" ht="15">
      <c r="A1027" s="98">
        <v>3975</v>
      </c>
      <c r="B1027">
        <v>22.4</v>
      </c>
      <c r="C1027">
        <v>21.53</v>
      </c>
      <c r="D1027" t="s">
        <v>218</v>
      </c>
      <c r="E1027" s="97">
        <v>-1.34E-2</v>
      </c>
    </row>
    <row r="1028" spans="1:5" ht="15">
      <c r="A1028" s="98">
        <v>3974</v>
      </c>
      <c r="B1028">
        <v>21.97</v>
      </c>
      <c r="C1028">
        <v>21.08</v>
      </c>
      <c r="D1028" t="s">
        <v>218</v>
      </c>
      <c r="E1028" s="97">
        <v>-4.99E-2</v>
      </c>
    </row>
    <row r="1029" spans="1:5" ht="15">
      <c r="A1029" s="98">
        <v>3973</v>
      </c>
      <c r="B1029">
        <v>21.78</v>
      </c>
      <c r="C1029">
        <v>21.05</v>
      </c>
      <c r="D1029" t="s">
        <v>218</v>
      </c>
      <c r="E1029" s="97">
        <v>-5.7000000000000002E-3</v>
      </c>
    </row>
    <row r="1030" spans="1:5" ht="15">
      <c r="A1030" s="98">
        <v>3972</v>
      </c>
      <c r="B1030">
        <v>21.56</v>
      </c>
      <c r="C1030">
        <v>21.23</v>
      </c>
      <c r="D1030" t="s">
        <v>218</v>
      </c>
      <c r="E1030" s="97">
        <v>-8.9999999999999998E-4</v>
      </c>
    </row>
    <row r="1031" spans="1:5" ht="15">
      <c r="A1031" s="98">
        <v>3971</v>
      </c>
      <c r="B1031">
        <v>21.48</v>
      </c>
      <c r="C1031">
        <v>20.67</v>
      </c>
      <c r="D1031" t="s">
        <v>218</v>
      </c>
      <c r="E1031" s="97">
        <v>-4.7999999999999996E-3</v>
      </c>
    </row>
    <row r="1032" spans="1:5" ht="15">
      <c r="A1032" s="98">
        <v>3970</v>
      </c>
      <c r="B1032">
        <v>21.17</v>
      </c>
      <c r="C1032">
        <v>20.309999999999999</v>
      </c>
      <c r="D1032" t="s">
        <v>218</v>
      </c>
      <c r="E1032" s="97">
        <v>-4.3799999999999999E-2</v>
      </c>
    </row>
    <row r="1033" spans="1:5" ht="15">
      <c r="A1033" s="98">
        <v>3969</v>
      </c>
      <c r="B1033">
        <v>21.45</v>
      </c>
      <c r="C1033">
        <v>19.18</v>
      </c>
      <c r="D1033" t="s">
        <v>218</v>
      </c>
      <c r="E1033" s="97">
        <v>-2.0299999999999999E-2</v>
      </c>
    </row>
    <row r="1034" spans="1:5" ht="15">
      <c r="A1034" s="98">
        <v>3968</v>
      </c>
      <c r="B1034">
        <v>21.25</v>
      </c>
      <c r="C1034">
        <v>20.48</v>
      </c>
      <c r="D1034" t="s">
        <v>218</v>
      </c>
      <c r="E1034" s="97">
        <v>-3.9699999999999999E-2</v>
      </c>
    </row>
    <row r="1035" spans="1:5" ht="15">
      <c r="A1035" s="98">
        <v>3967</v>
      </c>
      <c r="B1035">
        <v>21.9</v>
      </c>
      <c r="C1035">
        <v>21.2</v>
      </c>
      <c r="D1035" t="s">
        <v>218</v>
      </c>
      <c r="E1035" s="97">
        <v>-4.2500000000000003E-2</v>
      </c>
    </row>
    <row r="1036" spans="1:5" ht="15">
      <c r="A1036" s="98">
        <v>3966</v>
      </c>
      <c r="B1036">
        <v>21.27</v>
      </c>
      <c r="C1036">
        <v>20.36</v>
      </c>
      <c r="D1036" t="s">
        <v>218</v>
      </c>
      <c r="E1036" s="97">
        <v>-6.4199999999999993E-2</v>
      </c>
    </row>
    <row r="1037" spans="1:5" ht="15">
      <c r="A1037" s="98">
        <v>3965</v>
      </c>
      <c r="B1037">
        <v>21.04</v>
      </c>
      <c r="C1037">
        <v>20.36</v>
      </c>
      <c r="D1037" t="s">
        <v>218</v>
      </c>
      <c r="E1037" s="97">
        <v>1.4500000000000001E-2</v>
      </c>
    </row>
    <row r="1038" spans="1:5" ht="15">
      <c r="A1038" s="98">
        <v>3964</v>
      </c>
      <c r="B1038">
        <v>21.22</v>
      </c>
      <c r="C1038">
        <v>19.66</v>
      </c>
      <c r="D1038" t="s">
        <v>218</v>
      </c>
      <c r="E1038" s="97">
        <v>0.10390000000000001</v>
      </c>
    </row>
    <row r="1039" spans="1:5" ht="15">
      <c r="A1039" s="98">
        <v>3963</v>
      </c>
      <c r="B1039">
        <v>20.52</v>
      </c>
      <c r="C1039">
        <v>19.73</v>
      </c>
      <c r="D1039" t="s">
        <v>218</v>
      </c>
      <c r="E1039" s="97">
        <v>1.67E-2</v>
      </c>
    </row>
    <row r="1040" spans="1:5" ht="15">
      <c r="A1040" s="98">
        <v>3962</v>
      </c>
      <c r="B1040">
        <v>21</v>
      </c>
      <c r="C1040">
        <v>20.23</v>
      </c>
      <c r="D1040" t="s">
        <v>218</v>
      </c>
      <c r="E1040" s="97">
        <v>1.2500000000000001E-2</v>
      </c>
    </row>
    <row r="1041" spans="1:5" ht="15">
      <c r="A1041" s="98">
        <v>3961</v>
      </c>
      <c r="B1041">
        <v>20.38</v>
      </c>
      <c r="C1041">
        <v>19.66</v>
      </c>
      <c r="D1041" t="s">
        <v>218</v>
      </c>
      <c r="E1041" s="97">
        <v>-2.8500000000000001E-2</v>
      </c>
    </row>
    <row r="1042" spans="1:5" ht="15">
      <c r="A1042" s="98">
        <v>3960</v>
      </c>
      <c r="B1042">
        <v>20.190000000000001</v>
      </c>
      <c r="C1042">
        <v>19.72</v>
      </c>
      <c r="D1042" t="s">
        <v>218</v>
      </c>
      <c r="E1042" s="97">
        <v>2.6499999999999999E-2</v>
      </c>
    </row>
    <row r="1043" spans="1:5" ht="15">
      <c r="A1043" s="98">
        <v>3959</v>
      </c>
      <c r="B1043">
        <v>19.87</v>
      </c>
      <c r="C1043">
        <v>18.97</v>
      </c>
      <c r="D1043" t="s">
        <v>218</v>
      </c>
      <c r="E1043" s="97">
        <v>6.2199999999999998E-2</v>
      </c>
    </row>
    <row r="1044" spans="1:5" ht="15">
      <c r="A1044" s="98">
        <v>3958</v>
      </c>
      <c r="B1044">
        <v>19.72</v>
      </c>
      <c r="C1044">
        <v>18.97</v>
      </c>
      <c r="D1044" t="s">
        <v>218</v>
      </c>
      <c r="E1044" s="97">
        <v>1.78E-2</v>
      </c>
    </row>
    <row r="1045" spans="1:5" ht="15">
      <c r="A1045" s="98">
        <v>3957</v>
      </c>
      <c r="B1045">
        <v>19.690000000000001</v>
      </c>
      <c r="C1045">
        <v>18.77</v>
      </c>
      <c r="D1045" t="s">
        <v>218</v>
      </c>
      <c r="E1045" s="97">
        <v>-4.07E-2</v>
      </c>
    </row>
    <row r="1046" spans="1:5" ht="15">
      <c r="A1046" s="98">
        <v>3956</v>
      </c>
      <c r="B1046">
        <v>19.29</v>
      </c>
      <c r="C1046">
        <v>18.39</v>
      </c>
      <c r="D1046" t="s">
        <v>218</v>
      </c>
      <c r="E1046" s="97">
        <v>5.8999999999999999E-3</v>
      </c>
    </row>
    <row r="1047" spans="1:5" ht="15">
      <c r="A1047" s="98">
        <v>3955</v>
      </c>
      <c r="B1047">
        <v>19.02</v>
      </c>
      <c r="C1047">
        <v>18.53</v>
      </c>
      <c r="D1047" t="s">
        <v>218</v>
      </c>
      <c r="E1047" s="97">
        <v>1.14E-2</v>
      </c>
    </row>
    <row r="1048" spans="1:5" ht="15">
      <c r="A1048" s="98">
        <v>3954</v>
      </c>
      <c r="B1048">
        <v>18.940000000000001</v>
      </c>
      <c r="C1048">
        <v>18.39</v>
      </c>
      <c r="D1048" t="s">
        <v>218</v>
      </c>
      <c r="E1048" s="97">
        <v>-1.6999999999999999E-3</v>
      </c>
    </row>
    <row r="1049" spans="1:5" ht="15">
      <c r="A1049" s="98">
        <v>3953</v>
      </c>
      <c r="B1049">
        <v>19.38</v>
      </c>
      <c r="C1049">
        <v>18.8</v>
      </c>
      <c r="D1049" t="s">
        <v>218</v>
      </c>
      <c r="E1049" s="97">
        <v>1.15E-2</v>
      </c>
    </row>
    <row r="1050" spans="1:5" ht="15">
      <c r="A1050" s="98">
        <v>3952</v>
      </c>
      <c r="B1050">
        <v>19.579999999999998</v>
      </c>
      <c r="C1050">
        <v>19.04</v>
      </c>
      <c r="D1050" t="s">
        <v>218</v>
      </c>
      <c r="E1050" s="97">
        <v>-1.84E-2</v>
      </c>
    </row>
    <row r="1051" spans="1:5" ht="15">
      <c r="A1051" s="98">
        <v>3951</v>
      </c>
      <c r="B1051">
        <v>19.829999999999998</v>
      </c>
      <c r="C1051">
        <v>19.27</v>
      </c>
      <c r="D1051" t="s">
        <v>218</v>
      </c>
      <c r="E1051" s="97">
        <v>-1.2E-2</v>
      </c>
    </row>
    <row r="1052" spans="1:5" ht="15">
      <c r="A1052" s="98">
        <v>3950</v>
      </c>
      <c r="B1052">
        <v>21.06</v>
      </c>
      <c r="C1052">
        <v>20.260000000000002</v>
      </c>
      <c r="D1052" t="s">
        <v>218</v>
      </c>
      <c r="E1052" s="97">
        <v>2.5499999999999998E-2</v>
      </c>
    </row>
    <row r="1053" spans="1:5" ht="15">
      <c r="A1053" s="98">
        <v>3949</v>
      </c>
      <c r="B1053">
        <v>19.97</v>
      </c>
      <c r="C1053">
        <v>19.13</v>
      </c>
      <c r="D1053" t="s">
        <v>218</v>
      </c>
      <c r="E1053" s="97">
        <v>-3.1699999999999999E-2</v>
      </c>
    </row>
    <row r="1054" spans="1:5" ht="15">
      <c r="A1054" s="98">
        <v>3948</v>
      </c>
      <c r="B1054">
        <v>20.45</v>
      </c>
      <c r="C1054">
        <v>19.72</v>
      </c>
      <c r="D1054" t="s">
        <v>218</v>
      </c>
      <c r="E1054" s="97">
        <v>-5.0700000000000002E-2</v>
      </c>
    </row>
    <row r="1055" spans="1:5" ht="15">
      <c r="A1055" s="98">
        <v>3947</v>
      </c>
      <c r="B1055">
        <v>20.010000000000002</v>
      </c>
      <c r="C1055">
        <v>19.39</v>
      </c>
      <c r="D1055" t="s">
        <v>218</v>
      </c>
      <c r="E1055" s="97">
        <v>1.43E-2</v>
      </c>
    </row>
    <row r="1056" spans="1:5" ht="15">
      <c r="A1056" s="98">
        <v>3946</v>
      </c>
      <c r="B1056">
        <v>19.559999999999999</v>
      </c>
      <c r="C1056">
        <v>18.760000000000002</v>
      </c>
      <c r="D1056" t="s">
        <v>218</v>
      </c>
      <c r="E1056" s="97">
        <v>-6.7900000000000002E-2</v>
      </c>
    </row>
    <row r="1057" spans="1:5" ht="15">
      <c r="A1057" s="98">
        <v>3945</v>
      </c>
      <c r="B1057">
        <v>19.21</v>
      </c>
      <c r="C1057">
        <v>18.04</v>
      </c>
      <c r="D1057" t="s">
        <v>218</v>
      </c>
      <c r="E1057" s="97">
        <v>-6.2300000000000001E-2</v>
      </c>
    </row>
    <row r="1058" spans="1:5" ht="15">
      <c r="A1058" s="98">
        <v>3944</v>
      </c>
      <c r="B1058">
        <v>19.43</v>
      </c>
      <c r="C1058">
        <v>17.579999999999998</v>
      </c>
      <c r="D1058" t="s">
        <v>218</v>
      </c>
      <c r="E1058" s="97">
        <v>-8.6E-3</v>
      </c>
    </row>
    <row r="1059" spans="1:5" ht="15">
      <c r="A1059" s="98">
        <v>3943</v>
      </c>
      <c r="B1059">
        <v>19.34</v>
      </c>
      <c r="C1059">
        <v>18.46</v>
      </c>
      <c r="D1059" t="s">
        <v>218</v>
      </c>
      <c r="E1059" s="97">
        <v>0.1207</v>
      </c>
    </row>
    <row r="1060" spans="1:5" ht="15">
      <c r="A1060" s="98">
        <v>3942</v>
      </c>
      <c r="B1060">
        <v>19.04</v>
      </c>
      <c r="C1060">
        <v>18.25</v>
      </c>
      <c r="D1060" t="s">
        <v>218</v>
      </c>
      <c r="E1060" s="97">
        <v>5.0500000000000003E-2</v>
      </c>
    </row>
    <row r="1061" spans="1:5" ht="15">
      <c r="A1061" s="98">
        <v>3941</v>
      </c>
      <c r="B1061">
        <v>19.059999999999999</v>
      </c>
      <c r="C1061">
        <v>18.11</v>
      </c>
      <c r="D1061" t="s">
        <v>218</v>
      </c>
      <c r="E1061" s="97">
        <v>3.2000000000000002E-3</v>
      </c>
    </row>
    <row r="1062" spans="1:5" ht="15">
      <c r="A1062" s="98">
        <v>3940</v>
      </c>
      <c r="B1062">
        <v>18.53</v>
      </c>
      <c r="C1062">
        <v>17.7</v>
      </c>
      <c r="D1062" t="s">
        <v>218</v>
      </c>
      <c r="E1062" s="97">
        <v>-1.0800000000000001E-2</v>
      </c>
    </row>
    <row r="1063" spans="1:5" ht="15">
      <c r="A1063" s="98">
        <v>3939</v>
      </c>
      <c r="B1063">
        <v>18.84</v>
      </c>
      <c r="C1063">
        <v>17.600000000000001</v>
      </c>
      <c r="D1063" t="s">
        <v>218</v>
      </c>
      <c r="E1063" s="97">
        <v>1.1999999999999999E-3</v>
      </c>
    </row>
    <row r="1064" spans="1:5" ht="15">
      <c r="A1064" s="98">
        <v>3938</v>
      </c>
      <c r="B1064">
        <v>20.18</v>
      </c>
      <c r="C1064">
        <v>19.55</v>
      </c>
      <c r="D1064" t="s">
        <v>218</v>
      </c>
      <c r="E1064" s="97">
        <v>-8.8000000000000005E-3</v>
      </c>
    </row>
    <row r="1065" spans="1:5" ht="15">
      <c r="A1065" s="98">
        <v>3937</v>
      </c>
      <c r="B1065">
        <v>20.65</v>
      </c>
      <c r="C1065">
        <v>19.87</v>
      </c>
      <c r="D1065" t="s">
        <v>218</v>
      </c>
      <c r="E1065" s="97">
        <v>5.1999999999999998E-3</v>
      </c>
    </row>
    <row r="1066" spans="1:5" ht="15">
      <c r="A1066" s="98">
        <v>3936</v>
      </c>
      <c r="B1066">
        <v>23.55</v>
      </c>
      <c r="C1066">
        <v>20.59</v>
      </c>
      <c r="D1066" t="s">
        <v>218</v>
      </c>
      <c r="E1066" s="97">
        <v>-3.2000000000000002E-3</v>
      </c>
    </row>
    <row r="1067" spans="1:5" ht="15">
      <c r="A1067" s="98">
        <v>3935</v>
      </c>
      <c r="B1067">
        <v>23.54</v>
      </c>
      <c r="C1067">
        <v>22.28</v>
      </c>
      <c r="D1067" t="s">
        <v>218</v>
      </c>
      <c r="E1067" s="97">
        <v>-4.4600000000000001E-2</v>
      </c>
    </row>
    <row r="1068" spans="1:5" ht="15">
      <c r="A1068" s="98">
        <v>3934</v>
      </c>
      <c r="B1068">
        <v>24.23</v>
      </c>
      <c r="C1068">
        <v>22.41</v>
      </c>
      <c r="D1068" t="s">
        <v>218</v>
      </c>
      <c r="E1068" s="97">
        <v>3.0999999999999999E-3</v>
      </c>
    </row>
    <row r="1069" spans="1:5" ht="15">
      <c r="A1069" s="98">
        <v>3933</v>
      </c>
      <c r="B1069">
        <v>24.92</v>
      </c>
      <c r="C1069">
        <v>24.18</v>
      </c>
      <c r="D1069" t="s">
        <v>218</v>
      </c>
      <c r="E1069" s="97">
        <v>-6.13E-2</v>
      </c>
    </row>
    <row r="1070" spans="1:5" ht="15">
      <c r="A1070" s="98">
        <v>3932</v>
      </c>
      <c r="B1070">
        <v>24.35</v>
      </c>
      <c r="C1070">
        <v>23.41</v>
      </c>
      <c r="D1070" t="s">
        <v>218</v>
      </c>
      <c r="E1070" s="97">
        <v>0.1492</v>
      </c>
    </row>
    <row r="1071" spans="1:5" ht="15">
      <c r="A1071" s="98">
        <v>3931</v>
      </c>
      <c r="B1071">
        <v>24.97</v>
      </c>
      <c r="C1071">
        <v>23.29</v>
      </c>
      <c r="D1071" t="s">
        <v>218</v>
      </c>
      <c r="E1071" s="97">
        <v>-1.78E-2</v>
      </c>
    </row>
    <row r="1072" spans="1:5" ht="15">
      <c r="A1072" s="98">
        <v>3930</v>
      </c>
      <c r="B1072">
        <v>23.07</v>
      </c>
      <c r="C1072">
        <v>21.81</v>
      </c>
      <c r="D1072" t="s">
        <v>218</v>
      </c>
      <c r="E1072" s="97">
        <v>-2.9100000000000001E-2</v>
      </c>
    </row>
    <row r="1073" spans="1:5" ht="15">
      <c r="A1073" s="98">
        <v>3929</v>
      </c>
      <c r="B1073">
        <v>22.25</v>
      </c>
      <c r="C1073">
        <v>21.46</v>
      </c>
      <c r="D1073" t="s">
        <v>218</v>
      </c>
      <c r="E1073" s="97">
        <v>-2.0799999999999999E-2</v>
      </c>
    </row>
    <row r="1074" spans="1:5" ht="15">
      <c r="A1074" s="98">
        <v>3928</v>
      </c>
      <c r="B1074">
        <v>22.64</v>
      </c>
      <c r="C1074">
        <v>21.84</v>
      </c>
      <c r="D1074" t="s">
        <v>218</v>
      </c>
      <c r="E1074" s="97">
        <v>0.04</v>
      </c>
    </row>
    <row r="1075" spans="1:5" ht="15">
      <c r="A1075" s="98">
        <v>3927</v>
      </c>
      <c r="B1075">
        <v>24.3</v>
      </c>
      <c r="C1075">
        <v>23.14</v>
      </c>
      <c r="D1075" t="s">
        <v>218</v>
      </c>
      <c r="E1075" s="97">
        <v>9.2999999999999992E-3</v>
      </c>
    </row>
    <row r="1076" spans="1:5" ht="15">
      <c r="A1076" s="98">
        <v>3926</v>
      </c>
      <c r="B1076">
        <v>23.5</v>
      </c>
      <c r="C1076">
        <v>22.72</v>
      </c>
      <c r="D1076" t="s">
        <v>218</v>
      </c>
      <c r="E1076" s="97">
        <v>-3.5400000000000001E-2</v>
      </c>
    </row>
    <row r="1077" spans="1:5" ht="15">
      <c r="A1077" s="98">
        <v>3925</v>
      </c>
      <c r="B1077">
        <v>22.39</v>
      </c>
      <c r="C1077">
        <v>21.25</v>
      </c>
      <c r="D1077" t="s">
        <v>218</v>
      </c>
      <c r="E1077" s="97">
        <v>3.09E-2</v>
      </c>
    </row>
    <row r="1078" spans="1:5" ht="15">
      <c r="A1078" s="98">
        <v>3924</v>
      </c>
      <c r="B1078">
        <v>23.57</v>
      </c>
      <c r="C1078">
        <v>22.77</v>
      </c>
      <c r="D1078" t="s">
        <v>218</v>
      </c>
      <c r="E1078" s="97">
        <v>4.0000000000000002E-4</v>
      </c>
    </row>
    <row r="1079" spans="1:5" ht="15">
      <c r="A1079" s="98">
        <v>3923</v>
      </c>
      <c r="B1079">
        <v>23.94</v>
      </c>
      <c r="C1079">
        <v>21.61</v>
      </c>
      <c r="D1079" t="s">
        <v>218</v>
      </c>
      <c r="E1079" s="97">
        <v>-2.6200000000000001E-2</v>
      </c>
    </row>
    <row r="1080" spans="1:5" ht="15">
      <c r="A1080" s="98">
        <v>3922</v>
      </c>
      <c r="B1080">
        <v>21.71</v>
      </c>
      <c r="C1080">
        <v>20.78</v>
      </c>
      <c r="D1080" t="s">
        <v>218</v>
      </c>
      <c r="E1080" s="97">
        <v>-1.3899999999999999E-2</v>
      </c>
    </row>
    <row r="1081" spans="1:5" ht="15">
      <c r="A1081" s="98">
        <v>3921</v>
      </c>
      <c r="B1081">
        <v>22.36</v>
      </c>
      <c r="C1081">
        <v>21.44</v>
      </c>
      <c r="D1081" t="s">
        <v>218</v>
      </c>
      <c r="E1081" s="97">
        <v>2.0500000000000001E-2</v>
      </c>
    </row>
    <row r="1082" spans="1:5" ht="15">
      <c r="A1082" s="98">
        <v>3920</v>
      </c>
      <c r="B1082">
        <v>22.32</v>
      </c>
      <c r="C1082">
        <v>20.69</v>
      </c>
      <c r="D1082" t="s">
        <v>218</v>
      </c>
      <c r="E1082" s="97">
        <v>-8.2000000000000007E-3</v>
      </c>
    </row>
    <row r="1083" spans="1:5" ht="15">
      <c r="A1083" s="98">
        <v>3919</v>
      </c>
      <c r="B1083">
        <v>21.25</v>
      </c>
      <c r="C1083">
        <v>20.38</v>
      </c>
      <c r="D1083" t="s">
        <v>218</v>
      </c>
      <c r="E1083" s="97">
        <v>2.4E-2</v>
      </c>
    </row>
    <row r="1084" spans="1:5" ht="15">
      <c r="A1084" s="98">
        <v>3918</v>
      </c>
      <c r="B1084">
        <v>20.54</v>
      </c>
      <c r="C1084">
        <v>19.64</v>
      </c>
      <c r="D1084" t="s">
        <v>218</v>
      </c>
      <c r="E1084" s="97">
        <v>3.0099999999999998E-2</v>
      </c>
    </row>
    <row r="1085" spans="1:5" ht="15">
      <c r="A1085" s="98">
        <v>3917</v>
      </c>
      <c r="B1085">
        <v>19.829999999999998</v>
      </c>
      <c r="C1085">
        <v>19.25</v>
      </c>
      <c r="D1085" t="s">
        <v>218</v>
      </c>
      <c r="E1085" s="97">
        <v>5.1499999999999997E-2</v>
      </c>
    </row>
    <row r="1086" spans="1:5" ht="15">
      <c r="A1086" s="98">
        <v>3916</v>
      </c>
      <c r="B1086">
        <v>20.77</v>
      </c>
      <c r="C1086">
        <v>19.43</v>
      </c>
      <c r="D1086" t="s">
        <v>218</v>
      </c>
      <c r="E1086" s="97">
        <v>-1.4500000000000001E-2</v>
      </c>
    </row>
    <row r="1087" spans="1:5" ht="15">
      <c r="A1087" s="98">
        <v>3915</v>
      </c>
      <c r="B1087">
        <v>22.42</v>
      </c>
      <c r="C1087">
        <v>20.149999999999999</v>
      </c>
      <c r="D1087" t="s">
        <v>218</v>
      </c>
      <c r="E1087" s="97">
        <v>-1.6999999999999999E-3</v>
      </c>
    </row>
    <row r="1088" spans="1:5" ht="15">
      <c r="A1088" s="98">
        <v>3914</v>
      </c>
      <c r="B1088">
        <v>27.47</v>
      </c>
      <c r="C1088">
        <v>24.95</v>
      </c>
      <c r="D1088" t="s">
        <v>218</v>
      </c>
      <c r="E1088" s="97">
        <v>-1.6799999999999999E-2</v>
      </c>
    </row>
    <row r="1089" spans="1:5" ht="15">
      <c r="A1089" s="98">
        <v>3913</v>
      </c>
      <c r="B1089">
        <v>24.88</v>
      </c>
      <c r="C1089">
        <v>23.69</v>
      </c>
      <c r="D1089" t="s">
        <v>218</v>
      </c>
      <c r="E1089" s="97">
        <v>-2.1700000000000001E-2</v>
      </c>
    </row>
    <row r="1090" spans="1:5" ht="15">
      <c r="A1090" s="98">
        <v>3912</v>
      </c>
      <c r="B1090">
        <v>23.69</v>
      </c>
      <c r="C1090">
        <v>22.54</v>
      </c>
      <c r="D1090" t="s">
        <v>218</v>
      </c>
      <c r="E1090" s="97">
        <v>2.5000000000000001E-3</v>
      </c>
    </row>
    <row r="1091" spans="1:5" ht="15">
      <c r="A1091" s="98">
        <v>3911</v>
      </c>
      <c r="B1091">
        <v>21.37</v>
      </c>
      <c r="C1091">
        <v>20.51</v>
      </c>
      <c r="D1091" t="s">
        <v>218</v>
      </c>
      <c r="E1091" s="97">
        <v>-4.2500000000000003E-2</v>
      </c>
    </row>
    <row r="1092" spans="1:5" ht="15">
      <c r="A1092" s="98">
        <v>3910</v>
      </c>
      <c r="B1092">
        <v>20.92</v>
      </c>
      <c r="C1092">
        <v>19.3</v>
      </c>
      <c r="D1092" t="s">
        <v>218</v>
      </c>
      <c r="E1092" s="97">
        <v>-1.8200000000000001E-2</v>
      </c>
    </row>
    <row r="1093" spans="1:5" ht="15">
      <c r="A1093" s="98">
        <v>3909</v>
      </c>
      <c r="B1093">
        <v>20.56</v>
      </c>
      <c r="C1093">
        <v>19.489999999999998</v>
      </c>
      <c r="D1093" t="s">
        <v>218</v>
      </c>
      <c r="E1093" s="97">
        <v>3.4799999999999998E-2</v>
      </c>
    </row>
    <row r="1094" spans="1:5" ht="15">
      <c r="A1094" s="98">
        <v>3908</v>
      </c>
      <c r="B1094">
        <v>21.73</v>
      </c>
      <c r="C1094">
        <v>20.73</v>
      </c>
      <c r="D1094" t="s">
        <v>218</v>
      </c>
      <c r="E1094" s="97">
        <v>-4.9000000000000002E-2</v>
      </c>
    </row>
    <row r="1095" spans="1:5" ht="15">
      <c r="A1095" s="98">
        <v>3907</v>
      </c>
      <c r="B1095">
        <v>22.89</v>
      </c>
      <c r="C1095">
        <v>21.84</v>
      </c>
      <c r="D1095" t="s">
        <v>218</v>
      </c>
      <c r="E1095" s="97">
        <v>-9.3399999999999997E-2</v>
      </c>
    </row>
    <row r="1096" spans="1:5" ht="15">
      <c r="A1096" s="98">
        <v>3906</v>
      </c>
      <c r="B1096">
        <v>23.9</v>
      </c>
      <c r="C1096">
        <v>22.93</v>
      </c>
      <c r="D1096" t="s">
        <v>218</v>
      </c>
      <c r="E1096" s="97">
        <v>-2.5499999999999998E-2</v>
      </c>
    </row>
    <row r="1097" spans="1:5" ht="15">
      <c r="A1097" s="98">
        <v>3905</v>
      </c>
      <c r="B1097">
        <v>21.1</v>
      </c>
      <c r="C1097">
        <v>20.18</v>
      </c>
      <c r="D1097" t="s">
        <v>218</v>
      </c>
      <c r="E1097" s="97">
        <v>-4.8599999999999997E-2</v>
      </c>
    </row>
    <row r="1098" spans="1:5" ht="15">
      <c r="A1098" s="98">
        <v>3904</v>
      </c>
      <c r="B1098">
        <v>21.4</v>
      </c>
      <c r="C1098">
        <v>19.670000000000002</v>
      </c>
      <c r="D1098" t="s">
        <v>218</v>
      </c>
      <c r="E1098" s="97">
        <v>1.46E-2</v>
      </c>
    </row>
    <row r="1099" spans="1:5" ht="15">
      <c r="A1099" s="98">
        <v>3903</v>
      </c>
      <c r="B1099">
        <v>21.7</v>
      </c>
      <c r="C1099">
        <v>20.71</v>
      </c>
      <c r="D1099" t="s">
        <v>218</v>
      </c>
      <c r="E1099" s="97">
        <v>6.3799999999999996E-2</v>
      </c>
    </row>
    <row r="1100" spans="1:5" ht="15">
      <c r="A1100" s="98">
        <v>3902</v>
      </c>
      <c r="B1100">
        <v>20.72</v>
      </c>
      <c r="C1100">
        <v>20.22</v>
      </c>
      <c r="D1100" t="s">
        <v>218</v>
      </c>
      <c r="E1100" s="97">
        <v>3.7600000000000001E-2</v>
      </c>
    </row>
    <row r="1101" spans="1:5" ht="15">
      <c r="A1101" s="98">
        <v>3901</v>
      </c>
      <c r="B1101">
        <v>20.83</v>
      </c>
      <c r="C1101">
        <v>19.63</v>
      </c>
      <c r="D1101" t="s">
        <v>218</v>
      </c>
      <c r="E1101" s="97">
        <v>6.6000000000000003E-2</v>
      </c>
    </row>
    <row r="1102" spans="1:5" ht="15">
      <c r="A1102" s="98">
        <v>3900</v>
      </c>
      <c r="B1102">
        <v>21.05</v>
      </c>
      <c r="C1102">
        <v>19.329999999999998</v>
      </c>
      <c r="D1102" t="s">
        <v>218</v>
      </c>
      <c r="E1102" s="97">
        <v>-4.8999999999999998E-3</v>
      </c>
    </row>
    <row r="1103" spans="1:5" ht="15">
      <c r="A1103" s="98">
        <v>3899</v>
      </c>
      <c r="B1103">
        <v>22.21</v>
      </c>
      <c r="C1103">
        <v>20.8</v>
      </c>
      <c r="D1103" t="s">
        <v>218</v>
      </c>
      <c r="E1103" s="97">
        <v>3.9399999999999998E-2</v>
      </c>
    </row>
    <row r="1104" spans="1:5" ht="15">
      <c r="A1104" s="98">
        <v>3898</v>
      </c>
      <c r="B1104">
        <v>21.13</v>
      </c>
      <c r="C1104">
        <v>20.11</v>
      </c>
      <c r="D1104" t="s">
        <v>218</v>
      </c>
      <c r="E1104" s="97">
        <v>-2.24E-2</v>
      </c>
    </row>
    <row r="1105" spans="1:5" ht="15">
      <c r="A1105" s="98">
        <v>3897</v>
      </c>
      <c r="B1105">
        <v>20.34</v>
      </c>
      <c r="C1105">
        <v>19.55</v>
      </c>
      <c r="D1105" t="s">
        <v>218</v>
      </c>
      <c r="E1105" s="97">
        <v>-1.6299999999999999E-2</v>
      </c>
    </row>
    <row r="1106" spans="1:5" ht="15">
      <c r="A1106" s="98">
        <v>3896</v>
      </c>
      <c r="B1106">
        <v>19.95</v>
      </c>
      <c r="C1106">
        <v>19.22</v>
      </c>
      <c r="D1106" t="s">
        <v>218</v>
      </c>
      <c r="E1106" s="97">
        <v>-9.2600000000000002E-2</v>
      </c>
    </row>
    <row r="1107" spans="1:5" ht="15">
      <c r="A1107" s="98">
        <v>3895</v>
      </c>
      <c r="B1107">
        <v>19.55</v>
      </c>
      <c r="C1107">
        <v>18.600000000000001</v>
      </c>
      <c r="D1107" t="s">
        <v>218</v>
      </c>
      <c r="E1107" s="97">
        <v>-0.05</v>
      </c>
    </row>
    <row r="1108" spans="1:5" ht="15">
      <c r="A1108" s="98">
        <v>3894</v>
      </c>
      <c r="B1108">
        <v>22.07</v>
      </c>
      <c r="C1108">
        <v>19.63</v>
      </c>
      <c r="D1108" t="s">
        <v>218</v>
      </c>
      <c r="E1108" s="97">
        <v>-1.89E-2</v>
      </c>
    </row>
    <row r="1109" spans="1:5" ht="15">
      <c r="A1109" s="98">
        <v>3893</v>
      </c>
      <c r="B1109">
        <v>25.1</v>
      </c>
      <c r="C1109">
        <v>22.59</v>
      </c>
      <c r="D1109" t="s">
        <v>218</v>
      </c>
      <c r="E1109" s="97">
        <v>0.11360000000000001</v>
      </c>
    </row>
    <row r="1110" spans="1:5" ht="15">
      <c r="A1110" s="98">
        <v>3892</v>
      </c>
      <c r="B1110">
        <v>21.92</v>
      </c>
      <c r="C1110">
        <v>20.51</v>
      </c>
      <c r="D1110" t="s">
        <v>218</v>
      </c>
      <c r="E1110" s="97">
        <v>-6.7900000000000002E-2</v>
      </c>
    </row>
    <row r="1111" spans="1:5" ht="15">
      <c r="A1111" s="98">
        <v>3891</v>
      </c>
      <c r="B1111">
        <v>21.53</v>
      </c>
      <c r="C1111">
        <v>19.93</v>
      </c>
      <c r="D1111" t="s">
        <v>218</v>
      </c>
      <c r="E1111" s="97">
        <v>-4.7899999999999998E-2</v>
      </c>
    </row>
    <row r="1112" spans="1:5" ht="15">
      <c r="A1112" s="98">
        <v>3890</v>
      </c>
      <c r="B1112">
        <v>23.32</v>
      </c>
      <c r="C1112">
        <v>22.15</v>
      </c>
      <c r="D1112" t="s">
        <v>218</v>
      </c>
      <c r="E1112" s="97">
        <v>-3.49E-2</v>
      </c>
    </row>
    <row r="1113" spans="1:5" ht="15">
      <c r="A1113" s="98">
        <v>3889</v>
      </c>
      <c r="B1113">
        <v>22.66</v>
      </c>
      <c r="C1113">
        <v>21.68</v>
      </c>
      <c r="D1113" t="s">
        <v>218</v>
      </c>
      <c r="E1113" s="97">
        <v>6.0699999999999997E-2</v>
      </c>
    </row>
    <row r="1114" spans="1:5" ht="15">
      <c r="A1114" s="98">
        <v>3888</v>
      </c>
      <c r="B1114">
        <v>22.89</v>
      </c>
      <c r="C1114">
        <v>21.04</v>
      </c>
      <c r="D1114" t="s">
        <v>218</v>
      </c>
      <c r="E1114" s="97">
        <v>9.4500000000000001E-2</v>
      </c>
    </row>
    <row r="1115" spans="1:5" ht="15">
      <c r="A1115" s="98">
        <v>3887</v>
      </c>
      <c r="B1115">
        <v>23.15</v>
      </c>
      <c r="C1115">
        <v>21.11</v>
      </c>
      <c r="D1115" t="s">
        <v>218</v>
      </c>
      <c r="E1115" s="97">
        <v>1.4E-3</v>
      </c>
    </row>
    <row r="1116" spans="1:5" ht="15">
      <c r="A1116" s="98">
        <v>3886</v>
      </c>
      <c r="B1116">
        <v>20.52</v>
      </c>
      <c r="C1116">
        <v>19.77</v>
      </c>
      <c r="D1116" t="s">
        <v>218</v>
      </c>
      <c r="E1116" s="97">
        <v>-1.23E-2</v>
      </c>
    </row>
    <row r="1117" spans="1:5" ht="15">
      <c r="A1117" s="98">
        <v>3885</v>
      </c>
      <c r="B1117">
        <v>20.86</v>
      </c>
      <c r="C1117">
        <v>18.97</v>
      </c>
      <c r="D1117" t="s">
        <v>218</v>
      </c>
      <c r="E1117" s="97">
        <v>6.7000000000000002E-3</v>
      </c>
    </row>
    <row r="1118" spans="1:5" ht="15">
      <c r="A1118" s="98">
        <v>3884</v>
      </c>
      <c r="B1118">
        <v>21.05</v>
      </c>
      <c r="C1118">
        <v>20.34</v>
      </c>
      <c r="D1118" t="s">
        <v>218</v>
      </c>
      <c r="E1118" s="97">
        <v>-5.04E-2</v>
      </c>
    </row>
    <row r="1119" spans="1:5" ht="15">
      <c r="A1119" s="98">
        <v>3883</v>
      </c>
      <c r="B1119">
        <v>21.93</v>
      </c>
      <c r="C1119">
        <v>20.420000000000002</v>
      </c>
      <c r="D1119" t="s">
        <v>218</v>
      </c>
      <c r="E1119" s="97">
        <v>5.1000000000000004E-3</v>
      </c>
    </row>
    <row r="1120" spans="1:5" ht="15">
      <c r="A1120" s="98">
        <v>3882</v>
      </c>
      <c r="B1120">
        <v>23.65</v>
      </c>
      <c r="C1120">
        <v>21.87</v>
      </c>
      <c r="D1120" t="s">
        <v>218</v>
      </c>
      <c r="E1120" s="97">
        <v>-1.8599999999999998E-2</v>
      </c>
    </row>
    <row r="1121" spans="1:5" ht="15">
      <c r="A1121" s="98">
        <v>3881</v>
      </c>
      <c r="B1121">
        <v>25.05</v>
      </c>
      <c r="C1121">
        <v>22.73</v>
      </c>
      <c r="D1121" t="s">
        <v>218</v>
      </c>
      <c r="E1121" s="97">
        <v>-2.7099999999999999E-2</v>
      </c>
    </row>
    <row r="1122" spans="1:5" ht="15">
      <c r="A1122" s="98">
        <v>3880</v>
      </c>
      <c r="B1122">
        <v>26.03</v>
      </c>
      <c r="C1122">
        <v>23.89</v>
      </c>
      <c r="D1122" t="s">
        <v>218</v>
      </c>
      <c r="E1122" s="97">
        <v>4.6899999999999997E-2</v>
      </c>
    </row>
    <row r="1123" spans="1:5" ht="15">
      <c r="A1123" s="98">
        <v>3879</v>
      </c>
      <c r="B1123">
        <v>26.49</v>
      </c>
      <c r="C1123">
        <v>24.8</v>
      </c>
      <c r="D1123" t="s">
        <v>218</v>
      </c>
      <c r="E1123" s="97">
        <v>-1.3599999999999999E-2</v>
      </c>
    </row>
    <row r="1124" spans="1:5" ht="15">
      <c r="A1124" s="98">
        <v>3878</v>
      </c>
      <c r="B1124">
        <v>23.51</v>
      </c>
      <c r="C1124">
        <v>22.27</v>
      </c>
      <c r="D1124" t="s">
        <v>218</v>
      </c>
      <c r="E1124" s="97">
        <v>3.8699999999999998E-2</v>
      </c>
    </row>
    <row r="1125" spans="1:5" ht="15">
      <c r="A1125" s="98">
        <v>3877</v>
      </c>
      <c r="B1125">
        <v>23.06</v>
      </c>
      <c r="C1125">
        <v>22.34</v>
      </c>
      <c r="D1125" t="s">
        <v>218</v>
      </c>
      <c r="E1125" s="97">
        <v>-8.6800000000000002E-2</v>
      </c>
    </row>
    <row r="1126" spans="1:5" ht="15">
      <c r="A1126" s="98">
        <v>3876</v>
      </c>
      <c r="B1126">
        <v>22.12</v>
      </c>
      <c r="C1126">
        <v>21.31</v>
      </c>
      <c r="D1126" t="s">
        <v>218</v>
      </c>
      <c r="E1126" s="97">
        <v>-2.1299999999999999E-2</v>
      </c>
    </row>
    <row r="1127" spans="1:5" ht="15">
      <c r="A1127" s="98">
        <v>3875</v>
      </c>
      <c r="B1127">
        <v>23.08</v>
      </c>
      <c r="C1127">
        <v>21.59</v>
      </c>
      <c r="D1127" t="s">
        <v>218</v>
      </c>
      <c r="E1127" s="97">
        <v>5.6800000000000003E-2</v>
      </c>
    </row>
    <row r="1128" spans="1:5" ht="15">
      <c r="A1128" s="98">
        <v>3874</v>
      </c>
      <c r="B1128">
        <v>21.18</v>
      </c>
      <c r="C1128">
        <v>20.14</v>
      </c>
      <c r="D1128" t="s">
        <v>218</v>
      </c>
      <c r="E1128" s="97">
        <v>-6.1600000000000002E-2</v>
      </c>
    </row>
    <row r="1129" spans="1:5" ht="15">
      <c r="A1129" s="98">
        <v>3873</v>
      </c>
      <c r="B1129">
        <v>20.55</v>
      </c>
      <c r="C1129">
        <v>19.46</v>
      </c>
      <c r="D1129" t="s">
        <v>218</v>
      </c>
      <c r="E1129" s="97">
        <v>4.0800000000000003E-2</v>
      </c>
    </row>
    <row r="1130" spans="1:5" ht="15">
      <c r="A1130" s="98">
        <v>3872</v>
      </c>
      <c r="B1130">
        <v>20.32</v>
      </c>
      <c r="C1130">
        <v>19.36</v>
      </c>
      <c r="D1130" t="s">
        <v>218</v>
      </c>
      <c r="E1130" s="97">
        <v>7.9899999999999999E-2</v>
      </c>
    </row>
    <row r="1131" spans="1:5" ht="15">
      <c r="A1131" s="98">
        <v>3871</v>
      </c>
      <c r="B1131">
        <v>19.95</v>
      </c>
      <c r="C1131">
        <v>19.18</v>
      </c>
      <c r="D1131" t="s">
        <v>218</v>
      </c>
      <c r="E1131" s="97">
        <v>8.0000000000000002E-3</v>
      </c>
    </row>
    <row r="1132" spans="1:5" ht="15">
      <c r="A1132" s="98">
        <v>3870</v>
      </c>
      <c r="B1132">
        <v>19.579999999999998</v>
      </c>
      <c r="C1132">
        <v>18.93</v>
      </c>
      <c r="D1132" t="s">
        <v>218</v>
      </c>
      <c r="E1132" s="97">
        <v>-4.7600000000000003E-2</v>
      </c>
    </row>
    <row r="1133" spans="1:5" ht="15">
      <c r="A1133" s="98">
        <v>3869</v>
      </c>
      <c r="B1133">
        <v>19.88</v>
      </c>
      <c r="C1133">
        <v>19.12</v>
      </c>
      <c r="D1133" t="s">
        <v>218</v>
      </c>
      <c r="E1133" s="97">
        <v>-8.6999999999999994E-2</v>
      </c>
    </row>
    <row r="1134" spans="1:5" ht="15">
      <c r="A1134" s="98">
        <v>3868</v>
      </c>
      <c r="B1134">
        <v>19.350000000000001</v>
      </c>
      <c r="C1134">
        <v>18</v>
      </c>
      <c r="D1134" t="s">
        <v>218</v>
      </c>
      <c r="E1134" s="97">
        <v>5.5800000000000002E-2</v>
      </c>
    </row>
    <row r="1135" spans="1:5" ht="15">
      <c r="A1135" s="98">
        <v>3867</v>
      </c>
      <c r="B1135">
        <v>18.68</v>
      </c>
      <c r="C1135">
        <v>17.63</v>
      </c>
      <c r="D1135" t="s">
        <v>218</v>
      </c>
      <c r="E1135" s="97">
        <v>-6.7799999999999999E-2</v>
      </c>
    </row>
    <row r="1136" spans="1:5" ht="15">
      <c r="A1136" s="98">
        <v>3866</v>
      </c>
      <c r="B1136">
        <v>19.18</v>
      </c>
      <c r="C1136">
        <v>18.59</v>
      </c>
      <c r="D1136" t="s">
        <v>218</v>
      </c>
      <c r="E1136" s="97">
        <v>5.8200000000000002E-2</v>
      </c>
    </row>
    <row r="1137" spans="1:5" ht="15">
      <c r="A1137" s="98">
        <v>3865</v>
      </c>
      <c r="B1137">
        <v>18.850000000000001</v>
      </c>
      <c r="C1137">
        <v>18.309999999999999</v>
      </c>
      <c r="D1137" t="s">
        <v>218</v>
      </c>
      <c r="E1137" s="97">
        <v>-3.2599999999999997E-2</v>
      </c>
    </row>
    <row r="1138" spans="1:5" ht="15">
      <c r="A1138" s="98">
        <v>3864</v>
      </c>
      <c r="B1138">
        <v>18.32</v>
      </c>
      <c r="C1138">
        <v>17.52</v>
      </c>
      <c r="D1138" t="s">
        <v>218</v>
      </c>
      <c r="E1138" s="97">
        <v>2.5600000000000001E-2</v>
      </c>
    </row>
    <row r="1139" spans="1:5" ht="15">
      <c r="A1139" s="98">
        <v>3863</v>
      </c>
      <c r="B1139">
        <v>18.489999999999998</v>
      </c>
      <c r="C1139">
        <v>17.78</v>
      </c>
      <c r="D1139" t="s">
        <v>218</v>
      </c>
      <c r="E1139" s="97">
        <v>-4.1599999999999998E-2</v>
      </c>
    </row>
    <row r="1140" spans="1:5" ht="15">
      <c r="A1140" s="98">
        <v>3862</v>
      </c>
      <c r="B1140">
        <v>18.54</v>
      </c>
      <c r="C1140">
        <v>17.579999999999998</v>
      </c>
      <c r="D1140" t="s">
        <v>218</v>
      </c>
      <c r="E1140" s="97">
        <v>3.0499999999999999E-2</v>
      </c>
    </row>
    <row r="1141" spans="1:5" ht="15">
      <c r="A1141" s="98">
        <v>3861</v>
      </c>
      <c r="B1141">
        <v>18.510000000000002</v>
      </c>
      <c r="C1141">
        <v>18.09</v>
      </c>
      <c r="D1141" t="s">
        <v>218</v>
      </c>
      <c r="E1141" s="97">
        <v>-2.7300000000000001E-2</v>
      </c>
    </row>
    <row r="1142" spans="1:5" ht="15">
      <c r="A1142" s="98">
        <v>3860</v>
      </c>
      <c r="B1142">
        <v>18.32</v>
      </c>
      <c r="C1142">
        <v>17.600000000000001</v>
      </c>
      <c r="D1142" t="s">
        <v>218</v>
      </c>
      <c r="E1142" s="97">
        <v>-3.39E-2</v>
      </c>
    </row>
    <row r="1143" spans="1:5" ht="15">
      <c r="A1143" s="98">
        <v>3859</v>
      </c>
      <c r="B1143">
        <v>18.649999999999999</v>
      </c>
      <c r="C1143">
        <v>17.649999999999999</v>
      </c>
      <c r="D1143" t="s">
        <v>218</v>
      </c>
      <c r="E1143" s="97">
        <v>-2.18E-2</v>
      </c>
    </row>
    <row r="1144" spans="1:5" ht="15">
      <c r="A1144" s="98">
        <v>3858</v>
      </c>
      <c r="B1144">
        <v>18.07</v>
      </c>
      <c r="C1144">
        <v>16.86</v>
      </c>
      <c r="D1144" t="s">
        <v>218</v>
      </c>
      <c r="E1144" s="97">
        <v>-3.2899999999999999E-2</v>
      </c>
    </row>
    <row r="1145" spans="1:5" ht="15">
      <c r="A1145" s="98">
        <v>3857</v>
      </c>
      <c r="B1145">
        <v>16.5</v>
      </c>
      <c r="C1145">
        <v>16.100000000000001</v>
      </c>
      <c r="D1145" t="s">
        <v>218</v>
      </c>
      <c r="E1145" s="97">
        <v>1.1599999999999999E-2</v>
      </c>
    </row>
    <row r="1146" spans="1:5" ht="15">
      <c r="A1146" s="98">
        <v>3856</v>
      </c>
      <c r="B1146">
        <v>17.73</v>
      </c>
      <c r="C1146">
        <v>16.809999999999999</v>
      </c>
      <c r="D1146" t="s">
        <v>218</v>
      </c>
      <c r="E1146" s="97">
        <v>-4.9299999999999997E-2</v>
      </c>
    </row>
    <row r="1147" spans="1:5" ht="15">
      <c r="A1147" s="98">
        <v>3855</v>
      </c>
      <c r="B1147">
        <v>20.350000000000001</v>
      </c>
      <c r="C1147">
        <v>17.45</v>
      </c>
      <c r="D1147" t="s">
        <v>218</v>
      </c>
      <c r="E1147" s="97">
        <v>-9.7000000000000003E-3</v>
      </c>
    </row>
    <row r="1148" spans="1:5" ht="15">
      <c r="A1148" s="98">
        <v>3854</v>
      </c>
      <c r="B1148">
        <v>21.3</v>
      </c>
      <c r="C1148">
        <v>20.16</v>
      </c>
      <c r="D1148" t="s">
        <v>218</v>
      </c>
      <c r="E1148" s="97">
        <v>4.07E-2</v>
      </c>
    </row>
    <row r="1149" spans="1:5" ht="15">
      <c r="A1149" s="98">
        <v>3853</v>
      </c>
      <c r="B1149">
        <v>24.08</v>
      </c>
      <c r="C1149">
        <v>20.309999999999999</v>
      </c>
      <c r="D1149" t="s">
        <v>218</v>
      </c>
      <c r="E1149" s="97">
        <v>-8.8999999999999999E-3</v>
      </c>
    </row>
    <row r="1150" spans="1:5" ht="15">
      <c r="A1150" s="98">
        <v>3852</v>
      </c>
      <c r="B1150">
        <v>24.54</v>
      </c>
      <c r="C1150">
        <v>22.54</v>
      </c>
      <c r="D1150" t="s">
        <v>218</v>
      </c>
      <c r="E1150" s="97">
        <v>-2.4899999999999999E-2</v>
      </c>
    </row>
    <row r="1151" spans="1:5" ht="15">
      <c r="A1151" s="98">
        <v>3851</v>
      </c>
      <c r="B1151">
        <v>24.69</v>
      </c>
      <c r="C1151">
        <v>23.13</v>
      </c>
      <c r="D1151" t="s">
        <v>218</v>
      </c>
      <c r="E1151" s="97">
        <v>2.58E-2</v>
      </c>
    </row>
    <row r="1152" spans="1:5" ht="15">
      <c r="A1152" s="98">
        <v>3850</v>
      </c>
      <c r="B1152">
        <v>26.68</v>
      </c>
      <c r="C1152">
        <v>23.43</v>
      </c>
      <c r="D1152" t="s">
        <v>218</v>
      </c>
      <c r="E1152" s="97">
        <v>-5.21E-2</v>
      </c>
    </row>
    <row r="1153" spans="1:5" ht="15">
      <c r="A1153" s="98">
        <v>3849</v>
      </c>
      <c r="B1153">
        <v>25.15</v>
      </c>
      <c r="C1153">
        <v>23.29</v>
      </c>
      <c r="D1153" t="s">
        <v>218</v>
      </c>
      <c r="E1153" s="97">
        <v>0.15440000000000001</v>
      </c>
    </row>
    <row r="1154" spans="1:5" ht="15">
      <c r="A1154" s="98">
        <v>3848</v>
      </c>
      <c r="B1154">
        <v>23.81</v>
      </c>
      <c r="C1154">
        <v>22.66</v>
      </c>
      <c r="D1154" t="s">
        <v>218</v>
      </c>
      <c r="E1154" s="97">
        <v>-5.1700000000000003E-2</v>
      </c>
    </row>
    <row r="1155" spans="1:5" ht="15">
      <c r="A1155" s="98">
        <v>3847</v>
      </c>
      <c r="B1155">
        <v>25.12</v>
      </c>
      <c r="C1155">
        <v>22.11</v>
      </c>
      <c r="D1155" t="s">
        <v>218</v>
      </c>
      <c r="E1155" s="97">
        <v>-1.0500000000000001E-2</v>
      </c>
    </row>
    <row r="1156" spans="1:5" ht="15">
      <c r="A1156" s="98">
        <v>3846</v>
      </c>
      <c r="B1156">
        <v>26.31</v>
      </c>
      <c r="C1156">
        <v>25.38</v>
      </c>
      <c r="D1156" t="s">
        <v>218</v>
      </c>
      <c r="E1156" s="97">
        <v>-3.9800000000000002E-2</v>
      </c>
    </row>
    <row r="1157" spans="1:5" ht="15">
      <c r="A1157" s="98">
        <v>3845</v>
      </c>
      <c r="B1157">
        <v>31.06</v>
      </c>
      <c r="C1157">
        <v>25.57</v>
      </c>
      <c r="D1157" t="s">
        <v>218</v>
      </c>
      <c r="E1157" s="97">
        <v>-3.7000000000000002E-3</v>
      </c>
    </row>
    <row r="1158" spans="1:5" ht="15">
      <c r="A1158" s="98">
        <v>3844</v>
      </c>
      <c r="B1158">
        <v>32.590000000000003</v>
      </c>
      <c r="C1158">
        <v>28.73</v>
      </c>
      <c r="D1158" t="s">
        <v>218</v>
      </c>
      <c r="E1158" s="97">
        <v>3.5000000000000003E-2</v>
      </c>
    </row>
    <row r="1159" spans="1:5" ht="15">
      <c r="A1159" s="98">
        <v>3843</v>
      </c>
      <c r="B1159">
        <v>29.93</v>
      </c>
      <c r="C1159">
        <v>28.06</v>
      </c>
      <c r="D1159" t="s">
        <v>218</v>
      </c>
      <c r="E1159" s="97">
        <v>-5.9700000000000003E-2</v>
      </c>
    </row>
    <row r="1160" spans="1:5" ht="15">
      <c r="A1160" s="98">
        <v>3842</v>
      </c>
      <c r="B1160">
        <v>27.66</v>
      </c>
      <c r="C1160">
        <v>25.35</v>
      </c>
      <c r="D1160" t="s">
        <v>218</v>
      </c>
      <c r="E1160" s="97">
        <v>-3.8100000000000002E-2</v>
      </c>
    </row>
    <row r="1161" spans="1:5" ht="15">
      <c r="A1161" s="98">
        <v>3841</v>
      </c>
      <c r="B1161">
        <v>29.13</v>
      </c>
      <c r="C1161">
        <v>27.99</v>
      </c>
      <c r="D1161" t="s">
        <v>218</v>
      </c>
      <c r="E1161" s="97">
        <v>-1.32E-2</v>
      </c>
    </row>
    <row r="1162" spans="1:5" ht="15">
      <c r="A1162" s="98">
        <v>3840</v>
      </c>
      <c r="B1162">
        <v>33.67</v>
      </c>
      <c r="C1162">
        <v>31.91</v>
      </c>
      <c r="D1162" t="s">
        <v>218</v>
      </c>
      <c r="E1162" s="97">
        <v>3.1E-2</v>
      </c>
    </row>
    <row r="1163" spans="1:5" ht="15">
      <c r="A1163" s="98">
        <v>3839</v>
      </c>
      <c r="B1163">
        <v>29.75</v>
      </c>
      <c r="C1163">
        <v>28.51</v>
      </c>
      <c r="D1163" t="s">
        <v>218</v>
      </c>
      <c r="E1163" s="97">
        <v>-5.57E-2</v>
      </c>
    </row>
    <row r="1164" spans="1:5" ht="15">
      <c r="A1164" s="98">
        <v>3838</v>
      </c>
      <c r="B1164">
        <v>29.98</v>
      </c>
      <c r="C1164">
        <v>28.17</v>
      </c>
      <c r="D1164" t="s">
        <v>218</v>
      </c>
      <c r="E1164" s="97">
        <v>-5.7000000000000002E-3</v>
      </c>
    </row>
    <row r="1165" spans="1:5" ht="15">
      <c r="A1165" s="98">
        <v>3837</v>
      </c>
      <c r="B1165">
        <v>34.61</v>
      </c>
      <c r="C1165">
        <v>29.84</v>
      </c>
      <c r="D1165" t="s">
        <v>218</v>
      </c>
      <c r="E1165" s="97">
        <v>-4.2099999999999999E-2</v>
      </c>
    </row>
    <row r="1166" spans="1:5" ht="15">
      <c r="A1166" s="98">
        <v>3836</v>
      </c>
      <c r="B1166">
        <v>34.770000000000003</v>
      </c>
      <c r="C1166">
        <v>31.86</v>
      </c>
      <c r="D1166" t="s">
        <v>218</v>
      </c>
      <c r="E1166" s="97">
        <v>-3.0700000000000002E-2</v>
      </c>
    </row>
    <row r="1167" spans="1:5" ht="15">
      <c r="A1167" s="98">
        <v>3835</v>
      </c>
      <c r="B1167">
        <v>30.81</v>
      </c>
      <c r="C1167">
        <v>28.36</v>
      </c>
      <c r="D1167" t="s">
        <v>218</v>
      </c>
      <c r="E1167" s="97">
        <v>0.1096</v>
      </c>
    </row>
    <row r="1168" spans="1:5" ht="15">
      <c r="A1168" s="98">
        <v>3834</v>
      </c>
      <c r="B1168">
        <v>29.26</v>
      </c>
      <c r="C1168">
        <v>27.35</v>
      </c>
      <c r="D1168" t="s">
        <v>218</v>
      </c>
      <c r="E1168" s="97">
        <v>1.6799999999999999E-2</v>
      </c>
    </row>
    <row r="1169" spans="1:5" ht="15">
      <c r="A1169" s="98">
        <v>3833</v>
      </c>
      <c r="B1169">
        <v>30.54</v>
      </c>
      <c r="C1169">
        <v>29.24</v>
      </c>
      <c r="D1169" t="s">
        <v>218</v>
      </c>
      <c r="E1169" s="97">
        <v>-4.4699999999999997E-2</v>
      </c>
    </row>
    <row r="1170" spans="1:5" ht="15">
      <c r="A1170" s="98">
        <v>3832</v>
      </c>
      <c r="B1170">
        <v>36.93</v>
      </c>
      <c r="C1170">
        <v>32.590000000000003</v>
      </c>
      <c r="D1170" t="s">
        <v>218</v>
      </c>
      <c r="E1170" s="97">
        <v>-1.5800000000000002E-2</v>
      </c>
    </row>
    <row r="1171" spans="1:5" ht="15">
      <c r="A1171" s="98">
        <v>3831</v>
      </c>
      <c r="B1171">
        <v>32.58</v>
      </c>
      <c r="C1171">
        <v>31.3</v>
      </c>
      <c r="D1171" t="s">
        <v>218</v>
      </c>
      <c r="E1171" s="97">
        <v>-6.8999999999999999E-3</v>
      </c>
    </row>
    <row r="1172" spans="1:5" ht="15">
      <c r="A1172" s="98">
        <v>3830</v>
      </c>
      <c r="B1172">
        <v>30.82</v>
      </c>
      <c r="C1172">
        <v>28.49</v>
      </c>
      <c r="D1172" t="s">
        <v>218</v>
      </c>
      <c r="E1172" s="97">
        <v>-5.8000000000000003E-2</v>
      </c>
    </row>
    <row r="1173" spans="1:5" ht="15">
      <c r="A1173" s="98">
        <v>3829</v>
      </c>
      <c r="B1173">
        <v>32.65</v>
      </c>
      <c r="C1173">
        <v>30.44</v>
      </c>
      <c r="D1173" t="s">
        <v>218</v>
      </c>
      <c r="E1173" s="97">
        <v>5.0599999999999999E-2</v>
      </c>
    </row>
    <row r="1174" spans="1:5" ht="15">
      <c r="A1174" s="98">
        <v>3828</v>
      </c>
      <c r="B1174">
        <v>39.479999999999997</v>
      </c>
      <c r="C1174">
        <v>33.65</v>
      </c>
      <c r="D1174" t="s">
        <v>218</v>
      </c>
      <c r="E1174" s="97">
        <v>9.0399999999999994E-2</v>
      </c>
    </row>
    <row r="1175" spans="1:5" ht="15">
      <c r="A1175" s="98">
        <v>3827</v>
      </c>
      <c r="B1175">
        <v>42.78</v>
      </c>
      <c r="C1175">
        <v>38.4</v>
      </c>
      <c r="D1175" t="s">
        <v>218</v>
      </c>
      <c r="E1175" s="97">
        <v>-1.8100000000000002E-2</v>
      </c>
    </row>
    <row r="1176" spans="1:5" ht="15">
      <c r="A1176" s="98">
        <v>3826</v>
      </c>
      <c r="B1176">
        <v>45.02</v>
      </c>
      <c r="C1176">
        <v>38.799999999999997</v>
      </c>
      <c r="D1176" t="s">
        <v>218</v>
      </c>
      <c r="E1176" s="97">
        <v>-6.7199999999999996E-2</v>
      </c>
    </row>
    <row r="1177" spans="1:5" ht="15">
      <c r="A1177" s="98">
        <v>3825</v>
      </c>
      <c r="B1177">
        <v>44.94</v>
      </c>
      <c r="C1177">
        <v>36.08</v>
      </c>
      <c r="D1177" t="s">
        <v>218</v>
      </c>
      <c r="E1177" s="97">
        <v>3.2599999999999997E-2</v>
      </c>
    </row>
    <row r="1178" spans="1:5" ht="15">
      <c r="A1178" s="98">
        <v>3824</v>
      </c>
      <c r="B1178">
        <v>36.76</v>
      </c>
      <c r="C1178">
        <v>34.020000000000003</v>
      </c>
      <c r="D1178" t="s">
        <v>218</v>
      </c>
      <c r="E1178" s="97">
        <v>2.87E-2</v>
      </c>
    </row>
    <row r="1179" spans="1:5" ht="15">
      <c r="A1179" s="98">
        <v>3823</v>
      </c>
      <c r="B1179">
        <v>42.68</v>
      </c>
      <c r="C1179">
        <v>40.01</v>
      </c>
      <c r="D1179" t="s">
        <v>218</v>
      </c>
      <c r="E1179" s="97">
        <v>-5.57E-2</v>
      </c>
    </row>
    <row r="1180" spans="1:5" ht="15">
      <c r="A1180" s="98">
        <v>3822</v>
      </c>
      <c r="B1180">
        <v>44.19</v>
      </c>
      <c r="C1180">
        <v>40.58</v>
      </c>
      <c r="D1180" t="s">
        <v>218</v>
      </c>
      <c r="E1180" s="97">
        <v>-1.7100000000000001E-2</v>
      </c>
    </row>
    <row r="1181" spans="1:5" ht="15">
      <c r="A1181" s="98">
        <v>3821</v>
      </c>
      <c r="B1181">
        <v>40.340000000000003</v>
      </c>
      <c r="C1181">
        <v>37.700000000000003</v>
      </c>
      <c r="D1181" t="s">
        <v>218</v>
      </c>
      <c r="E1181" s="97">
        <v>-0.1069</v>
      </c>
    </row>
    <row r="1182" spans="1:5" ht="15">
      <c r="A1182" s="98">
        <v>3820</v>
      </c>
      <c r="B1182">
        <v>39.799999999999997</v>
      </c>
      <c r="C1182">
        <v>37.56</v>
      </c>
      <c r="D1182" t="s">
        <v>218</v>
      </c>
      <c r="E1182" s="97">
        <v>7.1000000000000004E-3</v>
      </c>
    </row>
    <row r="1183" spans="1:5" ht="15">
      <c r="A1183" s="98">
        <v>3819</v>
      </c>
      <c r="B1183">
        <v>46.56</v>
      </c>
      <c r="C1183">
        <v>43.72</v>
      </c>
      <c r="D1183" t="s">
        <v>218</v>
      </c>
      <c r="E1183" s="97">
        <v>-1.67E-2</v>
      </c>
    </row>
    <row r="1184" spans="1:5" ht="15">
      <c r="A1184" s="98">
        <v>3818</v>
      </c>
      <c r="B1184">
        <v>48.06</v>
      </c>
      <c r="C1184">
        <v>43.74</v>
      </c>
      <c r="D1184" t="s">
        <v>218</v>
      </c>
      <c r="E1184" s="97">
        <v>5.4899999999999997E-2</v>
      </c>
    </row>
    <row r="1185" spans="1:5" ht="15">
      <c r="A1185" s="98">
        <v>3817</v>
      </c>
      <c r="B1185">
        <v>40.89</v>
      </c>
      <c r="C1185">
        <v>37.53</v>
      </c>
      <c r="D1185" t="s">
        <v>218</v>
      </c>
      <c r="E1185" s="97">
        <v>-6.6199999999999995E-2</v>
      </c>
    </row>
    <row r="1186" spans="1:5" ht="15">
      <c r="A1186" s="98">
        <v>3816</v>
      </c>
      <c r="B1186">
        <v>38.729999999999997</v>
      </c>
      <c r="C1186">
        <v>36.43</v>
      </c>
      <c r="D1186" t="s">
        <v>218</v>
      </c>
      <c r="E1186" s="97">
        <v>-3.27E-2</v>
      </c>
    </row>
    <row r="1187" spans="1:5" ht="15">
      <c r="A1187" s="98">
        <v>3815</v>
      </c>
      <c r="B1187">
        <v>37.729999999999997</v>
      </c>
      <c r="C1187">
        <v>35.72</v>
      </c>
      <c r="D1187" t="s">
        <v>218</v>
      </c>
      <c r="E1187" s="97">
        <v>0.13589999999999999</v>
      </c>
    </row>
    <row r="1188" spans="1:5" ht="15">
      <c r="A1188" s="98">
        <v>3814</v>
      </c>
      <c r="B1188">
        <v>40.11</v>
      </c>
      <c r="C1188">
        <v>38.82</v>
      </c>
      <c r="D1188" t="s">
        <v>218</v>
      </c>
      <c r="E1188" s="97">
        <v>3.78E-2</v>
      </c>
    </row>
    <row r="1189" spans="1:5" ht="15">
      <c r="A1189" s="98">
        <v>3813</v>
      </c>
      <c r="B1189">
        <v>39.840000000000003</v>
      </c>
      <c r="C1189">
        <v>38.51</v>
      </c>
      <c r="D1189" t="s">
        <v>218</v>
      </c>
      <c r="E1189" s="97">
        <v>-2.0000000000000001E-4</v>
      </c>
    </row>
    <row r="1190" spans="1:5" ht="15">
      <c r="A1190" s="98">
        <v>3812</v>
      </c>
      <c r="B1190">
        <v>42.74</v>
      </c>
      <c r="C1190">
        <v>38.39</v>
      </c>
      <c r="D1190" t="s">
        <v>218</v>
      </c>
      <c r="E1190" s="97">
        <v>-1.7999999999999999E-2</v>
      </c>
    </row>
    <row r="1191" spans="1:5" ht="15">
      <c r="A1191" s="98">
        <v>3811</v>
      </c>
      <c r="B1191">
        <v>38.909999999999997</v>
      </c>
      <c r="C1191">
        <v>36.47</v>
      </c>
      <c r="D1191" t="s">
        <v>218</v>
      </c>
      <c r="E1191" s="97">
        <v>-0.13550000000000001</v>
      </c>
    </row>
    <row r="1192" spans="1:5" ht="15">
      <c r="A1192" s="98">
        <v>3810</v>
      </c>
      <c r="B1192">
        <v>35.14</v>
      </c>
      <c r="C1192">
        <v>32.44</v>
      </c>
      <c r="D1192" t="s">
        <v>218</v>
      </c>
      <c r="E1192" s="97">
        <v>6.7299999999999999E-2</v>
      </c>
    </row>
    <row r="1193" spans="1:5" ht="15">
      <c r="A1193" s="98">
        <v>3809</v>
      </c>
      <c r="B1193">
        <v>35.9</v>
      </c>
      <c r="C1193">
        <v>33.06</v>
      </c>
      <c r="D1193" t="s">
        <v>218</v>
      </c>
      <c r="E1193" s="97">
        <v>4.7199999999999999E-2</v>
      </c>
    </row>
    <row r="1194" spans="1:5" ht="15">
      <c r="A1194" s="98">
        <v>3808</v>
      </c>
      <c r="B1194">
        <v>37.29</v>
      </c>
      <c r="C1194">
        <v>33.909999999999997</v>
      </c>
      <c r="D1194" t="s">
        <v>218</v>
      </c>
      <c r="E1194" s="97">
        <v>-2.8500000000000001E-2</v>
      </c>
    </row>
    <row r="1195" spans="1:5" ht="15">
      <c r="A1195" s="98">
        <v>3807</v>
      </c>
      <c r="B1195">
        <v>35.24</v>
      </c>
      <c r="C1195">
        <v>33.520000000000003</v>
      </c>
      <c r="D1195" t="s">
        <v>218</v>
      </c>
      <c r="E1195" s="97">
        <v>-4.1000000000000003E-3</v>
      </c>
    </row>
    <row r="1196" spans="1:5" ht="15">
      <c r="A1196" s="98">
        <v>3806</v>
      </c>
      <c r="B1196">
        <v>38.39</v>
      </c>
      <c r="C1196">
        <v>35.74</v>
      </c>
      <c r="D1196" t="s">
        <v>218</v>
      </c>
      <c r="E1196" s="97">
        <v>0.13350000000000001</v>
      </c>
    </row>
    <row r="1197" spans="1:5" ht="15">
      <c r="A1197" s="98">
        <v>3805</v>
      </c>
      <c r="B1197">
        <v>41.15</v>
      </c>
      <c r="C1197">
        <v>37.1</v>
      </c>
      <c r="D1197" t="s">
        <v>218</v>
      </c>
      <c r="E1197" s="97">
        <v>4.07E-2</v>
      </c>
    </row>
    <row r="1198" spans="1:5" ht="15">
      <c r="A1198" s="98">
        <v>3804</v>
      </c>
      <c r="B1198">
        <v>43.98</v>
      </c>
      <c r="C1198">
        <v>41.85</v>
      </c>
      <c r="D1198" t="s">
        <v>218</v>
      </c>
      <c r="E1198" s="97">
        <v>-7.3700000000000002E-2</v>
      </c>
    </row>
    <row r="1199" spans="1:5" ht="15">
      <c r="A1199" s="98">
        <v>3803</v>
      </c>
      <c r="B1199">
        <v>43.38</v>
      </c>
      <c r="C1199">
        <v>40.25</v>
      </c>
      <c r="D1199" t="s">
        <v>218</v>
      </c>
      <c r="E1199" s="97">
        <v>-4.5900000000000003E-2</v>
      </c>
    </row>
    <row r="1200" spans="1:5" ht="15">
      <c r="A1200" s="98">
        <v>3802</v>
      </c>
      <c r="B1200">
        <v>45.56</v>
      </c>
      <c r="C1200">
        <v>42.3</v>
      </c>
      <c r="D1200" t="s">
        <v>218</v>
      </c>
      <c r="E1200" s="97">
        <v>6.9400000000000003E-2</v>
      </c>
    </row>
    <row r="1201" spans="1:5" ht="15">
      <c r="A1201" s="98">
        <v>3801</v>
      </c>
      <c r="B1201">
        <v>42.05</v>
      </c>
      <c r="C1201">
        <v>39.72</v>
      </c>
      <c r="D1201" t="s">
        <v>218</v>
      </c>
      <c r="E1201" s="97">
        <v>6.1999999999999998E-3</v>
      </c>
    </row>
    <row r="1202" spans="1:5" ht="15">
      <c r="A1202" s="98">
        <v>3800</v>
      </c>
      <c r="B1202">
        <v>44.84</v>
      </c>
      <c r="C1202">
        <v>40.659999999999997</v>
      </c>
      <c r="D1202" t="s">
        <v>218</v>
      </c>
      <c r="E1202" s="97">
        <v>-8.2000000000000007E-3</v>
      </c>
    </row>
    <row r="1203" spans="1:5" ht="15">
      <c r="A1203" s="98">
        <v>3799</v>
      </c>
      <c r="B1203">
        <v>49.53</v>
      </c>
      <c r="C1203">
        <v>45.58</v>
      </c>
      <c r="D1203" t="s">
        <v>218</v>
      </c>
      <c r="E1203" s="97">
        <v>-2.7000000000000001E-3</v>
      </c>
    </row>
    <row r="1204" spans="1:5" ht="15">
      <c r="A1204" s="98">
        <v>3798</v>
      </c>
      <c r="B1204">
        <v>45.36</v>
      </c>
      <c r="C1204">
        <v>41.85</v>
      </c>
      <c r="D1204" t="s">
        <v>218</v>
      </c>
      <c r="E1204" s="97">
        <v>1.83E-2</v>
      </c>
    </row>
    <row r="1205" spans="1:5" ht="15">
      <c r="A1205" s="98">
        <v>3797</v>
      </c>
      <c r="B1205">
        <v>40.56</v>
      </c>
      <c r="C1205">
        <v>39.4</v>
      </c>
      <c r="D1205" t="s">
        <v>218</v>
      </c>
      <c r="E1205" s="97">
        <v>-5.3999999999999999E-2</v>
      </c>
    </row>
    <row r="1206" spans="1:5" ht="15">
      <c r="A1206" s="98">
        <v>3796</v>
      </c>
      <c r="B1206">
        <v>41.6</v>
      </c>
      <c r="C1206">
        <v>39.96</v>
      </c>
      <c r="D1206" t="s">
        <v>218</v>
      </c>
      <c r="E1206" s="97">
        <v>1.52E-2</v>
      </c>
    </row>
    <row r="1207" spans="1:5" ht="15">
      <c r="A1207" s="98">
        <v>3795</v>
      </c>
      <c r="B1207">
        <v>40.93</v>
      </c>
      <c r="C1207">
        <v>38.01</v>
      </c>
      <c r="D1207" t="s">
        <v>218</v>
      </c>
      <c r="E1207" s="97">
        <v>5.1799999999999999E-2</v>
      </c>
    </row>
    <row r="1208" spans="1:5" ht="15">
      <c r="A1208" s="98">
        <v>3794</v>
      </c>
      <c r="B1208">
        <v>39.659999999999997</v>
      </c>
      <c r="C1208">
        <v>32.409999999999997</v>
      </c>
      <c r="D1208" t="s">
        <v>218</v>
      </c>
      <c r="E1208" s="97">
        <v>7.4899999999999994E-2</v>
      </c>
    </row>
    <row r="1209" spans="1:5" ht="15">
      <c r="A1209" s="98">
        <v>3793</v>
      </c>
      <c r="B1209">
        <v>35.78</v>
      </c>
      <c r="C1209">
        <v>33.619999999999997</v>
      </c>
      <c r="D1209" t="s">
        <v>218</v>
      </c>
      <c r="E1209" s="97">
        <v>-6.13E-2</v>
      </c>
    </row>
    <row r="1210" spans="1:5" ht="15">
      <c r="A1210" s="98">
        <v>3792</v>
      </c>
      <c r="B1210">
        <v>36.01</v>
      </c>
      <c r="C1210">
        <v>32.409999999999997</v>
      </c>
      <c r="D1210" t="s">
        <v>218</v>
      </c>
      <c r="E1210" s="97">
        <v>-7.5300000000000006E-2</v>
      </c>
    </row>
    <row r="1211" spans="1:5" ht="15">
      <c r="A1211" s="98">
        <v>3791</v>
      </c>
      <c r="B1211">
        <v>33.36</v>
      </c>
      <c r="C1211">
        <v>29.82</v>
      </c>
      <c r="D1211" t="s">
        <v>218</v>
      </c>
      <c r="E1211" s="97">
        <v>-3.3399999999999999E-2</v>
      </c>
    </row>
    <row r="1212" spans="1:5" ht="15">
      <c r="A1212" s="98">
        <v>3790</v>
      </c>
      <c r="B1212">
        <v>34.549999999999997</v>
      </c>
      <c r="C1212">
        <v>32.99</v>
      </c>
      <c r="D1212" t="s">
        <v>218</v>
      </c>
      <c r="E1212" s="97">
        <v>-4.0000000000000002E-4</v>
      </c>
    </row>
    <row r="1213" spans="1:5" ht="15">
      <c r="A1213" s="98">
        <v>3789</v>
      </c>
      <c r="B1213">
        <v>34.17</v>
      </c>
      <c r="C1213">
        <v>31.32</v>
      </c>
      <c r="D1213" t="s">
        <v>218</v>
      </c>
      <c r="E1213" s="97">
        <v>1.8700000000000001E-2</v>
      </c>
    </row>
    <row r="1214" spans="1:5" ht="15">
      <c r="A1214" s="98">
        <v>3788</v>
      </c>
      <c r="B1214">
        <v>32.700000000000003</v>
      </c>
      <c r="C1214">
        <v>31.69</v>
      </c>
      <c r="D1214" t="s">
        <v>218</v>
      </c>
      <c r="E1214" s="97">
        <v>-0.18060000000000001</v>
      </c>
    </row>
    <row r="1215" spans="1:5" ht="15">
      <c r="A1215" s="98">
        <v>3787</v>
      </c>
      <c r="B1215">
        <v>33.26</v>
      </c>
      <c r="C1215">
        <v>31.38</v>
      </c>
      <c r="D1215" t="s">
        <v>218</v>
      </c>
      <c r="E1215" s="97">
        <v>0.2286</v>
      </c>
    </row>
    <row r="1216" spans="1:5" ht="15">
      <c r="A1216" s="98">
        <v>3786</v>
      </c>
      <c r="B1216">
        <v>33.270000000000003</v>
      </c>
      <c r="C1216">
        <v>30.74</v>
      </c>
      <c r="D1216" t="s">
        <v>218</v>
      </c>
      <c r="E1216" s="97">
        <v>-9.5899999999999999E-2</v>
      </c>
    </row>
    <row r="1217" spans="1:5" ht="15">
      <c r="A1217" s="98">
        <v>3785</v>
      </c>
      <c r="B1217">
        <v>33.770000000000003</v>
      </c>
      <c r="C1217">
        <v>31.97</v>
      </c>
      <c r="D1217" t="s">
        <v>218</v>
      </c>
      <c r="E1217" s="97">
        <v>3.7900000000000003E-2</v>
      </c>
    </row>
    <row r="1218" spans="1:5" ht="15">
      <c r="A1218" s="98">
        <v>3784</v>
      </c>
      <c r="B1218">
        <v>32.26</v>
      </c>
      <c r="C1218">
        <v>29.39</v>
      </c>
      <c r="D1218" t="s">
        <v>218</v>
      </c>
      <c r="E1218" s="97">
        <v>0.13569999999999999</v>
      </c>
    </row>
    <row r="1219" spans="1:5" ht="15">
      <c r="A1219" s="98">
        <v>3783</v>
      </c>
      <c r="B1219">
        <v>28.71</v>
      </c>
      <c r="C1219">
        <v>27.54</v>
      </c>
      <c r="D1219" t="s">
        <v>218</v>
      </c>
      <c r="E1219" s="97">
        <v>-5.6099999999999997E-2</v>
      </c>
    </row>
    <row r="1220" spans="1:5" ht="15">
      <c r="A1220" s="98">
        <v>3782</v>
      </c>
      <c r="B1220">
        <v>28.72</v>
      </c>
      <c r="C1220">
        <v>27.2</v>
      </c>
      <c r="D1220" t="s">
        <v>218</v>
      </c>
      <c r="E1220" s="97">
        <v>7.0499999999999993E-2</v>
      </c>
    </row>
    <row r="1221" spans="1:5" ht="15">
      <c r="A1221" s="98">
        <v>3781</v>
      </c>
      <c r="B1221">
        <v>28.19</v>
      </c>
      <c r="C1221">
        <v>26.6</v>
      </c>
      <c r="D1221" t="s">
        <v>218</v>
      </c>
      <c r="E1221" s="97">
        <v>6.1000000000000004E-3</v>
      </c>
    </row>
    <row r="1222" spans="1:5" ht="15">
      <c r="A1222" s="98">
        <v>3780</v>
      </c>
      <c r="B1222">
        <v>27.94</v>
      </c>
      <c r="C1222">
        <v>26.5</v>
      </c>
      <c r="D1222" t="s">
        <v>218</v>
      </c>
      <c r="E1222" s="97">
        <v>-1.9099999999999999E-2</v>
      </c>
    </row>
    <row r="1223" spans="1:5" ht="15">
      <c r="A1223" s="98">
        <v>3779</v>
      </c>
      <c r="B1223">
        <v>28.31</v>
      </c>
      <c r="C1223">
        <v>26</v>
      </c>
      <c r="D1223" t="s">
        <v>218</v>
      </c>
      <c r="E1223" s="97">
        <v>0.12529999999999999</v>
      </c>
    </row>
    <row r="1224" spans="1:5" ht="15">
      <c r="A1224" s="98">
        <v>3778</v>
      </c>
      <c r="B1224">
        <v>26.47</v>
      </c>
      <c r="C1224">
        <v>25.6</v>
      </c>
      <c r="D1224" t="s">
        <v>218</v>
      </c>
      <c r="E1224" s="97">
        <v>-1.3299999999999999E-2</v>
      </c>
    </row>
    <row r="1225" spans="1:5" ht="15">
      <c r="A1225" s="98">
        <v>3777</v>
      </c>
      <c r="B1225">
        <v>28.72</v>
      </c>
      <c r="C1225">
        <v>26.89</v>
      </c>
      <c r="D1225" t="s">
        <v>218</v>
      </c>
      <c r="E1225" s="97">
        <v>-2.8E-3</v>
      </c>
    </row>
    <row r="1226" spans="1:5" ht="15">
      <c r="A1226" s="98">
        <v>3776</v>
      </c>
      <c r="B1226">
        <v>28.59</v>
      </c>
      <c r="C1226">
        <v>27.31</v>
      </c>
      <c r="D1226" t="s">
        <v>218</v>
      </c>
      <c r="E1226" s="97">
        <v>-2.0299999999999999E-2</v>
      </c>
    </row>
    <row r="1227" spans="1:5" ht="15">
      <c r="A1227" s="98">
        <v>3775</v>
      </c>
      <c r="B1227">
        <v>29.07</v>
      </c>
      <c r="C1227">
        <v>27.25</v>
      </c>
      <c r="D1227" t="s">
        <v>218</v>
      </c>
      <c r="E1227" s="97">
        <v>-3.9199999999999999E-2</v>
      </c>
    </row>
    <row r="1228" spans="1:5" ht="15">
      <c r="A1228" s="98">
        <v>3774</v>
      </c>
      <c r="B1228">
        <v>29.66</v>
      </c>
      <c r="C1228">
        <v>27.93</v>
      </c>
      <c r="D1228" t="s">
        <v>218</v>
      </c>
      <c r="E1228" s="97">
        <v>-5.1700000000000003E-2</v>
      </c>
    </row>
    <row r="1229" spans="1:5" ht="15">
      <c r="A1229" s="98">
        <v>3773</v>
      </c>
      <c r="B1229">
        <v>29.6</v>
      </c>
      <c r="C1229">
        <v>28.93</v>
      </c>
      <c r="D1229" t="s">
        <v>218</v>
      </c>
      <c r="E1229" s="97">
        <v>1.2E-2</v>
      </c>
    </row>
    <row r="1230" spans="1:5" ht="15">
      <c r="A1230" s="98">
        <v>3772</v>
      </c>
      <c r="B1230">
        <v>29.58</v>
      </c>
      <c r="C1230">
        <v>28.78</v>
      </c>
      <c r="D1230" t="s">
        <v>218</v>
      </c>
      <c r="E1230" s="97">
        <v>-1.8800000000000001E-2</v>
      </c>
    </row>
    <row r="1231" spans="1:5" ht="15">
      <c r="A1231" s="98">
        <v>3771</v>
      </c>
      <c r="B1231">
        <v>30.56</v>
      </c>
      <c r="C1231">
        <v>27.21</v>
      </c>
      <c r="D1231" t="s">
        <v>218</v>
      </c>
      <c r="E1231" s="97">
        <v>-1.7999999999999999E-2</v>
      </c>
    </row>
    <row r="1232" spans="1:5" ht="15">
      <c r="A1232" s="98">
        <v>3770</v>
      </c>
      <c r="B1232">
        <v>28.46</v>
      </c>
      <c r="C1232">
        <v>27.13</v>
      </c>
      <c r="D1232" t="s">
        <v>218</v>
      </c>
      <c r="E1232" s="97">
        <v>1.03E-2</v>
      </c>
    </row>
    <row r="1233" spans="1:5" ht="15">
      <c r="A1233" s="98">
        <v>3769</v>
      </c>
      <c r="B1233">
        <v>26.4</v>
      </c>
      <c r="C1233">
        <v>25.31</v>
      </c>
      <c r="D1233" t="s">
        <v>218</v>
      </c>
      <c r="E1233" s="97">
        <v>-8.2000000000000007E-3</v>
      </c>
    </row>
    <row r="1234" spans="1:5" ht="15">
      <c r="A1234" s="98">
        <v>3768</v>
      </c>
      <c r="B1234">
        <v>24.01</v>
      </c>
      <c r="C1234">
        <v>22.43</v>
      </c>
      <c r="D1234" t="s">
        <v>218</v>
      </c>
      <c r="E1234" s="97">
        <v>-5.0900000000000001E-2</v>
      </c>
    </row>
    <row r="1235" spans="1:5" ht="15">
      <c r="A1235" s="98">
        <v>3767</v>
      </c>
      <c r="B1235">
        <v>22.23</v>
      </c>
      <c r="C1235">
        <v>21.24</v>
      </c>
      <c r="D1235" t="s">
        <v>218</v>
      </c>
      <c r="E1235" s="97">
        <v>-5.0200000000000002E-2</v>
      </c>
    </row>
    <row r="1236" spans="1:5" ht="15">
      <c r="A1236" s="98">
        <v>3766</v>
      </c>
      <c r="B1236">
        <v>23.65</v>
      </c>
      <c r="C1236">
        <v>22.1</v>
      </c>
      <c r="D1236" t="s">
        <v>218</v>
      </c>
      <c r="E1236" s="97">
        <v>-4.8300000000000003E-2</v>
      </c>
    </row>
    <row r="1237" spans="1:5" ht="15">
      <c r="A1237" s="98">
        <v>3765</v>
      </c>
      <c r="B1237">
        <v>23.68</v>
      </c>
      <c r="C1237">
        <v>22.08</v>
      </c>
      <c r="D1237" t="s">
        <v>218</v>
      </c>
      <c r="E1237" s="97">
        <v>-7.7299999999999994E-2</v>
      </c>
    </row>
    <row r="1238" spans="1:5" ht="15">
      <c r="A1238" s="98">
        <v>3764</v>
      </c>
      <c r="B1238">
        <v>22.47</v>
      </c>
      <c r="C1238">
        <v>21.98</v>
      </c>
      <c r="D1238" t="s">
        <v>218</v>
      </c>
      <c r="E1238" s="97">
        <v>4.5699999999999998E-2</v>
      </c>
    </row>
    <row r="1239" spans="1:5" ht="15">
      <c r="A1239" s="98">
        <v>3763</v>
      </c>
      <c r="B1239">
        <v>26.01</v>
      </c>
      <c r="C1239">
        <v>22.79</v>
      </c>
      <c r="D1239" t="s">
        <v>218</v>
      </c>
      <c r="E1239" s="97">
        <v>-2.69E-2</v>
      </c>
    </row>
    <row r="1240" spans="1:5" ht="15">
      <c r="A1240" s="98">
        <v>3762</v>
      </c>
      <c r="B1240">
        <v>27.4</v>
      </c>
      <c r="C1240">
        <v>24.84</v>
      </c>
      <c r="D1240" t="s">
        <v>218</v>
      </c>
      <c r="E1240" s="97">
        <v>8.9999999999999998E-4</v>
      </c>
    </row>
    <row r="1241" spans="1:5" ht="15">
      <c r="A1241" s="98">
        <v>3761</v>
      </c>
      <c r="B1241">
        <v>26.52</v>
      </c>
      <c r="C1241">
        <v>25.28</v>
      </c>
      <c r="D1241" t="s">
        <v>218</v>
      </c>
      <c r="E1241" s="97">
        <v>-5.3999999999999999E-2</v>
      </c>
    </row>
    <row r="1242" spans="1:5" ht="15">
      <c r="A1242" s="98">
        <v>3760</v>
      </c>
      <c r="B1242">
        <v>28.77</v>
      </c>
      <c r="C1242">
        <v>25.13</v>
      </c>
      <c r="D1242" t="s">
        <v>218</v>
      </c>
      <c r="E1242" s="97">
        <v>7.1999999999999998E-3</v>
      </c>
    </row>
    <row r="1243" spans="1:5" ht="15">
      <c r="A1243" s="98">
        <v>3759</v>
      </c>
      <c r="B1243">
        <v>26.76</v>
      </c>
      <c r="C1243">
        <v>25.08</v>
      </c>
      <c r="D1243" t="s">
        <v>218</v>
      </c>
      <c r="E1243" s="97">
        <v>-2.4E-2</v>
      </c>
    </row>
    <row r="1244" spans="1:5" ht="15">
      <c r="A1244" s="98">
        <v>3758</v>
      </c>
      <c r="B1244">
        <v>25.96</v>
      </c>
      <c r="C1244">
        <v>24.82</v>
      </c>
      <c r="D1244" t="s">
        <v>218</v>
      </c>
      <c r="E1244" s="97">
        <v>-5.8299999999999998E-2</v>
      </c>
    </row>
    <row r="1245" spans="1:5" ht="15">
      <c r="A1245" s="98">
        <v>3757</v>
      </c>
      <c r="B1245">
        <v>26.25</v>
      </c>
      <c r="C1245">
        <v>24.64</v>
      </c>
      <c r="D1245" t="s">
        <v>218</v>
      </c>
      <c r="E1245" s="97">
        <v>4.8099999999999997E-2</v>
      </c>
    </row>
    <row r="1246" spans="1:5" ht="15">
      <c r="A1246" s="98">
        <v>3756</v>
      </c>
      <c r="B1246">
        <v>26.48</v>
      </c>
      <c r="C1246">
        <v>25.49</v>
      </c>
      <c r="D1246" t="s">
        <v>218</v>
      </c>
      <c r="E1246" s="97">
        <v>-3.5900000000000001E-2</v>
      </c>
    </row>
    <row r="1247" spans="1:5" ht="15">
      <c r="A1247" s="98">
        <v>3755</v>
      </c>
      <c r="B1247">
        <v>26.91</v>
      </c>
      <c r="C1247">
        <v>25.73</v>
      </c>
      <c r="D1247" t="s">
        <v>218</v>
      </c>
      <c r="E1247" s="97">
        <v>-8.0699999999999994E-2</v>
      </c>
    </row>
    <row r="1248" spans="1:5" ht="15">
      <c r="A1248" s="98">
        <v>3754</v>
      </c>
      <c r="B1248">
        <v>28.83</v>
      </c>
      <c r="C1248">
        <v>27.29</v>
      </c>
      <c r="D1248" t="s">
        <v>218</v>
      </c>
      <c r="E1248" s="97">
        <v>0.23930000000000001</v>
      </c>
    </row>
    <row r="1249" spans="1:5" ht="15">
      <c r="A1249" s="98">
        <v>3753</v>
      </c>
      <c r="B1249">
        <v>31.67</v>
      </c>
      <c r="C1249">
        <v>29.57</v>
      </c>
      <c r="D1249" t="s">
        <v>218</v>
      </c>
      <c r="E1249" s="97">
        <v>6.6E-3</v>
      </c>
    </row>
    <row r="1250" spans="1:5" ht="15">
      <c r="A1250" s="98">
        <v>3752</v>
      </c>
      <c r="B1250">
        <v>31.38</v>
      </c>
      <c r="C1250">
        <v>29.42</v>
      </c>
      <c r="D1250" t="s">
        <v>218</v>
      </c>
      <c r="E1250" s="97">
        <v>-9.8199999999999996E-2</v>
      </c>
    </row>
    <row r="1251" spans="1:5" ht="15">
      <c r="A1251" s="98">
        <v>3751</v>
      </c>
      <c r="B1251">
        <v>30.28</v>
      </c>
      <c r="C1251">
        <v>29.13</v>
      </c>
      <c r="D1251" t="s">
        <v>218</v>
      </c>
      <c r="E1251" s="97">
        <v>-5.8700000000000002E-2</v>
      </c>
    </row>
    <row r="1252" spans="1:5" ht="15">
      <c r="A1252" s="98">
        <v>3750</v>
      </c>
      <c r="B1252">
        <v>29.42</v>
      </c>
      <c r="C1252">
        <v>27.94</v>
      </c>
      <c r="D1252" t="s">
        <v>218</v>
      </c>
      <c r="E1252" s="97">
        <v>-0.10970000000000001</v>
      </c>
    </row>
    <row r="1253" spans="1:5" ht="15">
      <c r="A1253" s="98">
        <v>3749</v>
      </c>
      <c r="B1253">
        <v>26.96</v>
      </c>
      <c r="C1253">
        <v>25.04</v>
      </c>
      <c r="D1253" t="s">
        <v>218</v>
      </c>
      <c r="E1253" s="97">
        <v>-0.1013</v>
      </c>
    </row>
    <row r="1254" spans="1:5" ht="15">
      <c r="A1254" s="98">
        <v>3748</v>
      </c>
      <c r="B1254">
        <v>24.64</v>
      </c>
      <c r="C1254">
        <v>23.09</v>
      </c>
      <c r="D1254" t="s">
        <v>218</v>
      </c>
      <c r="E1254" s="97">
        <v>8.8900000000000007E-2</v>
      </c>
    </row>
    <row r="1255" spans="1:5" ht="15">
      <c r="A1255" s="98">
        <v>3747</v>
      </c>
      <c r="B1255">
        <v>24.45</v>
      </c>
      <c r="C1255">
        <v>22.75</v>
      </c>
      <c r="D1255" t="s">
        <v>218</v>
      </c>
      <c r="E1255" s="97">
        <v>9.7900000000000001E-2</v>
      </c>
    </row>
    <row r="1256" spans="1:5" ht="15">
      <c r="A1256" s="98">
        <v>3746</v>
      </c>
      <c r="B1256">
        <v>22.06</v>
      </c>
      <c r="C1256">
        <v>20.079999999999998</v>
      </c>
      <c r="D1256" t="s">
        <v>218</v>
      </c>
      <c r="E1256" s="97">
        <v>-2.18E-2</v>
      </c>
    </row>
    <row r="1257" spans="1:5" ht="15">
      <c r="A1257" s="98">
        <v>3745</v>
      </c>
      <c r="B1257">
        <v>21.78</v>
      </c>
      <c r="C1257">
        <v>20.66</v>
      </c>
      <c r="D1257" t="s">
        <v>218</v>
      </c>
      <c r="E1257" s="97">
        <v>4.2799999999999998E-2</v>
      </c>
    </row>
    <row r="1258" spans="1:5" ht="15">
      <c r="A1258" s="98">
        <v>3744</v>
      </c>
      <c r="B1258">
        <v>23.97</v>
      </c>
      <c r="C1258">
        <v>22.91</v>
      </c>
      <c r="D1258" t="s">
        <v>218</v>
      </c>
      <c r="E1258" s="97">
        <v>0.10829999999999999</v>
      </c>
    </row>
    <row r="1259" spans="1:5" ht="15">
      <c r="A1259" s="98">
        <v>3743</v>
      </c>
      <c r="B1259">
        <v>24</v>
      </c>
      <c r="C1259">
        <v>22.11</v>
      </c>
      <c r="D1259" t="s">
        <v>218</v>
      </c>
      <c r="E1259" s="97">
        <v>-9.98E-2</v>
      </c>
    </row>
    <row r="1260" spans="1:5" ht="15">
      <c r="A1260" s="98">
        <v>3742</v>
      </c>
      <c r="B1260">
        <v>23.56</v>
      </c>
      <c r="C1260">
        <v>22.03</v>
      </c>
      <c r="D1260" t="s">
        <v>218</v>
      </c>
      <c r="E1260" s="97">
        <v>8.1699999999999995E-2</v>
      </c>
    </row>
    <row r="1261" spans="1:5" ht="15">
      <c r="A1261" s="98">
        <v>3741</v>
      </c>
      <c r="B1261">
        <v>24.76</v>
      </c>
      <c r="C1261">
        <v>23.67</v>
      </c>
      <c r="D1261" t="s">
        <v>218</v>
      </c>
      <c r="E1261" s="97">
        <v>2.4299999999999999E-2</v>
      </c>
    </row>
    <row r="1262" spans="1:5" ht="15">
      <c r="A1262" s="98">
        <v>3740</v>
      </c>
      <c r="B1262">
        <v>26.96</v>
      </c>
      <c r="C1262">
        <v>24.74</v>
      </c>
      <c r="D1262" t="s">
        <v>218</v>
      </c>
      <c r="E1262" s="97">
        <v>6.9199999999999998E-2</v>
      </c>
    </row>
    <row r="1263" spans="1:5" ht="15">
      <c r="A1263" s="98">
        <v>3739</v>
      </c>
      <c r="B1263">
        <v>25.98</v>
      </c>
      <c r="C1263">
        <v>24.36</v>
      </c>
      <c r="D1263" t="s">
        <v>218</v>
      </c>
      <c r="E1263" s="97">
        <v>-0.11899999999999999</v>
      </c>
    </row>
    <row r="1264" spans="1:5" ht="15">
      <c r="A1264" s="98">
        <v>3738</v>
      </c>
      <c r="B1264">
        <v>23.38</v>
      </c>
      <c r="C1264">
        <v>22.68</v>
      </c>
      <c r="D1264" t="s">
        <v>218</v>
      </c>
      <c r="E1264" s="97">
        <v>0.16719999999999999</v>
      </c>
    </row>
    <row r="1265" spans="1:5" ht="15">
      <c r="A1265" s="98">
        <v>3737</v>
      </c>
      <c r="B1265">
        <v>24.9</v>
      </c>
      <c r="C1265">
        <v>24.04</v>
      </c>
      <c r="D1265" t="s">
        <v>218</v>
      </c>
      <c r="E1265" s="97">
        <v>0.1431</v>
      </c>
    </row>
    <row r="1266" spans="1:5" ht="15">
      <c r="A1266" s="98">
        <v>3736</v>
      </c>
      <c r="B1266">
        <v>24.08</v>
      </c>
      <c r="C1266">
        <v>22.81</v>
      </c>
      <c r="D1266" t="s">
        <v>218</v>
      </c>
      <c r="E1266" s="97">
        <v>-0.1108</v>
      </c>
    </row>
    <row r="1267" spans="1:5" ht="15">
      <c r="A1267" s="98">
        <v>3735</v>
      </c>
      <c r="B1267">
        <v>25.81</v>
      </c>
      <c r="C1267">
        <v>21.38</v>
      </c>
      <c r="D1267" t="s">
        <v>218</v>
      </c>
      <c r="E1267" s="97">
        <v>-0.1037</v>
      </c>
    </row>
    <row r="1268" spans="1:5" ht="15">
      <c r="A1268" s="98">
        <v>3734</v>
      </c>
      <c r="B1268">
        <v>28.32</v>
      </c>
      <c r="C1268">
        <v>25.55</v>
      </c>
      <c r="D1268" t="s">
        <v>218</v>
      </c>
      <c r="E1268" s="97">
        <v>-4.7899999999999998E-2</v>
      </c>
    </row>
    <row r="1269" spans="1:5" ht="15">
      <c r="A1269" s="98">
        <v>3733</v>
      </c>
      <c r="B1269">
        <v>32.85</v>
      </c>
      <c r="C1269">
        <v>28.78</v>
      </c>
      <c r="D1269" t="s">
        <v>218</v>
      </c>
      <c r="E1269" s="97">
        <v>-0.1009</v>
      </c>
    </row>
    <row r="1270" spans="1:5" ht="15">
      <c r="A1270" s="98">
        <v>3732</v>
      </c>
      <c r="B1270">
        <v>33.659999999999997</v>
      </c>
      <c r="C1270">
        <v>30.2</v>
      </c>
      <c r="D1270" t="s">
        <v>218</v>
      </c>
      <c r="E1270" s="97">
        <v>4.48E-2</v>
      </c>
    </row>
    <row r="1271" spans="1:5" ht="15">
      <c r="A1271" s="98">
        <v>3731</v>
      </c>
      <c r="B1271">
        <v>32.56</v>
      </c>
      <c r="C1271">
        <v>29.14</v>
      </c>
      <c r="D1271" t="s">
        <v>218</v>
      </c>
      <c r="E1271" s="97">
        <v>-0.1636</v>
      </c>
    </row>
    <row r="1272" spans="1:5" ht="15">
      <c r="A1272" s="98">
        <v>3730</v>
      </c>
      <c r="B1272">
        <v>30.61</v>
      </c>
      <c r="C1272">
        <v>28.8</v>
      </c>
      <c r="D1272" t="s">
        <v>218</v>
      </c>
      <c r="E1272" s="97">
        <v>1.18E-2</v>
      </c>
    </row>
    <row r="1273" spans="1:5" ht="15">
      <c r="A1273" s="98">
        <v>3729</v>
      </c>
      <c r="B1273">
        <v>29.04</v>
      </c>
      <c r="C1273">
        <v>27.62</v>
      </c>
      <c r="D1273" t="s">
        <v>218</v>
      </c>
      <c r="E1273" s="97">
        <v>0.1671</v>
      </c>
    </row>
    <row r="1274" spans="1:5" ht="15">
      <c r="A1274" s="98">
        <v>3728</v>
      </c>
      <c r="B1274">
        <v>31.37</v>
      </c>
      <c r="C1274">
        <v>29.23</v>
      </c>
      <c r="D1274" t="s">
        <v>218</v>
      </c>
      <c r="E1274" s="97">
        <v>-2.6599999999999999E-2</v>
      </c>
    </row>
    <row r="1275" spans="1:5" ht="15">
      <c r="A1275" s="98">
        <v>3727</v>
      </c>
      <c r="B1275">
        <v>32.81</v>
      </c>
      <c r="C1275">
        <v>31.1</v>
      </c>
      <c r="D1275" t="s">
        <v>218</v>
      </c>
      <c r="E1275" s="97">
        <v>0.31140000000000001</v>
      </c>
    </row>
    <row r="1276" spans="1:5" ht="15">
      <c r="A1276" s="98">
        <v>3726</v>
      </c>
      <c r="B1276">
        <v>32.71</v>
      </c>
      <c r="C1276">
        <v>31.13</v>
      </c>
      <c r="D1276" t="s">
        <v>218</v>
      </c>
      <c r="E1276" s="97">
        <v>2.5999999999999999E-3</v>
      </c>
    </row>
    <row r="1277" spans="1:5" ht="15">
      <c r="A1277" s="98">
        <v>3725</v>
      </c>
      <c r="B1277">
        <v>30.96</v>
      </c>
      <c r="C1277">
        <v>29.23</v>
      </c>
      <c r="D1277" t="s">
        <v>218</v>
      </c>
      <c r="E1277" s="97">
        <v>-0.24679999999999999</v>
      </c>
    </row>
    <row r="1278" spans="1:5" ht="15">
      <c r="A1278" s="98">
        <v>3724</v>
      </c>
      <c r="B1278">
        <v>29.81</v>
      </c>
      <c r="C1278">
        <v>28.24</v>
      </c>
      <c r="D1278" t="s">
        <v>218</v>
      </c>
      <c r="E1278" s="97">
        <v>4.02E-2</v>
      </c>
    </row>
    <row r="1279" spans="1:5" ht="15">
      <c r="A1279" s="98">
        <v>3723</v>
      </c>
      <c r="B1279">
        <v>29.51</v>
      </c>
      <c r="C1279">
        <v>28.01</v>
      </c>
      <c r="D1279" t="s">
        <v>218</v>
      </c>
      <c r="E1279" s="97">
        <v>-2.3699999999999999E-2</v>
      </c>
    </row>
    <row r="1280" spans="1:5" ht="15">
      <c r="A1280" s="98">
        <v>3722</v>
      </c>
      <c r="B1280">
        <v>28.55</v>
      </c>
      <c r="C1280">
        <v>25.9</v>
      </c>
      <c r="D1280" t="s">
        <v>218</v>
      </c>
      <c r="E1280" s="97">
        <v>0.25609999999999999</v>
      </c>
    </row>
    <row r="1281" spans="1:5" ht="15">
      <c r="A1281" s="98">
        <v>3721</v>
      </c>
      <c r="B1281">
        <v>27.74</v>
      </c>
      <c r="C1281">
        <v>26.76</v>
      </c>
      <c r="D1281" t="s">
        <v>218</v>
      </c>
      <c r="E1281" s="97">
        <v>2.5000000000000001E-3</v>
      </c>
    </row>
    <row r="1282" spans="1:5" ht="15">
      <c r="A1282" s="98">
        <v>3720</v>
      </c>
      <c r="B1282">
        <v>29.46</v>
      </c>
      <c r="C1282">
        <v>28.11</v>
      </c>
      <c r="D1282" t="s">
        <v>218</v>
      </c>
      <c r="E1282" s="97">
        <v>-0.21390000000000001</v>
      </c>
    </row>
    <row r="1283" spans="1:5" ht="15">
      <c r="A1283" s="98">
        <v>3719</v>
      </c>
      <c r="B1283">
        <v>29.03</v>
      </c>
      <c r="C1283">
        <v>27.62</v>
      </c>
      <c r="D1283" t="s">
        <v>218</v>
      </c>
      <c r="E1283" s="97">
        <v>9.4299999999999995E-2</v>
      </c>
    </row>
    <row r="1284" spans="1:5" ht="15">
      <c r="A1284" s="98">
        <v>3718</v>
      </c>
      <c r="B1284">
        <v>29.49</v>
      </c>
      <c r="C1284">
        <v>27.58</v>
      </c>
      <c r="D1284" t="s">
        <v>218</v>
      </c>
      <c r="E1284" s="97">
        <v>0.1111</v>
      </c>
    </row>
    <row r="1285" spans="1:5" ht="15">
      <c r="A1285" s="98">
        <v>3717</v>
      </c>
      <c r="B1285">
        <v>30.54</v>
      </c>
      <c r="C1285">
        <v>29.46</v>
      </c>
      <c r="D1285" t="s">
        <v>218</v>
      </c>
      <c r="E1285" s="97">
        <v>7.17E-2</v>
      </c>
    </row>
    <row r="1286" spans="1:5" ht="15">
      <c r="A1286" s="98">
        <v>3716</v>
      </c>
      <c r="B1286">
        <v>30.77</v>
      </c>
      <c r="C1286">
        <v>29.53</v>
      </c>
      <c r="D1286" t="s">
        <v>218</v>
      </c>
      <c r="E1286" s="97">
        <v>3.1300000000000001E-2</v>
      </c>
    </row>
    <row r="1287" spans="1:5" ht="15">
      <c r="A1287" s="98">
        <v>3715</v>
      </c>
      <c r="B1287">
        <v>31.41</v>
      </c>
      <c r="C1287">
        <v>29.84</v>
      </c>
      <c r="D1287" t="s">
        <v>218</v>
      </c>
      <c r="E1287" s="97">
        <v>0.15310000000000001</v>
      </c>
    </row>
    <row r="1288" spans="1:5" ht="15">
      <c r="A1288" s="98">
        <v>3714</v>
      </c>
      <c r="B1288">
        <v>31.75</v>
      </c>
      <c r="C1288">
        <v>30.45</v>
      </c>
      <c r="D1288" t="s">
        <v>218</v>
      </c>
      <c r="E1288" s="97">
        <v>-2.7000000000000001E-3</v>
      </c>
    </row>
    <row r="1289" spans="1:5" ht="15">
      <c r="A1289" s="98">
        <v>3713</v>
      </c>
      <c r="B1289">
        <v>30.16</v>
      </c>
      <c r="C1289">
        <v>27.42</v>
      </c>
      <c r="D1289" t="s">
        <v>218</v>
      </c>
      <c r="E1289" s="97">
        <v>0.13689999999999999</v>
      </c>
    </row>
    <row r="1290" spans="1:5" ht="15">
      <c r="A1290" s="98">
        <v>3712</v>
      </c>
      <c r="B1290">
        <v>30.46</v>
      </c>
      <c r="C1290">
        <v>27.85</v>
      </c>
      <c r="D1290" t="s">
        <v>218</v>
      </c>
      <c r="E1290" s="97">
        <v>1.0699999999999999E-2</v>
      </c>
    </row>
    <row r="1291" spans="1:5" ht="15">
      <c r="A1291" s="98">
        <v>3711</v>
      </c>
      <c r="B1291">
        <v>30.04</v>
      </c>
      <c r="C1291">
        <v>28.73</v>
      </c>
      <c r="D1291" t="s">
        <v>218</v>
      </c>
      <c r="E1291" s="97">
        <v>-0.15690000000000001</v>
      </c>
    </row>
    <row r="1292" spans="1:5" ht="15">
      <c r="A1292" s="98">
        <v>3710</v>
      </c>
      <c r="B1292">
        <v>30.95</v>
      </c>
      <c r="C1292">
        <v>29.16</v>
      </c>
      <c r="D1292" t="s">
        <v>218</v>
      </c>
      <c r="E1292" s="97">
        <v>0.3448</v>
      </c>
    </row>
    <row r="1293" spans="1:5" ht="15">
      <c r="A1293" s="98">
        <v>3709</v>
      </c>
      <c r="B1293">
        <v>31.14</v>
      </c>
      <c r="C1293">
        <v>30.32</v>
      </c>
      <c r="D1293" t="s">
        <v>218</v>
      </c>
      <c r="E1293" s="97">
        <v>5.8500000000000003E-2</v>
      </c>
    </row>
    <row r="1294" spans="1:5" ht="15">
      <c r="A1294" s="98">
        <v>3708</v>
      </c>
      <c r="B1294">
        <v>30.12</v>
      </c>
      <c r="C1294">
        <v>28.61</v>
      </c>
      <c r="D1294" t="s">
        <v>218</v>
      </c>
      <c r="E1294" s="97">
        <v>-6.7299999999999999E-2</v>
      </c>
    </row>
    <row r="1295" spans="1:5" ht="15">
      <c r="A1295" s="98">
        <v>3707</v>
      </c>
      <c r="B1295">
        <v>28.83</v>
      </c>
      <c r="C1295">
        <v>25.78</v>
      </c>
      <c r="D1295" t="s">
        <v>218</v>
      </c>
      <c r="E1295" s="97">
        <v>-1.4800000000000001E-2</v>
      </c>
    </row>
    <row r="1296" spans="1:5" ht="15">
      <c r="A1296" s="98">
        <v>3706</v>
      </c>
      <c r="B1296">
        <v>26.9</v>
      </c>
      <c r="C1296">
        <v>25.92</v>
      </c>
      <c r="D1296" t="s">
        <v>218</v>
      </c>
      <c r="E1296" s="97">
        <v>5.5199999999999999E-2</v>
      </c>
    </row>
    <row r="1297" spans="1:5" ht="15">
      <c r="A1297" s="98">
        <v>3705</v>
      </c>
      <c r="B1297">
        <v>27.21</v>
      </c>
      <c r="C1297">
        <v>25.22</v>
      </c>
      <c r="D1297" t="s">
        <v>218</v>
      </c>
      <c r="E1297" s="97">
        <v>5.5500000000000001E-2</v>
      </c>
    </row>
    <row r="1298" spans="1:5" ht="15">
      <c r="A1298" s="98">
        <v>3704</v>
      </c>
      <c r="B1298">
        <v>29.71</v>
      </c>
      <c r="C1298">
        <v>27.8</v>
      </c>
      <c r="D1298" t="s">
        <v>218</v>
      </c>
      <c r="E1298" s="97">
        <v>-3.1099999999999999E-2</v>
      </c>
    </row>
    <row r="1299" spans="1:5" ht="15">
      <c r="A1299" s="98">
        <v>3703</v>
      </c>
      <c r="B1299">
        <v>29</v>
      </c>
      <c r="C1299">
        <v>27.63</v>
      </c>
      <c r="D1299" t="s">
        <v>218</v>
      </c>
      <c r="E1299" s="97">
        <v>-8.6099999999999996E-2</v>
      </c>
    </row>
    <row r="1300" spans="1:5" ht="15">
      <c r="A1300" s="98">
        <v>3702</v>
      </c>
      <c r="B1300">
        <v>29.87</v>
      </c>
      <c r="C1300">
        <v>28.14</v>
      </c>
      <c r="D1300" t="s">
        <v>218</v>
      </c>
      <c r="E1300" s="97">
        <v>0.19539999999999999</v>
      </c>
    </row>
    <row r="1301" spans="1:5" ht="15">
      <c r="A1301" s="98">
        <v>3701</v>
      </c>
      <c r="B1301">
        <v>29.28</v>
      </c>
      <c r="C1301">
        <v>27.49</v>
      </c>
      <c r="D1301" t="s">
        <v>218</v>
      </c>
      <c r="E1301" s="97">
        <v>-4.4200000000000003E-2</v>
      </c>
    </row>
    <row r="1302" spans="1:5" ht="15">
      <c r="A1302" s="98">
        <v>3700</v>
      </c>
      <c r="B1302">
        <v>29.9</v>
      </c>
      <c r="C1302">
        <v>28.82</v>
      </c>
      <c r="D1302" t="s">
        <v>218</v>
      </c>
      <c r="E1302" s="97">
        <v>0.2354</v>
      </c>
    </row>
    <row r="1303" spans="1:5" ht="15">
      <c r="A1303" s="98">
        <v>3699</v>
      </c>
      <c r="B1303">
        <v>27.81</v>
      </c>
      <c r="C1303">
        <v>26.42</v>
      </c>
      <c r="D1303" t="s">
        <v>218</v>
      </c>
      <c r="E1303" s="97">
        <v>5.21E-2</v>
      </c>
    </row>
    <row r="1304" spans="1:5" ht="15">
      <c r="A1304" s="98">
        <v>3698</v>
      </c>
      <c r="B1304">
        <v>25.44</v>
      </c>
      <c r="C1304">
        <v>24.08</v>
      </c>
      <c r="D1304" t="s">
        <v>218</v>
      </c>
      <c r="E1304" s="97">
        <v>-5.3E-3</v>
      </c>
    </row>
    <row r="1305" spans="1:5" ht="15">
      <c r="A1305" s="98">
        <v>3697</v>
      </c>
      <c r="B1305">
        <v>25.21</v>
      </c>
      <c r="C1305">
        <v>24.48</v>
      </c>
      <c r="D1305" t="s">
        <v>218</v>
      </c>
      <c r="E1305" s="97">
        <v>-3.73E-2</v>
      </c>
    </row>
    <row r="1306" spans="1:5" ht="15">
      <c r="A1306" s="98">
        <v>3696</v>
      </c>
      <c r="B1306">
        <v>25.29</v>
      </c>
      <c r="C1306">
        <v>24.25</v>
      </c>
      <c r="D1306" t="s">
        <v>218</v>
      </c>
      <c r="E1306" s="97">
        <v>0.125</v>
      </c>
    </row>
    <row r="1307" spans="1:5" ht="15">
      <c r="A1307" s="98">
        <v>3695</v>
      </c>
      <c r="B1307">
        <v>25.39</v>
      </c>
      <c r="C1307">
        <v>24.61</v>
      </c>
      <c r="D1307" t="s">
        <v>218</v>
      </c>
      <c r="E1307" s="97">
        <v>-1.8200000000000001E-2</v>
      </c>
    </row>
    <row r="1308" spans="1:5" ht="15">
      <c r="A1308" s="98">
        <v>3694</v>
      </c>
      <c r="B1308">
        <v>24.98</v>
      </c>
      <c r="C1308">
        <v>23.82</v>
      </c>
      <c r="D1308" t="s">
        <v>218</v>
      </c>
      <c r="E1308" s="97">
        <v>-4.0399999999999998E-2</v>
      </c>
    </row>
    <row r="1309" spans="1:5" ht="15">
      <c r="A1309" s="98">
        <v>3693</v>
      </c>
      <c r="B1309">
        <v>25.36</v>
      </c>
      <c r="C1309">
        <v>24.74</v>
      </c>
      <c r="D1309" t="s">
        <v>218</v>
      </c>
      <c r="E1309" s="97">
        <v>0.12130000000000001</v>
      </c>
    </row>
    <row r="1310" spans="1:5" ht="15">
      <c r="A1310" s="98">
        <v>3692</v>
      </c>
      <c r="B1310">
        <v>25.9</v>
      </c>
      <c r="C1310">
        <v>25.18</v>
      </c>
      <c r="D1310" t="s">
        <v>218</v>
      </c>
      <c r="E1310" s="97">
        <v>-2.5499999999999998E-2</v>
      </c>
    </row>
    <row r="1311" spans="1:5" ht="15">
      <c r="A1311" s="98">
        <v>3691</v>
      </c>
      <c r="B1311">
        <v>25.56</v>
      </c>
      <c r="C1311">
        <v>24.98</v>
      </c>
      <c r="D1311" t="s">
        <v>218</v>
      </c>
      <c r="E1311" s="97">
        <v>6.4899999999999999E-2</v>
      </c>
    </row>
    <row r="1312" spans="1:5" ht="15">
      <c r="A1312" s="98">
        <v>3690</v>
      </c>
      <c r="B1312">
        <v>26.49</v>
      </c>
      <c r="C1312">
        <v>24.9</v>
      </c>
      <c r="D1312" t="s">
        <v>218</v>
      </c>
      <c r="E1312" s="97">
        <v>6.2799999999999995E-2</v>
      </c>
    </row>
    <row r="1313" spans="1:5" ht="15">
      <c r="A1313" s="98">
        <v>3689</v>
      </c>
      <c r="B1313">
        <v>25.24</v>
      </c>
      <c r="C1313">
        <v>24.03</v>
      </c>
      <c r="D1313" t="s">
        <v>218</v>
      </c>
      <c r="E1313" s="97">
        <v>-1.67E-2</v>
      </c>
    </row>
    <row r="1314" spans="1:5" ht="15">
      <c r="A1314" s="98">
        <v>3688</v>
      </c>
      <c r="B1314">
        <v>24.35</v>
      </c>
      <c r="C1314">
        <v>23.39</v>
      </c>
      <c r="D1314" t="s">
        <v>218</v>
      </c>
      <c r="E1314" s="97">
        <v>-3.56E-2</v>
      </c>
    </row>
    <row r="1315" spans="1:5" ht="15">
      <c r="A1315" s="98">
        <v>3687</v>
      </c>
      <c r="B1315">
        <v>25.55</v>
      </c>
      <c r="C1315">
        <v>24.8</v>
      </c>
      <c r="D1315" t="s">
        <v>218</v>
      </c>
      <c r="E1315" s="97">
        <v>-2.29E-2</v>
      </c>
    </row>
    <row r="1316" spans="1:5" ht="15">
      <c r="A1316" s="98">
        <v>3686</v>
      </c>
      <c r="B1316">
        <v>27.74</v>
      </c>
      <c r="C1316">
        <v>25.84</v>
      </c>
      <c r="D1316" t="s">
        <v>218</v>
      </c>
      <c r="E1316" s="97">
        <v>0.1148</v>
      </c>
    </row>
    <row r="1317" spans="1:5" ht="15">
      <c r="A1317" s="98">
        <v>3685</v>
      </c>
      <c r="B1317">
        <v>27.31</v>
      </c>
      <c r="C1317">
        <v>26.59</v>
      </c>
      <c r="D1317" t="s">
        <v>218</v>
      </c>
      <c r="E1317" s="97">
        <v>-5.0999999999999997E-2</v>
      </c>
    </row>
    <row r="1318" spans="1:5" ht="15">
      <c r="A1318" s="98">
        <v>3684</v>
      </c>
      <c r="B1318">
        <v>25.38</v>
      </c>
      <c r="C1318">
        <v>24.33</v>
      </c>
      <c r="D1318" t="s">
        <v>218</v>
      </c>
      <c r="E1318" s="97">
        <v>-2.9399999999999999E-2</v>
      </c>
    </row>
    <row r="1319" spans="1:5" ht="15">
      <c r="A1319" s="98">
        <v>3683</v>
      </c>
      <c r="B1319">
        <v>24.81</v>
      </c>
      <c r="C1319">
        <v>23.83</v>
      </c>
      <c r="D1319" t="s">
        <v>218</v>
      </c>
      <c r="E1319" s="97">
        <v>-4.0399999999999998E-2</v>
      </c>
    </row>
    <row r="1320" spans="1:5" ht="15">
      <c r="A1320" s="98">
        <v>3682</v>
      </c>
      <c r="B1320">
        <v>23.96</v>
      </c>
      <c r="C1320">
        <v>23.45</v>
      </c>
      <c r="D1320" t="s">
        <v>218</v>
      </c>
      <c r="E1320" s="97">
        <v>1.43E-2</v>
      </c>
    </row>
    <row r="1321" spans="1:5" ht="15">
      <c r="A1321" s="98">
        <v>3681</v>
      </c>
      <c r="B1321">
        <v>24.34</v>
      </c>
      <c r="C1321">
        <v>22.71</v>
      </c>
      <c r="D1321" t="s">
        <v>218</v>
      </c>
      <c r="E1321" s="97">
        <v>7.1499999999999994E-2</v>
      </c>
    </row>
    <row r="1322" spans="1:5" ht="15">
      <c r="A1322" s="98">
        <v>3680</v>
      </c>
      <c r="B1322">
        <v>23.3</v>
      </c>
      <c r="C1322">
        <v>22</v>
      </c>
      <c r="D1322" t="s">
        <v>218</v>
      </c>
      <c r="E1322" s="97">
        <v>-3.7400000000000003E-2</v>
      </c>
    </row>
    <row r="1323" spans="1:5" ht="15">
      <c r="A1323" s="98">
        <v>3679</v>
      </c>
      <c r="B1323">
        <v>22.87</v>
      </c>
      <c r="C1323">
        <v>22.06</v>
      </c>
      <c r="D1323" t="s">
        <v>218</v>
      </c>
      <c r="E1323" s="97">
        <v>-5.6099999999999997E-2</v>
      </c>
    </row>
    <row r="1324" spans="1:5" ht="15">
      <c r="A1324" s="98">
        <v>3678</v>
      </c>
      <c r="B1324">
        <v>23.2</v>
      </c>
      <c r="C1324">
        <v>22.18</v>
      </c>
      <c r="D1324" t="s">
        <v>218</v>
      </c>
      <c r="E1324" s="97">
        <v>1.7899999999999999E-2</v>
      </c>
    </row>
    <row r="1325" spans="1:5" ht="15">
      <c r="A1325" s="98">
        <v>3677</v>
      </c>
      <c r="B1325">
        <v>23.04</v>
      </c>
      <c r="C1325">
        <v>22.12</v>
      </c>
      <c r="D1325" t="s">
        <v>218</v>
      </c>
      <c r="E1325" s="97">
        <v>5.2200000000000003E-2</v>
      </c>
    </row>
    <row r="1326" spans="1:5" ht="15">
      <c r="A1326" s="98">
        <v>3676</v>
      </c>
      <c r="B1326">
        <v>23.26</v>
      </c>
      <c r="C1326">
        <v>22.1</v>
      </c>
      <c r="D1326" t="s">
        <v>218</v>
      </c>
      <c r="E1326" s="97">
        <v>-2.6100000000000002E-2</v>
      </c>
    </row>
    <row r="1327" spans="1:5" ht="15">
      <c r="A1327" s="98">
        <v>3675</v>
      </c>
      <c r="B1327">
        <v>23.51</v>
      </c>
      <c r="C1327">
        <v>22.01</v>
      </c>
      <c r="D1327" t="s">
        <v>218</v>
      </c>
      <c r="E1327" s="97">
        <v>-2.3199999999999998E-2</v>
      </c>
    </row>
    <row r="1328" spans="1:5" ht="15">
      <c r="A1328" s="98">
        <v>3674</v>
      </c>
      <c r="B1328">
        <v>22.59</v>
      </c>
      <c r="C1328">
        <v>21.55</v>
      </c>
      <c r="D1328" t="s">
        <v>218</v>
      </c>
      <c r="E1328" s="97">
        <v>4.5499999999999999E-2</v>
      </c>
    </row>
    <row r="1329" spans="1:5" ht="15">
      <c r="A1329" s="98">
        <v>3673</v>
      </c>
      <c r="B1329">
        <v>23.41</v>
      </c>
      <c r="C1329">
        <v>20.47</v>
      </c>
      <c r="D1329" t="s">
        <v>218</v>
      </c>
      <c r="E1329" s="97">
        <v>-4.2999999999999997E-2</v>
      </c>
    </row>
    <row r="1330" spans="1:5" ht="15">
      <c r="A1330" s="98">
        <v>3672</v>
      </c>
      <c r="B1330">
        <v>23.35</v>
      </c>
      <c r="C1330">
        <v>22.01</v>
      </c>
      <c r="D1330" t="s">
        <v>218</v>
      </c>
      <c r="E1330" s="97">
        <v>-0.1</v>
      </c>
    </row>
    <row r="1331" spans="1:5" ht="15">
      <c r="A1331" s="98">
        <v>3671</v>
      </c>
      <c r="B1331">
        <v>24.96</v>
      </c>
      <c r="C1331">
        <v>23.07</v>
      </c>
      <c r="D1331" t="s">
        <v>218</v>
      </c>
      <c r="E1331" s="97">
        <v>4.0800000000000003E-2</v>
      </c>
    </row>
    <row r="1332" spans="1:5" ht="15">
      <c r="A1332" s="98">
        <v>3670</v>
      </c>
      <c r="B1332">
        <v>26.24</v>
      </c>
      <c r="C1332">
        <v>23.91</v>
      </c>
      <c r="D1332" t="s">
        <v>218</v>
      </c>
      <c r="E1332" s="97">
        <v>-1.61E-2</v>
      </c>
    </row>
    <row r="1333" spans="1:5" ht="15">
      <c r="A1333" s="98">
        <v>3669</v>
      </c>
      <c r="B1333">
        <v>24.24</v>
      </c>
      <c r="C1333">
        <v>23.6</v>
      </c>
      <c r="D1333" t="s">
        <v>218</v>
      </c>
      <c r="E1333" s="97">
        <v>8.1600000000000006E-2</v>
      </c>
    </row>
    <row r="1334" spans="1:5" ht="15">
      <c r="A1334" s="98">
        <v>3668</v>
      </c>
      <c r="B1334">
        <v>26.5</v>
      </c>
      <c r="C1334">
        <v>22.93</v>
      </c>
      <c r="D1334" t="s">
        <v>218</v>
      </c>
      <c r="E1334" s="97">
        <v>-3.7199999999999997E-2</v>
      </c>
    </row>
    <row r="1335" spans="1:5" ht="15">
      <c r="A1335" s="98">
        <v>3667</v>
      </c>
      <c r="B1335">
        <v>26.09</v>
      </c>
      <c r="C1335">
        <v>24.79</v>
      </c>
      <c r="D1335" t="s">
        <v>218</v>
      </c>
      <c r="E1335" s="97">
        <v>-9.0800000000000006E-2</v>
      </c>
    </row>
    <row r="1336" spans="1:5" ht="15">
      <c r="A1336" s="98">
        <v>3666</v>
      </c>
      <c r="B1336">
        <v>24.88</v>
      </c>
      <c r="C1336">
        <v>23.31</v>
      </c>
      <c r="D1336" t="s">
        <v>218</v>
      </c>
      <c r="E1336" s="97">
        <v>5.7599999999999998E-2</v>
      </c>
    </row>
    <row r="1337" spans="1:5" ht="15">
      <c r="A1337" s="98">
        <v>3665</v>
      </c>
      <c r="B1337">
        <v>22.81</v>
      </c>
      <c r="C1337">
        <v>22.4</v>
      </c>
      <c r="D1337" t="s">
        <v>218</v>
      </c>
      <c r="E1337" s="97">
        <v>-2.2599999999999999E-2</v>
      </c>
    </row>
    <row r="1338" spans="1:5" ht="15">
      <c r="A1338" s="98">
        <v>3664</v>
      </c>
      <c r="B1338">
        <v>23.13</v>
      </c>
      <c r="C1338">
        <v>22.37</v>
      </c>
      <c r="D1338" t="s">
        <v>218</v>
      </c>
      <c r="E1338" s="97">
        <v>0.1</v>
      </c>
    </row>
    <row r="1339" spans="1:5" ht="15">
      <c r="A1339" s="98">
        <v>3663</v>
      </c>
      <c r="B1339">
        <v>23.94</v>
      </c>
      <c r="C1339">
        <v>23.21</v>
      </c>
      <c r="D1339" t="s">
        <v>218</v>
      </c>
      <c r="E1339" s="97">
        <v>6.1000000000000004E-3</v>
      </c>
    </row>
    <row r="1340" spans="1:5" ht="15">
      <c r="A1340" s="98">
        <v>3662</v>
      </c>
      <c r="B1340">
        <v>23.71</v>
      </c>
      <c r="C1340">
        <v>23.02</v>
      </c>
      <c r="D1340" t="s">
        <v>218</v>
      </c>
      <c r="E1340" s="97">
        <v>-8.1100000000000005E-2</v>
      </c>
    </row>
    <row r="1341" spans="1:5" ht="15">
      <c r="A1341" s="98">
        <v>3661</v>
      </c>
      <c r="B1341">
        <v>24.48</v>
      </c>
      <c r="C1341">
        <v>23.45</v>
      </c>
      <c r="D1341" t="s">
        <v>218</v>
      </c>
      <c r="E1341" s="97">
        <v>-4.1599999999999998E-2</v>
      </c>
    </row>
    <row r="1342" spans="1:5" ht="15">
      <c r="A1342" s="98">
        <v>3660</v>
      </c>
      <c r="B1342">
        <v>25.55</v>
      </c>
      <c r="C1342">
        <v>24.32</v>
      </c>
      <c r="D1342" t="s">
        <v>218</v>
      </c>
      <c r="E1342" s="97">
        <v>-3.8399999999999997E-2</v>
      </c>
    </row>
    <row r="1343" spans="1:5" ht="15">
      <c r="A1343" s="98">
        <v>3659</v>
      </c>
      <c r="B1343">
        <v>26.47</v>
      </c>
      <c r="C1343">
        <v>23.62</v>
      </c>
      <c r="D1343" t="s">
        <v>218</v>
      </c>
      <c r="E1343" s="97">
        <v>-3.5999999999999999E-3</v>
      </c>
    </row>
    <row r="1344" spans="1:5" ht="15">
      <c r="A1344" s="98">
        <v>3658</v>
      </c>
      <c r="B1344">
        <v>25.77</v>
      </c>
      <c r="C1344">
        <v>24.11</v>
      </c>
      <c r="D1344" t="s">
        <v>218</v>
      </c>
      <c r="E1344" s="97">
        <v>-0.1205</v>
      </c>
    </row>
    <row r="1345" spans="1:5" ht="15">
      <c r="A1345" s="98">
        <v>3657</v>
      </c>
      <c r="B1345">
        <v>25.7</v>
      </c>
      <c r="C1345">
        <v>24.23</v>
      </c>
      <c r="D1345" t="s">
        <v>218</v>
      </c>
      <c r="E1345" s="97">
        <v>2.0999999999999999E-3</v>
      </c>
    </row>
    <row r="1346" spans="1:5" ht="15">
      <c r="A1346" s="98">
        <v>3656</v>
      </c>
      <c r="B1346">
        <v>27.22</v>
      </c>
      <c r="C1346">
        <v>25.17</v>
      </c>
      <c r="D1346" t="s">
        <v>218</v>
      </c>
      <c r="E1346" s="97">
        <v>3.5999999999999997E-2</v>
      </c>
    </row>
    <row r="1347" spans="1:5" ht="15">
      <c r="A1347" s="98">
        <v>3655</v>
      </c>
      <c r="B1347">
        <v>28.58</v>
      </c>
      <c r="C1347">
        <v>25.34</v>
      </c>
      <c r="D1347" t="s">
        <v>218</v>
      </c>
      <c r="E1347" s="97">
        <v>7.4200000000000002E-2</v>
      </c>
    </row>
    <row r="1348" spans="1:5" ht="15">
      <c r="A1348" s="98">
        <v>3654</v>
      </c>
      <c r="B1348">
        <v>26.42</v>
      </c>
      <c r="C1348">
        <v>25.36</v>
      </c>
      <c r="D1348" t="s">
        <v>218</v>
      </c>
      <c r="E1348" s="97">
        <v>1.43E-2</v>
      </c>
    </row>
    <row r="1349" spans="1:5" ht="15">
      <c r="A1349" s="98">
        <v>3653</v>
      </c>
      <c r="B1349">
        <v>26.98</v>
      </c>
      <c r="C1349">
        <v>25.73</v>
      </c>
      <c r="D1349" t="s">
        <v>218</v>
      </c>
      <c r="E1349" s="97">
        <v>8.9800000000000005E-2</v>
      </c>
    </row>
    <row r="1350" spans="1:5" ht="15">
      <c r="A1350" s="98">
        <v>3652</v>
      </c>
      <c r="B1350">
        <v>26.21</v>
      </c>
      <c r="C1350">
        <v>25.33</v>
      </c>
      <c r="D1350" t="s">
        <v>218</v>
      </c>
      <c r="E1350" s="97">
        <v>-0.10199999999999999</v>
      </c>
    </row>
    <row r="1351" spans="1:5" ht="15">
      <c r="A1351" s="98">
        <v>3651</v>
      </c>
      <c r="B1351">
        <v>27.08</v>
      </c>
      <c r="C1351">
        <v>26.06</v>
      </c>
      <c r="D1351" t="s">
        <v>218</v>
      </c>
      <c r="E1351" s="97">
        <v>4.0399999999999998E-2</v>
      </c>
    </row>
    <row r="1352" spans="1:5" ht="15">
      <c r="A1352" s="98">
        <v>3650</v>
      </c>
      <c r="B1352">
        <v>25.56</v>
      </c>
      <c r="C1352">
        <v>24.76</v>
      </c>
      <c r="D1352" t="s">
        <v>218</v>
      </c>
      <c r="E1352" s="97">
        <v>-4.3999999999999997E-2</v>
      </c>
    </row>
    <row r="1353" spans="1:5" ht="15">
      <c r="A1353" s="98">
        <v>3649</v>
      </c>
      <c r="B1353">
        <v>27.78</v>
      </c>
      <c r="C1353">
        <v>26.48</v>
      </c>
      <c r="D1353" t="s">
        <v>218</v>
      </c>
      <c r="E1353" s="97">
        <v>9.6000000000000002E-2</v>
      </c>
    </row>
    <row r="1354" spans="1:5" ht="15">
      <c r="A1354" s="98">
        <v>3648</v>
      </c>
      <c r="B1354">
        <v>29.21</v>
      </c>
      <c r="C1354">
        <v>27.27</v>
      </c>
      <c r="D1354" t="s">
        <v>218</v>
      </c>
      <c r="E1354" s="97">
        <v>-1.2500000000000001E-2</v>
      </c>
    </row>
    <row r="1355" spans="1:5" ht="15">
      <c r="A1355" s="98">
        <v>3647</v>
      </c>
      <c r="B1355">
        <v>28.76</v>
      </c>
      <c r="C1355">
        <v>27.2</v>
      </c>
      <c r="D1355" t="s">
        <v>218</v>
      </c>
      <c r="E1355" s="97">
        <v>2.18E-2</v>
      </c>
    </row>
    <row r="1356" spans="1:5" ht="15">
      <c r="A1356" s="98">
        <v>3646</v>
      </c>
      <c r="B1356">
        <v>26.41</v>
      </c>
      <c r="C1356">
        <v>25.08</v>
      </c>
      <c r="D1356" t="s">
        <v>218</v>
      </c>
      <c r="E1356" s="97">
        <v>-2.0500000000000001E-2</v>
      </c>
    </row>
    <row r="1357" spans="1:5" ht="15">
      <c r="A1357" s="98">
        <v>3645</v>
      </c>
      <c r="B1357">
        <v>25.26</v>
      </c>
      <c r="C1357">
        <v>24.05</v>
      </c>
      <c r="D1357" t="s">
        <v>218</v>
      </c>
      <c r="E1357" s="97">
        <v>0.13200000000000001</v>
      </c>
    </row>
    <row r="1358" spans="1:5" ht="15">
      <c r="A1358" s="98">
        <v>3644</v>
      </c>
      <c r="B1358">
        <v>24.84</v>
      </c>
      <c r="C1358">
        <v>24.05</v>
      </c>
      <c r="D1358" t="s">
        <v>218</v>
      </c>
      <c r="E1358" s="97">
        <v>-5.7099999999999998E-2</v>
      </c>
    </row>
    <row r="1359" spans="1:5" ht="15">
      <c r="A1359" s="98">
        <v>3643</v>
      </c>
      <c r="B1359">
        <v>27.8</v>
      </c>
      <c r="C1359">
        <v>24.84</v>
      </c>
      <c r="D1359" t="s">
        <v>218</v>
      </c>
      <c r="E1359" s="97">
        <v>-9.7000000000000003E-3</v>
      </c>
    </row>
    <row r="1360" spans="1:5" ht="15">
      <c r="A1360" s="98">
        <v>3642</v>
      </c>
      <c r="B1360">
        <v>29.14</v>
      </c>
      <c r="C1360">
        <v>26.87</v>
      </c>
      <c r="D1360" t="s">
        <v>218</v>
      </c>
      <c r="E1360" s="97">
        <v>-1.01E-2</v>
      </c>
    </row>
    <row r="1361" spans="1:5" ht="15">
      <c r="A1361" s="98">
        <v>3641</v>
      </c>
      <c r="B1361">
        <v>29.62</v>
      </c>
      <c r="C1361">
        <v>27.57</v>
      </c>
      <c r="D1361" t="s">
        <v>218</v>
      </c>
      <c r="E1361" s="97">
        <v>5.9799999999999999E-2</v>
      </c>
    </row>
    <row r="1362" spans="1:5" ht="15">
      <c r="A1362" s="98">
        <v>3640</v>
      </c>
      <c r="B1362">
        <v>28.68</v>
      </c>
      <c r="C1362">
        <v>27.55</v>
      </c>
      <c r="D1362" t="s">
        <v>218</v>
      </c>
      <c r="E1362" s="97">
        <v>-2.9700000000000001E-2</v>
      </c>
    </row>
    <row r="1363" spans="1:5" ht="15">
      <c r="A1363" s="98">
        <v>3639</v>
      </c>
      <c r="B1363">
        <v>27.26</v>
      </c>
      <c r="C1363">
        <v>25.34</v>
      </c>
      <c r="D1363" t="s">
        <v>218</v>
      </c>
      <c r="E1363" s="97">
        <v>5.2499999999999998E-2</v>
      </c>
    </row>
    <row r="1364" spans="1:5" ht="15">
      <c r="A1364" s="98">
        <v>3638</v>
      </c>
      <c r="B1364">
        <v>27.99</v>
      </c>
      <c r="C1364">
        <v>26.6</v>
      </c>
      <c r="D1364" t="s">
        <v>218</v>
      </c>
      <c r="E1364" s="97">
        <v>8.6E-3</v>
      </c>
    </row>
    <row r="1365" spans="1:5" ht="15">
      <c r="A1365" s="98">
        <v>3637</v>
      </c>
      <c r="B1365">
        <v>27.78</v>
      </c>
      <c r="C1365">
        <v>25.99</v>
      </c>
      <c r="D1365" t="s">
        <v>218</v>
      </c>
      <c r="E1365" s="97">
        <v>-1.2699999999999999E-2</v>
      </c>
    </row>
    <row r="1366" spans="1:5" ht="15">
      <c r="A1366" s="98">
        <v>3636</v>
      </c>
      <c r="B1366">
        <v>26.7</v>
      </c>
      <c r="C1366">
        <v>25.66</v>
      </c>
      <c r="D1366" t="s">
        <v>218</v>
      </c>
      <c r="E1366" s="97">
        <v>-9.0399999999999994E-2</v>
      </c>
    </row>
    <row r="1367" spans="1:5" ht="15">
      <c r="A1367" s="98">
        <v>3635</v>
      </c>
      <c r="B1367">
        <v>25.46</v>
      </c>
      <c r="C1367">
        <v>23.43</v>
      </c>
      <c r="D1367" t="s">
        <v>218</v>
      </c>
      <c r="E1367" s="97">
        <v>-3.2800000000000003E-2</v>
      </c>
    </row>
    <row r="1368" spans="1:5" ht="15">
      <c r="A1368" s="98">
        <v>3634</v>
      </c>
      <c r="B1368">
        <v>24.49</v>
      </c>
      <c r="C1368">
        <v>23.66</v>
      </c>
      <c r="D1368" t="s">
        <v>218</v>
      </c>
      <c r="E1368" s="97">
        <v>4.0599999999999997E-2</v>
      </c>
    </row>
    <row r="1369" spans="1:5" ht="15">
      <c r="A1369" s="98">
        <v>3633</v>
      </c>
      <c r="B1369">
        <v>24.28</v>
      </c>
      <c r="C1369">
        <v>23.42</v>
      </c>
      <c r="D1369" t="s">
        <v>218</v>
      </c>
      <c r="E1369" s="97">
        <v>2.5999999999999999E-3</v>
      </c>
    </row>
    <row r="1370" spans="1:5" ht="15">
      <c r="A1370" s="98">
        <v>3632</v>
      </c>
      <c r="B1370">
        <v>24.26</v>
      </c>
      <c r="C1370">
        <v>23.63</v>
      </c>
      <c r="D1370" t="s">
        <v>218</v>
      </c>
      <c r="E1370" s="97">
        <v>-1.8700000000000001E-2</v>
      </c>
    </row>
    <row r="1371" spans="1:5" ht="15">
      <c r="A1371" s="98">
        <v>3631</v>
      </c>
      <c r="B1371">
        <v>26.15</v>
      </c>
      <c r="C1371">
        <v>24.71</v>
      </c>
      <c r="D1371" t="s">
        <v>218</v>
      </c>
      <c r="E1371" s="97">
        <v>0.2646</v>
      </c>
    </row>
    <row r="1372" spans="1:5" ht="15">
      <c r="A1372" s="98">
        <v>3630</v>
      </c>
      <c r="B1372">
        <v>27.01</v>
      </c>
      <c r="C1372">
        <v>24.69</v>
      </c>
      <c r="D1372" t="s">
        <v>218</v>
      </c>
      <c r="E1372" s="97">
        <v>-0.1043</v>
      </c>
    </row>
    <row r="1373" spans="1:5" ht="15">
      <c r="A1373" s="98">
        <v>3629</v>
      </c>
      <c r="B1373">
        <v>26.8</v>
      </c>
      <c r="C1373">
        <v>26.08</v>
      </c>
      <c r="D1373" t="s">
        <v>218</v>
      </c>
      <c r="E1373" s="97">
        <v>2.7699999999999999E-2</v>
      </c>
    </row>
    <row r="1374" spans="1:5" ht="15">
      <c r="A1374" s="98">
        <v>3628</v>
      </c>
      <c r="B1374">
        <v>26.23</v>
      </c>
      <c r="C1374">
        <v>25.33</v>
      </c>
      <c r="D1374" t="s">
        <v>218</v>
      </c>
      <c r="E1374" s="97">
        <v>2.07E-2</v>
      </c>
    </row>
    <row r="1375" spans="1:5" ht="15">
      <c r="A1375" s="98">
        <v>3627</v>
      </c>
      <c r="B1375">
        <v>24.57</v>
      </c>
      <c r="C1375">
        <v>22.14</v>
      </c>
      <c r="D1375" t="s">
        <v>218</v>
      </c>
      <c r="E1375" s="97">
        <v>0.11219999999999999</v>
      </c>
    </row>
    <row r="1376" spans="1:5" ht="15">
      <c r="A1376" s="98">
        <v>3626</v>
      </c>
      <c r="B1376">
        <v>23.12</v>
      </c>
      <c r="C1376">
        <v>21.77</v>
      </c>
      <c r="D1376" t="s">
        <v>218</v>
      </c>
      <c r="E1376" s="97">
        <v>-1.7100000000000001E-2</v>
      </c>
    </row>
    <row r="1377" spans="1:5" ht="15">
      <c r="A1377" s="98">
        <v>3625</v>
      </c>
      <c r="B1377">
        <v>23.03</v>
      </c>
      <c r="C1377">
        <v>21.75</v>
      </c>
      <c r="D1377" t="s">
        <v>218</v>
      </c>
      <c r="E1377" s="97">
        <v>-4.8800000000000003E-2</v>
      </c>
    </row>
    <row r="1378" spans="1:5" ht="15">
      <c r="A1378" s="98">
        <v>3624</v>
      </c>
      <c r="B1378">
        <v>22.9</v>
      </c>
      <c r="C1378">
        <v>21.77</v>
      </c>
      <c r="D1378" t="s">
        <v>218</v>
      </c>
      <c r="E1378" s="97">
        <v>-2.9000000000000001E-2</v>
      </c>
    </row>
    <row r="1379" spans="1:5" ht="15">
      <c r="A1379" s="98">
        <v>3623</v>
      </c>
      <c r="B1379">
        <v>21.89</v>
      </c>
      <c r="C1379">
        <v>20.76</v>
      </c>
      <c r="D1379" t="s">
        <v>218</v>
      </c>
      <c r="E1379" s="97">
        <v>4.5999999999999999E-3</v>
      </c>
    </row>
    <row r="1380" spans="1:5" ht="15">
      <c r="A1380" s="98">
        <v>3622</v>
      </c>
      <c r="B1380">
        <v>22.48</v>
      </c>
      <c r="C1380">
        <v>21.31</v>
      </c>
      <c r="D1380" t="s">
        <v>218</v>
      </c>
      <c r="E1380" s="97">
        <v>8.3099999999999993E-2</v>
      </c>
    </row>
    <row r="1381" spans="1:5" ht="15">
      <c r="A1381" s="98">
        <v>3621</v>
      </c>
      <c r="B1381">
        <v>23.94</v>
      </c>
      <c r="C1381">
        <v>20.67</v>
      </c>
      <c r="D1381" t="s">
        <v>218</v>
      </c>
      <c r="E1381" s="97">
        <v>-2.9000000000000001E-2</v>
      </c>
    </row>
    <row r="1382" spans="1:5" ht="15">
      <c r="A1382" s="98">
        <v>3620</v>
      </c>
      <c r="B1382">
        <v>22.25</v>
      </c>
      <c r="C1382">
        <v>20.85</v>
      </c>
      <c r="D1382" t="s">
        <v>218</v>
      </c>
      <c r="E1382" s="97">
        <v>5.7500000000000002E-2</v>
      </c>
    </row>
    <row r="1383" spans="1:5" ht="15">
      <c r="A1383" s="98">
        <v>3619</v>
      </c>
      <c r="B1383">
        <v>22.97</v>
      </c>
      <c r="C1383">
        <v>22.28</v>
      </c>
      <c r="D1383" t="s">
        <v>218</v>
      </c>
      <c r="E1383" s="97">
        <v>3.3500000000000002E-2</v>
      </c>
    </row>
    <row r="1384" spans="1:5" ht="15">
      <c r="A1384" s="98">
        <v>3618</v>
      </c>
      <c r="B1384">
        <v>23.55</v>
      </c>
      <c r="C1384">
        <v>22.49</v>
      </c>
      <c r="D1384" t="s">
        <v>218</v>
      </c>
      <c r="E1384" s="97">
        <v>3.2800000000000003E-2</v>
      </c>
    </row>
    <row r="1385" spans="1:5" ht="15">
      <c r="A1385" s="98">
        <v>3617</v>
      </c>
      <c r="B1385">
        <v>23.34</v>
      </c>
      <c r="C1385">
        <v>20.8</v>
      </c>
      <c r="D1385" t="s">
        <v>218</v>
      </c>
      <c r="E1385" s="97">
        <v>1.04E-2</v>
      </c>
    </row>
    <row r="1386" spans="1:5" ht="15">
      <c r="A1386" s="98">
        <v>3616</v>
      </c>
      <c r="B1386">
        <v>21.43</v>
      </c>
      <c r="C1386">
        <v>19.63</v>
      </c>
      <c r="D1386" t="s">
        <v>218</v>
      </c>
      <c r="E1386" s="97">
        <v>-7.6999999999999999E-2</v>
      </c>
    </row>
    <row r="1387" spans="1:5" ht="15">
      <c r="A1387" s="98">
        <v>3615</v>
      </c>
      <c r="B1387">
        <v>19.45</v>
      </c>
      <c r="C1387">
        <v>18.66</v>
      </c>
      <c r="D1387" t="s">
        <v>218</v>
      </c>
      <c r="E1387" s="97">
        <v>-1.78E-2</v>
      </c>
    </row>
    <row r="1388" spans="1:5" ht="15">
      <c r="A1388" s="98">
        <v>3614</v>
      </c>
      <c r="B1388">
        <v>20.75</v>
      </c>
      <c r="C1388">
        <v>19.64</v>
      </c>
      <c r="D1388" t="s">
        <v>218</v>
      </c>
      <c r="E1388" s="97">
        <v>1.0699999999999999E-2</v>
      </c>
    </row>
    <row r="1389" spans="1:5" ht="15">
      <c r="A1389" s="98">
        <v>3613</v>
      </c>
      <c r="B1389">
        <v>21.24</v>
      </c>
      <c r="C1389">
        <v>20.350000000000001</v>
      </c>
      <c r="D1389" t="s">
        <v>218</v>
      </c>
      <c r="E1389" s="97">
        <v>-8.3500000000000005E-2</v>
      </c>
    </row>
    <row r="1390" spans="1:5" ht="15">
      <c r="A1390" s="98">
        <v>3612</v>
      </c>
      <c r="B1390">
        <v>21.01</v>
      </c>
      <c r="C1390">
        <v>19.88</v>
      </c>
      <c r="D1390" t="s">
        <v>218</v>
      </c>
      <c r="E1390" s="97">
        <v>5.0000000000000001E-4</v>
      </c>
    </row>
    <row r="1391" spans="1:5" ht="15">
      <c r="A1391" s="98">
        <v>3611</v>
      </c>
      <c r="B1391">
        <v>18.75</v>
      </c>
      <c r="C1391">
        <v>17.899999999999999</v>
      </c>
      <c r="D1391" t="s">
        <v>218</v>
      </c>
      <c r="E1391" s="97">
        <v>-1.67E-2</v>
      </c>
    </row>
    <row r="1392" spans="1:5" ht="15">
      <c r="A1392" s="98">
        <v>3610</v>
      </c>
      <c r="B1392">
        <v>20.12</v>
      </c>
      <c r="C1392">
        <v>19.3</v>
      </c>
      <c r="D1392" t="s">
        <v>218</v>
      </c>
      <c r="E1392" s="97">
        <v>8.3500000000000005E-2</v>
      </c>
    </row>
    <row r="1393" spans="1:5" ht="15">
      <c r="A1393" s="98">
        <v>3609</v>
      </c>
      <c r="B1393">
        <v>20.74</v>
      </c>
      <c r="C1393">
        <v>19.16</v>
      </c>
      <c r="D1393" t="s">
        <v>218</v>
      </c>
      <c r="E1393" s="97">
        <v>-3.6499999999999998E-2</v>
      </c>
    </row>
    <row r="1394" spans="1:5" ht="15">
      <c r="A1394" s="98">
        <v>3608</v>
      </c>
      <c r="B1394">
        <v>20.38</v>
      </c>
      <c r="C1394">
        <v>19.38</v>
      </c>
      <c r="D1394" t="s">
        <v>218</v>
      </c>
      <c r="E1394" s="97">
        <v>3.9600000000000003E-2</v>
      </c>
    </row>
    <row r="1395" spans="1:5" ht="15">
      <c r="A1395" s="98">
        <v>3607</v>
      </c>
      <c r="B1395">
        <v>19.329999999999998</v>
      </c>
      <c r="C1395">
        <v>18.62</v>
      </c>
      <c r="D1395" t="s">
        <v>218</v>
      </c>
      <c r="E1395" s="97">
        <v>-3.7100000000000001E-2</v>
      </c>
    </row>
    <row r="1396" spans="1:5" ht="15">
      <c r="A1396" s="98">
        <v>3606</v>
      </c>
      <c r="B1396">
        <v>18.48</v>
      </c>
      <c r="C1396">
        <v>17.07</v>
      </c>
      <c r="D1396" t="s">
        <v>218</v>
      </c>
      <c r="E1396" s="97">
        <v>-9.1899999999999996E-2</v>
      </c>
    </row>
    <row r="1397" spans="1:5" ht="15">
      <c r="A1397" s="98">
        <v>3605</v>
      </c>
      <c r="B1397">
        <v>19.489999999999998</v>
      </c>
      <c r="C1397">
        <v>18.38</v>
      </c>
      <c r="D1397" t="s">
        <v>218</v>
      </c>
      <c r="E1397" s="97">
        <v>2.7199999999999998E-2</v>
      </c>
    </row>
    <row r="1398" spans="1:5" ht="15">
      <c r="A1398" s="98">
        <v>3604</v>
      </c>
      <c r="B1398">
        <v>21.95</v>
      </c>
      <c r="C1398">
        <v>19.96</v>
      </c>
      <c r="D1398" t="s">
        <v>218</v>
      </c>
      <c r="E1398" s="97">
        <v>3.0499999999999999E-2</v>
      </c>
    </row>
    <row r="1399" spans="1:5" ht="15">
      <c r="A1399" s="98">
        <v>3603</v>
      </c>
      <c r="B1399">
        <v>21.78</v>
      </c>
      <c r="C1399">
        <v>21.03</v>
      </c>
      <c r="D1399" t="s">
        <v>218</v>
      </c>
      <c r="E1399" s="97">
        <v>2.5999999999999999E-3</v>
      </c>
    </row>
    <row r="1400" spans="1:5" ht="15">
      <c r="A1400" s="98">
        <v>3602</v>
      </c>
      <c r="B1400">
        <v>23.38</v>
      </c>
      <c r="C1400">
        <v>21.73</v>
      </c>
      <c r="D1400" t="s">
        <v>218</v>
      </c>
      <c r="E1400" s="97">
        <v>-2.3400000000000001E-2</v>
      </c>
    </row>
    <row r="1401" spans="1:5" ht="15">
      <c r="A1401" s="98">
        <v>3601</v>
      </c>
      <c r="B1401">
        <v>23.69</v>
      </c>
      <c r="C1401">
        <v>22.36</v>
      </c>
      <c r="D1401" t="s">
        <v>218</v>
      </c>
      <c r="E1401" s="97">
        <v>-9.9000000000000008E-3</v>
      </c>
    </row>
    <row r="1402" spans="1:5" ht="15">
      <c r="A1402" s="98">
        <v>3600</v>
      </c>
      <c r="B1402">
        <v>25.74</v>
      </c>
      <c r="C1402">
        <v>24.26</v>
      </c>
      <c r="D1402" t="s">
        <v>218</v>
      </c>
      <c r="E1402" s="97">
        <v>-2.92E-2</v>
      </c>
    </row>
    <row r="1403" spans="1:5" ht="15">
      <c r="A1403" s="98">
        <v>3599</v>
      </c>
      <c r="B1403">
        <v>24.54</v>
      </c>
      <c r="C1403">
        <v>22.87</v>
      </c>
      <c r="D1403" t="s">
        <v>218</v>
      </c>
      <c r="E1403" s="97">
        <v>1.7999999999999999E-2</v>
      </c>
    </row>
    <row r="1404" spans="1:5" ht="15">
      <c r="A1404" s="98">
        <v>3598</v>
      </c>
      <c r="B1404">
        <v>23.73</v>
      </c>
      <c r="C1404">
        <v>22.57</v>
      </c>
      <c r="D1404" t="s">
        <v>218</v>
      </c>
      <c r="E1404" s="97">
        <v>1.84E-2</v>
      </c>
    </row>
    <row r="1405" spans="1:5" ht="15">
      <c r="A1405" s="98">
        <v>3597</v>
      </c>
      <c r="B1405">
        <v>25.08</v>
      </c>
      <c r="C1405">
        <v>23.5</v>
      </c>
      <c r="D1405" t="s">
        <v>218</v>
      </c>
      <c r="E1405" s="97">
        <v>-1.18E-2</v>
      </c>
    </row>
    <row r="1406" spans="1:5" ht="15">
      <c r="A1406" s="98">
        <v>3596</v>
      </c>
      <c r="B1406">
        <v>24.71</v>
      </c>
      <c r="C1406">
        <v>23.29</v>
      </c>
      <c r="D1406" t="s">
        <v>218</v>
      </c>
      <c r="E1406" s="97">
        <v>-7.7999999999999996E-3</v>
      </c>
    </row>
    <row r="1407" spans="1:5" ht="15">
      <c r="A1407" s="98">
        <v>3595</v>
      </c>
      <c r="B1407">
        <v>25.79</v>
      </c>
      <c r="C1407">
        <v>24.75</v>
      </c>
      <c r="D1407" t="s">
        <v>218</v>
      </c>
      <c r="E1407" s="97">
        <v>-9.8799999999999999E-2</v>
      </c>
    </row>
    <row r="1408" spans="1:5" ht="15">
      <c r="A1408" s="98">
        <v>3594</v>
      </c>
      <c r="B1408">
        <v>26.54</v>
      </c>
      <c r="C1408">
        <v>25.25</v>
      </c>
      <c r="D1408" t="s">
        <v>218</v>
      </c>
      <c r="E1408" s="97">
        <v>-4.3700000000000003E-2</v>
      </c>
    </row>
    <row r="1409" spans="1:5" ht="15">
      <c r="A1409" s="98">
        <v>3593</v>
      </c>
      <c r="B1409">
        <v>27.5</v>
      </c>
      <c r="C1409">
        <v>25.01</v>
      </c>
      <c r="D1409" t="s">
        <v>218</v>
      </c>
      <c r="E1409" s="97">
        <v>1.5299999999999999E-2</v>
      </c>
    </row>
    <row r="1410" spans="1:5" ht="15">
      <c r="A1410" s="98">
        <v>3592</v>
      </c>
      <c r="B1410">
        <v>29.92</v>
      </c>
      <c r="C1410">
        <v>26.94</v>
      </c>
      <c r="D1410" t="s">
        <v>218</v>
      </c>
      <c r="E1410" s="97">
        <v>6.7299999999999999E-2</v>
      </c>
    </row>
    <row r="1411" spans="1:5" ht="15">
      <c r="A1411" s="98">
        <v>3591</v>
      </c>
      <c r="B1411">
        <v>27.18</v>
      </c>
      <c r="C1411">
        <v>25.98</v>
      </c>
      <c r="D1411" t="s">
        <v>218</v>
      </c>
      <c r="E1411" s="97">
        <v>-3.6400000000000002E-2</v>
      </c>
    </row>
    <row r="1412" spans="1:5" ht="15">
      <c r="A1412" s="98">
        <v>3590</v>
      </c>
      <c r="B1412">
        <v>27.98</v>
      </c>
      <c r="C1412">
        <v>27.09</v>
      </c>
      <c r="D1412" t="s">
        <v>218</v>
      </c>
      <c r="E1412" s="97">
        <v>2.01E-2</v>
      </c>
    </row>
    <row r="1413" spans="1:5" ht="15">
      <c r="A1413" s="98">
        <v>3589</v>
      </c>
      <c r="B1413">
        <v>30</v>
      </c>
      <c r="C1413">
        <v>27.61</v>
      </c>
      <c r="D1413" t="s">
        <v>218</v>
      </c>
      <c r="E1413" s="97">
        <v>-2.7000000000000001E-3</v>
      </c>
    </row>
    <row r="1414" spans="1:5" ht="15">
      <c r="A1414" s="98">
        <v>3588</v>
      </c>
      <c r="B1414">
        <v>27.27</v>
      </c>
      <c r="C1414">
        <v>25.37</v>
      </c>
      <c r="D1414" t="s">
        <v>218</v>
      </c>
      <c r="E1414" s="97">
        <v>-1.2999999999999999E-3</v>
      </c>
    </row>
    <row r="1415" spans="1:5" ht="15">
      <c r="A1415" s="98">
        <v>3587</v>
      </c>
      <c r="B1415">
        <v>25.06</v>
      </c>
      <c r="C1415">
        <v>24.08</v>
      </c>
      <c r="D1415" t="s">
        <v>218</v>
      </c>
      <c r="E1415" s="97">
        <v>-3.27E-2</v>
      </c>
    </row>
    <row r="1416" spans="1:5" ht="15">
      <c r="A1416" s="98">
        <v>3586</v>
      </c>
      <c r="B1416">
        <v>23.8</v>
      </c>
      <c r="C1416">
        <v>22.27</v>
      </c>
      <c r="D1416" t="s">
        <v>218</v>
      </c>
      <c r="E1416" s="97">
        <v>-9.4000000000000004E-3</v>
      </c>
    </row>
    <row r="1417" spans="1:5" ht="15">
      <c r="A1417" s="98">
        <v>3585</v>
      </c>
      <c r="B1417">
        <v>23.75</v>
      </c>
      <c r="C1417">
        <v>22.91</v>
      </c>
      <c r="D1417" t="s">
        <v>218</v>
      </c>
      <c r="E1417" s="97">
        <v>3.3099999999999997E-2</v>
      </c>
    </row>
    <row r="1418" spans="1:5" ht="15">
      <c r="A1418" s="98">
        <v>3584</v>
      </c>
      <c r="B1418">
        <v>22.86</v>
      </c>
      <c r="C1418">
        <v>21.67</v>
      </c>
      <c r="D1418" t="s">
        <v>218</v>
      </c>
      <c r="E1418" s="97">
        <v>-0.1144</v>
      </c>
    </row>
    <row r="1419" spans="1:5" ht="15">
      <c r="A1419" s="98">
        <v>3583</v>
      </c>
      <c r="B1419">
        <v>23.31</v>
      </c>
      <c r="C1419">
        <v>22.72</v>
      </c>
      <c r="D1419" t="s">
        <v>218</v>
      </c>
      <c r="E1419" s="97">
        <v>-3.8999999999999998E-3</v>
      </c>
    </row>
    <row r="1420" spans="1:5" ht="15">
      <c r="A1420" s="98">
        <v>3582</v>
      </c>
      <c r="B1420">
        <v>24.96</v>
      </c>
      <c r="C1420">
        <v>24.22</v>
      </c>
      <c r="D1420" t="s">
        <v>218</v>
      </c>
      <c r="E1420" s="97">
        <v>-6.6E-3</v>
      </c>
    </row>
    <row r="1421" spans="1:5" ht="15">
      <c r="A1421" s="98">
        <v>3581</v>
      </c>
      <c r="B1421">
        <v>24.07</v>
      </c>
      <c r="C1421">
        <v>22.95</v>
      </c>
      <c r="D1421" t="s">
        <v>218</v>
      </c>
      <c r="E1421" s="97">
        <v>-7.7000000000000002E-3</v>
      </c>
    </row>
    <row r="1422" spans="1:5" ht="15">
      <c r="A1422" s="98">
        <v>3580</v>
      </c>
      <c r="B1422">
        <v>23.13</v>
      </c>
      <c r="C1422">
        <v>22.52</v>
      </c>
      <c r="D1422" t="s">
        <v>218</v>
      </c>
      <c r="E1422" s="97">
        <v>1.4E-2</v>
      </c>
    </row>
    <row r="1423" spans="1:5" ht="15">
      <c r="A1423" s="98">
        <v>3579</v>
      </c>
      <c r="B1423">
        <v>23.63</v>
      </c>
      <c r="C1423">
        <v>22.12</v>
      </c>
      <c r="D1423" t="s">
        <v>218</v>
      </c>
      <c r="E1423" s="97">
        <v>-4.0000000000000002E-4</v>
      </c>
    </row>
    <row r="1424" spans="1:5" ht="15">
      <c r="A1424" s="98">
        <v>3578</v>
      </c>
      <c r="B1424">
        <v>22.41</v>
      </c>
      <c r="C1424">
        <v>20.83</v>
      </c>
      <c r="D1424" t="s">
        <v>218</v>
      </c>
      <c r="E1424" s="97">
        <v>-3.3399999999999999E-2</v>
      </c>
    </row>
    <row r="1425" spans="1:5" ht="15">
      <c r="A1425" s="98">
        <v>3577</v>
      </c>
      <c r="B1425">
        <v>21.26</v>
      </c>
      <c r="C1425">
        <v>20.12</v>
      </c>
      <c r="D1425" t="s">
        <v>218</v>
      </c>
      <c r="E1425" s="97">
        <v>-0.1079</v>
      </c>
    </row>
    <row r="1426" spans="1:5" ht="15">
      <c r="A1426" s="98">
        <v>3576</v>
      </c>
      <c r="B1426">
        <v>22.01</v>
      </c>
      <c r="C1426">
        <v>20.9</v>
      </c>
      <c r="D1426" t="s">
        <v>218</v>
      </c>
      <c r="E1426" s="97">
        <v>0.157</v>
      </c>
    </row>
    <row r="1427" spans="1:5" ht="15">
      <c r="A1427" s="98">
        <v>3575</v>
      </c>
      <c r="B1427">
        <v>24.65</v>
      </c>
      <c r="C1427">
        <v>23.29</v>
      </c>
      <c r="D1427" t="s">
        <v>218</v>
      </c>
      <c r="E1427" s="97">
        <v>-0.2001</v>
      </c>
    </row>
    <row r="1428" spans="1:5" ht="15">
      <c r="A1428" s="98">
        <v>3574</v>
      </c>
      <c r="B1428">
        <v>25.54</v>
      </c>
      <c r="C1428">
        <v>23.74</v>
      </c>
      <c r="D1428" t="s">
        <v>218</v>
      </c>
      <c r="E1428" s="97">
        <v>3.4700000000000002E-2</v>
      </c>
    </row>
    <row r="1429" spans="1:5" ht="15">
      <c r="A1429" s="98">
        <v>3573</v>
      </c>
      <c r="B1429">
        <v>24.18</v>
      </c>
      <c r="C1429">
        <v>22.93</v>
      </c>
      <c r="D1429" t="s">
        <v>218</v>
      </c>
      <c r="E1429" s="97">
        <v>0.14180000000000001</v>
      </c>
    </row>
    <row r="1430" spans="1:5" ht="15">
      <c r="A1430" s="98">
        <v>3572</v>
      </c>
      <c r="B1430">
        <v>25.56</v>
      </c>
      <c r="C1430">
        <v>24.25</v>
      </c>
      <c r="D1430" t="s">
        <v>218</v>
      </c>
      <c r="E1430" s="97">
        <v>2.5999999999999999E-3</v>
      </c>
    </row>
    <row r="1431" spans="1:5" ht="15">
      <c r="A1431" s="98">
        <v>3571</v>
      </c>
      <c r="B1431">
        <v>21.55</v>
      </c>
      <c r="C1431">
        <v>20.87</v>
      </c>
      <c r="D1431" t="s">
        <v>218</v>
      </c>
      <c r="E1431" s="97">
        <v>3.2599999999999997E-2</v>
      </c>
    </row>
    <row r="1432" spans="1:5" ht="15">
      <c r="A1432" s="98">
        <v>3570</v>
      </c>
      <c r="B1432">
        <v>23.65</v>
      </c>
      <c r="C1432">
        <v>22.35</v>
      </c>
      <c r="D1432" t="s">
        <v>218</v>
      </c>
      <c r="E1432" s="97">
        <v>-0.1028</v>
      </c>
    </row>
    <row r="1433" spans="1:5" ht="15">
      <c r="A1433" s="98">
        <v>3569</v>
      </c>
      <c r="B1433">
        <v>24.27</v>
      </c>
      <c r="C1433">
        <v>22.94</v>
      </c>
      <c r="D1433" t="s">
        <v>218</v>
      </c>
      <c r="E1433" s="97">
        <v>6.88E-2</v>
      </c>
    </row>
    <row r="1434" spans="1:5" ht="15">
      <c r="A1434" s="98">
        <v>3568</v>
      </c>
      <c r="B1434">
        <v>24.08</v>
      </c>
      <c r="C1434">
        <v>23.01</v>
      </c>
      <c r="D1434" t="s">
        <v>218</v>
      </c>
      <c r="E1434" s="97">
        <v>-2.2000000000000001E-3</v>
      </c>
    </row>
    <row r="1435" spans="1:5" ht="15">
      <c r="A1435" s="98">
        <v>3567</v>
      </c>
      <c r="B1435">
        <v>22.54</v>
      </c>
      <c r="C1435">
        <v>21.67</v>
      </c>
      <c r="D1435" t="s">
        <v>218</v>
      </c>
      <c r="E1435" s="97">
        <v>0.11990000000000001</v>
      </c>
    </row>
    <row r="1436" spans="1:5" ht="15">
      <c r="A1436" s="98">
        <v>3566</v>
      </c>
      <c r="B1436">
        <v>23.35</v>
      </c>
      <c r="C1436">
        <v>22.7</v>
      </c>
      <c r="D1436" t="s">
        <v>218</v>
      </c>
      <c r="E1436" s="97">
        <v>-3.61E-2</v>
      </c>
    </row>
    <row r="1437" spans="1:5" ht="15">
      <c r="A1437" s="98">
        <v>3565</v>
      </c>
      <c r="B1437">
        <v>24.17</v>
      </c>
      <c r="C1437">
        <v>23.38</v>
      </c>
      <c r="D1437" t="s">
        <v>218</v>
      </c>
      <c r="E1437" s="97">
        <v>-2.8899999999999999E-2</v>
      </c>
    </row>
    <row r="1438" spans="1:5" ht="15">
      <c r="A1438" s="98">
        <v>3564</v>
      </c>
      <c r="B1438">
        <v>24.89</v>
      </c>
      <c r="C1438">
        <v>22.75</v>
      </c>
      <c r="D1438" t="s">
        <v>218</v>
      </c>
      <c r="E1438" s="97">
        <v>-9.7999999999999997E-3</v>
      </c>
    </row>
    <row r="1439" spans="1:5" ht="15">
      <c r="A1439" s="98">
        <v>3563</v>
      </c>
      <c r="B1439">
        <v>27.54</v>
      </c>
      <c r="C1439">
        <v>25.07</v>
      </c>
      <c r="D1439" t="s">
        <v>218</v>
      </c>
      <c r="E1439" s="97">
        <v>0.12790000000000001</v>
      </c>
    </row>
    <row r="1440" spans="1:5" ht="15">
      <c r="A1440" s="98">
        <v>3562</v>
      </c>
      <c r="B1440">
        <v>24.5</v>
      </c>
      <c r="C1440">
        <v>23.14</v>
      </c>
      <c r="D1440" t="s">
        <v>218</v>
      </c>
      <c r="E1440" s="97">
        <v>3.6999999999999998E-2</v>
      </c>
    </row>
    <row r="1441" spans="1:5" ht="15">
      <c r="A1441" s="98">
        <v>3561</v>
      </c>
      <c r="B1441">
        <v>24.36</v>
      </c>
      <c r="C1441">
        <v>23.95</v>
      </c>
      <c r="D1441" t="s">
        <v>218</v>
      </c>
      <c r="E1441" s="97">
        <v>3.61E-2</v>
      </c>
    </row>
    <row r="1442" spans="1:5" ht="15">
      <c r="A1442" s="98">
        <v>3560</v>
      </c>
      <c r="B1442">
        <v>26.07</v>
      </c>
      <c r="C1442">
        <v>24.2</v>
      </c>
      <c r="D1442" t="s">
        <v>218</v>
      </c>
      <c r="E1442" s="97">
        <v>-4.9099999999999998E-2</v>
      </c>
    </row>
    <row r="1443" spans="1:5" ht="15">
      <c r="A1443" s="98">
        <v>3559</v>
      </c>
      <c r="B1443">
        <v>26.49</v>
      </c>
      <c r="C1443">
        <v>24.64</v>
      </c>
      <c r="D1443" t="s">
        <v>218</v>
      </c>
      <c r="E1443" s="97">
        <v>-4.2799999999999998E-2</v>
      </c>
    </row>
    <row r="1444" spans="1:5" ht="15">
      <c r="A1444" s="98">
        <v>3558</v>
      </c>
      <c r="B1444">
        <v>27.84</v>
      </c>
      <c r="C1444">
        <v>24.02</v>
      </c>
      <c r="D1444" t="s">
        <v>218</v>
      </c>
      <c r="E1444" s="97">
        <v>-4.2200000000000001E-2</v>
      </c>
    </row>
    <row r="1445" spans="1:5" ht="15">
      <c r="A1445" s="98">
        <v>3557</v>
      </c>
      <c r="B1445">
        <v>29.21</v>
      </c>
      <c r="C1445">
        <v>27.76</v>
      </c>
      <c r="D1445" t="s">
        <v>218</v>
      </c>
      <c r="E1445" s="97">
        <v>2.9499999999999998E-2</v>
      </c>
    </row>
    <row r="1446" spans="1:5" ht="15">
      <c r="A1446" s="98">
        <v>3556</v>
      </c>
      <c r="B1446">
        <v>27.15</v>
      </c>
      <c r="C1446">
        <v>26.06</v>
      </c>
      <c r="D1446" t="s">
        <v>218</v>
      </c>
      <c r="E1446" s="97">
        <v>-4.65E-2</v>
      </c>
    </row>
    <row r="1447" spans="1:5" ht="15">
      <c r="A1447" s="98">
        <v>3555</v>
      </c>
      <c r="B1447">
        <v>28.58</v>
      </c>
      <c r="C1447">
        <v>25.94</v>
      </c>
      <c r="D1447" t="s">
        <v>218</v>
      </c>
      <c r="E1447" s="97">
        <v>2.2800000000000001E-2</v>
      </c>
    </row>
    <row r="1448" spans="1:5" ht="15">
      <c r="A1448" s="98">
        <v>3554</v>
      </c>
      <c r="B1448">
        <v>26.69</v>
      </c>
      <c r="C1448">
        <v>24.86</v>
      </c>
      <c r="D1448" t="s">
        <v>218</v>
      </c>
      <c r="E1448" s="97">
        <v>-2.0400000000000001E-2</v>
      </c>
    </row>
    <row r="1449" spans="1:5" ht="15">
      <c r="A1449" s="98">
        <v>3553</v>
      </c>
      <c r="B1449">
        <v>26.47</v>
      </c>
      <c r="C1449">
        <v>24.84</v>
      </c>
      <c r="D1449" t="s">
        <v>218</v>
      </c>
      <c r="E1449" s="97">
        <v>2.6499999999999999E-2</v>
      </c>
    </row>
    <row r="1450" spans="1:5" ht="15">
      <c r="A1450" s="98">
        <v>3552</v>
      </c>
      <c r="B1450">
        <v>26.29</v>
      </c>
      <c r="C1450">
        <v>24.93</v>
      </c>
      <c r="D1450" t="s">
        <v>218</v>
      </c>
      <c r="E1450" s="97">
        <v>-5.5100000000000003E-2</v>
      </c>
    </row>
    <row r="1451" spans="1:5" ht="15">
      <c r="A1451" s="98">
        <v>3551</v>
      </c>
      <c r="B1451">
        <v>25.26</v>
      </c>
      <c r="C1451">
        <v>24.45</v>
      </c>
      <c r="D1451" t="s">
        <v>218</v>
      </c>
      <c r="E1451" s="97">
        <v>-4.5999999999999999E-2</v>
      </c>
    </row>
    <row r="1452" spans="1:5" ht="15">
      <c r="A1452" s="98">
        <v>3550</v>
      </c>
      <c r="B1452">
        <v>26.46</v>
      </c>
      <c r="C1452">
        <v>24.33</v>
      </c>
      <c r="D1452" t="s">
        <v>218</v>
      </c>
      <c r="E1452" s="97">
        <v>-1.46E-2</v>
      </c>
    </row>
    <row r="1453" spans="1:5" ht="15">
      <c r="A1453" s="98">
        <v>3549</v>
      </c>
      <c r="B1453">
        <v>23.86</v>
      </c>
      <c r="C1453">
        <v>21.99</v>
      </c>
      <c r="D1453" t="s">
        <v>218</v>
      </c>
      <c r="E1453" s="97">
        <v>1.2699999999999999E-2</v>
      </c>
    </row>
    <row r="1454" spans="1:5" ht="15">
      <c r="A1454" s="98">
        <v>3548</v>
      </c>
      <c r="B1454">
        <v>23.82</v>
      </c>
      <c r="C1454">
        <v>22.32</v>
      </c>
      <c r="D1454" t="s">
        <v>218</v>
      </c>
      <c r="E1454" s="97">
        <v>-4.5199999999999997E-2</v>
      </c>
    </row>
    <row r="1455" spans="1:5" ht="15">
      <c r="A1455" s="98">
        <v>3547</v>
      </c>
      <c r="B1455">
        <v>22.68</v>
      </c>
      <c r="C1455">
        <v>20.37</v>
      </c>
      <c r="D1455" t="s">
        <v>218</v>
      </c>
      <c r="E1455" s="97">
        <v>2.58E-2</v>
      </c>
    </row>
    <row r="1456" spans="1:5" ht="15">
      <c r="A1456" s="98">
        <v>3546</v>
      </c>
      <c r="B1456">
        <v>21.05</v>
      </c>
      <c r="C1456">
        <v>20.36</v>
      </c>
      <c r="D1456" t="s">
        <v>218</v>
      </c>
      <c r="E1456" s="97">
        <v>8.6599999999999996E-2</v>
      </c>
    </row>
    <row r="1457" spans="1:5" ht="15">
      <c r="A1457" s="98">
        <v>3545</v>
      </c>
      <c r="B1457">
        <v>23.02</v>
      </c>
      <c r="C1457">
        <v>21.54</v>
      </c>
      <c r="D1457" t="s">
        <v>218</v>
      </c>
      <c r="E1457" s="97">
        <v>8.2000000000000003E-2</v>
      </c>
    </row>
    <row r="1458" spans="1:5" ht="15">
      <c r="A1458" s="98">
        <v>3544</v>
      </c>
      <c r="B1458">
        <v>26.57</v>
      </c>
      <c r="C1458">
        <v>22.57</v>
      </c>
      <c r="D1458" t="s">
        <v>218</v>
      </c>
      <c r="E1458" s="97">
        <v>-8.3199999999999996E-2</v>
      </c>
    </row>
    <row r="1459" spans="1:5" ht="15">
      <c r="A1459" s="98">
        <v>3543</v>
      </c>
      <c r="B1459">
        <v>27.47</v>
      </c>
      <c r="C1459">
        <v>25.6</v>
      </c>
      <c r="D1459" t="s">
        <v>218</v>
      </c>
      <c r="E1459" s="97">
        <v>-5.1400000000000001E-2</v>
      </c>
    </row>
    <row r="1460" spans="1:5" ht="15">
      <c r="A1460" s="98">
        <v>3542</v>
      </c>
      <c r="B1460">
        <v>29.4</v>
      </c>
      <c r="C1460">
        <v>27.31</v>
      </c>
      <c r="D1460" t="s">
        <v>218</v>
      </c>
      <c r="E1460" s="97">
        <v>1.0999999999999999E-2</v>
      </c>
    </row>
    <row r="1461" spans="1:5" ht="15">
      <c r="A1461" s="98">
        <v>3541</v>
      </c>
      <c r="B1461">
        <v>29.81</v>
      </c>
      <c r="C1461">
        <v>28.15</v>
      </c>
      <c r="D1461" t="s">
        <v>218</v>
      </c>
      <c r="E1461" s="97">
        <v>-1.66E-2</v>
      </c>
    </row>
    <row r="1462" spans="1:5" ht="15">
      <c r="A1462" s="98">
        <v>3540</v>
      </c>
      <c r="B1462">
        <v>26.56</v>
      </c>
      <c r="C1462">
        <v>24.85</v>
      </c>
      <c r="D1462" t="s">
        <v>218</v>
      </c>
      <c r="E1462" s="97">
        <v>-4.4699999999999997E-2</v>
      </c>
    </row>
    <row r="1463" spans="1:5" ht="15">
      <c r="A1463" s="98">
        <v>3539</v>
      </c>
      <c r="B1463">
        <v>25.48</v>
      </c>
      <c r="C1463">
        <v>23.87</v>
      </c>
      <c r="D1463" t="s">
        <v>218</v>
      </c>
      <c r="E1463" s="97">
        <v>4.6800000000000001E-2</v>
      </c>
    </row>
    <row r="1464" spans="1:5" ht="15">
      <c r="A1464" s="98">
        <v>3538</v>
      </c>
      <c r="B1464">
        <v>25.71</v>
      </c>
      <c r="C1464">
        <v>23.99</v>
      </c>
      <c r="D1464" t="s">
        <v>218</v>
      </c>
      <c r="E1464" s="97">
        <v>-4.2700000000000002E-2</v>
      </c>
    </row>
    <row r="1465" spans="1:5" ht="15">
      <c r="A1465" s="98">
        <v>3537</v>
      </c>
      <c r="B1465">
        <v>22.08</v>
      </c>
      <c r="C1465">
        <v>20.83</v>
      </c>
      <c r="D1465" t="s">
        <v>218</v>
      </c>
      <c r="E1465" s="97">
        <v>-6.4199999999999993E-2</v>
      </c>
    </row>
    <row r="1466" spans="1:5" ht="15">
      <c r="A1466" s="98">
        <v>3536</v>
      </c>
      <c r="B1466">
        <v>24.15</v>
      </c>
      <c r="C1466">
        <v>23.16</v>
      </c>
      <c r="D1466" t="s">
        <v>218</v>
      </c>
      <c r="E1466" s="97">
        <v>0.1409</v>
      </c>
    </row>
    <row r="1467" spans="1:5" ht="15">
      <c r="A1467" s="98">
        <v>3535</v>
      </c>
      <c r="B1467">
        <v>24.26</v>
      </c>
      <c r="C1467">
        <v>22.68</v>
      </c>
      <c r="D1467" t="s">
        <v>218</v>
      </c>
      <c r="E1467" s="97">
        <v>-4.4999999999999998E-2</v>
      </c>
    </row>
    <row r="1468" spans="1:5" ht="15">
      <c r="A1468" s="98">
        <v>3534</v>
      </c>
      <c r="B1468">
        <v>25.38</v>
      </c>
      <c r="C1468">
        <v>24.07</v>
      </c>
      <c r="D1468" t="s">
        <v>218</v>
      </c>
      <c r="E1468" s="97">
        <v>0.16739999999999999</v>
      </c>
    </row>
    <row r="1469" spans="1:5" ht="15">
      <c r="A1469" s="98">
        <v>3533</v>
      </c>
      <c r="B1469">
        <v>22.5</v>
      </c>
      <c r="C1469">
        <v>21.28</v>
      </c>
      <c r="D1469" t="s">
        <v>218</v>
      </c>
      <c r="E1469" s="97">
        <v>4.4600000000000001E-2</v>
      </c>
    </row>
    <row r="1470" spans="1:5" ht="15">
      <c r="A1470" s="98">
        <v>3532</v>
      </c>
      <c r="B1470">
        <v>22.37</v>
      </c>
      <c r="C1470">
        <v>20.3</v>
      </c>
      <c r="D1470" t="s">
        <v>218</v>
      </c>
      <c r="E1470" s="97">
        <v>1.9199999999999998E-2</v>
      </c>
    </row>
    <row r="1471" spans="1:5" ht="15">
      <c r="A1471" s="98">
        <v>3531</v>
      </c>
      <c r="B1471">
        <v>22.91</v>
      </c>
      <c r="C1471">
        <v>22.05</v>
      </c>
      <c r="D1471" t="s">
        <v>218</v>
      </c>
      <c r="E1471" s="97">
        <v>-3.2899999999999999E-2</v>
      </c>
    </row>
    <row r="1472" spans="1:5" ht="15">
      <c r="A1472" s="98">
        <v>3530</v>
      </c>
      <c r="B1472">
        <v>23.32</v>
      </c>
      <c r="C1472">
        <v>21.29</v>
      </c>
      <c r="D1472" t="s">
        <v>218</v>
      </c>
      <c r="E1472" s="97">
        <v>9.7999999999999997E-3</v>
      </c>
    </row>
    <row r="1473" spans="1:5" ht="15">
      <c r="A1473" s="98">
        <v>3529</v>
      </c>
      <c r="B1473">
        <v>23.57</v>
      </c>
      <c r="C1473">
        <v>22.76</v>
      </c>
      <c r="D1473" t="s">
        <v>218</v>
      </c>
      <c r="E1473" s="97">
        <v>-2.7799999999999998E-2</v>
      </c>
    </row>
    <row r="1474" spans="1:5" ht="15">
      <c r="A1474" s="98">
        <v>3528</v>
      </c>
      <c r="B1474">
        <v>23.31</v>
      </c>
      <c r="C1474">
        <v>22.43</v>
      </c>
      <c r="D1474" t="s">
        <v>218</v>
      </c>
      <c r="E1474" s="97">
        <v>-5.1499999999999997E-2</v>
      </c>
    </row>
    <row r="1475" spans="1:5" ht="15">
      <c r="A1475" s="98">
        <v>3527</v>
      </c>
      <c r="B1475">
        <v>22.12</v>
      </c>
      <c r="C1475">
        <v>21.29</v>
      </c>
      <c r="D1475" t="s">
        <v>218</v>
      </c>
      <c r="E1475" s="97">
        <v>6.8900000000000003E-2</v>
      </c>
    </row>
    <row r="1476" spans="1:5" ht="15">
      <c r="A1476" s="98">
        <v>3526</v>
      </c>
      <c r="B1476">
        <v>22.58</v>
      </c>
      <c r="C1476">
        <v>21.72</v>
      </c>
      <c r="D1476" t="s">
        <v>218</v>
      </c>
      <c r="E1476" s="97">
        <v>-6.3E-3</v>
      </c>
    </row>
    <row r="1477" spans="1:5" ht="15">
      <c r="A1477" s="98">
        <v>3525</v>
      </c>
      <c r="B1477">
        <v>22.96</v>
      </c>
      <c r="C1477">
        <v>22.06</v>
      </c>
      <c r="D1477" t="s">
        <v>218</v>
      </c>
      <c r="E1477" s="97">
        <v>6.4500000000000002E-2</v>
      </c>
    </row>
    <row r="1478" spans="1:5" ht="15">
      <c r="A1478" s="98">
        <v>3524</v>
      </c>
      <c r="B1478">
        <v>22.69</v>
      </c>
      <c r="C1478">
        <v>21.98</v>
      </c>
      <c r="D1478" t="s">
        <v>218</v>
      </c>
      <c r="E1478" s="97">
        <v>-2.93E-2</v>
      </c>
    </row>
    <row r="1479" spans="1:5" ht="15">
      <c r="A1479" s="98">
        <v>3523</v>
      </c>
      <c r="B1479">
        <v>22.68</v>
      </c>
      <c r="C1479">
        <v>22.02</v>
      </c>
      <c r="D1479" t="s">
        <v>218</v>
      </c>
      <c r="E1479" s="97">
        <v>2.98E-2</v>
      </c>
    </row>
    <row r="1480" spans="1:5" ht="15">
      <c r="A1480" s="98">
        <v>3522</v>
      </c>
      <c r="B1480">
        <v>22.94</v>
      </c>
      <c r="C1480">
        <v>21.64</v>
      </c>
      <c r="D1480" t="s">
        <v>218</v>
      </c>
      <c r="E1480" s="97">
        <v>8.4900000000000003E-2</v>
      </c>
    </row>
    <row r="1481" spans="1:5" ht="15">
      <c r="A1481" s="98">
        <v>3521</v>
      </c>
      <c r="B1481">
        <v>23.24</v>
      </c>
      <c r="C1481">
        <v>21.55</v>
      </c>
      <c r="D1481" t="s">
        <v>218</v>
      </c>
      <c r="E1481" s="97">
        <v>2.3699999999999999E-2</v>
      </c>
    </row>
    <row r="1482" spans="1:5" ht="15">
      <c r="A1482" s="98">
        <v>3520</v>
      </c>
      <c r="B1482">
        <v>22.77</v>
      </c>
      <c r="C1482">
        <v>20.73</v>
      </c>
      <c r="D1482" t="s">
        <v>218</v>
      </c>
      <c r="E1482" s="97">
        <v>8.5699999999999998E-2</v>
      </c>
    </row>
    <row r="1483" spans="1:5" ht="15">
      <c r="A1483" s="98">
        <v>3519</v>
      </c>
      <c r="B1483">
        <v>21.25</v>
      </c>
      <c r="C1483">
        <v>20.55</v>
      </c>
      <c r="D1483" t="s">
        <v>218</v>
      </c>
      <c r="E1483" s="97">
        <v>3.2000000000000002E-3</v>
      </c>
    </row>
    <row r="1484" spans="1:5" ht="15">
      <c r="A1484" s="98">
        <v>3518</v>
      </c>
      <c r="B1484">
        <v>20.7</v>
      </c>
      <c r="C1484">
        <v>19.559999999999999</v>
      </c>
      <c r="D1484" t="s">
        <v>218</v>
      </c>
      <c r="E1484" s="97">
        <v>7.0000000000000001E-3</v>
      </c>
    </row>
    <row r="1485" spans="1:5" ht="15">
      <c r="A1485" s="98">
        <v>3517</v>
      </c>
      <c r="B1485">
        <v>19.8</v>
      </c>
      <c r="C1485">
        <v>18.64</v>
      </c>
      <c r="D1485" t="s">
        <v>218</v>
      </c>
      <c r="E1485" s="97">
        <v>-0.10249999999999999</v>
      </c>
    </row>
    <row r="1486" spans="1:5" ht="15">
      <c r="A1486" s="98">
        <v>3516</v>
      </c>
      <c r="B1486">
        <v>20.46</v>
      </c>
      <c r="C1486">
        <v>19.66</v>
      </c>
      <c r="D1486" t="s">
        <v>218</v>
      </c>
      <c r="E1486" s="97">
        <v>-5.0700000000000002E-2</v>
      </c>
    </row>
    <row r="1487" spans="1:5" ht="15">
      <c r="A1487" s="98">
        <v>3515</v>
      </c>
      <c r="B1487">
        <v>21.86</v>
      </c>
      <c r="C1487">
        <v>20.8</v>
      </c>
      <c r="D1487" t="s">
        <v>218</v>
      </c>
      <c r="E1487" s="97">
        <v>-4.24E-2</v>
      </c>
    </row>
    <row r="1488" spans="1:5" ht="15">
      <c r="A1488" s="98">
        <v>3514</v>
      </c>
      <c r="B1488">
        <v>20.85</v>
      </c>
      <c r="C1488">
        <v>20.100000000000001</v>
      </c>
      <c r="D1488" t="s">
        <v>218</v>
      </c>
      <c r="E1488" s="97">
        <v>-7.6700000000000004E-2</v>
      </c>
    </row>
    <row r="1489" spans="1:5" ht="15">
      <c r="A1489" s="98">
        <v>3513</v>
      </c>
      <c r="B1489">
        <v>23.47</v>
      </c>
      <c r="C1489">
        <v>20.22</v>
      </c>
      <c r="D1489" t="s">
        <v>218</v>
      </c>
      <c r="E1489" s="97">
        <v>5.3699999999999998E-2</v>
      </c>
    </row>
    <row r="1490" spans="1:5" ht="15">
      <c r="A1490" s="98">
        <v>3512</v>
      </c>
      <c r="B1490">
        <v>24.29</v>
      </c>
      <c r="C1490">
        <v>23.11</v>
      </c>
      <c r="D1490" t="s">
        <v>218</v>
      </c>
      <c r="E1490" s="97">
        <v>3.15E-2</v>
      </c>
    </row>
    <row r="1491" spans="1:5" ht="15">
      <c r="A1491" s="98">
        <v>3511</v>
      </c>
      <c r="B1491">
        <v>24.21</v>
      </c>
      <c r="C1491">
        <v>22.86</v>
      </c>
      <c r="D1491" t="s">
        <v>218</v>
      </c>
      <c r="E1491" s="97">
        <v>4.0000000000000001E-3</v>
      </c>
    </row>
    <row r="1492" spans="1:5" ht="15">
      <c r="A1492" s="98">
        <v>3510</v>
      </c>
      <c r="B1492">
        <v>23.41</v>
      </c>
      <c r="C1492">
        <v>22.23</v>
      </c>
      <c r="D1492" t="s">
        <v>218</v>
      </c>
      <c r="E1492" s="97">
        <v>-4.7500000000000001E-2</v>
      </c>
    </row>
    <row r="1493" spans="1:5" ht="15">
      <c r="A1493" s="98">
        <v>3509</v>
      </c>
      <c r="B1493">
        <v>22.29</v>
      </c>
      <c r="C1493">
        <v>21.67</v>
      </c>
      <c r="D1493" t="s">
        <v>218</v>
      </c>
      <c r="E1493" s="97">
        <v>0.13739999999999999</v>
      </c>
    </row>
    <row r="1494" spans="1:5" ht="15">
      <c r="A1494" s="98">
        <v>3508</v>
      </c>
      <c r="B1494">
        <v>19.82</v>
      </c>
      <c r="C1494">
        <v>18.690000000000001</v>
      </c>
      <c r="D1494" t="s">
        <v>218</v>
      </c>
      <c r="E1494" s="97">
        <v>-5.3E-3</v>
      </c>
    </row>
    <row r="1495" spans="1:5" ht="15">
      <c r="A1495" s="98">
        <v>3507</v>
      </c>
      <c r="B1495">
        <v>21.47</v>
      </c>
      <c r="C1495">
        <v>20.21</v>
      </c>
      <c r="D1495" t="s">
        <v>218</v>
      </c>
      <c r="E1495" s="97">
        <v>-5.1999999999999998E-3</v>
      </c>
    </row>
    <row r="1496" spans="1:5" ht="15">
      <c r="A1496" s="98">
        <v>3506</v>
      </c>
      <c r="B1496">
        <v>21.55</v>
      </c>
      <c r="C1496">
        <v>20.8</v>
      </c>
      <c r="D1496" t="s">
        <v>218</v>
      </c>
      <c r="E1496" s="97">
        <v>-6.9699999999999998E-2</v>
      </c>
    </row>
    <row r="1497" spans="1:5" ht="15">
      <c r="A1497" s="98">
        <v>3505</v>
      </c>
      <c r="B1497">
        <v>21.33</v>
      </c>
      <c r="C1497">
        <v>20.62</v>
      </c>
      <c r="D1497" t="s">
        <v>218</v>
      </c>
      <c r="E1497" s="97">
        <v>-5.2999999999999999E-2</v>
      </c>
    </row>
    <row r="1498" spans="1:5" ht="15">
      <c r="A1498" s="98">
        <v>3504</v>
      </c>
      <c r="B1498">
        <v>22.31</v>
      </c>
      <c r="C1498">
        <v>20.72</v>
      </c>
      <c r="D1498" t="s">
        <v>218</v>
      </c>
      <c r="E1498" s="97">
        <v>7.6E-3</v>
      </c>
    </row>
    <row r="1499" spans="1:5" ht="15">
      <c r="A1499" s="98">
        <v>3503</v>
      </c>
      <c r="B1499">
        <v>22.15</v>
      </c>
      <c r="C1499">
        <v>21.03</v>
      </c>
      <c r="D1499" t="s">
        <v>218</v>
      </c>
      <c r="E1499" s="97">
        <v>3.2399999999999998E-2</v>
      </c>
    </row>
    <row r="1500" spans="1:5" ht="15">
      <c r="A1500" s="98">
        <v>3502</v>
      </c>
      <c r="B1500">
        <v>22.48</v>
      </c>
      <c r="C1500">
        <v>21.57</v>
      </c>
      <c r="D1500" t="s">
        <v>218</v>
      </c>
      <c r="E1500" s="97">
        <v>-4.5900000000000003E-2</v>
      </c>
    </row>
    <row r="1501" spans="1:5" ht="15">
      <c r="A1501" s="98">
        <v>3501</v>
      </c>
      <c r="B1501">
        <v>23.25</v>
      </c>
      <c r="C1501">
        <v>22.05</v>
      </c>
      <c r="D1501" t="s">
        <v>218</v>
      </c>
      <c r="E1501" s="97">
        <v>-5.7999999999999996E-3</v>
      </c>
    </row>
    <row r="1502" spans="1:5" ht="15">
      <c r="A1502" s="98">
        <v>3500</v>
      </c>
      <c r="B1502">
        <v>23.77</v>
      </c>
      <c r="C1502">
        <v>21.83</v>
      </c>
      <c r="D1502" t="s">
        <v>218</v>
      </c>
      <c r="E1502" s="97">
        <v>-8.2600000000000007E-2</v>
      </c>
    </row>
    <row r="1503" spans="1:5" ht="15">
      <c r="A1503" s="98">
        <v>3499</v>
      </c>
      <c r="B1503">
        <v>22.95</v>
      </c>
      <c r="C1503">
        <v>21.14</v>
      </c>
      <c r="D1503" t="s">
        <v>218</v>
      </c>
      <c r="E1503" s="97">
        <v>-9.0999999999999998E-2</v>
      </c>
    </row>
    <row r="1504" spans="1:5" ht="15">
      <c r="A1504" s="98">
        <v>3498</v>
      </c>
      <c r="B1504">
        <v>21.46</v>
      </c>
      <c r="C1504">
        <v>20.84</v>
      </c>
      <c r="D1504" t="s">
        <v>218</v>
      </c>
      <c r="E1504" s="97">
        <v>0.12889999999999999</v>
      </c>
    </row>
    <row r="1505" spans="1:5" ht="15">
      <c r="A1505" s="98">
        <v>3497</v>
      </c>
      <c r="B1505">
        <v>24.22</v>
      </c>
      <c r="C1505">
        <v>22.14</v>
      </c>
      <c r="D1505" t="s">
        <v>218</v>
      </c>
      <c r="E1505" s="97">
        <v>-4.58E-2</v>
      </c>
    </row>
    <row r="1506" spans="1:5" ht="15">
      <c r="A1506" s="98">
        <v>3496</v>
      </c>
      <c r="B1506">
        <v>24.02</v>
      </c>
      <c r="C1506">
        <v>22.09</v>
      </c>
      <c r="D1506" t="s">
        <v>218</v>
      </c>
      <c r="E1506" s="97">
        <v>7.8799999999999995E-2</v>
      </c>
    </row>
    <row r="1507" spans="1:5" ht="15">
      <c r="A1507" s="98">
        <v>3495</v>
      </c>
      <c r="B1507">
        <v>22.84</v>
      </c>
      <c r="C1507">
        <v>22.14</v>
      </c>
      <c r="D1507" t="s">
        <v>218</v>
      </c>
      <c r="E1507" s="97">
        <v>-4.3400000000000001E-2</v>
      </c>
    </row>
    <row r="1508" spans="1:5" ht="15">
      <c r="A1508" s="98">
        <v>3494</v>
      </c>
      <c r="B1508">
        <v>21.63</v>
      </c>
      <c r="C1508">
        <v>20.87</v>
      </c>
      <c r="D1508" t="s">
        <v>218</v>
      </c>
      <c r="E1508" s="97">
        <v>2.0400000000000001E-2</v>
      </c>
    </row>
    <row r="1509" spans="1:5" ht="15">
      <c r="A1509" s="98">
        <v>3493</v>
      </c>
      <c r="B1509">
        <v>23.34</v>
      </c>
      <c r="C1509">
        <v>22.85</v>
      </c>
      <c r="D1509" t="s">
        <v>218</v>
      </c>
      <c r="E1509" s="97">
        <v>-9.1600000000000001E-2</v>
      </c>
    </row>
    <row r="1510" spans="1:5" ht="15">
      <c r="A1510" s="98">
        <v>3492</v>
      </c>
      <c r="B1510">
        <v>23.69</v>
      </c>
      <c r="C1510">
        <v>22.86</v>
      </c>
      <c r="D1510" t="s">
        <v>218</v>
      </c>
      <c r="E1510" s="97">
        <v>8.1699999999999995E-2</v>
      </c>
    </row>
    <row r="1511" spans="1:5" ht="15">
      <c r="A1511" s="98">
        <v>3491</v>
      </c>
      <c r="B1511">
        <v>23.37</v>
      </c>
      <c r="C1511">
        <v>22.8</v>
      </c>
      <c r="D1511" t="s">
        <v>218</v>
      </c>
      <c r="E1511" s="97">
        <v>7.6300000000000007E-2</v>
      </c>
    </row>
    <row r="1512" spans="1:5" ht="15">
      <c r="A1512" s="98">
        <v>3490</v>
      </c>
      <c r="B1512">
        <v>25.17</v>
      </c>
      <c r="C1512">
        <v>23.15</v>
      </c>
      <c r="D1512" t="s">
        <v>218</v>
      </c>
      <c r="E1512" s="97">
        <v>-0.2248</v>
      </c>
    </row>
    <row r="1513" spans="1:5" ht="15">
      <c r="A1513" s="98">
        <v>3489</v>
      </c>
      <c r="B1513">
        <v>25.2</v>
      </c>
      <c r="C1513">
        <v>24.45</v>
      </c>
      <c r="D1513" t="s">
        <v>218</v>
      </c>
      <c r="E1513" s="97">
        <v>9.0899999999999995E-2</v>
      </c>
    </row>
    <row r="1514" spans="1:5" ht="15">
      <c r="A1514" s="98">
        <v>3488</v>
      </c>
      <c r="B1514">
        <v>26.15</v>
      </c>
      <c r="C1514">
        <v>23.98</v>
      </c>
      <c r="D1514" t="s">
        <v>218</v>
      </c>
      <c r="E1514" s="97">
        <v>8.9399999999999993E-2</v>
      </c>
    </row>
    <row r="1515" spans="1:5" ht="15">
      <c r="A1515" s="98">
        <v>3487</v>
      </c>
      <c r="B1515">
        <v>27.18</v>
      </c>
      <c r="C1515">
        <v>24.8</v>
      </c>
      <c r="D1515" t="s">
        <v>218</v>
      </c>
      <c r="E1515" s="97">
        <v>-1.2500000000000001E-2</v>
      </c>
    </row>
    <row r="1516" spans="1:5" ht="15">
      <c r="A1516" s="98">
        <v>3486</v>
      </c>
      <c r="B1516">
        <v>29</v>
      </c>
      <c r="C1516">
        <v>25.85</v>
      </c>
      <c r="D1516" t="s">
        <v>218</v>
      </c>
      <c r="E1516" s="97">
        <v>0.2384</v>
      </c>
    </row>
    <row r="1517" spans="1:5" ht="15">
      <c r="A1517" s="98">
        <v>3485</v>
      </c>
      <c r="B1517">
        <v>26.71</v>
      </c>
      <c r="C1517">
        <v>24.7</v>
      </c>
      <c r="D1517" t="s">
        <v>218</v>
      </c>
      <c r="E1517" s="97">
        <v>-0.1201</v>
      </c>
    </row>
    <row r="1518" spans="1:5" ht="15">
      <c r="A1518" s="98">
        <v>3484</v>
      </c>
      <c r="B1518">
        <v>25.17</v>
      </c>
      <c r="C1518">
        <v>21.72</v>
      </c>
      <c r="D1518" t="s">
        <v>218</v>
      </c>
      <c r="E1518" s="97">
        <v>5.6500000000000002E-2</v>
      </c>
    </row>
    <row r="1519" spans="1:5" ht="15">
      <c r="A1519" s="98">
        <v>3483</v>
      </c>
      <c r="B1519">
        <v>22.49</v>
      </c>
      <c r="C1519">
        <v>21.36</v>
      </c>
      <c r="D1519" t="s">
        <v>218</v>
      </c>
      <c r="E1519" s="97">
        <v>-8.6E-3</v>
      </c>
    </row>
    <row r="1520" spans="1:5" ht="15">
      <c r="A1520" s="98">
        <v>3482</v>
      </c>
      <c r="B1520">
        <v>22.63</v>
      </c>
      <c r="C1520">
        <v>21.69</v>
      </c>
      <c r="D1520" t="s">
        <v>218</v>
      </c>
      <c r="E1520" s="97">
        <v>0.25259999999999999</v>
      </c>
    </row>
    <row r="1521" spans="1:5" ht="15">
      <c r="A1521" s="98">
        <v>3481</v>
      </c>
      <c r="B1521">
        <v>23.49</v>
      </c>
      <c r="C1521">
        <v>22.41</v>
      </c>
      <c r="D1521" t="s">
        <v>218</v>
      </c>
      <c r="E1521" s="97">
        <v>-0.1206</v>
      </c>
    </row>
    <row r="1522" spans="1:5" ht="15">
      <c r="A1522" s="98">
        <v>3480</v>
      </c>
      <c r="B1522">
        <v>23.1</v>
      </c>
      <c r="C1522">
        <v>21.32</v>
      </c>
      <c r="D1522" t="s">
        <v>218</v>
      </c>
      <c r="E1522" s="97">
        <v>6.0400000000000002E-2</v>
      </c>
    </row>
    <row r="1523" spans="1:5" ht="15">
      <c r="A1523" s="98">
        <v>3479</v>
      </c>
      <c r="B1523">
        <v>20.149999999999999</v>
      </c>
      <c r="C1523">
        <v>19.510000000000002</v>
      </c>
      <c r="D1523" t="s">
        <v>218</v>
      </c>
      <c r="E1523" s="97">
        <v>1.5800000000000002E-2</v>
      </c>
    </row>
    <row r="1524" spans="1:5" ht="15">
      <c r="A1524" s="98">
        <v>3478</v>
      </c>
      <c r="B1524">
        <v>21.63</v>
      </c>
      <c r="C1524">
        <v>20.97</v>
      </c>
      <c r="D1524" t="s">
        <v>218</v>
      </c>
      <c r="E1524" s="97">
        <v>-7.6100000000000001E-2</v>
      </c>
    </row>
    <row r="1525" spans="1:5" ht="15">
      <c r="A1525" s="98">
        <v>3477</v>
      </c>
      <c r="B1525">
        <v>22.16</v>
      </c>
      <c r="C1525">
        <v>21.44</v>
      </c>
      <c r="D1525" t="s">
        <v>218</v>
      </c>
      <c r="E1525" s="97">
        <v>1.78E-2</v>
      </c>
    </row>
    <row r="1526" spans="1:5" ht="15">
      <c r="A1526" s="98">
        <v>3476</v>
      </c>
      <c r="B1526">
        <v>22.6</v>
      </c>
      <c r="C1526">
        <v>21.18</v>
      </c>
      <c r="D1526" t="s">
        <v>218</v>
      </c>
      <c r="E1526" s="97">
        <v>1.9099999999999999E-2</v>
      </c>
    </row>
    <row r="1527" spans="1:5" ht="15">
      <c r="A1527" s="98">
        <v>3475</v>
      </c>
      <c r="B1527">
        <v>21.91</v>
      </c>
      <c r="C1527">
        <v>20.5</v>
      </c>
      <c r="D1527" t="s">
        <v>218</v>
      </c>
      <c r="E1527" s="97">
        <v>-5.6800000000000003E-2</v>
      </c>
    </row>
    <row r="1528" spans="1:5" ht="15">
      <c r="A1528" s="98">
        <v>3474</v>
      </c>
      <c r="B1528">
        <v>24.44</v>
      </c>
      <c r="C1528">
        <v>21.43</v>
      </c>
      <c r="D1528" t="s">
        <v>218</v>
      </c>
      <c r="E1528" s="97">
        <v>-5.7500000000000002E-2</v>
      </c>
    </row>
    <row r="1529" spans="1:5" ht="15">
      <c r="A1529" s="98">
        <v>3473</v>
      </c>
      <c r="B1529">
        <v>24.28</v>
      </c>
      <c r="C1529">
        <v>22.87</v>
      </c>
      <c r="D1529" t="s">
        <v>218</v>
      </c>
      <c r="E1529" s="97">
        <v>0.24110000000000001</v>
      </c>
    </row>
    <row r="1530" spans="1:5" ht="15">
      <c r="A1530" s="98">
        <v>3472</v>
      </c>
      <c r="B1530">
        <v>23.19</v>
      </c>
      <c r="C1530">
        <v>22.45</v>
      </c>
      <c r="D1530" t="s">
        <v>218</v>
      </c>
      <c r="E1530" s="97">
        <v>-2.2000000000000001E-3</v>
      </c>
    </row>
    <row r="1531" spans="1:5" ht="15">
      <c r="A1531" s="98">
        <v>3471</v>
      </c>
      <c r="B1531">
        <v>24.39</v>
      </c>
      <c r="C1531">
        <v>22.03</v>
      </c>
      <c r="D1531" t="s">
        <v>218</v>
      </c>
      <c r="E1531" s="97">
        <v>-7.3899999999999993E-2</v>
      </c>
    </row>
    <row r="1532" spans="1:5" ht="15">
      <c r="A1532" s="98">
        <v>3470</v>
      </c>
      <c r="B1532">
        <v>26.54</v>
      </c>
      <c r="C1532">
        <v>23.17</v>
      </c>
      <c r="D1532" t="s">
        <v>218</v>
      </c>
      <c r="E1532" s="97">
        <v>0.04</v>
      </c>
    </row>
    <row r="1533" spans="1:5" ht="15">
      <c r="A1533" s="98">
        <v>3469</v>
      </c>
      <c r="B1533">
        <v>27.43</v>
      </c>
      <c r="C1533">
        <v>24.94</v>
      </c>
      <c r="D1533" t="s">
        <v>218</v>
      </c>
      <c r="E1533" s="97">
        <v>8.5699999999999998E-2</v>
      </c>
    </row>
    <row r="1534" spans="1:5" ht="15">
      <c r="A1534" s="98">
        <v>3468</v>
      </c>
      <c r="B1534">
        <v>24.74</v>
      </c>
      <c r="C1534">
        <v>23.29</v>
      </c>
      <c r="D1534" t="s">
        <v>218</v>
      </c>
      <c r="E1534" s="97">
        <v>-6.0900000000000003E-2</v>
      </c>
    </row>
    <row r="1535" spans="1:5" ht="15">
      <c r="A1535" s="98">
        <v>3467</v>
      </c>
      <c r="B1535">
        <v>24.74</v>
      </c>
      <c r="C1535">
        <v>22.62</v>
      </c>
      <c r="D1535" t="s">
        <v>218</v>
      </c>
      <c r="E1535" s="97">
        <v>0.1326</v>
      </c>
    </row>
    <row r="1536" spans="1:5" ht="15">
      <c r="A1536" s="98">
        <v>3466</v>
      </c>
      <c r="B1536">
        <v>23.73</v>
      </c>
      <c r="C1536">
        <v>21.93</v>
      </c>
      <c r="D1536" t="s">
        <v>218</v>
      </c>
      <c r="E1536" s="97">
        <v>3.4099999999999998E-2</v>
      </c>
    </row>
    <row r="1537" spans="1:5" ht="15">
      <c r="A1537" s="98">
        <v>3465</v>
      </c>
      <c r="B1537">
        <v>21.77</v>
      </c>
      <c r="C1537">
        <v>20.69</v>
      </c>
      <c r="D1537" t="s">
        <v>218</v>
      </c>
      <c r="E1537" s="97">
        <v>-7.6700000000000004E-2</v>
      </c>
    </row>
    <row r="1538" spans="1:5" ht="15">
      <c r="A1538" s="98">
        <v>3464</v>
      </c>
      <c r="B1538">
        <v>23.27</v>
      </c>
      <c r="C1538">
        <v>22.79</v>
      </c>
      <c r="D1538" t="s">
        <v>218</v>
      </c>
      <c r="E1538" s="97">
        <v>3.2500000000000001E-2</v>
      </c>
    </row>
    <row r="1539" spans="1:5" ht="15">
      <c r="A1539" s="98">
        <v>3463</v>
      </c>
      <c r="B1539">
        <v>22.08</v>
      </c>
      <c r="C1539">
        <v>21.17</v>
      </c>
      <c r="D1539" t="s">
        <v>218</v>
      </c>
      <c r="E1539" s="97">
        <v>-8.3000000000000004E-2</v>
      </c>
    </row>
    <row r="1540" spans="1:5" ht="15">
      <c r="A1540" s="98">
        <v>3462</v>
      </c>
      <c r="B1540">
        <v>22.9</v>
      </c>
      <c r="C1540">
        <v>21.29</v>
      </c>
      <c r="D1540" t="s">
        <v>218</v>
      </c>
      <c r="E1540" s="97">
        <v>-1.9099999999999999E-2</v>
      </c>
    </row>
    <row r="1541" spans="1:5" ht="15">
      <c r="A1541" s="98">
        <v>3461</v>
      </c>
      <c r="B1541">
        <v>23.55</v>
      </c>
      <c r="C1541">
        <v>22.75</v>
      </c>
      <c r="D1541" t="s">
        <v>218</v>
      </c>
      <c r="E1541" s="97">
        <v>1.6799999999999999E-2</v>
      </c>
    </row>
    <row r="1542" spans="1:5" ht="15">
      <c r="A1542" s="98">
        <v>3460</v>
      </c>
      <c r="B1542">
        <v>24.8</v>
      </c>
      <c r="C1542">
        <v>22.82</v>
      </c>
      <c r="D1542" t="s">
        <v>218</v>
      </c>
      <c r="E1542" s="97">
        <v>3.6400000000000002E-2</v>
      </c>
    </row>
    <row r="1543" spans="1:5" ht="15">
      <c r="A1543" s="98">
        <v>3459</v>
      </c>
      <c r="B1543">
        <v>24.89</v>
      </c>
      <c r="C1543">
        <v>24.27</v>
      </c>
      <c r="D1543" t="s">
        <v>218</v>
      </c>
      <c r="E1543" s="97">
        <v>-8.8999999999999999E-3</v>
      </c>
    </row>
    <row r="1544" spans="1:5" ht="15">
      <c r="A1544" s="98">
        <v>3458</v>
      </c>
      <c r="B1544">
        <v>24.75</v>
      </c>
      <c r="C1544">
        <v>22.84</v>
      </c>
      <c r="D1544" t="s">
        <v>218</v>
      </c>
      <c r="E1544" s="97">
        <v>5.8799999999999998E-2</v>
      </c>
    </row>
    <row r="1545" spans="1:5" ht="15">
      <c r="A1545" s="98">
        <v>3457</v>
      </c>
      <c r="B1545">
        <v>23.83</v>
      </c>
      <c r="C1545">
        <v>22.74</v>
      </c>
      <c r="D1545" t="s">
        <v>218</v>
      </c>
      <c r="E1545" s="97">
        <v>-3.5700000000000003E-2</v>
      </c>
    </row>
    <row r="1546" spans="1:5" ht="15">
      <c r="A1546" s="98">
        <v>3456</v>
      </c>
      <c r="B1546">
        <v>23.48</v>
      </c>
      <c r="C1546">
        <v>22.63</v>
      </c>
      <c r="D1546" t="s">
        <v>218</v>
      </c>
      <c r="E1546" s="97">
        <v>-5.2200000000000003E-2</v>
      </c>
    </row>
    <row r="1547" spans="1:5" ht="15">
      <c r="A1547" s="98">
        <v>3455</v>
      </c>
      <c r="B1547">
        <v>26.37</v>
      </c>
      <c r="C1547">
        <v>23.37</v>
      </c>
      <c r="D1547" t="s">
        <v>218</v>
      </c>
      <c r="E1547" s="97">
        <v>-3.9800000000000002E-2</v>
      </c>
    </row>
    <row r="1548" spans="1:5" ht="15">
      <c r="A1548" s="98">
        <v>3454</v>
      </c>
      <c r="B1548">
        <v>28.12</v>
      </c>
      <c r="C1548">
        <v>25.47</v>
      </c>
      <c r="D1548" t="s">
        <v>218</v>
      </c>
      <c r="E1548" s="97">
        <v>1.95E-2</v>
      </c>
    </row>
    <row r="1549" spans="1:5" ht="15">
      <c r="A1549" s="98">
        <v>3453</v>
      </c>
      <c r="B1549">
        <v>25.37</v>
      </c>
      <c r="C1549">
        <v>23.56</v>
      </c>
      <c r="D1549" t="s">
        <v>218</v>
      </c>
      <c r="E1549" s="97">
        <v>-7.0900000000000005E-2</v>
      </c>
    </row>
    <row r="1550" spans="1:5" ht="15">
      <c r="A1550" s="98">
        <v>3452</v>
      </c>
      <c r="B1550">
        <v>25.94</v>
      </c>
      <c r="C1550">
        <v>24.15</v>
      </c>
      <c r="D1550" t="s">
        <v>218</v>
      </c>
      <c r="E1550" s="97">
        <v>2.1000000000000001E-2</v>
      </c>
    </row>
    <row r="1551" spans="1:5" ht="15">
      <c r="A1551" s="98">
        <v>3451</v>
      </c>
      <c r="B1551">
        <v>25.37</v>
      </c>
      <c r="C1551">
        <v>23.58</v>
      </c>
      <c r="D1551" t="s">
        <v>218</v>
      </c>
      <c r="E1551" s="97">
        <v>-1.5699999999999999E-2</v>
      </c>
    </row>
    <row r="1552" spans="1:5" ht="15">
      <c r="A1552" s="98">
        <v>3450</v>
      </c>
      <c r="B1552">
        <v>26.19</v>
      </c>
      <c r="C1552">
        <v>24.09</v>
      </c>
      <c r="D1552" t="s">
        <v>218</v>
      </c>
      <c r="E1552" s="97">
        <v>-0.23150000000000001</v>
      </c>
    </row>
    <row r="1553" spans="1:5" ht="15">
      <c r="A1553" s="98">
        <v>3449</v>
      </c>
      <c r="B1553">
        <v>23.88</v>
      </c>
      <c r="C1553">
        <v>23.24</v>
      </c>
      <c r="D1553" t="s">
        <v>218</v>
      </c>
      <c r="E1553" s="97">
        <v>6.2600000000000003E-2</v>
      </c>
    </row>
    <row r="1554" spans="1:5" ht="15">
      <c r="A1554" s="98">
        <v>3448</v>
      </c>
      <c r="B1554">
        <v>22.72</v>
      </c>
      <c r="C1554">
        <v>21.41</v>
      </c>
      <c r="D1554" t="s">
        <v>218</v>
      </c>
      <c r="E1554" s="97">
        <v>6.4999999999999997E-3</v>
      </c>
    </row>
    <row r="1555" spans="1:5" ht="15">
      <c r="A1555" s="98">
        <v>3447</v>
      </c>
      <c r="B1555">
        <v>22.1</v>
      </c>
      <c r="C1555">
        <v>20.93</v>
      </c>
      <c r="D1555" t="s">
        <v>218</v>
      </c>
      <c r="E1555" s="97">
        <v>-8.0000000000000002E-3</v>
      </c>
    </row>
    <row r="1556" spans="1:5" ht="15">
      <c r="A1556" s="98">
        <v>3446</v>
      </c>
      <c r="B1556">
        <v>20.04</v>
      </c>
      <c r="C1556">
        <v>19.190000000000001</v>
      </c>
      <c r="D1556" t="s">
        <v>218</v>
      </c>
      <c r="E1556" s="97">
        <v>-1.23E-2</v>
      </c>
    </row>
    <row r="1557" spans="1:5" ht="15">
      <c r="A1557" s="98">
        <v>3445</v>
      </c>
      <c r="B1557">
        <v>21.74</v>
      </c>
      <c r="C1557">
        <v>20.329999999999998</v>
      </c>
      <c r="D1557" t="s">
        <v>218</v>
      </c>
      <c r="E1557" s="97">
        <v>-7.7100000000000002E-2</v>
      </c>
    </row>
    <row r="1558" spans="1:5" ht="15">
      <c r="A1558" s="98">
        <v>3444</v>
      </c>
      <c r="B1558">
        <v>24.49</v>
      </c>
      <c r="C1558">
        <v>22.24</v>
      </c>
      <c r="D1558" t="s">
        <v>218</v>
      </c>
      <c r="E1558" s="97">
        <v>4.3799999999999999E-2</v>
      </c>
    </row>
    <row r="1559" spans="1:5" ht="15">
      <c r="A1559" s="98">
        <v>3443</v>
      </c>
      <c r="B1559">
        <v>25.2</v>
      </c>
      <c r="C1559">
        <v>23.48</v>
      </c>
      <c r="D1559" t="s">
        <v>218</v>
      </c>
      <c r="E1559" s="97">
        <v>9.3399999999999997E-2</v>
      </c>
    </row>
    <row r="1560" spans="1:5" ht="15">
      <c r="A1560" s="98">
        <v>3442</v>
      </c>
      <c r="B1560">
        <v>24.18</v>
      </c>
      <c r="C1560">
        <v>22.2</v>
      </c>
      <c r="D1560" t="s">
        <v>218</v>
      </c>
      <c r="E1560" s="97">
        <v>-2.4E-2</v>
      </c>
    </row>
    <row r="1561" spans="1:5" ht="15">
      <c r="A1561" s="98">
        <v>3441</v>
      </c>
      <c r="B1561">
        <v>21.69</v>
      </c>
      <c r="C1561">
        <v>20.84</v>
      </c>
      <c r="D1561" t="s">
        <v>218</v>
      </c>
      <c r="E1561" s="97">
        <v>7.9000000000000001E-2</v>
      </c>
    </row>
    <row r="1562" spans="1:5" ht="15">
      <c r="A1562" s="98">
        <v>3440</v>
      </c>
      <c r="B1562">
        <v>23.26</v>
      </c>
      <c r="C1562">
        <v>21.99</v>
      </c>
      <c r="D1562" t="s">
        <v>218</v>
      </c>
      <c r="E1562" s="97">
        <v>-2.5700000000000001E-2</v>
      </c>
    </row>
    <row r="1563" spans="1:5" ht="15">
      <c r="A1563" s="98">
        <v>3439</v>
      </c>
      <c r="B1563">
        <v>24.41</v>
      </c>
      <c r="C1563">
        <v>22.33</v>
      </c>
      <c r="D1563" t="s">
        <v>218</v>
      </c>
      <c r="E1563" s="97">
        <v>-6.7000000000000004E-2</v>
      </c>
    </row>
    <row r="1564" spans="1:5" ht="15">
      <c r="A1564" s="98">
        <v>3438</v>
      </c>
      <c r="B1564">
        <v>24.76</v>
      </c>
      <c r="C1564">
        <v>21.98</v>
      </c>
      <c r="D1564" t="s">
        <v>218</v>
      </c>
      <c r="E1564" s="97">
        <v>5.2499999999999998E-2</v>
      </c>
    </row>
    <row r="1565" spans="1:5" ht="15">
      <c r="A1565" s="98">
        <v>3437</v>
      </c>
      <c r="B1565">
        <v>21.92</v>
      </c>
      <c r="C1565">
        <v>20.49</v>
      </c>
      <c r="D1565" t="s">
        <v>218</v>
      </c>
      <c r="E1565" s="97">
        <v>-9.4700000000000006E-2</v>
      </c>
    </row>
    <row r="1566" spans="1:5" ht="15">
      <c r="A1566" s="98">
        <v>3436</v>
      </c>
      <c r="B1566">
        <v>22.56</v>
      </c>
      <c r="C1566">
        <v>21.07</v>
      </c>
      <c r="D1566" t="s">
        <v>218</v>
      </c>
      <c r="E1566" s="97">
        <v>0.15759999999999999</v>
      </c>
    </row>
    <row r="1567" spans="1:5" ht="15">
      <c r="A1567" s="98">
        <v>3435</v>
      </c>
      <c r="B1567">
        <v>23.26</v>
      </c>
      <c r="C1567">
        <v>22.28</v>
      </c>
      <c r="D1567" t="s">
        <v>218</v>
      </c>
      <c r="E1567" s="97">
        <v>9.6500000000000002E-2</v>
      </c>
    </row>
    <row r="1568" spans="1:5" ht="15">
      <c r="A1568" s="98">
        <v>3434</v>
      </c>
      <c r="B1568">
        <v>23.45</v>
      </c>
      <c r="C1568">
        <v>21.27</v>
      </c>
      <c r="D1568" t="s">
        <v>218</v>
      </c>
      <c r="E1568" s="97">
        <v>-8.4000000000000005E-2</v>
      </c>
    </row>
    <row r="1569" spans="1:5" ht="15">
      <c r="A1569" s="98">
        <v>3433</v>
      </c>
      <c r="B1569">
        <v>22.02</v>
      </c>
      <c r="C1569">
        <v>21.22</v>
      </c>
      <c r="D1569" t="s">
        <v>218</v>
      </c>
      <c r="E1569" s="97">
        <v>-1.18E-2</v>
      </c>
    </row>
    <row r="1570" spans="1:5" ht="15">
      <c r="A1570" s="98">
        <v>3432</v>
      </c>
      <c r="B1570">
        <v>22.42</v>
      </c>
      <c r="C1570">
        <v>21.1</v>
      </c>
      <c r="D1570" t="s">
        <v>218</v>
      </c>
      <c r="E1570" s="97">
        <v>-9.35E-2</v>
      </c>
    </row>
    <row r="1571" spans="1:5" ht="15">
      <c r="A1571" s="98">
        <v>3431</v>
      </c>
      <c r="B1571">
        <v>23.96</v>
      </c>
      <c r="C1571">
        <v>22.12</v>
      </c>
      <c r="D1571" t="s">
        <v>218</v>
      </c>
      <c r="E1571" s="97">
        <v>-4.1000000000000002E-2</v>
      </c>
    </row>
    <row r="1572" spans="1:5" ht="15">
      <c r="A1572" s="98">
        <v>3430</v>
      </c>
      <c r="B1572">
        <v>24.8</v>
      </c>
      <c r="C1572">
        <v>24.1</v>
      </c>
      <c r="D1572" t="s">
        <v>218</v>
      </c>
      <c r="E1572" s="97">
        <v>-0.122</v>
      </c>
    </row>
    <row r="1573" spans="1:5" ht="15">
      <c r="A1573" s="98">
        <v>3429</v>
      </c>
      <c r="B1573">
        <v>25.2</v>
      </c>
      <c r="C1573">
        <v>24.47</v>
      </c>
      <c r="D1573" t="s">
        <v>218</v>
      </c>
      <c r="E1573" s="97">
        <v>-2.7199999999999998E-2</v>
      </c>
    </row>
    <row r="1574" spans="1:5" ht="15">
      <c r="A1574" s="98">
        <v>3428</v>
      </c>
      <c r="B1574">
        <v>25.02</v>
      </c>
      <c r="C1574">
        <v>23.79</v>
      </c>
      <c r="D1574" t="s">
        <v>218</v>
      </c>
      <c r="E1574" s="97">
        <v>5.1999999999999998E-3</v>
      </c>
    </row>
    <row r="1575" spans="1:5" ht="15">
      <c r="A1575" s="98">
        <v>3427</v>
      </c>
      <c r="B1575">
        <v>25.87</v>
      </c>
      <c r="C1575">
        <v>23.79</v>
      </c>
      <c r="D1575" t="s">
        <v>218</v>
      </c>
      <c r="E1575" s="97">
        <v>0.108</v>
      </c>
    </row>
    <row r="1576" spans="1:5" ht="15">
      <c r="A1576" s="98">
        <v>3426</v>
      </c>
      <c r="B1576">
        <v>24.97</v>
      </c>
      <c r="C1576">
        <v>23.44</v>
      </c>
      <c r="D1576" t="s">
        <v>218</v>
      </c>
      <c r="E1576" s="97">
        <v>4.1799999999999997E-2</v>
      </c>
    </row>
    <row r="1577" spans="1:5" ht="15">
      <c r="A1577" s="98">
        <v>3425</v>
      </c>
      <c r="B1577">
        <v>25.86</v>
      </c>
      <c r="C1577">
        <v>24.03</v>
      </c>
      <c r="D1577" t="s">
        <v>218</v>
      </c>
      <c r="E1577" s="97">
        <v>-6.1100000000000002E-2</v>
      </c>
    </row>
    <row r="1578" spans="1:5" ht="15">
      <c r="A1578" s="98">
        <v>3424</v>
      </c>
      <c r="B1578">
        <v>31.16</v>
      </c>
      <c r="C1578">
        <v>23.25</v>
      </c>
      <c r="D1578" t="s">
        <v>218</v>
      </c>
      <c r="E1578" s="97">
        <v>6.8699999999999997E-2</v>
      </c>
    </row>
    <row r="1579" spans="1:5" ht="15">
      <c r="A1579" s="98">
        <v>3423</v>
      </c>
      <c r="B1579">
        <v>30.01</v>
      </c>
      <c r="C1579">
        <v>27.77</v>
      </c>
      <c r="D1579" t="s">
        <v>218</v>
      </c>
      <c r="E1579" s="97">
        <v>0.23449999999999999</v>
      </c>
    </row>
    <row r="1580" spans="1:5" ht="15">
      <c r="A1580" s="98">
        <v>3422</v>
      </c>
      <c r="B1580">
        <v>27.83</v>
      </c>
      <c r="C1580">
        <v>27.05</v>
      </c>
      <c r="D1580" t="s">
        <v>218</v>
      </c>
      <c r="E1580" s="97">
        <v>-5.1000000000000004E-3</v>
      </c>
    </row>
    <row r="1581" spans="1:5" ht="15">
      <c r="A1581" s="98">
        <v>3421</v>
      </c>
      <c r="B1581">
        <v>25.64</v>
      </c>
      <c r="C1581">
        <v>23.58</v>
      </c>
      <c r="D1581" t="s">
        <v>218</v>
      </c>
      <c r="E1581" s="97">
        <v>-6.0199999999999997E-2</v>
      </c>
    </row>
    <row r="1582" spans="1:5" ht="15">
      <c r="A1582" s="98">
        <v>3420</v>
      </c>
      <c r="B1582">
        <v>26.04</v>
      </c>
      <c r="C1582">
        <v>24.97</v>
      </c>
      <c r="D1582" t="s">
        <v>218</v>
      </c>
      <c r="E1582" s="97">
        <v>-8.8200000000000001E-2</v>
      </c>
    </row>
    <row r="1583" spans="1:5" ht="15">
      <c r="A1583" s="98">
        <v>3419</v>
      </c>
      <c r="B1583">
        <v>28.08</v>
      </c>
      <c r="C1583">
        <v>26.64</v>
      </c>
      <c r="D1583" t="s">
        <v>218</v>
      </c>
      <c r="E1583" s="97">
        <v>0.1857</v>
      </c>
    </row>
    <row r="1584" spans="1:5" ht="15">
      <c r="A1584" s="98">
        <v>3418</v>
      </c>
      <c r="B1584">
        <v>28.98</v>
      </c>
      <c r="C1584">
        <v>27.04</v>
      </c>
      <c r="D1584" t="s">
        <v>218</v>
      </c>
      <c r="E1584" s="97">
        <v>-0.10349999999999999</v>
      </c>
    </row>
    <row r="1585" spans="1:5" ht="15">
      <c r="A1585" s="98">
        <v>3417</v>
      </c>
      <c r="B1585">
        <v>29.4</v>
      </c>
      <c r="C1585">
        <v>27.78</v>
      </c>
      <c r="D1585" t="s">
        <v>218</v>
      </c>
      <c r="E1585" s="97">
        <v>6.4000000000000003E-3</v>
      </c>
    </row>
    <row r="1586" spans="1:5" ht="15">
      <c r="A1586" s="98">
        <v>3416</v>
      </c>
      <c r="B1586">
        <v>33.79</v>
      </c>
      <c r="C1586">
        <v>30.09</v>
      </c>
      <c r="D1586" t="s">
        <v>218</v>
      </c>
      <c r="E1586" s="97">
        <v>0.127</v>
      </c>
    </row>
    <row r="1587" spans="1:5" ht="15">
      <c r="A1587" s="98">
        <v>3415</v>
      </c>
      <c r="B1587">
        <v>34.31</v>
      </c>
      <c r="C1587">
        <v>28.47</v>
      </c>
      <c r="D1587" t="s">
        <v>218</v>
      </c>
      <c r="E1587" s="97">
        <v>-0.13650000000000001</v>
      </c>
    </row>
    <row r="1588" spans="1:5" ht="15">
      <c r="A1588" s="98">
        <v>3414</v>
      </c>
      <c r="B1588">
        <v>28.13</v>
      </c>
      <c r="C1588">
        <v>26.12</v>
      </c>
      <c r="D1588" t="s">
        <v>218</v>
      </c>
      <c r="E1588" s="97">
        <v>0.16539999999999999</v>
      </c>
    </row>
    <row r="1589" spans="1:5" ht="15">
      <c r="A1589" s="98">
        <v>3413</v>
      </c>
      <c r="B1589">
        <v>27.23</v>
      </c>
      <c r="C1589">
        <v>26.27</v>
      </c>
      <c r="D1589" t="s">
        <v>218</v>
      </c>
      <c r="E1589" s="97">
        <v>0.1459</v>
      </c>
    </row>
    <row r="1590" spans="1:5" ht="15">
      <c r="A1590" s="98">
        <v>3412</v>
      </c>
      <c r="B1590">
        <v>27.21</v>
      </c>
      <c r="C1590">
        <v>25.77</v>
      </c>
      <c r="D1590" t="s">
        <v>218</v>
      </c>
      <c r="E1590" s="97">
        <v>-2.4299999999999999E-2</v>
      </c>
    </row>
    <row r="1591" spans="1:5" ht="15">
      <c r="A1591" s="98">
        <v>3411</v>
      </c>
      <c r="B1591">
        <v>28.5</v>
      </c>
      <c r="C1591">
        <v>27.25</v>
      </c>
      <c r="D1591" t="s">
        <v>218</v>
      </c>
      <c r="E1591" s="97">
        <v>0.10349999999999999</v>
      </c>
    </row>
    <row r="1592" spans="1:5" ht="15">
      <c r="A1592" s="98">
        <v>3410</v>
      </c>
      <c r="B1592">
        <v>26.45</v>
      </c>
      <c r="C1592">
        <v>25.2</v>
      </c>
      <c r="D1592" t="s">
        <v>218</v>
      </c>
      <c r="E1592" s="97">
        <v>-8.3000000000000001E-3</v>
      </c>
    </row>
    <row r="1593" spans="1:5" ht="15">
      <c r="A1593" s="98">
        <v>3409</v>
      </c>
      <c r="B1593">
        <v>27.24</v>
      </c>
      <c r="C1593">
        <v>25.27</v>
      </c>
      <c r="D1593" t="s">
        <v>218</v>
      </c>
      <c r="E1593" s="97">
        <v>0.1129</v>
      </c>
    </row>
    <row r="1594" spans="1:5" ht="15">
      <c r="A1594" s="98">
        <v>3408</v>
      </c>
      <c r="B1594">
        <v>29.5</v>
      </c>
      <c r="C1594">
        <v>25.95</v>
      </c>
      <c r="D1594" t="s">
        <v>218</v>
      </c>
      <c r="E1594" s="97">
        <v>-4.8099999999999997E-2</v>
      </c>
    </row>
    <row r="1595" spans="1:5" ht="15">
      <c r="A1595" s="98">
        <v>3407</v>
      </c>
      <c r="B1595">
        <v>26.8</v>
      </c>
      <c r="C1595">
        <v>25.61</v>
      </c>
      <c r="D1595" t="s">
        <v>218</v>
      </c>
      <c r="E1595" s="97">
        <v>2.3699999999999999E-2</v>
      </c>
    </row>
    <row r="1596" spans="1:5" ht="15">
      <c r="A1596" s="98">
        <v>3406</v>
      </c>
      <c r="B1596">
        <v>26.44</v>
      </c>
      <c r="C1596">
        <v>25.26</v>
      </c>
      <c r="D1596" t="s">
        <v>218</v>
      </c>
      <c r="E1596" s="97">
        <v>2.5999999999999999E-3</v>
      </c>
    </row>
    <row r="1597" spans="1:5" ht="15">
      <c r="A1597" s="98">
        <v>3405</v>
      </c>
      <c r="B1597">
        <v>28.5</v>
      </c>
      <c r="C1597">
        <v>26.5</v>
      </c>
      <c r="D1597" t="s">
        <v>218</v>
      </c>
      <c r="E1597" s="97">
        <v>2.9000000000000001E-2</v>
      </c>
    </row>
    <row r="1598" spans="1:5" ht="15">
      <c r="A1598" s="98">
        <v>3404</v>
      </c>
      <c r="B1598">
        <v>32.89</v>
      </c>
      <c r="C1598">
        <v>30</v>
      </c>
      <c r="D1598" t="s">
        <v>218</v>
      </c>
      <c r="E1598" s="97">
        <v>-2.5100000000000001E-2</v>
      </c>
    </row>
    <row r="1599" spans="1:5" ht="15">
      <c r="A1599" s="98">
        <v>3403</v>
      </c>
      <c r="B1599">
        <v>32.06</v>
      </c>
      <c r="C1599">
        <v>30.56</v>
      </c>
      <c r="D1599" t="s">
        <v>218</v>
      </c>
      <c r="E1599" s="97">
        <v>-6.6100000000000006E-2</v>
      </c>
    </row>
    <row r="1600" spans="1:5" ht="15">
      <c r="A1600" s="98">
        <v>3402</v>
      </c>
      <c r="B1600">
        <v>29.54</v>
      </c>
      <c r="C1600">
        <v>27.44</v>
      </c>
      <c r="D1600" t="s">
        <v>218</v>
      </c>
      <c r="E1600" s="97">
        <v>-5.2900000000000003E-2</v>
      </c>
    </row>
    <row r="1601" spans="1:5" ht="15">
      <c r="A1601" s="98">
        <v>3401</v>
      </c>
      <c r="B1601">
        <v>29.05</v>
      </c>
      <c r="C1601">
        <v>28.2</v>
      </c>
      <c r="D1601" t="s">
        <v>218</v>
      </c>
      <c r="E1601" s="97">
        <v>0.159</v>
      </c>
    </row>
    <row r="1602" spans="1:5" ht="15">
      <c r="A1602" s="98">
        <v>3400</v>
      </c>
      <c r="B1602">
        <v>29.68</v>
      </c>
      <c r="C1602">
        <v>28.16</v>
      </c>
      <c r="D1602" t="s">
        <v>218</v>
      </c>
      <c r="E1602" s="97">
        <v>2.9899999999999999E-2</v>
      </c>
    </row>
    <row r="1603" spans="1:5" ht="15">
      <c r="A1603" s="98">
        <v>3399</v>
      </c>
      <c r="B1603">
        <v>30.6</v>
      </c>
      <c r="C1603">
        <v>28.9</v>
      </c>
      <c r="D1603" t="s">
        <v>218</v>
      </c>
      <c r="E1603" s="97">
        <v>-4.9099999999999998E-2</v>
      </c>
    </row>
    <row r="1604" spans="1:5" ht="15">
      <c r="A1604" s="98">
        <v>3398</v>
      </c>
      <c r="B1604">
        <v>29.12</v>
      </c>
      <c r="C1604">
        <v>27.76</v>
      </c>
      <c r="D1604" t="s">
        <v>218</v>
      </c>
      <c r="E1604" s="97">
        <v>3.7499999999999999E-2</v>
      </c>
    </row>
    <row r="1605" spans="1:5" ht="15">
      <c r="A1605" s="98">
        <v>3397</v>
      </c>
      <c r="B1605">
        <v>26.33</v>
      </c>
      <c r="C1605">
        <v>25.61</v>
      </c>
      <c r="D1605" t="s">
        <v>218</v>
      </c>
      <c r="E1605" s="97">
        <v>-3.1199999999999999E-2</v>
      </c>
    </row>
    <row r="1606" spans="1:5" ht="15">
      <c r="A1606" s="98">
        <v>3396</v>
      </c>
      <c r="B1606">
        <v>26.7</v>
      </c>
      <c r="C1606">
        <v>24.8</v>
      </c>
      <c r="D1606" t="s">
        <v>218</v>
      </c>
      <c r="E1606" s="97">
        <v>-5.11E-2</v>
      </c>
    </row>
    <row r="1607" spans="1:5" ht="15">
      <c r="A1607" s="98">
        <v>3395</v>
      </c>
      <c r="B1607">
        <v>25.15</v>
      </c>
      <c r="C1607">
        <v>24.09</v>
      </c>
      <c r="D1607" t="s">
        <v>218</v>
      </c>
      <c r="E1607" s="97">
        <v>4.4400000000000002E-2</v>
      </c>
    </row>
    <row r="1608" spans="1:5" ht="15">
      <c r="A1608" s="98">
        <v>3394</v>
      </c>
      <c r="B1608">
        <v>25.11</v>
      </c>
      <c r="C1608">
        <v>23.74</v>
      </c>
      <c r="D1608" t="s">
        <v>218</v>
      </c>
      <c r="E1608" s="97">
        <v>5.9999999999999995E-4</v>
      </c>
    </row>
    <row r="1609" spans="1:5" ht="15">
      <c r="A1609" s="98">
        <v>3393</v>
      </c>
      <c r="B1609">
        <v>24.03</v>
      </c>
      <c r="C1609">
        <v>23.29</v>
      </c>
      <c r="D1609" t="s">
        <v>218</v>
      </c>
      <c r="E1609" s="97">
        <v>-0.1779</v>
      </c>
    </row>
    <row r="1610" spans="1:5" ht="15">
      <c r="A1610" s="98">
        <v>3392</v>
      </c>
      <c r="B1610">
        <v>26.15</v>
      </c>
      <c r="C1610">
        <v>24.85</v>
      </c>
      <c r="D1610" t="s">
        <v>218</v>
      </c>
      <c r="E1610" s="97">
        <v>0.13450000000000001</v>
      </c>
    </row>
    <row r="1611" spans="1:5" ht="15">
      <c r="A1611" s="98">
        <v>3391</v>
      </c>
      <c r="B1611">
        <v>27.9</v>
      </c>
      <c r="C1611">
        <v>25.98</v>
      </c>
      <c r="D1611" t="s">
        <v>218</v>
      </c>
      <c r="E1611" s="97">
        <v>5.7099999999999998E-2</v>
      </c>
    </row>
    <row r="1612" spans="1:5" ht="15">
      <c r="A1612" s="98">
        <v>3390</v>
      </c>
      <c r="B1612">
        <v>26.12</v>
      </c>
      <c r="C1612">
        <v>24.97</v>
      </c>
      <c r="D1612" t="s">
        <v>218</v>
      </c>
      <c r="E1612" s="97">
        <v>0.1084</v>
      </c>
    </row>
    <row r="1613" spans="1:5" ht="15">
      <c r="A1613" s="98">
        <v>3389</v>
      </c>
      <c r="B1613">
        <v>26.73</v>
      </c>
      <c r="C1613">
        <v>24.19</v>
      </c>
      <c r="D1613" t="s">
        <v>218</v>
      </c>
      <c r="E1613" s="97">
        <v>-3.1399999999999997E-2</v>
      </c>
    </row>
    <row r="1614" spans="1:5" ht="15">
      <c r="A1614" s="98">
        <v>3388</v>
      </c>
      <c r="B1614">
        <v>25.03</v>
      </c>
      <c r="C1614">
        <v>23.85</v>
      </c>
      <c r="D1614" t="s">
        <v>218</v>
      </c>
      <c r="E1614" s="97">
        <v>0.1416</v>
      </c>
    </row>
    <row r="1615" spans="1:5" ht="15">
      <c r="A1615" s="98">
        <v>3387</v>
      </c>
      <c r="B1615">
        <v>24.91</v>
      </c>
      <c r="C1615">
        <v>24.2</v>
      </c>
      <c r="D1615" t="s">
        <v>218</v>
      </c>
      <c r="E1615" s="97">
        <v>-4.2500000000000003E-2</v>
      </c>
    </row>
    <row r="1616" spans="1:5" ht="15">
      <c r="A1616" s="98">
        <v>3386</v>
      </c>
      <c r="B1616">
        <v>24.78</v>
      </c>
      <c r="C1616">
        <v>23.6</v>
      </c>
      <c r="D1616" t="s">
        <v>218</v>
      </c>
      <c r="E1616" s="97">
        <v>-3.73E-2</v>
      </c>
    </row>
    <row r="1617" spans="1:5" ht="15">
      <c r="A1617" s="98">
        <v>3385</v>
      </c>
      <c r="B1617">
        <v>24.09</v>
      </c>
      <c r="C1617">
        <v>23.23</v>
      </c>
      <c r="D1617" t="s">
        <v>218</v>
      </c>
      <c r="E1617" s="97">
        <v>2.1999999999999999E-2</v>
      </c>
    </row>
    <row r="1618" spans="1:5" ht="15">
      <c r="A1618" s="98">
        <v>3384</v>
      </c>
      <c r="B1618">
        <v>23.21</v>
      </c>
      <c r="C1618">
        <v>22.32</v>
      </c>
      <c r="D1618" t="s">
        <v>218</v>
      </c>
      <c r="E1618" s="97">
        <v>-7.3999999999999996E-2</v>
      </c>
    </row>
    <row r="1619" spans="1:5" ht="15">
      <c r="A1619" s="98">
        <v>3383</v>
      </c>
      <c r="B1619">
        <v>21.68</v>
      </c>
      <c r="C1619">
        <v>21.3</v>
      </c>
      <c r="D1619" t="s">
        <v>218</v>
      </c>
      <c r="E1619" s="97">
        <v>-0.1164</v>
      </c>
    </row>
    <row r="1620" spans="1:5" ht="15">
      <c r="A1620" s="98">
        <v>3382</v>
      </c>
      <c r="B1620">
        <v>23.29</v>
      </c>
      <c r="C1620">
        <v>22.59</v>
      </c>
      <c r="D1620" t="s">
        <v>218</v>
      </c>
      <c r="E1620" s="97">
        <v>0.13320000000000001</v>
      </c>
    </row>
    <row r="1621" spans="1:5" ht="15">
      <c r="A1621" s="98">
        <v>3381</v>
      </c>
      <c r="B1621">
        <v>23.24</v>
      </c>
      <c r="C1621">
        <v>22.72</v>
      </c>
      <c r="D1621" t="s">
        <v>218</v>
      </c>
      <c r="E1621" s="97">
        <v>-8.8000000000000005E-3</v>
      </c>
    </row>
    <row r="1622" spans="1:5" ht="15">
      <c r="A1622" s="98">
        <v>3380</v>
      </c>
      <c r="B1622">
        <v>23.4</v>
      </c>
      <c r="C1622">
        <v>22.34</v>
      </c>
      <c r="D1622" t="s">
        <v>218</v>
      </c>
      <c r="E1622" s="97">
        <v>-0.13009999999999999</v>
      </c>
    </row>
    <row r="1623" spans="1:5" ht="15">
      <c r="A1623" s="98">
        <v>3379</v>
      </c>
      <c r="B1623">
        <v>23.53</v>
      </c>
      <c r="C1623">
        <v>22.77</v>
      </c>
      <c r="D1623" t="s">
        <v>218</v>
      </c>
      <c r="E1623" s="97">
        <v>0.14729999999999999</v>
      </c>
    </row>
    <row r="1624" spans="1:5" ht="15">
      <c r="A1624" s="98">
        <v>3378</v>
      </c>
      <c r="B1624">
        <v>22.49</v>
      </c>
      <c r="C1624">
        <v>21.99</v>
      </c>
      <c r="D1624" t="s">
        <v>218</v>
      </c>
      <c r="E1624" s="97">
        <v>9.0999999999999998E-2</v>
      </c>
    </row>
    <row r="1625" spans="1:5" ht="15">
      <c r="A1625" s="98">
        <v>3377</v>
      </c>
      <c r="B1625">
        <v>22.75</v>
      </c>
      <c r="C1625">
        <v>22.13</v>
      </c>
      <c r="D1625" t="s">
        <v>218</v>
      </c>
      <c r="E1625" s="97">
        <v>2.5600000000000001E-2</v>
      </c>
    </row>
    <row r="1626" spans="1:5" ht="15">
      <c r="A1626" s="98">
        <v>3376</v>
      </c>
      <c r="B1626">
        <v>23.39</v>
      </c>
      <c r="C1626">
        <v>21.6</v>
      </c>
      <c r="D1626" t="s">
        <v>218</v>
      </c>
      <c r="E1626" s="97">
        <v>3.9899999999999998E-2</v>
      </c>
    </row>
    <row r="1627" spans="1:5" ht="15">
      <c r="A1627" s="98">
        <v>3375</v>
      </c>
      <c r="B1627">
        <v>21.74</v>
      </c>
      <c r="C1627">
        <v>21</v>
      </c>
      <c r="D1627" t="s">
        <v>218</v>
      </c>
      <c r="E1627" s="97">
        <v>-2.07E-2</v>
      </c>
    </row>
    <row r="1628" spans="1:5" ht="15">
      <c r="A1628" s="98">
        <v>3374</v>
      </c>
      <c r="B1628">
        <v>21.63</v>
      </c>
      <c r="C1628">
        <v>20.52</v>
      </c>
      <c r="D1628" t="s">
        <v>218</v>
      </c>
      <c r="E1628" s="97">
        <v>1.7100000000000001E-2</v>
      </c>
    </row>
    <row r="1629" spans="1:5" ht="15">
      <c r="A1629" s="98">
        <v>3373</v>
      </c>
      <c r="B1629">
        <v>20.9</v>
      </c>
      <c r="C1629">
        <v>20.3</v>
      </c>
      <c r="D1629" t="s">
        <v>218</v>
      </c>
      <c r="E1629" s="97">
        <v>-5.1700000000000003E-2</v>
      </c>
    </row>
    <row r="1630" spans="1:5" ht="15">
      <c r="A1630" s="98">
        <v>3372</v>
      </c>
      <c r="B1630">
        <v>21.36</v>
      </c>
      <c r="C1630">
        <v>20.34</v>
      </c>
      <c r="D1630" t="s">
        <v>218</v>
      </c>
      <c r="E1630" s="97">
        <v>1.4200000000000001E-2</v>
      </c>
    </row>
    <row r="1631" spans="1:5" ht="15">
      <c r="A1631" s="98">
        <v>3371</v>
      </c>
      <c r="B1631">
        <v>21.23</v>
      </c>
      <c r="C1631">
        <v>20.7</v>
      </c>
      <c r="D1631" t="s">
        <v>218</v>
      </c>
      <c r="E1631" s="97">
        <v>-5.2600000000000001E-2</v>
      </c>
    </row>
    <row r="1632" spans="1:5" ht="15">
      <c r="A1632" s="98">
        <v>3370</v>
      </c>
      <c r="B1632">
        <v>21.25</v>
      </c>
      <c r="C1632">
        <v>20.46</v>
      </c>
      <c r="D1632" t="s">
        <v>218</v>
      </c>
      <c r="E1632" s="97">
        <v>6.3399999999999998E-2</v>
      </c>
    </row>
    <row r="1633" spans="1:5" ht="15">
      <c r="A1633" s="98">
        <v>3369</v>
      </c>
      <c r="B1633">
        <v>22.29</v>
      </c>
      <c r="C1633">
        <v>21.43</v>
      </c>
      <c r="D1633" t="s">
        <v>218</v>
      </c>
      <c r="E1633" s="97">
        <v>1.38E-2</v>
      </c>
    </row>
    <row r="1634" spans="1:5" ht="15">
      <c r="A1634" s="98">
        <v>3368</v>
      </c>
      <c r="B1634">
        <v>22.82</v>
      </c>
      <c r="C1634">
        <v>22.02</v>
      </c>
      <c r="D1634" t="s">
        <v>218</v>
      </c>
      <c r="E1634" s="97">
        <v>-1.7999999999999999E-2</v>
      </c>
    </row>
    <row r="1635" spans="1:5" ht="15">
      <c r="A1635" s="98">
        <v>3367</v>
      </c>
      <c r="B1635">
        <v>25.01</v>
      </c>
      <c r="C1635">
        <v>22.45</v>
      </c>
      <c r="D1635" t="s">
        <v>218</v>
      </c>
      <c r="E1635" s="97">
        <v>4.2299999999999997E-2</v>
      </c>
    </row>
    <row r="1636" spans="1:5" ht="15">
      <c r="A1636" s="98">
        <v>3366</v>
      </c>
      <c r="B1636">
        <v>22.17</v>
      </c>
      <c r="C1636">
        <v>21.64</v>
      </c>
      <c r="D1636" t="s">
        <v>218</v>
      </c>
      <c r="E1636" s="97">
        <v>-5.5500000000000001E-2</v>
      </c>
    </row>
    <row r="1637" spans="1:5" ht="15">
      <c r="A1637" s="98">
        <v>3365</v>
      </c>
      <c r="B1637">
        <v>21.87</v>
      </c>
      <c r="C1637">
        <v>19.989999999999998</v>
      </c>
      <c r="D1637" t="s">
        <v>218</v>
      </c>
      <c r="E1637" s="97">
        <v>6.9999999999999999E-4</v>
      </c>
    </row>
    <row r="1638" spans="1:5" ht="15">
      <c r="A1638" s="98">
        <v>3364</v>
      </c>
      <c r="B1638">
        <v>21.16</v>
      </c>
      <c r="C1638">
        <v>19.63</v>
      </c>
      <c r="D1638" t="s">
        <v>218</v>
      </c>
      <c r="E1638" s="97">
        <v>-3.6400000000000002E-2</v>
      </c>
    </row>
    <row r="1639" spans="1:5" ht="15">
      <c r="A1639" s="98">
        <v>3363</v>
      </c>
      <c r="B1639">
        <v>19.78</v>
      </c>
      <c r="C1639">
        <v>19.39</v>
      </c>
      <c r="D1639" t="s">
        <v>218</v>
      </c>
      <c r="E1639" s="97">
        <v>3.5999999999999999E-3</v>
      </c>
    </row>
    <row r="1640" spans="1:5" ht="15">
      <c r="A1640" s="98">
        <v>3362</v>
      </c>
      <c r="B1640">
        <v>20.51</v>
      </c>
      <c r="C1640">
        <v>19.829999999999998</v>
      </c>
      <c r="D1640" t="s">
        <v>218</v>
      </c>
      <c r="E1640" s="97">
        <v>7.8E-2</v>
      </c>
    </row>
    <row r="1641" spans="1:5" ht="15">
      <c r="A1641" s="98">
        <v>3361</v>
      </c>
      <c r="B1641">
        <v>21.65</v>
      </c>
      <c r="C1641">
        <v>20.56</v>
      </c>
      <c r="D1641" t="s">
        <v>218</v>
      </c>
      <c r="E1641" s="97">
        <v>-4.7800000000000002E-2</v>
      </c>
    </row>
    <row r="1642" spans="1:5" ht="15">
      <c r="A1642" s="98">
        <v>3360</v>
      </c>
      <c r="B1642">
        <v>21.51</v>
      </c>
      <c r="C1642">
        <v>20.76</v>
      </c>
      <c r="D1642" t="s">
        <v>218</v>
      </c>
      <c r="E1642" s="97">
        <v>5.5899999999999998E-2</v>
      </c>
    </row>
    <row r="1643" spans="1:5" ht="15">
      <c r="A1643" s="98">
        <v>3359</v>
      </c>
      <c r="B1643">
        <v>20.25</v>
      </c>
      <c r="C1643">
        <v>19.170000000000002</v>
      </c>
      <c r="D1643" t="s">
        <v>218</v>
      </c>
      <c r="E1643" s="97">
        <v>-2.5000000000000001E-2</v>
      </c>
    </row>
    <row r="1644" spans="1:5" ht="15">
      <c r="A1644" s="98">
        <v>3358</v>
      </c>
      <c r="B1644">
        <v>20.63</v>
      </c>
      <c r="C1644">
        <v>20.079999999999998</v>
      </c>
      <c r="D1644" t="s">
        <v>218</v>
      </c>
      <c r="E1644" s="97">
        <v>4.5999999999999999E-3</v>
      </c>
    </row>
    <row r="1645" spans="1:5" ht="15">
      <c r="A1645" s="98">
        <v>3357</v>
      </c>
      <c r="B1645">
        <v>20.45</v>
      </c>
      <c r="C1645">
        <v>19.43</v>
      </c>
      <c r="D1645" t="s">
        <v>218</v>
      </c>
      <c r="E1645" s="97">
        <v>1.8599999999999998E-2</v>
      </c>
    </row>
    <row r="1646" spans="1:5" ht="15">
      <c r="A1646" s="98">
        <v>3356</v>
      </c>
      <c r="B1646">
        <v>20.3</v>
      </c>
      <c r="C1646">
        <v>19.940000000000001</v>
      </c>
      <c r="D1646" t="s">
        <v>218</v>
      </c>
      <c r="E1646" s="97">
        <v>-1.38E-2</v>
      </c>
    </row>
    <row r="1647" spans="1:5" ht="15">
      <c r="A1647" s="98">
        <v>3355</v>
      </c>
      <c r="B1647">
        <v>20.170000000000002</v>
      </c>
      <c r="C1647">
        <v>19.760000000000002</v>
      </c>
      <c r="D1647" t="s">
        <v>218</v>
      </c>
      <c r="E1647" s="97">
        <v>8.0000000000000004E-4</v>
      </c>
    </row>
    <row r="1648" spans="1:5" ht="15">
      <c r="A1648" s="98">
        <v>3354</v>
      </c>
      <c r="B1648">
        <v>19.59</v>
      </c>
      <c r="C1648">
        <v>19.21</v>
      </c>
      <c r="D1648" t="s">
        <v>218</v>
      </c>
      <c r="E1648" s="97">
        <v>-3.1800000000000002E-2</v>
      </c>
    </row>
    <row r="1649" spans="1:5" ht="15">
      <c r="A1649" s="98">
        <v>3353</v>
      </c>
      <c r="B1649">
        <v>20.13</v>
      </c>
      <c r="C1649">
        <v>19.13</v>
      </c>
      <c r="D1649" t="s">
        <v>218</v>
      </c>
      <c r="E1649" s="97">
        <v>-4.99E-2</v>
      </c>
    </row>
    <row r="1650" spans="1:5" ht="15">
      <c r="A1650" s="98">
        <v>3352</v>
      </c>
      <c r="B1650">
        <v>19.920000000000002</v>
      </c>
      <c r="C1650">
        <v>19.329999999999998</v>
      </c>
      <c r="D1650" t="s">
        <v>218</v>
      </c>
      <c r="E1650" s="97">
        <v>0.14219999999999999</v>
      </c>
    </row>
    <row r="1651" spans="1:5" ht="15">
      <c r="A1651" s="98">
        <v>3351</v>
      </c>
      <c r="B1651">
        <v>19.829999999999998</v>
      </c>
      <c r="C1651">
        <v>19.190000000000001</v>
      </c>
      <c r="D1651" t="s">
        <v>218</v>
      </c>
      <c r="E1651" s="97">
        <v>-2.6599999999999999E-2</v>
      </c>
    </row>
    <row r="1652" spans="1:5" ht="15">
      <c r="A1652" s="98">
        <v>3350</v>
      </c>
      <c r="B1652">
        <v>19.190000000000001</v>
      </c>
      <c r="C1652">
        <v>18.87</v>
      </c>
      <c r="D1652" t="s">
        <v>218</v>
      </c>
      <c r="E1652" s="97">
        <v>-3.1800000000000002E-2</v>
      </c>
    </row>
    <row r="1653" spans="1:5" ht="15">
      <c r="A1653" s="98">
        <v>3349</v>
      </c>
      <c r="B1653">
        <v>19.39</v>
      </c>
      <c r="C1653">
        <v>18.77</v>
      </c>
      <c r="D1653" t="s">
        <v>218</v>
      </c>
      <c r="E1653" s="97">
        <v>6.8999999999999999E-3</v>
      </c>
    </row>
    <row r="1654" spans="1:5" ht="15">
      <c r="A1654" s="98">
        <v>3348</v>
      </c>
      <c r="B1654">
        <v>19.989999999999998</v>
      </c>
      <c r="C1654">
        <v>19.170000000000002</v>
      </c>
      <c r="D1654" t="s">
        <v>218</v>
      </c>
      <c r="E1654" s="97">
        <v>6.1000000000000004E-3</v>
      </c>
    </row>
    <row r="1655" spans="1:5" ht="15">
      <c r="A1655" s="98">
        <v>3347</v>
      </c>
      <c r="B1655">
        <v>19.739999999999998</v>
      </c>
      <c r="C1655">
        <v>19.350000000000001</v>
      </c>
      <c r="D1655" t="s">
        <v>218</v>
      </c>
      <c r="E1655" s="97">
        <v>8.0399999999999999E-2</v>
      </c>
    </row>
    <row r="1656" spans="1:5" ht="15">
      <c r="A1656" s="98">
        <v>3346</v>
      </c>
      <c r="B1656">
        <v>19.989999999999998</v>
      </c>
      <c r="C1656">
        <v>19.48</v>
      </c>
      <c r="D1656" t="s">
        <v>218</v>
      </c>
      <c r="E1656" s="97">
        <v>-3.7499999999999999E-2</v>
      </c>
    </row>
    <row r="1657" spans="1:5" ht="15">
      <c r="A1657" s="98">
        <v>3345</v>
      </c>
      <c r="B1657">
        <v>20.190000000000001</v>
      </c>
      <c r="C1657">
        <v>19.260000000000002</v>
      </c>
      <c r="D1657" t="s">
        <v>218</v>
      </c>
      <c r="E1657" s="97">
        <v>9.7000000000000003E-3</v>
      </c>
    </row>
    <row r="1658" spans="1:5" ht="15">
      <c r="A1658" s="98">
        <v>3344</v>
      </c>
      <c r="B1658">
        <v>20.98</v>
      </c>
      <c r="C1658">
        <v>19.329999999999998</v>
      </c>
      <c r="D1658" t="s">
        <v>218</v>
      </c>
      <c r="E1658" s="97">
        <v>2.3099999999999999E-2</v>
      </c>
    </row>
    <row r="1659" spans="1:5" ht="15">
      <c r="A1659" s="98">
        <v>3343</v>
      </c>
      <c r="B1659">
        <v>21.17</v>
      </c>
      <c r="C1659">
        <v>20.54</v>
      </c>
      <c r="D1659" t="s">
        <v>218</v>
      </c>
      <c r="E1659" s="97">
        <v>1.34E-2</v>
      </c>
    </row>
    <row r="1660" spans="1:5" ht="15">
      <c r="A1660" s="98">
        <v>3342</v>
      </c>
      <c r="B1660">
        <v>20.84</v>
      </c>
      <c r="C1660">
        <v>20.27</v>
      </c>
      <c r="D1660" t="s">
        <v>218</v>
      </c>
      <c r="E1660" s="97">
        <v>-1.7999999999999999E-2</v>
      </c>
    </row>
    <row r="1661" spans="1:5" ht="15">
      <c r="A1661" s="98">
        <v>3341</v>
      </c>
      <c r="B1661">
        <v>20.2</v>
      </c>
      <c r="C1661">
        <v>19.82</v>
      </c>
      <c r="D1661" t="s">
        <v>218</v>
      </c>
      <c r="E1661" s="97">
        <v>-4.0099999999999997E-2</v>
      </c>
    </row>
    <row r="1662" spans="1:5" ht="15">
      <c r="A1662" s="98">
        <v>3340</v>
      </c>
      <c r="B1662">
        <v>20.38</v>
      </c>
      <c r="C1662">
        <v>19.66</v>
      </c>
      <c r="D1662" t="s">
        <v>218</v>
      </c>
      <c r="E1662" s="97">
        <v>-5.7799999999999997E-2</v>
      </c>
    </row>
    <row r="1663" spans="1:5" ht="15">
      <c r="A1663" s="98">
        <v>3339</v>
      </c>
      <c r="B1663">
        <v>18.97</v>
      </c>
      <c r="C1663">
        <v>18.53</v>
      </c>
      <c r="D1663" t="s">
        <v>218</v>
      </c>
      <c r="E1663" s="97">
        <v>6.3899999999999998E-2</v>
      </c>
    </row>
    <row r="1664" spans="1:5" ht="15">
      <c r="A1664" s="98">
        <v>3338</v>
      </c>
      <c r="B1664">
        <v>19.36</v>
      </c>
      <c r="C1664">
        <v>18.91</v>
      </c>
      <c r="D1664" t="s">
        <v>218</v>
      </c>
      <c r="E1664" s="97">
        <v>-3.5000000000000003E-2</v>
      </c>
    </row>
    <row r="1665" spans="1:5" ht="15">
      <c r="A1665" s="98">
        <v>3337</v>
      </c>
      <c r="B1665">
        <v>19.07</v>
      </c>
      <c r="C1665">
        <v>18.75</v>
      </c>
      <c r="D1665" t="s">
        <v>218</v>
      </c>
      <c r="E1665" s="97">
        <v>-6.7999999999999996E-3</v>
      </c>
    </row>
    <row r="1666" spans="1:5" ht="15">
      <c r="A1666" s="98">
        <v>3336</v>
      </c>
      <c r="B1666">
        <v>19.28</v>
      </c>
      <c r="C1666">
        <v>18.739999999999998</v>
      </c>
      <c r="D1666" t="s">
        <v>218</v>
      </c>
      <c r="E1666" s="97">
        <v>-8.0000000000000004E-4</v>
      </c>
    </row>
    <row r="1667" spans="1:5" ht="15">
      <c r="A1667" s="98">
        <v>3335</v>
      </c>
      <c r="B1667">
        <v>19.190000000000001</v>
      </c>
      <c r="C1667">
        <v>18.829999999999998</v>
      </c>
      <c r="D1667" t="s">
        <v>218</v>
      </c>
      <c r="E1667" s="97">
        <v>-1.6299999999999999E-2</v>
      </c>
    </row>
    <row r="1668" spans="1:5" ht="15">
      <c r="A1668" s="98">
        <v>3334</v>
      </c>
      <c r="B1668">
        <v>19.36</v>
      </c>
      <c r="C1668">
        <v>18.34</v>
      </c>
      <c r="D1668" t="s">
        <v>218</v>
      </c>
      <c r="E1668" s="97">
        <v>-7.3599999999999999E-2</v>
      </c>
    </row>
    <row r="1669" spans="1:5" ht="15">
      <c r="A1669" s="98">
        <v>3333</v>
      </c>
      <c r="B1669">
        <v>18.989999999999998</v>
      </c>
      <c r="C1669">
        <v>17.84</v>
      </c>
      <c r="D1669" t="s">
        <v>218</v>
      </c>
      <c r="E1669" s="97">
        <v>-7.4999999999999997E-3</v>
      </c>
    </row>
    <row r="1670" spans="1:5" ht="15">
      <c r="A1670" s="98">
        <v>3332</v>
      </c>
      <c r="B1670">
        <v>18.27</v>
      </c>
      <c r="C1670">
        <v>17.86</v>
      </c>
      <c r="D1670" t="s">
        <v>218</v>
      </c>
      <c r="E1670" s="97">
        <v>-3.3000000000000002E-2</v>
      </c>
    </row>
    <row r="1671" spans="1:5" ht="15">
      <c r="A1671" s="98">
        <v>3331</v>
      </c>
      <c r="B1671">
        <v>18.12</v>
      </c>
      <c r="C1671">
        <v>17.690000000000001</v>
      </c>
      <c r="D1671" t="s">
        <v>218</v>
      </c>
      <c r="E1671" s="97">
        <v>1.0699999999999999E-2</v>
      </c>
    </row>
    <row r="1672" spans="1:5" ht="15">
      <c r="A1672" s="98">
        <v>3330</v>
      </c>
      <c r="B1672">
        <v>18.059999999999999</v>
      </c>
      <c r="C1672">
        <v>17.39</v>
      </c>
      <c r="D1672" t="s">
        <v>218</v>
      </c>
      <c r="E1672" s="97">
        <v>0.1113</v>
      </c>
    </row>
    <row r="1673" spans="1:5" ht="15">
      <c r="A1673" s="98">
        <v>3329</v>
      </c>
      <c r="B1673">
        <v>17.510000000000002</v>
      </c>
      <c r="C1673">
        <v>16.989999999999998</v>
      </c>
      <c r="D1673" t="s">
        <v>218</v>
      </c>
      <c r="E1673" s="97">
        <v>2.4299999999999999E-2</v>
      </c>
    </row>
    <row r="1674" spans="1:5" ht="15">
      <c r="A1674" s="98">
        <v>3328</v>
      </c>
      <c r="B1674">
        <v>17.71</v>
      </c>
      <c r="C1674">
        <v>17.260000000000002</v>
      </c>
      <c r="D1674" t="s">
        <v>218</v>
      </c>
      <c r="E1674" s="97">
        <v>1.6199999999999999E-2</v>
      </c>
    </row>
    <row r="1675" spans="1:5" ht="15">
      <c r="A1675" s="98">
        <v>3327</v>
      </c>
      <c r="B1675">
        <v>17.829999999999998</v>
      </c>
      <c r="C1675">
        <v>17.27</v>
      </c>
      <c r="D1675" t="s">
        <v>218</v>
      </c>
      <c r="E1675" s="97">
        <v>1.5E-3</v>
      </c>
    </row>
    <row r="1676" spans="1:5" ht="15">
      <c r="A1676" s="98">
        <v>3326</v>
      </c>
      <c r="B1676">
        <v>17.739999999999998</v>
      </c>
      <c r="C1676">
        <v>17.34</v>
      </c>
      <c r="D1676" t="s">
        <v>218</v>
      </c>
      <c r="E1676" s="97">
        <v>6.0699999999999997E-2</v>
      </c>
    </row>
    <row r="1677" spans="1:5" ht="15">
      <c r="A1677" s="98">
        <v>3325</v>
      </c>
      <c r="B1677">
        <v>17.59</v>
      </c>
      <c r="C1677">
        <v>16.95</v>
      </c>
      <c r="D1677" t="s">
        <v>218</v>
      </c>
      <c r="E1677" s="97">
        <v>-8.14E-2</v>
      </c>
    </row>
    <row r="1678" spans="1:5" ht="15">
      <c r="A1678" s="98">
        <v>3324</v>
      </c>
      <c r="B1678">
        <v>17.059999999999999</v>
      </c>
      <c r="C1678">
        <v>16.489999999999998</v>
      </c>
      <c r="D1678" t="s">
        <v>218</v>
      </c>
      <c r="E1678" s="97">
        <v>-9.0499999999999997E-2</v>
      </c>
    </row>
    <row r="1679" spans="1:5" ht="15">
      <c r="A1679" s="98">
        <v>3323</v>
      </c>
      <c r="B1679">
        <v>17.11</v>
      </c>
      <c r="C1679">
        <v>16.28</v>
      </c>
      <c r="D1679" t="s">
        <v>218</v>
      </c>
      <c r="E1679" s="97">
        <v>-0.13100000000000001</v>
      </c>
    </row>
    <row r="1680" spans="1:5" ht="15">
      <c r="A1680" s="98">
        <v>3322</v>
      </c>
      <c r="B1680">
        <v>17.100000000000001</v>
      </c>
      <c r="C1680">
        <v>16.68</v>
      </c>
      <c r="D1680" t="s">
        <v>218</v>
      </c>
      <c r="E1680" s="97">
        <v>2.1899999999999999E-2</v>
      </c>
    </row>
    <row r="1681" spans="1:5" ht="15">
      <c r="A1681" s="98">
        <v>3321</v>
      </c>
      <c r="B1681">
        <v>17.96</v>
      </c>
      <c r="C1681">
        <v>17.11</v>
      </c>
      <c r="D1681" t="s">
        <v>218</v>
      </c>
      <c r="E1681" s="97">
        <v>-4.8599999999999997E-2</v>
      </c>
    </row>
    <row r="1682" spans="1:5" ht="15">
      <c r="A1682" s="98">
        <v>3320</v>
      </c>
      <c r="B1682">
        <v>17.45</v>
      </c>
      <c r="C1682">
        <v>16.64</v>
      </c>
      <c r="D1682" t="s">
        <v>218</v>
      </c>
      <c r="E1682" s="97">
        <v>-4.7399999999999998E-2</v>
      </c>
    </row>
    <row r="1683" spans="1:5" ht="15">
      <c r="A1683" s="98">
        <v>3319</v>
      </c>
      <c r="B1683">
        <v>17.77</v>
      </c>
      <c r="C1683">
        <v>16.47</v>
      </c>
      <c r="D1683" t="s">
        <v>218</v>
      </c>
      <c r="E1683" s="97">
        <v>0.2959</v>
      </c>
    </row>
    <row r="1684" spans="1:5" ht="15">
      <c r="A1684" s="98">
        <v>3318</v>
      </c>
      <c r="B1684">
        <v>20.059999999999999</v>
      </c>
      <c r="C1684">
        <v>19.16</v>
      </c>
      <c r="D1684" t="s">
        <v>218</v>
      </c>
      <c r="E1684" s="97">
        <v>-7.1000000000000004E-3</v>
      </c>
    </row>
    <row r="1685" spans="1:5" ht="15">
      <c r="A1685" s="98">
        <v>3317</v>
      </c>
      <c r="B1685">
        <v>20.92</v>
      </c>
      <c r="C1685">
        <v>19.7</v>
      </c>
      <c r="D1685" t="s">
        <v>218</v>
      </c>
      <c r="E1685" s="97">
        <v>-1.4E-2</v>
      </c>
    </row>
    <row r="1686" spans="1:5" ht="15">
      <c r="A1686" s="98">
        <v>3316</v>
      </c>
      <c r="B1686">
        <v>20.51</v>
      </c>
      <c r="C1686">
        <v>19.34</v>
      </c>
      <c r="D1686" t="s">
        <v>218</v>
      </c>
      <c r="E1686" s="97">
        <v>-6.2300000000000001E-2</v>
      </c>
    </row>
    <row r="1687" spans="1:5" ht="15">
      <c r="A1687" s="98">
        <v>3315</v>
      </c>
      <c r="B1687">
        <v>19.07</v>
      </c>
      <c r="C1687">
        <v>18.46</v>
      </c>
      <c r="D1687" t="s">
        <v>218</v>
      </c>
      <c r="E1687" s="97">
        <v>-4.5100000000000001E-2</v>
      </c>
    </row>
    <row r="1688" spans="1:5" ht="15">
      <c r="A1688" s="98">
        <v>3314</v>
      </c>
      <c r="B1688">
        <v>19.100000000000001</v>
      </c>
      <c r="C1688">
        <v>18.309999999999999</v>
      </c>
      <c r="D1688" t="s">
        <v>218</v>
      </c>
      <c r="E1688" s="97">
        <v>-0.187</v>
      </c>
    </row>
    <row r="1689" spans="1:5" ht="15">
      <c r="A1689" s="98">
        <v>3313</v>
      </c>
      <c r="B1689">
        <v>19.04</v>
      </c>
      <c r="C1689">
        <v>18.149999999999999</v>
      </c>
      <c r="D1689" t="s">
        <v>218</v>
      </c>
      <c r="E1689" s="97">
        <v>5.4800000000000001E-2</v>
      </c>
    </row>
    <row r="1690" spans="1:5" ht="15">
      <c r="A1690" s="98">
        <v>3312</v>
      </c>
      <c r="B1690">
        <v>18.760000000000002</v>
      </c>
      <c r="C1690">
        <v>18.16</v>
      </c>
      <c r="D1690" t="s">
        <v>218</v>
      </c>
      <c r="E1690" s="97">
        <v>0.1764</v>
      </c>
    </row>
    <row r="1691" spans="1:5" ht="15">
      <c r="A1691" s="98">
        <v>3311</v>
      </c>
      <c r="B1691">
        <v>18.510000000000002</v>
      </c>
      <c r="C1691">
        <v>17.96</v>
      </c>
      <c r="D1691" t="s">
        <v>218</v>
      </c>
      <c r="E1691" s="97">
        <v>2.5899999999999999E-2</v>
      </c>
    </row>
    <row r="1692" spans="1:5" ht="15">
      <c r="A1692" s="98">
        <v>3310</v>
      </c>
      <c r="B1692">
        <v>18.72</v>
      </c>
      <c r="C1692">
        <v>18.010000000000002</v>
      </c>
      <c r="D1692" t="s">
        <v>218</v>
      </c>
      <c r="E1692" s="97">
        <v>-0.1578</v>
      </c>
    </row>
    <row r="1693" spans="1:5" ht="15">
      <c r="A1693" s="98">
        <v>3309</v>
      </c>
      <c r="B1693">
        <v>20.350000000000001</v>
      </c>
      <c r="C1693">
        <v>18.78</v>
      </c>
      <c r="D1693" t="s">
        <v>218</v>
      </c>
      <c r="E1693" s="97">
        <v>0.64219999999999999</v>
      </c>
    </row>
    <row r="1694" spans="1:5" ht="15">
      <c r="A1694" s="98">
        <v>3308</v>
      </c>
      <c r="B1694">
        <v>20.25</v>
      </c>
      <c r="C1694">
        <v>19.54</v>
      </c>
      <c r="D1694" t="s">
        <v>218</v>
      </c>
      <c r="E1694" s="97">
        <v>5.3900000000000003E-2</v>
      </c>
    </row>
    <row r="1695" spans="1:5" ht="15">
      <c r="A1695" s="98">
        <v>3307</v>
      </c>
      <c r="B1695">
        <v>21.18</v>
      </c>
      <c r="C1695">
        <v>19.920000000000002</v>
      </c>
      <c r="D1695" t="s">
        <v>218</v>
      </c>
      <c r="E1695" s="97">
        <v>3.9300000000000002E-2</v>
      </c>
    </row>
    <row r="1696" spans="1:5" ht="15">
      <c r="A1696" s="98">
        <v>3306</v>
      </c>
      <c r="B1696">
        <v>20.71</v>
      </c>
      <c r="C1696">
        <v>20.010000000000002</v>
      </c>
      <c r="D1696" t="s">
        <v>218</v>
      </c>
      <c r="E1696" s="97">
        <v>-2E-3</v>
      </c>
    </row>
    <row r="1697" spans="1:5" ht="15">
      <c r="A1697" s="98">
        <v>3305</v>
      </c>
      <c r="B1697">
        <v>22.66</v>
      </c>
      <c r="C1697">
        <v>20.74</v>
      </c>
      <c r="D1697" t="s">
        <v>218</v>
      </c>
      <c r="E1697" s="97">
        <v>-3.8999999999999998E-3</v>
      </c>
    </row>
    <row r="1698" spans="1:5" ht="15">
      <c r="A1698" s="98">
        <v>3304</v>
      </c>
      <c r="B1698">
        <v>21.66</v>
      </c>
      <c r="C1698">
        <v>20.66</v>
      </c>
      <c r="D1698" t="s">
        <v>218</v>
      </c>
      <c r="E1698" s="97">
        <v>2.1999999999999999E-2</v>
      </c>
    </row>
    <row r="1699" spans="1:5" ht="15">
      <c r="A1699" s="98">
        <v>3303</v>
      </c>
      <c r="B1699">
        <v>22.09</v>
      </c>
      <c r="C1699">
        <v>21.1</v>
      </c>
      <c r="D1699" t="s">
        <v>218</v>
      </c>
      <c r="E1699" s="97">
        <v>-1.9599999999999999E-2</v>
      </c>
    </row>
    <row r="1700" spans="1:5" ht="15">
      <c r="A1700" s="98">
        <v>3302</v>
      </c>
      <c r="B1700">
        <v>22.1</v>
      </c>
      <c r="C1700">
        <v>21.39</v>
      </c>
      <c r="D1700" t="s">
        <v>218</v>
      </c>
      <c r="E1700" s="97">
        <v>-1E-3</v>
      </c>
    </row>
    <row r="1701" spans="1:5" ht="15">
      <c r="A1701" s="98">
        <v>3301</v>
      </c>
      <c r="B1701">
        <v>21.31</v>
      </c>
      <c r="C1701">
        <v>19.399999999999999</v>
      </c>
      <c r="D1701" t="s">
        <v>218</v>
      </c>
      <c r="E1701" s="97">
        <v>-1.06E-2</v>
      </c>
    </row>
    <row r="1702" spans="1:5" ht="15">
      <c r="A1702" s="98">
        <v>3300</v>
      </c>
      <c r="B1702">
        <v>20.57</v>
      </c>
      <c r="C1702">
        <v>19.8</v>
      </c>
      <c r="D1702" t="s">
        <v>218</v>
      </c>
      <c r="E1702" s="97">
        <v>-0.1094</v>
      </c>
    </row>
    <row r="1703" spans="1:5" ht="15">
      <c r="A1703" s="98">
        <v>3299</v>
      </c>
      <c r="B1703">
        <v>21.56</v>
      </c>
      <c r="C1703">
        <v>20.8</v>
      </c>
      <c r="D1703" t="s">
        <v>218</v>
      </c>
      <c r="E1703" s="97">
        <v>4.5900000000000003E-2</v>
      </c>
    </row>
    <row r="1704" spans="1:5" ht="15">
      <c r="A1704" s="98">
        <v>3298</v>
      </c>
      <c r="B1704">
        <v>21.85</v>
      </c>
      <c r="C1704">
        <v>20.41</v>
      </c>
      <c r="D1704" t="s">
        <v>218</v>
      </c>
      <c r="E1704" s="97">
        <v>6.3200000000000006E-2</v>
      </c>
    </row>
    <row r="1705" spans="1:5" ht="15">
      <c r="A1705" s="98">
        <v>3297</v>
      </c>
      <c r="B1705">
        <v>22.66</v>
      </c>
      <c r="C1705">
        <v>21.21</v>
      </c>
      <c r="D1705" t="s">
        <v>218</v>
      </c>
      <c r="E1705" s="97">
        <v>1.1599999999999999E-2</v>
      </c>
    </row>
    <row r="1706" spans="1:5" ht="15">
      <c r="A1706" s="98">
        <v>3296</v>
      </c>
      <c r="B1706">
        <v>21.3</v>
      </c>
      <c r="C1706">
        <v>20.65</v>
      </c>
      <c r="D1706" t="s">
        <v>218</v>
      </c>
      <c r="E1706" s="97">
        <v>-3.1E-2</v>
      </c>
    </row>
    <row r="1707" spans="1:5" ht="15">
      <c r="A1707" s="98">
        <v>3295</v>
      </c>
      <c r="B1707">
        <v>23.35</v>
      </c>
      <c r="C1707">
        <v>20.43</v>
      </c>
      <c r="D1707" t="s">
        <v>218</v>
      </c>
      <c r="E1707" s="97">
        <v>9.4999999999999998E-3</v>
      </c>
    </row>
    <row r="1708" spans="1:5" ht="15">
      <c r="A1708" s="98">
        <v>3294</v>
      </c>
      <c r="B1708">
        <v>24.67</v>
      </c>
      <c r="C1708">
        <v>23.63</v>
      </c>
      <c r="D1708" t="s">
        <v>218</v>
      </c>
      <c r="E1708" s="97">
        <v>4.6600000000000003E-2</v>
      </c>
    </row>
    <row r="1709" spans="1:5" ht="15">
      <c r="A1709" s="98">
        <v>3293</v>
      </c>
      <c r="B1709">
        <v>25.02</v>
      </c>
      <c r="C1709">
        <v>23.72</v>
      </c>
      <c r="D1709" t="s">
        <v>218</v>
      </c>
      <c r="E1709" s="97">
        <v>-2.23E-2</v>
      </c>
    </row>
    <row r="1710" spans="1:5" ht="15">
      <c r="A1710" s="98">
        <v>3292</v>
      </c>
      <c r="B1710">
        <v>28.37</v>
      </c>
      <c r="C1710">
        <v>26.09</v>
      </c>
      <c r="D1710" t="s">
        <v>218</v>
      </c>
      <c r="E1710" s="97">
        <v>-1.06E-2</v>
      </c>
    </row>
    <row r="1711" spans="1:5" ht="15">
      <c r="A1711" s="98">
        <v>3291</v>
      </c>
      <c r="B1711">
        <v>30.55</v>
      </c>
      <c r="C1711">
        <v>26.95</v>
      </c>
      <c r="D1711" t="s">
        <v>218</v>
      </c>
      <c r="E1711" s="97">
        <v>-4.9299999999999997E-2</v>
      </c>
    </row>
    <row r="1712" spans="1:5" ht="15">
      <c r="A1712" s="98">
        <v>3290</v>
      </c>
      <c r="B1712">
        <v>29.42</v>
      </c>
      <c r="C1712">
        <v>27.5</v>
      </c>
      <c r="D1712" t="s">
        <v>218</v>
      </c>
      <c r="E1712" s="97">
        <v>-4.2799999999999998E-2</v>
      </c>
    </row>
    <row r="1713" spans="1:5" ht="15">
      <c r="A1713" s="98">
        <v>3289</v>
      </c>
      <c r="B1713">
        <v>27.65</v>
      </c>
      <c r="C1713">
        <v>26.59</v>
      </c>
      <c r="D1713" t="s">
        <v>218</v>
      </c>
      <c r="E1713" s="97">
        <v>2.8799999999999999E-2</v>
      </c>
    </row>
    <row r="1714" spans="1:5" ht="15">
      <c r="A1714" s="98">
        <v>3288</v>
      </c>
      <c r="B1714">
        <v>28.29</v>
      </c>
      <c r="C1714">
        <v>26.19</v>
      </c>
      <c r="D1714" t="s">
        <v>218</v>
      </c>
      <c r="E1714" s="97">
        <v>-8.0000000000000002E-3</v>
      </c>
    </row>
    <row r="1715" spans="1:5" ht="15">
      <c r="A1715" s="98">
        <v>3287</v>
      </c>
      <c r="B1715">
        <v>30.8</v>
      </c>
      <c r="C1715">
        <v>28.17</v>
      </c>
      <c r="D1715" t="s">
        <v>218</v>
      </c>
      <c r="E1715" s="97">
        <v>0.13450000000000001</v>
      </c>
    </row>
    <row r="1716" spans="1:5" ht="15">
      <c r="A1716" s="98">
        <v>3286</v>
      </c>
      <c r="B1716">
        <v>27.02</v>
      </c>
      <c r="C1716">
        <v>24.85</v>
      </c>
      <c r="D1716" t="s">
        <v>218</v>
      </c>
      <c r="E1716" s="97">
        <v>-4.3499999999999997E-2</v>
      </c>
    </row>
    <row r="1717" spans="1:5" ht="15">
      <c r="A1717" s="98">
        <v>3285</v>
      </c>
      <c r="B1717">
        <v>24.63</v>
      </c>
      <c r="C1717">
        <v>23.02</v>
      </c>
      <c r="D1717" t="s">
        <v>218</v>
      </c>
      <c r="E1717" s="97">
        <v>-3.9899999999999998E-2</v>
      </c>
    </row>
    <row r="1718" spans="1:5" ht="15">
      <c r="A1718" s="98">
        <v>3284</v>
      </c>
      <c r="B1718">
        <v>25.13</v>
      </c>
      <c r="C1718">
        <v>24.27</v>
      </c>
      <c r="D1718" t="s">
        <v>218</v>
      </c>
      <c r="E1718" s="97">
        <v>3.56E-2</v>
      </c>
    </row>
    <row r="1719" spans="1:5" ht="15">
      <c r="A1719" s="98">
        <v>3283</v>
      </c>
      <c r="B1719">
        <v>24.81</v>
      </c>
      <c r="C1719">
        <v>23.6</v>
      </c>
      <c r="D1719" t="s">
        <v>218</v>
      </c>
      <c r="E1719" s="97">
        <v>-4.1500000000000002E-2</v>
      </c>
    </row>
    <row r="1720" spans="1:5" ht="15">
      <c r="A1720" s="98">
        <v>3282</v>
      </c>
      <c r="B1720">
        <v>26.78</v>
      </c>
      <c r="C1720">
        <v>25.01</v>
      </c>
      <c r="D1720" t="s">
        <v>218</v>
      </c>
      <c r="E1720" s="97">
        <v>2.46E-2</v>
      </c>
    </row>
    <row r="1721" spans="1:5" ht="15">
      <c r="A1721" s="98">
        <v>3281</v>
      </c>
      <c r="B1721">
        <v>30.08</v>
      </c>
      <c r="C1721">
        <v>26.43</v>
      </c>
      <c r="D1721" t="s">
        <v>218</v>
      </c>
      <c r="E1721" s="97">
        <v>-1.4E-2</v>
      </c>
    </row>
    <row r="1722" spans="1:5" ht="15">
      <c r="A1722" s="98">
        <v>3280</v>
      </c>
      <c r="B1722">
        <v>28.05</v>
      </c>
      <c r="C1722">
        <v>26.47</v>
      </c>
      <c r="D1722" t="s">
        <v>218</v>
      </c>
      <c r="E1722" s="97">
        <v>5.8099999999999999E-2</v>
      </c>
    </row>
    <row r="1723" spans="1:5" ht="15">
      <c r="A1723" s="98">
        <v>3279</v>
      </c>
      <c r="B1723">
        <v>26.48</v>
      </c>
      <c r="C1723">
        <v>25.07</v>
      </c>
      <c r="D1723" t="s">
        <v>218</v>
      </c>
      <c r="E1723" s="97">
        <v>-6.6199999999999995E-2</v>
      </c>
    </row>
    <row r="1724" spans="1:5" ht="15">
      <c r="A1724" s="98">
        <v>3278</v>
      </c>
      <c r="B1724">
        <v>24.87</v>
      </c>
      <c r="C1724">
        <v>23.37</v>
      </c>
      <c r="D1724" t="s">
        <v>218</v>
      </c>
      <c r="E1724" s="97">
        <v>-5.2299999999999999E-2</v>
      </c>
    </row>
    <row r="1725" spans="1:5" ht="15">
      <c r="A1725" s="98">
        <v>3277</v>
      </c>
      <c r="B1725">
        <v>24.86</v>
      </c>
      <c r="C1725">
        <v>23.91</v>
      </c>
      <c r="D1725" t="s">
        <v>218</v>
      </c>
      <c r="E1725" s="97">
        <v>-3.6900000000000002E-2</v>
      </c>
    </row>
    <row r="1726" spans="1:5" ht="15">
      <c r="A1726" s="98">
        <v>3276</v>
      </c>
      <c r="B1726">
        <v>24.24</v>
      </c>
      <c r="C1726">
        <v>23.64</v>
      </c>
      <c r="D1726" t="s">
        <v>218</v>
      </c>
      <c r="E1726" s="97">
        <v>-7.4999999999999997E-3</v>
      </c>
    </row>
    <row r="1727" spans="1:5" ht="15">
      <c r="A1727" s="98">
        <v>3275</v>
      </c>
      <c r="B1727">
        <v>24.06</v>
      </c>
      <c r="C1727">
        <v>23.51</v>
      </c>
      <c r="D1727" t="s">
        <v>218</v>
      </c>
      <c r="E1727" s="97">
        <v>-1.15E-2</v>
      </c>
    </row>
    <row r="1728" spans="1:5" ht="15">
      <c r="A1728" s="98">
        <v>3274</v>
      </c>
      <c r="B1728">
        <v>24.75</v>
      </c>
      <c r="C1728">
        <v>24.13</v>
      </c>
      <c r="D1728" t="s">
        <v>218</v>
      </c>
      <c r="E1728" s="97">
        <v>5.4699999999999999E-2</v>
      </c>
    </row>
    <row r="1729" spans="1:5" ht="15">
      <c r="A1729" s="98">
        <v>3273</v>
      </c>
      <c r="B1729">
        <v>25.41</v>
      </c>
      <c r="C1729">
        <v>24.73</v>
      </c>
      <c r="D1729" t="s">
        <v>218</v>
      </c>
      <c r="E1729" s="97">
        <v>-4.3999999999999997E-2</v>
      </c>
    </row>
    <row r="1730" spans="1:5" ht="15">
      <c r="A1730" s="98">
        <v>3272</v>
      </c>
      <c r="B1730">
        <v>25.74</v>
      </c>
      <c r="C1730">
        <v>24.87</v>
      </c>
      <c r="D1730" t="s">
        <v>218</v>
      </c>
      <c r="E1730" s="97">
        <v>4.1500000000000002E-2</v>
      </c>
    </row>
    <row r="1731" spans="1:5" ht="15">
      <c r="A1731" s="98">
        <v>3271</v>
      </c>
      <c r="B1731">
        <v>28.46</v>
      </c>
      <c r="C1731">
        <v>26.18</v>
      </c>
      <c r="D1731" t="s">
        <v>218</v>
      </c>
      <c r="E1731" s="97">
        <v>5.1900000000000002E-2</v>
      </c>
    </row>
    <row r="1732" spans="1:5" ht="15">
      <c r="A1732" s="98">
        <v>3270</v>
      </c>
      <c r="B1732">
        <v>28.81</v>
      </c>
      <c r="C1732">
        <v>28</v>
      </c>
      <c r="D1732" t="s">
        <v>218</v>
      </c>
      <c r="E1732" s="97">
        <v>3.2899999999999999E-2</v>
      </c>
    </row>
    <row r="1733" spans="1:5" ht="15">
      <c r="A1733" s="98">
        <v>3269</v>
      </c>
      <c r="B1733">
        <v>30.57</v>
      </c>
      <c r="C1733">
        <v>28.74</v>
      </c>
      <c r="D1733" t="s">
        <v>218</v>
      </c>
      <c r="E1733" s="97">
        <v>-5.5100000000000003E-2</v>
      </c>
    </row>
    <row r="1734" spans="1:5" ht="15">
      <c r="A1734" s="98">
        <v>3268</v>
      </c>
      <c r="B1734">
        <v>27.93</v>
      </c>
      <c r="C1734">
        <v>26.38</v>
      </c>
      <c r="D1734" t="s">
        <v>218</v>
      </c>
      <c r="E1734" s="97">
        <v>-8.8000000000000005E-3</v>
      </c>
    </row>
    <row r="1735" spans="1:5" ht="15">
      <c r="A1735" s="98">
        <v>3267</v>
      </c>
      <c r="B1735">
        <v>27.25</v>
      </c>
      <c r="C1735">
        <v>25.85</v>
      </c>
      <c r="D1735" t="s">
        <v>218</v>
      </c>
      <c r="E1735" s="97">
        <v>7.8799999999999995E-2</v>
      </c>
    </row>
    <row r="1736" spans="1:5" ht="15">
      <c r="A1736" s="98">
        <v>3266</v>
      </c>
      <c r="B1736">
        <v>25.82</v>
      </c>
      <c r="C1736">
        <v>24.67</v>
      </c>
      <c r="D1736" t="s">
        <v>218</v>
      </c>
      <c r="E1736" s="97">
        <v>2.63E-2</v>
      </c>
    </row>
    <row r="1737" spans="1:5" ht="15">
      <c r="A1737" s="98">
        <v>3265</v>
      </c>
      <c r="B1737">
        <v>25.88</v>
      </c>
      <c r="C1737">
        <v>24.47</v>
      </c>
      <c r="D1737" t="s">
        <v>218</v>
      </c>
      <c r="E1737" s="97">
        <v>-3.8999999999999998E-3</v>
      </c>
    </row>
    <row r="1738" spans="1:5" ht="15">
      <c r="A1738" s="98">
        <v>3264</v>
      </c>
      <c r="B1738">
        <v>27.6</v>
      </c>
      <c r="C1738">
        <v>26.37</v>
      </c>
      <c r="D1738" t="s">
        <v>218</v>
      </c>
      <c r="E1738" s="97">
        <v>-2.8299999999999999E-2</v>
      </c>
    </row>
    <row r="1739" spans="1:5" ht="15">
      <c r="A1739" s="98">
        <v>3263</v>
      </c>
      <c r="B1739">
        <v>27.64</v>
      </c>
      <c r="C1739">
        <v>26.52</v>
      </c>
      <c r="D1739" t="s">
        <v>218</v>
      </c>
      <c r="E1739" s="97">
        <v>5.4699999999999999E-2</v>
      </c>
    </row>
    <row r="1740" spans="1:5" ht="15">
      <c r="A1740" s="98">
        <v>3262</v>
      </c>
      <c r="B1740">
        <v>27.83</v>
      </c>
      <c r="C1740">
        <v>26.87</v>
      </c>
      <c r="D1740" t="s">
        <v>218</v>
      </c>
      <c r="E1740" s="97">
        <v>8.0000000000000002E-3</v>
      </c>
    </row>
    <row r="1741" spans="1:5" ht="15">
      <c r="A1741" s="98">
        <v>3261</v>
      </c>
      <c r="B1741">
        <v>27.32</v>
      </c>
      <c r="C1741">
        <v>25.99</v>
      </c>
      <c r="D1741" t="s">
        <v>218</v>
      </c>
      <c r="E1741" s="97">
        <v>-2.06E-2</v>
      </c>
    </row>
    <row r="1742" spans="1:5" ht="15">
      <c r="A1742" s="98">
        <v>3260</v>
      </c>
      <c r="B1742">
        <v>26.98</v>
      </c>
      <c r="C1742">
        <v>26.12</v>
      </c>
      <c r="D1742" t="s">
        <v>218</v>
      </c>
      <c r="E1742" s="97">
        <v>-4.41E-2</v>
      </c>
    </row>
    <row r="1743" spans="1:5" ht="15">
      <c r="A1743" s="98">
        <v>3259</v>
      </c>
      <c r="B1743">
        <v>27.84</v>
      </c>
      <c r="C1743">
        <v>26.78</v>
      </c>
      <c r="D1743" t="s">
        <v>218</v>
      </c>
      <c r="E1743" s="97">
        <v>-5.5999999999999999E-3</v>
      </c>
    </row>
    <row r="1744" spans="1:5" ht="15">
      <c r="A1744" s="98">
        <v>3258</v>
      </c>
      <c r="B1744">
        <v>28.22</v>
      </c>
      <c r="C1744">
        <v>27.3</v>
      </c>
      <c r="D1744" t="s">
        <v>218</v>
      </c>
      <c r="E1744" s="97">
        <v>-0.11269999999999999</v>
      </c>
    </row>
    <row r="1745" spans="1:5" ht="15">
      <c r="A1745" s="98">
        <v>3257</v>
      </c>
      <c r="B1745">
        <v>31.11</v>
      </c>
      <c r="C1745">
        <v>28.43</v>
      </c>
      <c r="D1745" t="s">
        <v>218</v>
      </c>
      <c r="E1745" s="97">
        <v>-4.7399999999999998E-2</v>
      </c>
    </row>
    <row r="1746" spans="1:5" ht="15">
      <c r="A1746" s="98">
        <v>3256</v>
      </c>
      <c r="B1746">
        <v>28.39</v>
      </c>
      <c r="C1746">
        <v>27.08</v>
      </c>
      <c r="D1746" t="s">
        <v>218</v>
      </c>
      <c r="E1746" s="97">
        <v>0.1183</v>
      </c>
    </row>
    <row r="1747" spans="1:5" ht="15">
      <c r="A1747" s="98">
        <v>3255</v>
      </c>
      <c r="B1747">
        <v>28.74</v>
      </c>
      <c r="C1747">
        <v>27.65</v>
      </c>
      <c r="D1747" t="s">
        <v>218</v>
      </c>
      <c r="E1747" s="97">
        <v>5.3E-3</v>
      </c>
    </row>
    <row r="1748" spans="1:5" ht="15">
      <c r="A1748" s="98">
        <v>3254</v>
      </c>
      <c r="B1748">
        <v>27.31</v>
      </c>
      <c r="C1748">
        <v>24.97</v>
      </c>
      <c r="D1748" t="s">
        <v>218</v>
      </c>
      <c r="E1748" s="97">
        <v>3.5999999999999999E-3</v>
      </c>
    </row>
    <row r="1749" spans="1:5" ht="15">
      <c r="A1749" s="98">
        <v>3253</v>
      </c>
      <c r="B1749">
        <v>25.21</v>
      </c>
      <c r="C1749">
        <v>23.89</v>
      </c>
      <c r="D1749" t="s">
        <v>218</v>
      </c>
      <c r="E1749" s="97">
        <v>-3.6900000000000002E-2</v>
      </c>
    </row>
    <row r="1750" spans="1:5" ht="15">
      <c r="A1750" s="98">
        <v>3252</v>
      </c>
      <c r="B1750">
        <v>25.55</v>
      </c>
      <c r="C1750">
        <v>24.91</v>
      </c>
      <c r="D1750" t="s">
        <v>218</v>
      </c>
      <c r="E1750" s="97">
        <v>6.8699999999999997E-2</v>
      </c>
    </row>
    <row r="1751" spans="1:5" ht="15">
      <c r="A1751" s="98">
        <v>3251</v>
      </c>
      <c r="B1751">
        <v>23.84</v>
      </c>
      <c r="C1751">
        <v>22.38</v>
      </c>
      <c r="D1751" t="s">
        <v>218</v>
      </c>
      <c r="E1751" s="97">
        <v>7.4000000000000003E-3</v>
      </c>
    </row>
    <row r="1752" spans="1:5" ht="15">
      <c r="A1752" s="98">
        <v>3250</v>
      </c>
      <c r="B1752">
        <v>23.99</v>
      </c>
      <c r="C1752">
        <v>22.81</v>
      </c>
      <c r="D1752" t="s">
        <v>218</v>
      </c>
      <c r="E1752" s="97">
        <v>-6.8000000000000005E-2</v>
      </c>
    </row>
    <row r="1753" spans="1:5" ht="15">
      <c r="A1753" s="98">
        <v>3249</v>
      </c>
      <c r="B1753">
        <v>25.36</v>
      </c>
      <c r="C1753">
        <v>23.97</v>
      </c>
      <c r="D1753" t="s">
        <v>218</v>
      </c>
      <c r="E1753" s="97">
        <v>-5.5300000000000002E-2</v>
      </c>
    </row>
    <row r="1754" spans="1:5" ht="15">
      <c r="A1754" s="98">
        <v>3248</v>
      </c>
      <c r="B1754">
        <v>24.32</v>
      </c>
      <c r="C1754">
        <v>23.3</v>
      </c>
      <c r="D1754" t="s">
        <v>218</v>
      </c>
      <c r="E1754" s="97">
        <v>0.14630000000000001</v>
      </c>
    </row>
    <row r="1755" spans="1:5" ht="15">
      <c r="A1755" s="98">
        <v>3247</v>
      </c>
      <c r="B1755">
        <v>25.41</v>
      </c>
      <c r="C1755">
        <v>23.4</v>
      </c>
      <c r="D1755" t="s">
        <v>218</v>
      </c>
      <c r="E1755" s="97">
        <v>5.8200000000000002E-2</v>
      </c>
    </row>
    <row r="1756" spans="1:5" ht="15">
      <c r="A1756" s="98">
        <v>3246</v>
      </c>
      <c r="B1756">
        <v>26.87</v>
      </c>
      <c r="C1756">
        <v>25.43</v>
      </c>
      <c r="D1756" t="s">
        <v>218</v>
      </c>
      <c r="E1756" s="97">
        <v>2.4199999999999999E-2</v>
      </c>
    </row>
    <row r="1757" spans="1:5" ht="15">
      <c r="A1757" s="98">
        <v>3245</v>
      </c>
      <c r="B1757">
        <v>27.89</v>
      </c>
      <c r="C1757">
        <v>26.43</v>
      </c>
      <c r="D1757" t="s">
        <v>218</v>
      </c>
      <c r="E1757" s="97">
        <v>-7.0000000000000001E-3</v>
      </c>
    </row>
    <row r="1758" spans="1:5" ht="15">
      <c r="A1758" s="98">
        <v>3244</v>
      </c>
      <c r="B1758">
        <v>27.54</v>
      </c>
      <c r="C1758">
        <v>25.41</v>
      </c>
      <c r="D1758" t="s">
        <v>218</v>
      </c>
      <c r="E1758" s="97">
        <v>-8.0000000000000002E-3</v>
      </c>
    </row>
    <row r="1759" spans="1:5" ht="15">
      <c r="A1759" s="98">
        <v>3243</v>
      </c>
      <c r="B1759">
        <v>32.020000000000003</v>
      </c>
      <c r="C1759">
        <v>29.43</v>
      </c>
      <c r="D1759" t="s">
        <v>218</v>
      </c>
      <c r="E1759" s="97">
        <v>-1.0800000000000001E-2</v>
      </c>
    </row>
    <row r="1760" spans="1:5" ht="15">
      <c r="A1760" s="98">
        <v>3242</v>
      </c>
      <c r="B1760">
        <v>32.32</v>
      </c>
      <c r="C1760">
        <v>29.22</v>
      </c>
      <c r="D1760" t="s">
        <v>218</v>
      </c>
      <c r="E1760" s="97">
        <v>-1.4500000000000001E-2</v>
      </c>
    </row>
    <row r="1761" spans="1:5" ht="15">
      <c r="A1761" s="98">
        <v>3241</v>
      </c>
      <c r="B1761">
        <v>28.83</v>
      </c>
      <c r="C1761">
        <v>27.55</v>
      </c>
      <c r="D1761" t="s">
        <v>218</v>
      </c>
      <c r="E1761" s="97">
        <v>-1.8100000000000002E-2</v>
      </c>
    </row>
    <row r="1762" spans="1:5" ht="15">
      <c r="A1762" s="98">
        <v>3240</v>
      </c>
      <c r="B1762">
        <v>29.13</v>
      </c>
      <c r="C1762">
        <v>28.37</v>
      </c>
      <c r="D1762" t="s">
        <v>218</v>
      </c>
      <c r="E1762" s="97">
        <v>-3.3099999999999997E-2</v>
      </c>
    </row>
    <row r="1763" spans="1:5" ht="15">
      <c r="A1763" s="98">
        <v>3239</v>
      </c>
      <c r="B1763">
        <v>28.95</v>
      </c>
      <c r="C1763">
        <v>27.96</v>
      </c>
      <c r="D1763" t="s">
        <v>218</v>
      </c>
      <c r="E1763" s="97">
        <v>6.4999999999999997E-3</v>
      </c>
    </row>
    <row r="1764" spans="1:5" ht="15">
      <c r="A1764" s="98">
        <v>3238</v>
      </c>
      <c r="B1764">
        <v>28.06</v>
      </c>
      <c r="C1764">
        <v>26.53</v>
      </c>
      <c r="D1764" t="s">
        <v>218</v>
      </c>
      <c r="E1764" s="97">
        <v>-0.02</v>
      </c>
    </row>
    <row r="1765" spans="1:5" ht="15">
      <c r="A1765" s="98">
        <v>3237</v>
      </c>
      <c r="B1765">
        <v>26.96</v>
      </c>
      <c r="C1765">
        <v>26.32</v>
      </c>
      <c r="D1765" t="s">
        <v>218</v>
      </c>
      <c r="E1765" s="97">
        <v>2.4199999999999999E-2</v>
      </c>
    </row>
    <row r="1766" spans="1:5" ht="15">
      <c r="A1766" s="98">
        <v>3236</v>
      </c>
      <c r="B1766">
        <v>30.4</v>
      </c>
      <c r="C1766">
        <v>27.92</v>
      </c>
      <c r="D1766" t="s">
        <v>218</v>
      </c>
      <c r="E1766" s="97">
        <v>-3.0700000000000002E-2</v>
      </c>
    </row>
    <row r="1767" spans="1:5" ht="15">
      <c r="A1767" s="98">
        <v>3235</v>
      </c>
      <c r="B1767">
        <v>29.96</v>
      </c>
      <c r="C1767">
        <v>25.99</v>
      </c>
      <c r="D1767" t="s">
        <v>218</v>
      </c>
      <c r="E1767" s="97">
        <v>-6.3E-3</v>
      </c>
    </row>
    <row r="1768" spans="1:5" ht="15">
      <c r="A1768" s="98">
        <v>3234</v>
      </c>
      <c r="B1768">
        <v>27.19</v>
      </c>
      <c r="C1768">
        <v>26.13</v>
      </c>
      <c r="D1768" t="s">
        <v>218</v>
      </c>
      <c r="E1768" s="97">
        <v>0</v>
      </c>
    </row>
    <row r="1769" spans="1:5" ht="15">
      <c r="A1769" s="98">
        <v>3233</v>
      </c>
      <c r="B1769">
        <v>29.04</v>
      </c>
      <c r="C1769">
        <v>27.21</v>
      </c>
      <c r="D1769" t="s">
        <v>218</v>
      </c>
      <c r="E1769" s="97">
        <v>-2.2800000000000001E-2</v>
      </c>
    </row>
    <row r="1770" spans="1:5" ht="15">
      <c r="A1770" s="98">
        <v>3232</v>
      </c>
      <c r="B1770">
        <v>30.8</v>
      </c>
      <c r="C1770">
        <v>29.72</v>
      </c>
      <c r="D1770" t="s">
        <v>218</v>
      </c>
      <c r="E1770" s="97">
        <v>-7.7999999999999996E-3</v>
      </c>
    </row>
    <row r="1771" spans="1:5" ht="15">
      <c r="A1771" s="98">
        <v>3231</v>
      </c>
      <c r="B1771">
        <v>29.53</v>
      </c>
      <c r="C1771">
        <v>27.77</v>
      </c>
      <c r="D1771" t="s">
        <v>218</v>
      </c>
      <c r="E1771" s="97">
        <v>3.6900000000000002E-2</v>
      </c>
    </row>
    <row r="1772" spans="1:5" ht="15">
      <c r="A1772" s="98">
        <v>3230</v>
      </c>
      <c r="B1772">
        <v>28.47</v>
      </c>
      <c r="C1772">
        <v>26.7</v>
      </c>
      <c r="D1772" t="s">
        <v>218</v>
      </c>
      <c r="E1772" s="97">
        <v>-8.8999999999999999E-3</v>
      </c>
    </row>
    <row r="1773" spans="1:5" ht="15">
      <c r="A1773" s="98">
        <v>3229</v>
      </c>
      <c r="B1773">
        <v>26.71</v>
      </c>
      <c r="C1773">
        <v>25.65</v>
      </c>
      <c r="D1773" t="s">
        <v>218</v>
      </c>
      <c r="E1773" s="97">
        <v>3.6999999999999998E-2</v>
      </c>
    </row>
    <row r="1774" spans="1:5" ht="15">
      <c r="A1774" s="98">
        <v>3228</v>
      </c>
      <c r="B1774">
        <v>25.48</v>
      </c>
      <c r="C1774">
        <v>24.5</v>
      </c>
      <c r="D1774" t="s">
        <v>218</v>
      </c>
      <c r="E1774" s="97">
        <v>2.2700000000000001E-2</v>
      </c>
    </row>
    <row r="1775" spans="1:5" ht="15">
      <c r="A1775" s="98">
        <v>3227</v>
      </c>
      <c r="B1775">
        <v>25.68</v>
      </c>
      <c r="C1775">
        <v>24.88</v>
      </c>
      <c r="D1775" t="s">
        <v>218</v>
      </c>
      <c r="E1775" s="97">
        <v>-9.4000000000000004E-3</v>
      </c>
    </row>
    <row r="1776" spans="1:5" ht="15">
      <c r="A1776" s="98">
        <v>3226</v>
      </c>
      <c r="B1776">
        <v>25.22</v>
      </c>
      <c r="C1776">
        <v>24.28</v>
      </c>
      <c r="D1776" t="s">
        <v>218</v>
      </c>
      <c r="E1776" s="97">
        <v>-1.11E-2</v>
      </c>
    </row>
    <row r="1777" spans="1:5" ht="15">
      <c r="A1777" s="98">
        <v>3225</v>
      </c>
      <c r="B1777">
        <v>24.53</v>
      </c>
      <c r="C1777">
        <v>23.18</v>
      </c>
      <c r="D1777" t="s">
        <v>218</v>
      </c>
      <c r="E1777" s="97">
        <v>-2.7099999999999999E-2</v>
      </c>
    </row>
    <row r="1778" spans="1:5" ht="15">
      <c r="A1778" s="98">
        <v>3224</v>
      </c>
      <c r="B1778">
        <v>24.08</v>
      </c>
      <c r="C1778">
        <v>23</v>
      </c>
      <c r="D1778" t="s">
        <v>218</v>
      </c>
      <c r="E1778" s="97">
        <v>4.2299999999999997E-2</v>
      </c>
    </row>
    <row r="1779" spans="1:5" ht="15">
      <c r="A1779" s="98">
        <v>3223</v>
      </c>
      <c r="B1779">
        <v>24.31</v>
      </c>
      <c r="C1779">
        <v>23.24</v>
      </c>
      <c r="D1779" t="s">
        <v>218</v>
      </c>
      <c r="E1779" s="97">
        <v>-2.4799999999999999E-2</v>
      </c>
    </row>
    <row r="1780" spans="1:5" ht="15">
      <c r="A1780" s="98">
        <v>3222</v>
      </c>
      <c r="B1780">
        <v>23.15</v>
      </c>
      <c r="C1780">
        <v>21.47</v>
      </c>
      <c r="D1780" t="s">
        <v>218</v>
      </c>
      <c r="E1780" s="97">
        <v>-3.8800000000000001E-2</v>
      </c>
    </row>
    <row r="1781" spans="1:5" ht="15">
      <c r="A1781" s="98">
        <v>3221</v>
      </c>
      <c r="B1781">
        <v>22.41</v>
      </c>
      <c r="C1781">
        <v>21.87</v>
      </c>
      <c r="D1781" t="s">
        <v>218</v>
      </c>
      <c r="E1781" s="97">
        <v>-3.32E-2</v>
      </c>
    </row>
    <row r="1782" spans="1:5" ht="15">
      <c r="A1782" s="98">
        <v>3220</v>
      </c>
      <c r="B1782">
        <v>22.86</v>
      </c>
      <c r="C1782">
        <v>22.27</v>
      </c>
      <c r="D1782" t="s">
        <v>218</v>
      </c>
      <c r="E1782" s="97">
        <v>5.7700000000000001E-2</v>
      </c>
    </row>
    <row r="1783" spans="1:5" ht="15">
      <c r="A1783" s="98">
        <v>3219</v>
      </c>
      <c r="B1783">
        <v>23.05</v>
      </c>
      <c r="C1783">
        <v>22.44</v>
      </c>
      <c r="D1783" t="s">
        <v>218</v>
      </c>
      <c r="E1783" s="97">
        <v>3.1600000000000003E-2</v>
      </c>
    </row>
    <row r="1784" spans="1:5" ht="15">
      <c r="A1784" s="98">
        <v>3218</v>
      </c>
      <c r="B1784">
        <v>22.96</v>
      </c>
      <c r="C1784">
        <v>22.56</v>
      </c>
      <c r="D1784" t="s">
        <v>218</v>
      </c>
      <c r="E1784" s="97">
        <v>-3.0700000000000002E-2</v>
      </c>
    </row>
    <row r="1785" spans="1:5" ht="15">
      <c r="A1785" s="98">
        <v>3217</v>
      </c>
      <c r="B1785">
        <v>23.35</v>
      </c>
      <c r="C1785">
        <v>22.47</v>
      </c>
      <c r="D1785" t="s">
        <v>218</v>
      </c>
      <c r="E1785" s="97">
        <v>-4.5600000000000002E-2</v>
      </c>
    </row>
    <row r="1786" spans="1:5" ht="15">
      <c r="A1786" s="98">
        <v>3216</v>
      </c>
      <c r="B1786">
        <v>23.02</v>
      </c>
      <c r="C1786">
        <v>21.98</v>
      </c>
      <c r="D1786" t="s">
        <v>218</v>
      </c>
      <c r="E1786" s="97">
        <v>8.6999999999999994E-3</v>
      </c>
    </row>
    <row r="1787" spans="1:5" ht="15">
      <c r="A1787" s="98">
        <v>3215</v>
      </c>
      <c r="B1787">
        <v>22.68</v>
      </c>
      <c r="C1787">
        <v>21.61</v>
      </c>
      <c r="D1787" t="s">
        <v>218</v>
      </c>
      <c r="E1787" s="97">
        <v>-1.37E-2</v>
      </c>
    </row>
    <row r="1788" spans="1:5" ht="15">
      <c r="A1788" s="98">
        <v>3214</v>
      </c>
      <c r="B1788">
        <v>21.95</v>
      </c>
      <c r="C1788">
        <v>20.81</v>
      </c>
      <c r="D1788" t="s">
        <v>218</v>
      </c>
      <c r="E1788" s="97">
        <v>1.04E-2</v>
      </c>
    </row>
    <row r="1789" spans="1:5" ht="15">
      <c r="A1789" s="98">
        <v>3213</v>
      </c>
      <c r="B1789">
        <v>23.01</v>
      </c>
      <c r="C1789">
        <v>22.18</v>
      </c>
      <c r="D1789" t="s">
        <v>218</v>
      </c>
      <c r="E1789" s="97">
        <v>-3.5099999999999999E-2</v>
      </c>
    </row>
    <row r="1790" spans="1:5" ht="15">
      <c r="A1790" s="98">
        <v>3212</v>
      </c>
      <c r="B1790">
        <v>22.12</v>
      </c>
      <c r="C1790">
        <v>21.42</v>
      </c>
      <c r="D1790" t="s">
        <v>218</v>
      </c>
      <c r="E1790" s="97">
        <v>1.01E-2</v>
      </c>
    </row>
    <row r="1791" spans="1:5" ht="15">
      <c r="A1791" s="98">
        <v>3211</v>
      </c>
      <c r="B1791">
        <v>22.36</v>
      </c>
      <c r="C1791">
        <v>21.44</v>
      </c>
      <c r="D1791" t="s">
        <v>218</v>
      </c>
      <c r="E1791" s="97">
        <v>-3.1E-2</v>
      </c>
    </row>
    <row r="1792" spans="1:5" ht="15">
      <c r="A1792" s="98">
        <v>3210</v>
      </c>
      <c r="B1792">
        <v>21.61</v>
      </c>
      <c r="C1792">
        <v>20.92</v>
      </c>
      <c r="D1792" t="s">
        <v>218</v>
      </c>
      <c r="E1792" s="97">
        <v>-2.63E-2</v>
      </c>
    </row>
    <row r="1793" spans="1:5" ht="15">
      <c r="A1793" s="98">
        <v>3209</v>
      </c>
      <c r="B1793">
        <v>22.24</v>
      </c>
      <c r="C1793">
        <v>21.16</v>
      </c>
      <c r="D1793" t="s">
        <v>218</v>
      </c>
      <c r="E1793" s="97">
        <v>4.9200000000000001E-2</v>
      </c>
    </row>
    <row r="1794" spans="1:5" ht="15">
      <c r="A1794" s="98">
        <v>3208</v>
      </c>
      <c r="B1794">
        <v>23.13</v>
      </c>
      <c r="C1794">
        <v>21.83</v>
      </c>
      <c r="D1794" t="s">
        <v>218</v>
      </c>
      <c r="E1794" s="97">
        <v>2.2200000000000001E-2</v>
      </c>
    </row>
    <row r="1795" spans="1:5" ht="15">
      <c r="A1795" s="98">
        <v>3207</v>
      </c>
      <c r="B1795">
        <v>21.66</v>
      </c>
      <c r="C1795">
        <v>21.12</v>
      </c>
      <c r="D1795" t="s">
        <v>218</v>
      </c>
      <c r="E1795" s="97">
        <v>1.21E-2</v>
      </c>
    </row>
    <row r="1796" spans="1:5" ht="15">
      <c r="A1796" s="98">
        <v>3206</v>
      </c>
      <c r="B1796">
        <v>22.52</v>
      </c>
      <c r="C1796">
        <v>21.52</v>
      </c>
      <c r="D1796" t="s">
        <v>218</v>
      </c>
      <c r="E1796" s="97">
        <v>4.3E-3</v>
      </c>
    </row>
    <row r="1797" spans="1:5" ht="15">
      <c r="A1797" s="98">
        <v>3205</v>
      </c>
      <c r="B1797">
        <v>21.51</v>
      </c>
      <c r="C1797">
        <v>20.22</v>
      </c>
      <c r="D1797" t="s">
        <v>218</v>
      </c>
      <c r="E1797" s="97">
        <v>-4.87E-2</v>
      </c>
    </row>
    <row r="1798" spans="1:5" ht="15">
      <c r="A1798" s="98">
        <v>3204</v>
      </c>
      <c r="B1798">
        <v>22.73</v>
      </c>
      <c r="C1798">
        <v>21.43</v>
      </c>
      <c r="D1798" t="s">
        <v>218</v>
      </c>
      <c r="E1798" s="97">
        <v>-3.73E-2</v>
      </c>
    </row>
    <row r="1799" spans="1:5" ht="15">
      <c r="A1799" s="98">
        <v>3203</v>
      </c>
      <c r="B1799">
        <v>24.76</v>
      </c>
      <c r="C1799">
        <v>23.16</v>
      </c>
      <c r="D1799" t="s">
        <v>218</v>
      </c>
      <c r="E1799" s="97">
        <v>2.7799999999999998E-2</v>
      </c>
    </row>
    <row r="1800" spans="1:5" ht="15">
      <c r="A1800" s="98">
        <v>3202</v>
      </c>
      <c r="B1800">
        <v>25.81</v>
      </c>
      <c r="C1800">
        <v>24.24</v>
      </c>
      <c r="D1800" t="s">
        <v>218</v>
      </c>
      <c r="E1800" s="97">
        <v>7.5499999999999998E-2</v>
      </c>
    </row>
    <row r="1801" spans="1:5" ht="15">
      <c r="A1801" s="98">
        <v>3201</v>
      </c>
      <c r="B1801">
        <v>28.41</v>
      </c>
      <c r="C1801">
        <v>25.96</v>
      </c>
      <c r="D1801" t="s">
        <v>218</v>
      </c>
      <c r="E1801" s="97">
        <v>-4.9200000000000001E-2</v>
      </c>
    </row>
    <row r="1802" spans="1:5" ht="15">
      <c r="A1802" s="98">
        <v>3200</v>
      </c>
      <c r="B1802">
        <v>30.62</v>
      </c>
      <c r="C1802">
        <v>26.94</v>
      </c>
      <c r="D1802" t="s">
        <v>218</v>
      </c>
      <c r="E1802" s="97">
        <v>1.7000000000000001E-2</v>
      </c>
    </row>
    <row r="1803" spans="1:5" ht="15">
      <c r="A1803" s="98">
        <v>3199</v>
      </c>
      <c r="B1803">
        <v>27.48</v>
      </c>
      <c r="C1803">
        <v>25.43</v>
      </c>
      <c r="D1803" t="s">
        <v>218</v>
      </c>
      <c r="E1803" s="97">
        <v>1.6999999999999999E-3</v>
      </c>
    </row>
    <row r="1804" spans="1:5" ht="15">
      <c r="A1804" s="98">
        <v>3198</v>
      </c>
      <c r="B1804">
        <v>26.59</v>
      </c>
      <c r="C1804">
        <v>25.02</v>
      </c>
      <c r="D1804" t="s">
        <v>218</v>
      </c>
      <c r="E1804" s="97">
        <v>1.8200000000000001E-2</v>
      </c>
    </row>
    <row r="1805" spans="1:5" ht="15">
      <c r="A1805" s="98">
        <v>3197</v>
      </c>
      <c r="B1805">
        <v>28.82</v>
      </c>
      <c r="C1805">
        <v>26.05</v>
      </c>
      <c r="D1805" t="s">
        <v>218</v>
      </c>
      <c r="E1805" s="97">
        <v>3.3099999999999997E-2</v>
      </c>
    </row>
    <row r="1806" spans="1:5" ht="15">
      <c r="A1806" s="98">
        <v>3196</v>
      </c>
      <c r="B1806">
        <v>30.26</v>
      </c>
      <c r="C1806">
        <v>28.08</v>
      </c>
      <c r="D1806" t="s">
        <v>218</v>
      </c>
      <c r="E1806" s="97">
        <v>-6.2100000000000002E-2</v>
      </c>
    </row>
    <row r="1807" spans="1:5" ht="15">
      <c r="A1807" s="98">
        <v>3195</v>
      </c>
      <c r="B1807">
        <v>29.34</v>
      </c>
      <c r="C1807">
        <v>26.82</v>
      </c>
      <c r="D1807" t="s">
        <v>218</v>
      </c>
      <c r="E1807" s="97">
        <v>-8.2400000000000001E-2</v>
      </c>
    </row>
    <row r="1808" spans="1:5" ht="15">
      <c r="A1808" s="98">
        <v>3194</v>
      </c>
      <c r="B1808">
        <v>28.43</v>
      </c>
      <c r="C1808">
        <v>27.08</v>
      </c>
      <c r="D1808" t="s">
        <v>218</v>
      </c>
      <c r="E1808" s="97">
        <v>-1.29E-2</v>
      </c>
    </row>
    <row r="1809" spans="1:5" ht="15">
      <c r="A1809" s="98">
        <v>3193</v>
      </c>
      <c r="B1809">
        <v>26.28</v>
      </c>
      <c r="C1809">
        <v>25.58</v>
      </c>
      <c r="D1809" t="s">
        <v>218</v>
      </c>
      <c r="E1809" s="97">
        <v>-5.1900000000000002E-2</v>
      </c>
    </row>
    <row r="1810" spans="1:5" ht="15">
      <c r="A1810" s="98">
        <v>3192</v>
      </c>
      <c r="B1810">
        <v>25.53</v>
      </c>
      <c r="C1810">
        <v>24.12</v>
      </c>
      <c r="D1810" t="s">
        <v>218</v>
      </c>
      <c r="E1810" s="97">
        <v>1.0200000000000001E-2</v>
      </c>
    </row>
    <row r="1811" spans="1:5" ht="15">
      <c r="A1811" s="98">
        <v>3191</v>
      </c>
      <c r="B1811">
        <v>24.9</v>
      </c>
      <c r="C1811">
        <v>24.23</v>
      </c>
      <c r="D1811" t="s">
        <v>218</v>
      </c>
      <c r="E1811" s="97">
        <v>8.7900000000000006E-2</v>
      </c>
    </row>
    <row r="1812" spans="1:5" ht="15">
      <c r="A1812" s="98">
        <v>3190</v>
      </c>
      <c r="B1812">
        <v>25.76</v>
      </c>
      <c r="C1812">
        <v>24.46</v>
      </c>
      <c r="D1812" t="s">
        <v>218</v>
      </c>
      <c r="E1812" s="97">
        <v>5.6000000000000001E-2</v>
      </c>
    </row>
    <row r="1813" spans="1:5" ht="15">
      <c r="A1813" s="98">
        <v>3189</v>
      </c>
      <c r="B1813">
        <v>30.54</v>
      </c>
      <c r="C1813">
        <v>27.74</v>
      </c>
      <c r="D1813" t="s">
        <v>218</v>
      </c>
      <c r="E1813" s="97">
        <v>-2.8400000000000002E-2</v>
      </c>
    </row>
    <row r="1814" spans="1:5" ht="15">
      <c r="A1814" s="98">
        <v>3188</v>
      </c>
      <c r="B1814">
        <v>30.84</v>
      </c>
      <c r="C1814">
        <v>27.55</v>
      </c>
      <c r="D1814" t="s">
        <v>218</v>
      </c>
      <c r="E1814" s="97">
        <v>7.4000000000000003E-3</v>
      </c>
    </row>
    <row r="1815" spans="1:5" ht="15">
      <c r="A1815" s="98">
        <v>3187</v>
      </c>
      <c r="B1815">
        <v>30.71</v>
      </c>
      <c r="C1815">
        <v>28.86</v>
      </c>
      <c r="D1815" t="s">
        <v>218</v>
      </c>
      <c r="E1815" s="97">
        <v>-4.8999999999999998E-3</v>
      </c>
    </row>
    <row r="1816" spans="1:5" ht="15">
      <c r="A1816" s="98">
        <v>3186</v>
      </c>
      <c r="B1816">
        <v>28.98</v>
      </c>
      <c r="C1816">
        <v>28.25</v>
      </c>
      <c r="D1816" t="s">
        <v>218</v>
      </c>
      <c r="E1816" s="97">
        <v>8.2000000000000007E-3</v>
      </c>
    </row>
    <row r="1817" spans="1:5" ht="15">
      <c r="A1817" s="98">
        <v>3185</v>
      </c>
      <c r="B1817">
        <v>29.91</v>
      </c>
      <c r="C1817">
        <v>28.56</v>
      </c>
      <c r="D1817" t="s">
        <v>218</v>
      </c>
      <c r="E1817" s="97">
        <v>-1.06E-2</v>
      </c>
    </row>
    <row r="1818" spans="1:5" ht="15">
      <c r="A1818" s="98">
        <v>3184</v>
      </c>
      <c r="B1818">
        <v>31.33</v>
      </c>
      <c r="C1818">
        <v>29.5</v>
      </c>
      <c r="D1818" t="s">
        <v>218</v>
      </c>
      <c r="E1818" s="97">
        <v>-7.3000000000000001E-3</v>
      </c>
    </row>
    <row r="1819" spans="1:5" ht="15">
      <c r="A1819" s="98">
        <v>3183</v>
      </c>
      <c r="B1819">
        <v>31.27</v>
      </c>
      <c r="C1819">
        <v>29.3</v>
      </c>
      <c r="D1819" t="s">
        <v>218</v>
      </c>
      <c r="E1819" s="97">
        <v>0</v>
      </c>
    </row>
    <row r="1820" spans="1:5" ht="15">
      <c r="A1820" s="98">
        <v>3182</v>
      </c>
      <c r="B1820">
        <v>32.18</v>
      </c>
      <c r="C1820">
        <v>30.26</v>
      </c>
      <c r="D1820" t="s">
        <v>218</v>
      </c>
      <c r="E1820" s="97">
        <v>1.72E-2</v>
      </c>
    </row>
    <row r="1821" spans="1:5" ht="15">
      <c r="A1821" s="98">
        <v>3181</v>
      </c>
      <c r="B1821">
        <v>35.450000000000003</v>
      </c>
      <c r="C1821">
        <v>32.35</v>
      </c>
      <c r="D1821" t="s">
        <v>218</v>
      </c>
      <c r="E1821" s="97">
        <v>-2.5000000000000001E-3</v>
      </c>
    </row>
    <row r="1822" spans="1:5" ht="15">
      <c r="A1822" s="98">
        <v>3180</v>
      </c>
      <c r="B1822">
        <v>33</v>
      </c>
      <c r="C1822">
        <v>30.41</v>
      </c>
      <c r="D1822" t="s">
        <v>218</v>
      </c>
      <c r="E1822" s="97">
        <v>4.9799999999999997E-2</v>
      </c>
    </row>
    <row r="1823" spans="1:5" ht="15">
      <c r="A1823" s="98">
        <v>3179</v>
      </c>
      <c r="B1823">
        <v>30.24</v>
      </c>
      <c r="C1823">
        <v>29.04</v>
      </c>
      <c r="D1823" t="s">
        <v>218</v>
      </c>
      <c r="E1823" s="97">
        <v>-4.9000000000000002E-2</v>
      </c>
    </row>
    <row r="1824" spans="1:5" ht="15">
      <c r="A1824" s="98">
        <v>3178</v>
      </c>
      <c r="B1824">
        <v>28.63</v>
      </c>
      <c r="C1824">
        <v>27.03</v>
      </c>
      <c r="D1824" t="s">
        <v>218</v>
      </c>
      <c r="E1824" s="97">
        <v>-1.37E-2</v>
      </c>
    </row>
    <row r="1825" spans="1:5" ht="15">
      <c r="A1825" s="98">
        <v>3177</v>
      </c>
      <c r="B1825">
        <v>28.98</v>
      </c>
      <c r="C1825">
        <v>28.21</v>
      </c>
      <c r="D1825" t="s">
        <v>218</v>
      </c>
      <c r="E1825" s="97">
        <v>-7.5300000000000006E-2</v>
      </c>
    </row>
    <row r="1826" spans="1:5" ht="15">
      <c r="A1826" s="98">
        <v>3176</v>
      </c>
      <c r="B1826">
        <v>29.84</v>
      </c>
      <c r="C1826">
        <v>28.16</v>
      </c>
      <c r="D1826" t="s">
        <v>218</v>
      </c>
      <c r="E1826" s="97">
        <v>-5.8900000000000001E-2</v>
      </c>
    </row>
    <row r="1827" spans="1:5" ht="15">
      <c r="A1827" s="98">
        <v>3175</v>
      </c>
      <c r="B1827">
        <v>29.32</v>
      </c>
      <c r="C1827">
        <v>28.3</v>
      </c>
      <c r="D1827" t="s">
        <v>218</v>
      </c>
      <c r="E1827" s="97">
        <v>-2.8E-3</v>
      </c>
    </row>
    <row r="1828" spans="1:5" ht="15">
      <c r="A1828" s="98">
        <v>3174</v>
      </c>
      <c r="B1828">
        <v>31.61</v>
      </c>
      <c r="C1828">
        <v>29.16</v>
      </c>
      <c r="D1828" t="s">
        <v>218</v>
      </c>
      <c r="E1828" s="97">
        <v>-1.11E-2</v>
      </c>
    </row>
    <row r="1829" spans="1:5" ht="15">
      <c r="A1829" s="98">
        <v>3173</v>
      </c>
      <c r="B1829">
        <v>35.200000000000003</v>
      </c>
      <c r="C1829">
        <v>32.92</v>
      </c>
      <c r="D1829" t="s">
        <v>218</v>
      </c>
      <c r="E1829" s="97">
        <v>-4.87E-2</v>
      </c>
    </row>
    <row r="1830" spans="1:5" ht="15">
      <c r="A1830" s="98">
        <v>3172</v>
      </c>
      <c r="B1830">
        <v>34.74</v>
      </c>
      <c r="C1830">
        <v>33.21</v>
      </c>
      <c r="D1830" t="s">
        <v>218</v>
      </c>
      <c r="E1830" s="97">
        <v>-2E-3</v>
      </c>
    </row>
    <row r="1831" spans="1:5" ht="15">
      <c r="A1831" s="98">
        <v>3171</v>
      </c>
      <c r="B1831">
        <v>32.51</v>
      </c>
      <c r="C1831">
        <v>29.88</v>
      </c>
      <c r="D1831" t="s">
        <v>218</v>
      </c>
      <c r="E1831" s="97">
        <v>0</v>
      </c>
    </row>
    <row r="1832" spans="1:5" ht="15">
      <c r="A1832" s="98">
        <v>3170</v>
      </c>
      <c r="B1832">
        <v>32.04</v>
      </c>
      <c r="C1832">
        <v>30.22</v>
      </c>
      <c r="D1832" t="s">
        <v>218</v>
      </c>
      <c r="E1832" s="97">
        <v>6.2100000000000002E-2</v>
      </c>
    </row>
    <row r="1833" spans="1:5" ht="15">
      <c r="A1833" s="98">
        <v>3169</v>
      </c>
      <c r="B1833">
        <v>32.549999999999997</v>
      </c>
      <c r="C1833">
        <v>31.38</v>
      </c>
      <c r="D1833" t="s">
        <v>218</v>
      </c>
      <c r="E1833" s="97">
        <v>-8.3000000000000001E-3</v>
      </c>
    </row>
    <row r="1834" spans="1:5" ht="15">
      <c r="A1834" s="98">
        <v>3168</v>
      </c>
      <c r="B1834">
        <v>30.69</v>
      </c>
      <c r="C1834">
        <v>29.33</v>
      </c>
      <c r="D1834" t="s">
        <v>218</v>
      </c>
      <c r="E1834" s="97">
        <v>8.3999999999999995E-3</v>
      </c>
    </row>
    <row r="1835" spans="1:5" ht="15">
      <c r="A1835" s="98">
        <v>3167</v>
      </c>
      <c r="B1835">
        <v>29.13</v>
      </c>
      <c r="C1835">
        <v>28.4</v>
      </c>
      <c r="D1835" t="s">
        <v>218</v>
      </c>
      <c r="E1835" s="97">
        <v>-4.7199999999999999E-2</v>
      </c>
    </row>
    <row r="1836" spans="1:5" ht="15">
      <c r="A1836" s="98">
        <v>3166</v>
      </c>
      <c r="B1836">
        <v>28.37</v>
      </c>
      <c r="C1836">
        <v>26.12</v>
      </c>
      <c r="D1836" t="s">
        <v>218</v>
      </c>
      <c r="E1836" s="97">
        <v>6.7000000000000002E-3</v>
      </c>
    </row>
    <row r="1837" spans="1:5" ht="15">
      <c r="A1837" s="98">
        <v>3165</v>
      </c>
      <c r="B1837">
        <v>27.18</v>
      </c>
      <c r="C1837">
        <v>26.22</v>
      </c>
      <c r="D1837" t="s">
        <v>218</v>
      </c>
      <c r="E1837" s="97">
        <v>4.3299999999999998E-2</v>
      </c>
    </row>
    <row r="1838" spans="1:5" ht="15">
      <c r="A1838" s="98">
        <v>3164</v>
      </c>
      <c r="B1838">
        <v>26.22</v>
      </c>
      <c r="C1838">
        <v>25.33</v>
      </c>
      <c r="D1838" t="s">
        <v>218</v>
      </c>
      <c r="E1838" s="97">
        <v>-4.0800000000000003E-2</v>
      </c>
    </row>
    <row r="1839" spans="1:5" ht="15">
      <c r="A1839" s="98">
        <v>3163</v>
      </c>
      <c r="B1839">
        <v>24.65</v>
      </c>
      <c r="C1839">
        <v>23.01</v>
      </c>
      <c r="D1839" t="s">
        <v>218</v>
      </c>
      <c r="E1839" s="97">
        <v>2.1899999999999999E-2</v>
      </c>
    </row>
    <row r="1840" spans="1:5" ht="15">
      <c r="A1840" s="98">
        <v>3162</v>
      </c>
      <c r="B1840">
        <v>24.62</v>
      </c>
      <c r="C1840">
        <v>24.12</v>
      </c>
      <c r="D1840" t="s">
        <v>218</v>
      </c>
      <c r="E1840" s="97">
        <v>-1.55E-2</v>
      </c>
    </row>
    <row r="1841" spans="1:5" ht="15">
      <c r="A1841" s="98">
        <v>3161</v>
      </c>
      <c r="B1841">
        <v>25.45</v>
      </c>
      <c r="C1841">
        <v>24.5</v>
      </c>
      <c r="D1841" t="s">
        <v>218</v>
      </c>
      <c r="E1841" s="97">
        <v>-8.6999999999999994E-3</v>
      </c>
    </row>
    <row r="1842" spans="1:5" ht="15">
      <c r="A1842" s="98">
        <v>3160</v>
      </c>
      <c r="B1842">
        <v>28.6</v>
      </c>
      <c r="C1842">
        <v>27.28</v>
      </c>
      <c r="D1842" t="s">
        <v>218</v>
      </c>
      <c r="E1842" s="97">
        <v>-0.1391</v>
      </c>
    </row>
    <row r="1843" spans="1:5" ht="15">
      <c r="A1843" s="98">
        <v>3159</v>
      </c>
      <c r="B1843">
        <v>28.61</v>
      </c>
      <c r="C1843">
        <v>27.23</v>
      </c>
      <c r="D1843" t="s">
        <v>218</v>
      </c>
      <c r="E1843" s="97">
        <v>7.3400000000000007E-2</v>
      </c>
    </row>
    <row r="1844" spans="1:5" ht="15">
      <c r="A1844" s="98">
        <v>3158</v>
      </c>
      <c r="B1844">
        <v>28.68</v>
      </c>
      <c r="C1844">
        <v>27.25</v>
      </c>
      <c r="D1844" t="s">
        <v>218</v>
      </c>
      <c r="E1844" s="97">
        <v>4.24E-2</v>
      </c>
    </row>
    <row r="1845" spans="1:5" ht="15">
      <c r="A1845" s="98">
        <v>3157</v>
      </c>
      <c r="B1845">
        <v>26.41</v>
      </c>
      <c r="C1845">
        <v>25.62</v>
      </c>
      <c r="D1845" t="s">
        <v>218</v>
      </c>
      <c r="E1845" s="97">
        <v>-0.1234</v>
      </c>
    </row>
    <row r="1846" spans="1:5" ht="15">
      <c r="A1846" s="98">
        <v>3156</v>
      </c>
      <c r="B1846">
        <v>25</v>
      </c>
      <c r="C1846">
        <v>24.02</v>
      </c>
      <c r="D1846" t="s">
        <v>218</v>
      </c>
      <c r="E1846" s="97">
        <v>-4.8300000000000003E-2</v>
      </c>
    </row>
    <row r="1847" spans="1:5" ht="15">
      <c r="A1847" s="98">
        <v>3155</v>
      </c>
      <c r="B1847">
        <v>25.74</v>
      </c>
      <c r="C1847">
        <v>23.9</v>
      </c>
      <c r="D1847" t="s">
        <v>218</v>
      </c>
      <c r="E1847" s="97">
        <v>3.27E-2</v>
      </c>
    </row>
    <row r="1848" spans="1:5" ht="15">
      <c r="A1848" s="98">
        <v>3154</v>
      </c>
      <c r="B1848">
        <v>25.57</v>
      </c>
      <c r="C1848">
        <v>24.16</v>
      </c>
      <c r="D1848" t="s">
        <v>218</v>
      </c>
      <c r="E1848" s="97">
        <v>1.46E-2</v>
      </c>
    </row>
    <row r="1849" spans="1:5" ht="15">
      <c r="A1849" s="98">
        <v>3153</v>
      </c>
      <c r="B1849">
        <v>25.04</v>
      </c>
      <c r="C1849">
        <v>23.97</v>
      </c>
      <c r="D1849" t="s">
        <v>218</v>
      </c>
      <c r="E1849" s="97">
        <v>0.22770000000000001</v>
      </c>
    </row>
    <row r="1850" spans="1:5" ht="15">
      <c r="A1850" s="98">
        <v>3152</v>
      </c>
      <c r="B1850">
        <v>26.32</v>
      </c>
      <c r="C1850">
        <v>25.43</v>
      </c>
      <c r="D1850" t="s">
        <v>218</v>
      </c>
      <c r="E1850" s="97">
        <v>0.1027</v>
      </c>
    </row>
    <row r="1851" spans="1:5" ht="15">
      <c r="A1851" s="98">
        <v>3151</v>
      </c>
      <c r="B1851">
        <v>26.49</v>
      </c>
      <c r="C1851">
        <v>23.88</v>
      </c>
      <c r="D1851" t="s">
        <v>218</v>
      </c>
      <c r="E1851" s="97">
        <v>-6.2799999999999995E-2</v>
      </c>
    </row>
    <row r="1852" spans="1:5" ht="15">
      <c r="A1852" s="98">
        <v>3150</v>
      </c>
      <c r="B1852">
        <v>25.46</v>
      </c>
      <c r="C1852">
        <v>24.53</v>
      </c>
      <c r="D1852" t="s">
        <v>218</v>
      </c>
      <c r="E1852" s="97">
        <v>3.5999999999999999E-3</v>
      </c>
    </row>
    <row r="1853" spans="1:5" ht="15">
      <c r="A1853" s="98">
        <v>3149</v>
      </c>
      <c r="B1853">
        <v>25.35</v>
      </c>
      <c r="C1853">
        <v>24.44</v>
      </c>
      <c r="D1853" t="s">
        <v>218</v>
      </c>
      <c r="E1853" s="97">
        <v>2.3400000000000001E-2</v>
      </c>
    </row>
    <row r="1854" spans="1:5" ht="15">
      <c r="A1854" s="98">
        <v>3148</v>
      </c>
      <c r="B1854">
        <v>25.06</v>
      </c>
      <c r="C1854">
        <v>24.27</v>
      </c>
      <c r="D1854" t="s">
        <v>218</v>
      </c>
      <c r="E1854" s="97">
        <v>-3.5299999999999998E-2</v>
      </c>
    </row>
    <row r="1855" spans="1:5" ht="15">
      <c r="A1855" s="98">
        <v>3147</v>
      </c>
      <c r="B1855">
        <v>24.67</v>
      </c>
      <c r="C1855">
        <v>23.55</v>
      </c>
      <c r="D1855" t="s">
        <v>218</v>
      </c>
      <c r="E1855" s="97">
        <v>8.43E-2</v>
      </c>
    </row>
    <row r="1856" spans="1:5" ht="15">
      <c r="A1856" s="98">
        <v>3146</v>
      </c>
      <c r="B1856">
        <v>23.86</v>
      </c>
      <c r="C1856">
        <v>23.14</v>
      </c>
      <c r="D1856" t="s">
        <v>218</v>
      </c>
      <c r="E1856" s="97">
        <v>-2.3E-3</v>
      </c>
    </row>
    <row r="1857" spans="1:5" ht="15">
      <c r="A1857" s="98">
        <v>3145</v>
      </c>
      <c r="B1857">
        <v>24.5</v>
      </c>
      <c r="C1857">
        <v>24.06</v>
      </c>
      <c r="D1857" t="s">
        <v>218</v>
      </c>
      <c r="E1857" s="97">
        <v>3.8E-3</v>
      </c>
    </row>
    <row r="1858" spans="1:5" ht="15">
      <c r="A1858" s="98">
        <v>3144</v>
      </c>
      <c r="B1858">
        <v>24.5</v>
      </c>
      <c r="C1858">
        <v>23.34</v>
      </c>
      <c r="D1858" t="s">
        <v>218</v>
      </c>
      <c r="E1858" s="97">
        <v>-0.17480000000000001</v>
      </c>
    </row>
    <row r="1859" spans="1:5" ht="15">
      <c r="A1859" s="98">
        <v>3143</v>
      </c>
      <c r="B1859">
        <v>23.22</v>
      </c>
      <c r="C1859">
        <v>21.17</v>
      </c>
      <c r="D1859" t="s">
        <v>218</v>
      </c>
      <c r="E1859" s="97">
        <v>-3.7199999999999997E-2</v>
      </c>
    </row>
    <row r="1860" spans="1:5" ht="15">
      <c r="A1860" s="98">
        <v>3142</v>
      </c>
      <c r="B1860">
        <v>22.74</v>
      </c>
      <c r="C1860">
        <v>21.32</v>
      </c>
      <c r="D1860" t="s">
        <v>218</v>
      </c>
      <c r="E1860" s="97">
        <v>4.99E-2</v>
      </c>
    </row>
    <row r="1861" spans="1:5" ht="15">
      <c r="A1861" s="98">
        <v>3141</v>
      </c>
      <c r="B1861">
        <v>21.71</v>
      </c>
      <c r="C1861">
        <v>21.17</v>
      </c>
      <c r="D1861" t="s">
        <v>218</v>
      </c>
      <c r="E1861" s="97">
        <v>-1.7000000000000001E-2</v>
      </c>
    </row>
    <row r="1862" spans="1:5" ht="15">
      <c r="A1862" s="98">
        <v>3140</v>
      </c>
      <c r="B1862">
        <v>21.96</v>
      </c>
      <c r="C1862">
        <v>20.74</v>
      </c>
      <c r="D1862" t="s">
        <v>218</v>
      </c>
      <c r="E1862" s="97">
        <v>5.9999999999999995E-4</v>
      </c>
    </row>
    <row r="1863" spans="1:5" ht="15">
      <c r="A1863" s="98">
        <v>3139</v>
      </c>
      <c r="B1863">
        <v>21.56</v>
      </c>
      <c r="C1863">
        <v>21.09</v>
      </c>
      <c r="D1863" t="s">
        <v>218</v>
      </c>
      <c r="E1863" s="97">
        <v>2.3199999999999998E-2</v>
      </c>
    </row>
    <row r="1864" spans="1:5" ht="15">
      <c r="A1864" s="98">
        <v>3138</v>
      </c>
      <c r="B1864">
        <v>22.15</v>
      </c>
      <c r="C1864">
        <v>21.58</v>
      </c>
      <c r="D1864" t="s">
        <v>218</v>
      </c>
      <c r="E1864" s="97">
        <v>-7.0099999999999996E-2</v>
      </c>
    </row>
    <row r="1865" spans="1:5" ht="15">
      <c r="A1865" s="98">
        <v>3137</v>
      </c>
      <c r="B1865">
        <v>21.89</v>
      </c>
      <c r="C1865">
        <v>20.55</v>
      </c>
      <c r="D1865" t="s">
        <v>218</v>
      </c>
      <c r="E1865" s="97">
        <v>-6.3899999999999998E-2</v>
      </c>
    </row>
    <row r="1866" spans="1:5" ht="15">
      <c r="A1866" s="98">
        <v>3136</v>
      </c>
      <c r="B1866">
        <v>21.13</v>
      </c>
      <c r="C1866">
        <v>20.46</v>
      </c>
      <c r="D1866" t="s">
        <v>218</v>
      </c>
      <c r="E1866" s="97">
        <v>3.3599999999999998E-2</v>
      </c>
    </row>
    <row r="1867" spans="1:5" ht="15">
      <c r="A1867" s="98">
        <v>3135</v>
      </c>
      <c r="B1867">
        <v>22.37</v>
      </c>
      <c r="C1867">
        <v>21.93</v>
      </c>
      <c r="D1867" t="s">
        <v>218</v>
      </c>
      <c r="E1867" s="97">
        <v>8.4900000000000003E-2</v>
      </c>
    </row>
    <row r="1868" spans="1:5" ht="15">
      <c r="A1868" s="98">
        <v>3134</v>
      </c>
      <c r="B1868">
        <v>23.16</v>
      </c>
      <c r="C1868">
        <v>22.25</v>
      </c>
      <c r="D1868" t="s">
        <v>218</v>
      </c>
      <c r="E1868" s="97">
        <v>-0.2591</v>
      </c>
    </row>
    <row r="1869" spans="1:5" ht="15">
      <c r="A1869" s="98">
        <v>3133</v>
      </c>
      <c r="B1869">
        <v>23.16</v>
      </c>
      <c r="C1869">
        <v>22.33</v>
      </c>
      <c r="D1869" t="s">
        <v>218</v>
      </c>
      <c r="E1869" s="97">
        <v>-9.8699999999999996E-2</v>
      </c>
    </row>
    <row r="1870" spans="1:5" ht="15">
      <c r="A1870" s="98">
        <v>3132</v>
      </c>
      <c r="B1870">
        <v>23.12</v>
      </c>
      <c r="C1870">
        <v>21.52</v>
      </c>
      <c r="D1870" t="s">
        <v>218</v>
      </c>
      <c r="E1870" s="97">
        <v>0.13600000000000001</v>
      </c>
    </row>
    <row r="1871" spans="1:5" ht="15">
      <c r="A1871" s="98">
        <v>3131</v>
      </c>
      <c r="B1871">
        <v>22.07</v>
      </c>
      <c r="C1871">
        <v>21.33</v>
      </c>
      <c r="D1871" t="s">
        <v>218</v>
      </c>
      <c r="E1871" s="97">
        <v>0.15670000000000001</v>
      </c>
    </row>
    <row r="1872" spans="1:5" ht="15">
      <c r="A1872" s="98">
        <v>3130</v>
      </c>
      <c r="B1872">
        <v>20.92</v>
      </c>
      <c r="C1872">
        <v>19.47</v>
      </c>
      <c r="D1872" t="s">
        <v>218</v>
      </c>
      <c r="E1872" s="97">
        <v>-1.2500000000000001E-2</v>
      </c>
    </row>
    <row r="1873" spans="1:5" ht="15">
      <c r="A1873" s="98">
        <v>3129</v>
      </c>
      <c r="B1873">
        <v>20.64</v>
      </c>
      <c r="C1873">
        <v>19.93</v>
      </c>
      <c r="D1873" t="s">
        <v>218</v>
      </c>
      <c r="E1873" s="97">
        <v>3.09E-2</v>
      </c>
    </row>
    <row r="1874" spans="1:5" ht="15">
      <c r="A1874" s="98">
        <v>3128</v>
      </c>
      <c r="B1874">
        <v>20.39</v>
      </c>
      <c r="C1874">
        <v>19.670000000000002</v>
      </c>
      <c r="D1874" t="s">
        <v>218</v>
      </c>
      <c r="E1874" s="97">
        <v>2.6499999999999999E-2</v>
      </c>
    </row>
    <row r="1875" spans="1:5" ht="15">
      <c r="A1875" s="98">
        <v>3127</v>
      </c>
      <c r="B1875">
        <v>20.440000000000001</v>
      </c>
      <c r="C1875">
        <v>19.579999999999998</v>
      </c>
      <c r="D1875" t="s">
        <v>218</v>
      </c>
      <c r="E1875" s="97">
        <v>4.1399999999999999E-2</v>
      </c>
    </row>
    <row r="1876" spans="1:5" ht="15">
      <c r="A1876" s="98">
        <v>3126</v>
      </c>
      <c r="B1876">
        <v>21.09</v>
      </c>
      <c r="C1876">
        <v>20.37</v>
      </c>
      <c r="D1876" t="s">
        <v>218</v>
      </c>
      <c r="E1876" s="97">
        <v>0.16270000000000001</v>
      </c>
    </row>
    <row r="1877" spans="1:5" ht="15">
      <c r="A1877" s="98">
        <v>3125</v>
      </c>
      <c r="B1877">
        <v>21.68</v>
      </c>
      <c r="C1877">
        <v>20.43</v>
      </c>
      <c r="D1877" t="s">
        <v>218</v>
      </c>
      <c r="E1877" s="97">
        <v>-1.38E-2</v>
      </c>
    </row>
    <row r="1878" spans="1:5" ht="15">
      <c r="A1878" s="98">
        <v>3124</v>
      </c>
      <c r="B1878">
        <v>21.6</v>
      </c>
      <c r="C1878">
        <v>20.7</v>
      </c>
      <c r="D1878" t="s">
        <v>218</v>
      </c>
      <c r="E1878" s="97">
        <v>-0.1168</v>
      </c>
    </row>
    <row r="1879" spans="1:5" ht="15">
      <c r="A1879" s="98">
        <v>3123</v>
      </c>
      <c r="B1879">
        <v>23.12</v>
      </c>
      <c r="C1879">
        <v>22.12</v>
      </c>
      <c r="D1879" t="s">
        <v>218</v>
      </c>
      <c r="E1879" s="97">
        <v>-0.11899999999999999</v>
      </c>
    </row>
    <row r="1880" spans="1:5" ht="15">
      <c r="A1880" s="98">
        <v>3122</v>
      </c>
      <c r="B1880">
        <v>24.42</v>
      </c>
      <c r="C1880">
        <v>22.44</v>
      </c>
      <c r="D1880" t="s">
        <v>218</v>
      </c>
      <c r="E1880" s="97">
        <v>0.30859999999999999</v>
      </c>
    </row>
    <row r="1881" spans="1:5" ht="15">
      <c r="A1881" s="98">
        <v>3121</v>
      </c>
      <c r="B1881">
        <v>23.54</v>
      </c>
      <c r="C1881">
        <v>22.93</v>
      </c>
      <c r="D1881" t="s">
        <v>218</v>
      </c>
      <c r="E1881" s="97">
        <v>-0.08</v>
      </c>
    </row>
    <row r="1882" spans="1:5" ht="15">
      <c r="A1882" s="98">
        <v>3120</v>
      </c>
      <c r="B1882">
        <v>22.82</v>
      </c>
      <c r="C1882">
        <v>21.93</v>
      </c>
      <c r="D1882" t="s">
        <v>218</v>
      </c>
      <c r="E1882" s="97">
        <v>-0.1071</v>
      </c>
    </row>
    <row r="1883" spans="1:5" ht="15">
      <c r="A1883" s="98">
        <v>3119</v>
      </c>
      <c r="B1883">
        <v>22.29</v>
      </c>
      <c r="C1883">
        <v>21.6</v>
      </c>
      <c r="D1883" t="s">
        <v>218</v>
      </c>
      <c r="E1883" s="97">
        <v>-4.9299999999999997E-2</v>
      </c>
    </row>
    <row r="1884" spans="1:5" ht="15">
      <c r="A1884" s="98">
        <v>3118</v>
      </c>
      <c r="B1884">
        <v>21.36</v>
      </c>
      <c r="C1884">
        <v>19.34</v>
      </c>
      <c r="D1884" t="s">
        <v>218</v>
      </c>
      <c r="E1884" s="97">
        <v>3.0499999999999999E-2</v>
      </c>
    </row>
    <row r="1885" spans="1:5" ht="15">
      <c r="A1885" s="98">
        <v>3117</v>
      </c>
      <c r="B1885">
        <v>20.2</v>
      </c>
      <c r="C1885">
        <v>19.59</v>
      </c>
      <c r="D1885" t="s">
        <v>218</v>
      </c>
      <c r="E1885" s="97">
        <v>3.1399999999999997E-2</v>
      </c>
    </row>
    <row r="1886" spans="1:5" ht="15">
      <c r="A1886" s="98">
        <v>3116</v>
      </c>
      <c r="B1886">
        <v>20.89</v>
      </c>
      <c r="C1886">
        <v>20.25</v>
      </c>
      <c r="D1886" t="s">
        <v>218</v>
      </c>
      <c r="E1886" s="97">
        <v>1.12E-2</v>
      </c>
    </row>
    <row r="1887" spans="1:5" ht="15">
      <c r="A1887" s="98">
        <v>3115</v>
      </c>
      <c r="B1887">
        <v>21.65</v>
      </c>
      <c r="C1887">
        <v>20.75</v>
      </c>
      <c r="D1887" t="s">
        <v>218</v>
      </c>
      <c r="E1887" s="97">
        <v>4.4900000000000002E-2</v>
      </c>
    </row>
    <row r="1888" spans="1:5" ht="15">
      <c r="A1888" s="98">
        <v>3114</v>
      </c>
      <c r="B1888">
        <v>21.84</v>
      </c>
      <c r="C1888">
        <v>20.54</v>
      </c>
      <c r="D1888" t="s">
        <v>218</v>
      </c>
      <c r="E1888" s="97">
        <v>0.218</v>
      </c>
    </row>
    <row r="1889" spans="1:5" ht="15">
      <c r="A1889" s="98">
        <v>3113</v>
      </c>
      <c r="B1889">
        <v>20.18</v>
      </c>
      <c r="C1889">
        <v>19.52</v>
      </c>
      <c r="D1889" t="s">
        <v>218</v>
      </c>
      <c r="E1889" s="97">
        <v>-1.6199999999999999E-2</v>
      </c>
    </row>
    <row r="1890" spans="1:5" ht="15">
      <c r="A1890" s="98">
        <v>3112</v>
      </c>
      <c r="B1890">
        <v>19.899999999999999</v>
      </c>
      <c r="C1890">
        <v>18.829999999999998</v>
      </c>
      <c r="D1890" t="s">
        <v>218</v>
      </c>
      <c r="E1890" s="97">
        <v>-4.3700000000000003E-2</v>
      </c>
    </row>
    <row r="1891" spans="1:5" ht="15">
      <c r="A1891" s="98">
        <v>3111</v>
      </c>
      <c r="B1891">
        <v>19.75</v>
      </c>
      <c r="C1891">
        <v>18.739999999999998</v>
      </c>
      <c r="D1891" t="s">
        <v>218</v>
      </c>
      <c r="E1891" s="97">
        <v>0.1361</v>
      </c>
    </row>
    <row r="1892" spans="1:5" ht="15">
      <c r="A1892" s="98">
        <v>3110</v>
      </c>
      <c r="B1892">
        <v>19.37</v>
      </c>
      <c r="C1892">
        <v>18.920000000000002</v>
      </c>
      <c r="D1892" t="s">
        <v>218</v>
      </c>
      <c r="E1892" s="97">
        <v>6.0299999999999999E-2</v>
      </c>
    </row>
    <row r="1893" spans="1:5" ht="15">
      <c r="A1893" s="98">
        <v>3109</v>
      </c>
      <c r="B1893">
        <v>20.39</v>
      </c>
      <c r="C1893">
        <v>19.7</v>
      </c>
      <c r="D1893" t="s">
        <v>218</v>
      </c>
      <c r="E1893" s="97">
        <v>-1.7500000000000002E-2</v>
      </c>
    </row>
    <row r="1894" spans="1:5" ht="15">
      <c r="A1894" s="98">
        <v>3108</v>
      </c>
      <c r="B1894">
        <v>21.9</v>
      </c>
      <c r="C1894">
        <v>20.96</v>
      </c>
      <c r="D1894" t="s">
        <v>218</v>
      </c>
      <c r="E1894" s="97">
        <v>-8.0000000000000004E-4</v>
      </c>
    </row>
    <row r="1895" spans="1:5" ht="15">
      <c r="A1895" s="98">
        <v>3107</v>
      </c>
      <c r="B1895">
        <v>22.96</v>
      </c>
      <c r="C1895">
        <v>22.3</v>
      </c>
      <c r="D1895" t="s">
        <v>218</v>
      </c>
      <c r="E1895" s="97">
        <v>3.27E-2</v>
      </c>
    </row>
    <row r="1896" spans="1:5" ht="15">
      <c r="A1896" s="98">
        <v>3106</v>
      </c>
      <c r="B1896">
        <v>23.26</v>
      </c>
      <c r="C1896">
        <v>22.28</v>
      </c>
      <c r="D1896" t="s">
        <v>218</v>
      </c>
      <c r="E1896" s="97">
        <v>-2.0199999999999999E-2</v>
      </c>
    </row>
    <row r="1897" spans="1:5" ht="15">
      <c r="A1897" s="98">
        <v>3105</v>
      </c>
      <c r="B1897">
        <v>24.91</v>
      </c>
      <c r="C1897">
        <v>23.59</v>
      </c>
      <c r="D1897" t="s">
        <v>218</v>
      </c>
      <c r="E1897" s="97">
        <v>-1.0800000000000001E-2</v>
      </c>
    </row>
    <row r="1898" spans="1:5" ht="15">
      <c r="A1898" s="98">
        <v>3104</v>
      </c>
      <c r="B1898">
        <v>23.29</v>
      </c>
      <c r="C1898">
        <v>22.09</v>
      </c>
      <c r="D1898" t="s">
        <v>218</v>
      </c>
      <c r="E1898" s="97">
        <v>0</v>
      </c>
    </row>
    <row r="1899" spans="1:5" ht="15">
      <c r="A1899" s="98">
        <v>3103</v>
      </c>
      <c r="B1899">
        <v>22.12</v>
      </c>
      <c r="C1899">
        <v>21.02</v>
      </c>
      <c r="D1899" t="s">
        <v>218</v>
      </c>
      <c r="E1899" s="97">
        <v>-4.3900000000000002E-2</v>
      </c>
    </row>
    <row r="1900" spans="1:5" ht="15">
      <c r="A1900" s="98">
        <v>3102</v>
      </c>
      <c r="B1900">
        <v>22.91</v>
      </c>
      <c r="C1900">
        <v>21.58</v>
      </c>
      <c r="D1900" t="s">
        <v>218</v>
      </c>
      <c r="E1900" s="97">
        <v>8.2000000000000003E-2</v>
      </c>
    </row>
    <row r="1901" spans="1:5" ht="15">
      <c r="A1901" s="98">
        <v>3101</v>
      </c>
      <c r="B1901">
        <v>23.6</v>
      </c>
      <c r="C1901">
        <v>22.46</v>
      </c>
      <c r="D1901" t="s">
        <v>218</v>
      </c>
      <c r="E1901" s="97">
        <v>-2.1100000000000001E-2</v>
      </c>
    </row>
    <row r="1902" spans="1:5" ht="15">
      <c r="A1902" s="98">
        <v>3100</v>
      </c>
      <c r="B1902">
        <v>23.84</v>
      </c>
      <c r="C1902">
        <v>23.07</v>
      </c>
      <c r="D1902" t="s">
        <v>218</v>
      </c>
      <c r="E1902" s="97">
        <v>6.7999999999999996E-3</v>
      </c>
    </row>
    <row r="1903" spans="1:5" ht="15">
      <c r="A1903" s="98">
        <v>3099</v>
      </c>
      <c r="B1903">
        <v>23.07</v>
      </c>
      <c r="C1903">
        <v>21.84</v>
      </c>
      <c r="D1903" t="s">
        <v>218</v>
      </c>
      <c r="E1903" s="97">
        <v>8.9999999999999998E-4</v>
      </c>
    </row>
    <row r="1904" spans="1:5" ht="15">
      <c r="A1904" s="98">
        <v>3098</v>
      </c>
      <c r="B1904">
        <v>23.01</v>
      </c>
      <c r="C1904">
        <v>22.19</v>
      </c>
      <c r="D1904" t="s">
        <v>218</v>
      </c>
      <c r="E1904" s="97">
        <v>0</v>
      </c>
    </row>
    <row r="1905" spans="1:5" ht="15">
      <c r="A1905" s="98">
        <v>3097</v>
      </c>
      <c r="B1905">
        <v>23.87</v>
      </c>
      <c r="C1905">
        <v>22.51</v>
      </c>
      <c r="D1905" t="s">
        <v>218</v>
      </c>
      <c r="E1905" s="97">
        <v>1.38E-2</v>
      </c>
    </row>
    <row r="1906" spans="1:5" ht="15">
      <c r="A1906" s="98">
        <v>3096</v>
      </c>
      <c r="B1906">
        <v>25.61</v>
      </c>
      <c r="C1906">
        <v>24.16</v>
      </c>
      <c r="D1906" t="s">
        <v>218</v>
      </c>
      <c r="E1906" s="97">
        <v>-4.3E-3</v>
      </c>
    </row>
    <row r="1907" spans="1:5" ht="15">
      <c r="A1907" s="98">
        <v>3095</v>
      </c>
      <c r="B1907">
        <v>25.23</v>
      </c>
      <c r="C1907">
        <v>23.92</v>
      </c>
      <c r="D1907" t="s">
        <v>218</v>
      </c>
      <c r="E1907" s="97">
        <v>2.8299999999999999E-2</v>
      </c>
    </row>
    <row r="1908" spans="1:5" ht="15">
      <c r="A1908" s="98">
        <v>3094</v>
      </c>
      <c r="B1908">
        <v>24.23</v>
      </c>
      <c r="C1908">
        <v>22.98</v>
      </c>
      <c r="D1908" t="s">
        <v>218</v>
      </c>
      <c r="E1908" s="97">
        <v>-7.0000000000000001E-3</v>
      </c>
    </row>
    <row r="1909" spans="1:5" ht="15">
      <c r="A1909" s="98">
        <v>3093</v>
      </c>
      <c r="B1909">
        <v>23.13</v>
      </c>
      <c r="C1909">
        <v>21.93</v>
      </c>
      <c r="D1909" t="s">
        <v>218</v>
      </c>
      <c r="E1909" s="97">
        <v>-9.3799999999999994E-2</v>
      </c>
    </row>
    <row r="1910" spans="1:5" ht="15">
      <c r="A1910" s="98">
        <v>3092</v>
      </c>
      <c r="B1910">
        <v>23.03</v>
      </c>
      <c r="C1910">
        <v>22.48</v>
      </c>
      <c r="D1910" t="s">
        <v>218</v>
      </c>
      <c r="E1910" s="97">
        <v>1.6199999999999999E-2</v>
      </c>
    </row>
    <row r="1911" spans="1:5" ht="15">
      <c r="A1911" s="98">
        <v>3091</v>
      </c>
      <c r="B1911">
        <v>22.45</v>
      </c>
      <c r="C1911">
        <v>20.79</v>
      </c>
      <c r="D1911" t="s">
        <v>218</v>
      </c>
      <c r="E1911" s="97">
        <v>-2.98E-2</v>
      </c>
    </row>
    <row r="1912" spans="1:5" ht="15">
      <c r="A1912" s="98">
        <v>3090</v>
      </c>
      <c r="B1912">
        <v>20.99</v>
      </c>
      <c r="C1912">
        <v>20.13</v>
      </c>
      <c r="D1912" t="s">
        <v>218</v>
      </c>
      <c r="E1912" s="97">
        <v>-1.8499999999999999E-2</v>
      </c>
    </row>
    <row r="1913" spans="1:5" ht="15">
      <c r="A1913" s="98">
        <v>3089</v>
      </c>
      <c r="B1913">
        <v>20.48</v>
      </c>
      <c r="C1913">
        <v>19.690000000000001</v>
      </c>
      <c r="D1913" t="s">
        <v>218</v>
      </c>
      <c r="E1913" s="97">
        <v>6.6400000000000001E-2</v>
      </c>
    </row>
    <row r="1914" spans="1:5" ht="15">
      <c r="A1914" s="98">
        <v>3088</v>
      </c>
      <c r="B1914">
        <v>21.03</v>
      </c>
      <c r="C1914">
        <v>19.829999999999998</v>
      </c>
      <c r="D1914" t="s">
        <v>218</v>
      </c>
      <c r="E1914" s="97">
        <v>-5.7000000000000002E-3</v>
      </c>
    </row>
    <row r="1915" spans="1:5" ht="15">
      <c r="A1915" s="98">
        <v>3087</v>
      </c>
      <c r="B1915">
        <v>22.26</v>
      </c>
      <c r="C1915">
        <v>20.88</v>
      </c>
      <c r="D1915" t="s">
        <v>218</v>
      </c>
      <c r="E1915" s="97">
        <v>7.0699999999999999E-2</v>
      </c>
    </row>
    <row r="1916" spans="1:5" ht="15">
      <c r="A1916" s="98">
        <v>3086</v>
      </c>
      <c r="B1916">
        <v>21.51</v>
      </c>
      <c r="C1916">
        <v>20.73</v>
      </c>
      <c r="D1916" t="s">
        <v>218</v>
      </c>
      <c r="E1916" s="97">
        <v>2.8799999999999999E-2</v>
      </c>
    </row>
    <row r="1917" spans="1:5" ht="15">
      <c r="A1917" s="98">
        <v>3085</v>
      </c>
      <c r="B1917">
        <v>22.57</v>
      </c>
      <c r="C1917">
        <v>20.72</v>
      </c>
      <c r="D1917" t="s">
        <v>218</v>
      </c>
      <c r="E1917" s="97">
        <v>-8.9999999999999998E-4</v>
      </c>
    </row>
    <row r="1918" spans="1:5" ht="15">
      <c r="A1918" s="98">
        <v>3084</v>
      </c>
      <c r="B1918">
        <v>22.43</v>
      </c>
      <c r="C1918">
        <v>21.64</v>
      </c>
      <c r="D1918" t="s">
        <v>218</v>
      </c>
      <c r="E1918" s="97">
        <v>-3.7199999999999997E-2</v>
      </c>
    </row>
    <row r="1919" spans="1:5" ht="15">
      <c r="A1919" s="98">
        <v>3083</v>
      </c>
      <c r="B1919">
        <v>21.53</v>
      </c>
      <c r="C1919">
        <v>20.37</v>
      </c>
      <c r="D1919" t="s">
        <v>218</v>
      </c>
      <c r="E1919" s="97">
        <v>1.5800000000000002E-2</v>
      </c>
    </row>
    <row r="1920" spans="1:5" ht="15">
      <c r="A1920" s="98">
        <v>3082</v>
      </c>
      <c r="B1920">
        <v>20.69</v>
      </c>
      <c r="C1920">
        <v>20.239999999999998</v>
      </c>
      <c r="D1920" t="s">
        <v>218</v>
      </c>
      <c r="E1920" s="97">
        <v>-1.5599999999999999E-2</v>
      </c>
    </row>
    <row r="1921" spans="1:5" ht="15">
      <c r="A1921" s="98">
        <v>3081</v>
      </c>
      <c r="B1921">
        <v>20.54</v>
      </c>
      <c r="C1921">
        <v>19.93</v>
      </c>
      <c r="D1921" t="s">
        <v>218</v>
      </c>
      <c r="E1921" s="97">
        <v>5.6599999999999998E-2</v>
      </c>
    </row>
    <row r="1922" spans="1:5" ht="15">
      <c r="A1922" s="98">
        <v>3080</v>
      </c>
      <c r="B1922">
        <v>20.91</v>
      </c>
      <c r="C1922">
        <v>19.84</v>
      </c>
      <c r="D1922" t="s">
        <v>218</v>
      </c>
      <c r="E1922" s="97">
        <v>-5.4399999999999997E-2</v>
      </c>
    </row>
    <row r="1923" spans="1:5" ht="15">
      <c r="A1923" s="98">
        <v>3079</v>
      </c>
      <c r="B1923">
        <v>22.15</v>
      </c>
      <c r="C1923">
        <v>21.06</v>
      </c>
      <c r="D1923" t="s">
        <v>218</v>
      </c>
      <c r="E1923" s="97">
        <v>1.0500000000000001E-2</v>
      </c>
    </row>
    <row r="1924" spans="1:5" ht="15">
      <c r="A1924" s="98">
        <v>3078</v>
      </c>
      <c r="B1924">
        <v>24.24</v>
      </c>
      <c r="C1924">
        <v>21.91</v>
      </c>
      <c r="D1924" t="s">
        <v>218</v>
      </c>
      <c r="E1924" s="97">
        <v>2.41E-2</v>
      </c>
    </row>
    <row r="1925" spans="1:5" ht="15">
      <c r="A1925" s="98">
        <v>3077</v>
      </c>
      <c r="B1925">
        <v>24.85</v>
      </c>
      <c r="C1925">
        <v>22.87</v>
      </c>
      <c r="D1925" t="s">
        <v>218</v>
      </c>
      <c r="E1925" s="97">
        <v>1.8E-3</v>
      </c>
    </row>
    <row r="1926" spans="1:5" ht="15">
      <c r="A1926" s="98">
        <v>3076</v>
      </c>
      <c r="B1926">
        <v>24.51</v>
      </c>
      <c r="C1926">
        <v>21.63</v>
      </c>
      <c r="D1926" t="s">
        <v>218</v>
      </c>
      <c r="E1926" s="97">
        <v>-3.5999999999999999E-3</v>
      </c>
    </row>
    <row r="1927" spans="1:5" ht="15">
      <c r="A1927" s="98">
        <v>3075</v>
      </c>
      <c r="B1927">
        <v>23.28</v>
      </c>
      <c r="C1927">
        <v>22.34</v>
      </c>
      <c r="D1927" t="s">
        <v>218</v>
      </c>
      <c r="E1927" s="97">
        <v>-3.5299999999999998E-2</v>
      </c>
    </row>
    <row r="1928" spans="1:5" ht="15">
      <c r="A1928" s="98">
        <v>3074</v>
      </c>
      <c r="B1928">
        <v>22.36</v>
      </c>
      <c r="C1928">
        <v>21.85</v>
      </c>
      <c r="D1928" t="s">
        <v>218</v>
      </c>
      <c r="E1928" s="97">
        <v>-1.44E-2</v>
      </c>
    </row>
    <row r="1929" spans="1:5" ht="15">
      <c r="A1929" s="98">
        <v>3073</v>
      </c>
      <c r="B1929">
        <v>21.31</v>
      </c>
      <c r="C1929">
        <v>19.7</v>
      </c>
      <c r="D1929" t="s">
        <v>218</v>
      </c>
      <c r="E1929" s="97">
        <v>-2.7199999999999998E-2</v>
      </c>
    </row>
    <row r="1930" spans="1:5" ht="15">
      <c r="A1930" s="98">
        <v>3072</v>
      </c>
      <c r="B1930">
        <v>20.85</v>
      </c>
      <c r="C1930">
        <v>20.13</v>
      </c>
      <c r="D1930" t="s">
        <v>218</v>
      </c>
      <c r="E1930" s="97">
        <v>1.17E-2</v>
      </c>
    </row>
    <row r="1931" spans="1:5" ht="15">
      <c r="A1931" s="98">
        <v>3071</v>
      </c>
      <c r="B1931">
        <v>22.12</v>
      </c>
      <c r="C1931">
        <v>20.9</v>
      </c>
      <c r="D1931" t="s">
        <v>218</v>
      </c>
      <c r="E1931" s="97">
        <v>5.5500000000000001E-2</v>
      </c>
    </row>
    <row r="1932" spans="1:5" ht="15">
      <c r="A1932" s="98">
        <v>3070</v>
      </c>
      <c r="B1932">
        <v>23.26</v>
      </c>
      <c r="C1932">
        <v>21.84</v>
      </c>
      <c r="D1932" t="s">
        <v>218</v>
      </c>
      <c r="E1932" s="97">
        <v>5.6800000000000003E-2</v>
      </c>
    </row>
    <row r="1933" spans="1:5" ht="15">
      <c r="A1933" s="98">
        <v>3069</v>
      </c>
      <c r="B1933">
        <v>25.84</v>
      </c>
      <c r="C1933">
        <v>23.16</v>
      </c>
      <c r="D1933" t="s">
        <v>218</v>
      </c>
      <c r="E1933" s="97">
        <v>-5.5399999999999998E-2</v>
      </c>
    </row>
    <row r="1934" spans="1:5" ht="15">
      <c r="A1934" s="98">
        <v>3068</v>
      </c>
      <c r="B1934">
        <v>25.47</v>
      </c>
      <c r="C1934">
        <v>24.41</v>
      </c>
      <c r="D1934" t="s">
        <v>218</v>
      </c>
      <c r="E1934" s="97">
        <v>-4.0500000000000001E-2</v>
      </c>
    </row>
    <row r="1935" spans="1:5" ht="15">
      <c r="A1935" s="98">
        <v>3067</v>
      </c>
      <c r="B1935">
        <v>26.17</v>
      </c>
      <c r="C1935">
        <v>24.19</v>
      </c>
      <c r="D1935" t="s">
        <v>218</v>
      </c>
      <c r="E1935" s="97">
        <v>-6.5500000000000003E-2</v>
      </c>
    </row>
    <row r="1936" spans="1:5" ht="15">
      <c r="A1936" s="98">
        <v>3066</v>
      </c>
      <c r="B1936">
        <v>27.37</v>
      </c>
      <c r="C1936">
        <v>26.22</v>
      </c>
      <c r="D1936" t="s">
        <v>218</v>
      </c>
      <c r="E1936" s="97">
        <v>2.92E-2</v>
      </c>
    </row>
    <row r="1937" spans="1:5" ht="15">
      <c r="A1937" s="98">
        <v>3065</v>
      </c>
      <c r="B1937">
        <v>28.73</v>
      </c>
      <c r="C1937">
        <v>27.23</v>
      </c>
      <c r="D1937" t="s">
        <v>218</v>
      </c>
      <c r="E1937" s="97">
        <v>-2.69E-2</v>
      </c>
    </row>
    <row r="1938" spans="1:5" ht="15">
      <c r="A1938" s="98">
        <v>3064</v>
      </c>
      <c r="B1938">
        <v>31.3</v>
      </c>
      <c r="C1938">
        <v>28.92</v>
      </c>
      <c r="D1938" t="s">
        <v>218</v>
      </c>
      <c r="E1938" s="97">
        <v>-6.3E-3</v>
      </c>
    </row>
    <row r="1939" spans="1:5" ht="15">
      <c r="A1939" s="98">
        <v>3063</v>
      </c>
      <c r="B1939">
        <v>33.340000000000003</v>
      </c>
      <c r="C1939">
        <v>31.84</v>
      </c>
      <c r="D1939" t="s">
        <v>218</v>
      </c>
      <c r="E1939" s="97">
        <v>6.5199999999999994E-2</v>
      </c>
    </row>
    <row r="1940" spans="1:5" ht="15">
      <c r="A1940" s="98">
        <v>3062</v>
      </c>
      <c r="B1940">
        <v>44.33</v>
      </c>
      <c r="C1940">
        <v>39.770000000000003</v>
      </c>
      <c r="D1940" t="s">
        <v>218</v>
      </c>
      <c r="E1940" s="97">
        <v>2.0500000000000001E-2</v>
      </c>
    </row>
    <row r="1941" spans="1:5" ht="15">
      <c r="A1941" s="98">
        <v>3061</v>
      </c>
      <c r="B1941">
        <v>42.17</v>
      </c>
      <c r="C1941">
        <v>38.869999999999997</v>
      </c>
      <c r="D1941" t="s">
        <v>218</v>
      </c>
      <c r="E1941" s="97">
        <v>1.5599999999999999E-2</v>
      </c>
    </row>
    <row r="1942" spans="1:5" ht="15">
      <c r="A1942" s="98">
        <v>3060</v>
      </c>
      <c r="B1942">
        <v>44.26</v>
      </c>
      <c r="C1942">
        <v>37.5</v>
      </c>
      <c r="D1942" t="s">
        <v>218</v>
      </c>
      <c r="E1942" s="97">
        <v>-6.4799999999999996E-2</v>
      </c>
    </row>
    <row r="1943" spans="1:5" ht="15">
      <c r="A1943" s="98">
        <v>3059</v>
      </c>
      <c r="B1943">
        <v>43.76</v>
      </c>
      <c r="C1943">
        <v>41.17</v>
      </c>
      <c r="D1943" t="s">
        <v>218</v>
      </c>
      <c r="E1943" s="97">
        <v>6.4699999999999994E-2</v>
      </c>
    </row>
    <row r="1944" spans="1:5" ht="15">
      <c r="A1944" s="98">
        <v>3058</v>
      </c>
      <c r="B1944">
        <v>49.35</v>
      </c>
      <c r="C1944">
        <v>42.66</v>
      </c>
      <c r="D1944" t="s">
        <v>218</v>
      </c>
      <c r="E1944" s="97">
        <v>1.1299999999999999E-2</v>
      </c>
    </row>
    <row r="1945" spans="1:5" ht="15">
      <c r="A1945" s="98">
        <v>3057</v>
      </c>
      <c r="B1945">
        <v>41.49</v>
      </c>
      <c r="C1945">
        <v>37.200000000000003</v>
      </c>
      <c r="D1945" t="s">
        <v>218</v>
      </c>
      <c r="E1945" s="97">
        <v>-3.4500000000000003E-2</v>
      </c>
    </row>
    <row r="1946" spans="1:5" ht="15">
      <c r="A1946" s="98">
        <v>3056</v>
      </c>
      <c r="B1946">
        <v>37.26</v>
      </c>
      <c r="C1946">
        <v>35.81</v>
      </c>
      <c r="D1946" t="s">
        <v>218</v>
      </c>
      <c r="E1946" s="97">
        <v>-8.0000000000000004E-4</v>
      </c>
    </row>
    <row r="1947" spans="1:5" ht="15">
      <c r="A1947" s="98">
        <v>3055</v>
      </c>
      <c r="B1947">
        <v>35.74</v>
      </c>
      <c r="C1947">
        <v>34.49</v>
      </c>
      <c r="D1947" t="s">
        <v>218</v>
      </c>
      <c r="E1947" s="97">
        <v>-4.2700000000000002E-2</v>
      </c>
    </row>
    <row r="1948" spans="1:5" ht="15">
      <c r="A1948" s="98">
        <v>3054</v>
      </c>
      <c r="B1948">
        <v>36.11</v>
      </c>
      <c r="C1948">
        <v>33.99</v>
      </c>
      <c r="D1948" t="s">
        <v>218</v>
      </c>
      <c r="E1948" s="97">
        <v>3.3300000000000003E-2</v>
      </c>
    </row>
    <row r="1949" spans="1:5" ht="15">
      <c r="A1949" s="98">
        <v>3053</v>
      </c>
      <c r="B1949">
        <v>33.08</v>
      </c>
      <c r="C1949">
        <v>31.74</v>
      </c>
      <c r="D1949" t="s">
        <v>218</v>
      </c>
      <c r="E1949" s="97">
        <v>4.6199999999999998E-2</v>
      </c>
    </row>
    <row r="1950" spans="1:5" ht="15">
      <c r="A1950" s="98">
        <v>3052</v>
      </c>
      <c r="B1950">
        <v>34.08</v>
      </c>
      <c r="C1950">
        <v>32.29</v>
      </c>
      <c r="D1950" t="s">
        <v>218</v>
      </c>
      <c r="E1950" s="97">
        <v>-6.7400000000000002E-2</v>
      </c>
    </row>
    <row r="1951" spans="1:5" ht="15">
      <c r="A1951" s="98">
        <v>3051</v>
      </c>
      <c r="B1951">
        <v>32.64</v>
      </c>
      <c r="C1951">
        <v>31.16</v>
      </c>
      <c r="D1951" t="s">
        <v>218</v>
      </c>
      <c r="E1951" s="97">
        <v>4.8999999999999998E-3</v>
      </c>
    </row>
    <row r="1952" spans="1:5" ht="15">
      <c r="A1952" s="98">
        <v>3050</v>
      </c>
      <c r="B1952">
        <v>32.47</v>
      </c>
      <c r="C1952">
        <v>31.15</v>
      </c>
      <c r="D1952" t="s">
        <v>218</v>
      </c>
      <c r="E1952" s="97">
        <v>-8.2400000000000001E-2</v>
      </c>
    </row>
    <row r="1953" spans="1:5" ht="15">
      <c r="A1953" s="98">
        <v>3049</v>
      </c>
      <c r="B1953">
        <v>32.159999999999997</v>
      </c>
      <c r="C1953">
        <v>30.31</v>
      </c>
      <c r="D1953" t="s">
        <v>218</v>
      </c>
      <c r="E1953" s="97">
        <v>3.73E-2</v>
      </c>
    </row>
    <row r="1954" spans="1:5" ht="15">
      <c r="A1954" s="98">
        <v>3048</v>
      </c>
      <c r="B1954">
        <v>34.39</v>
      </c>
      <c r="C1954">
        <v>32.64</v>
      </c>
      <c r="D1954" t="s">
        <v>218</v>
      </c>
      <c r="E1954" s="97">
        <v>-1.9099999999999999E-2</v>
      </c>
    </row>
    <row r="1955" spans="1:5" ht="15">
      <c r="A1955" s="98">
        <v>3047</v>
      </c>
      <c r="B1955">
        <v>36.18</v>
      </c>
      <c r="C1955">
        <v>34.840000000000003</v>
      </c>
      <c r="D1955" t="s">
        <v>218</v>
      </c>
      <c r="E1955" s="97">
        <v>2.2599999999999999E-2</v>
      </c>
    </row>
    <row r="1956" spans="1:5" ht="15">
      <c r="A1956" s="98">
        <v>3046</v>
      </c>
      <c r="B1956">
        <v>35.53</v>
      </c>
      <c r="C1956">
        <v>34.479999999999997</v>
      </c>
      <c r="D1956" t="s">
        <v>218</v>
      </c>
      <c r="E1956" s="97">
        <v>-5.5899999999999998E-2</v>
      </c>
    </row>
    <row r="1957" spans="1:5" ht="15">
      <c r="A1957" s="98">
        <v>3045</v>
      </c>
      <c r="B1957">
        <v>34.17</v>
      </c>
      <c r="C1957">
        <v>31.34</v>
      </c>
      <c r="D1957" t="s">
        <v>218</v>
      </c>
      <c r="E1957" s="97">
        <v>4.2200000000000001E-2</v>
      </c>
    </row>
    <row r="1958" spans="1:5" ht="15">
      <c r="A1958" s="98">
        <v>3044</v>
      </c>
      <c r="B1958">
        <v>32.159999999999997</v>
      </c>
      <c r="C1958">
        <v>30.83</v>
      </c>
      <c r="D1958" t="s">
        <v>218</v>
      </c>
      <c r="E1958" s="97">
        <v>6.1999999999999998E-3</v>
      </c>
    </row>
    <row r="1959" spans="1:5" ht="15">
      <c r="A1959" s="98">
        <v>3043</v>
      </c>
      <c r="B1959">
        <v>36.56</v>
      </c>
      <c r="C1959">
        <v>32.270000000000003</v>
      </c>
      <c r="D1959" t="s">
        <v>218</v>
      </c>
      <c r="E1959" s="97">
        <v>-2.0400000000000001E-2</v>
      </c>
    </row>
    <row r="1960" spans="1:5" ht="15">
      <c r="A1960" s="98">
        <v>3042</v>
      </c>
      <c r="B1960">
        <v>36.950000000000003</v>
      </c>
      <c r="C1960">
        <v>35.24</v>
      </c>
      <c r="D1960" t="s">
        <v>218</v>
      </c>
      <c r="E1960" s="97">
        <v>7.0400000000000004E-2</v>
      </c>
    </row>
    <row r="1961" spans="1:5" ht="15">
      <c r="A1961" s="98">
        <v>3041</v>
      </c>
      <c r="B1961">
        <v>35.32</v>
      </c>
      <c r="C1961">
        <v>32.85</v>
      </c>
      <c r="D1961" t="s">
        <v>218</v>
      </c>
      <c r="E1961" s="97">
        <v>-4.5600000000000002E-2</v>
      </c>
    </row>
    <row r="1962" spans="1:5" ht="15">
      <c r="A1962" s="98">
        <v>3040</v>
      </c>
      <c r="B1962">
        <v>35.090000000000003</v>
      </c>
      <c r="C1962">
        <v>32.44</v>
      </c>
      <c r="D1962" t="s">
        <v>218</v>
      </c>
      <c r="E1962" s="97">
        <v>4.5199999999999997E-2</v>
      </c>
    </row>
    <row r="1963" spans="1:5" ht="15">
      <c r="A1963" s="98">
        <v>3039</v>
      </c>
      <c r="B1963">
        <v>35.61</v>
      </c>
      <c r="C1963">
        <v>34.85</v>
      </c>
      <c r="D1963" t="s">
        <v>218</v>
      </c>
      <c r="E1963" s="97">
        <v>3.5099999999999999E-2</v>
      </c>
    </row>
    <row r="1964" spans="1:5" ht="15">
      <c r="A1964" s="98">
        <v>3038</v>
      </c>
      <c r="B1964">
        <v>35.46</v>
      </c>
      <c r="C1964">
        <v>33.89</v>
      </c>
      <c r="D1964" t="s">
        <v>218</v>
      </c>
      <c r="E1964" s="97">
        <v>-3.6200000000000003E-2</v>
      </c>
    </row>
    <row r="1965" spans="1:5" ht="15">
      <c r="A1965" s="98">
        <v>3037</v>
      </c>
      <c r="B1965">
        <v>34.659999999999997</v>
      </c>
      <c r="C1965">
        <v>32.17</v>
      </c>
      <c r="D1965" t="s">
        <v>218</v>
      </c>
      <c r="E1965" s="97">
        <v>-3.5000000000000003E-2</v>
      </c>
    </row>
    <row r="1966" spans="1:5" ht="15">
      <c r="A1966" s="98">
        <v>3036</v>
      </c>
      <c r="B1966">
        <v>32.46</v>
      </c>
      <c r="C1966">
        <v>31.3</v>
      </c>
      <c r="D1966" t="s">
        <v>218</v>
      </c>
      <c r="E1966" s="97">
        <v>-3.3099999999999997E-2</v>
      </c>
    </row>
    <row r="1967" spans="1:5" ht="15">
      <c r="A1967" s="98">
        <v>3035</v>
      </c>
      <c r="B1967">
        <v>31.84</v>
      </c>
      <c r="C1967">
        <v>30.8</v>
      </c>
      <c r="D1967" t="s">
        <v>218</v>
      </c>
      <c r="E1967" s="97">
        <v>-4.4499999999999998E-2</v>
      </c>
    </row>
    <row r="1968" spans="1:5" ht="15">
      <c r="A1968" s="98">
        <v>3034</v>
      </c>
      <c r="B1968">
        <v>32.92</v>
      </c>
      <c r="C1968">
        <v>29.45</v>
      </c>
      <c r="D1968" t="s">
        <v>218</v>
      </c>
      <c r="E1968" s="97">
        <v>-4.3299999999999998E-2</v>
      </c>
    </row>
    <row r="1969" spans="1:5" ht="15">
      <c r="A1969" s="98">
        <v>3033</v>
      </c>
      <c r="B1969">
        <v>30.02</v>
      </c>
      <c r="C1969">
        <v>28.11</v>
      </c>
      <c r="D1969" t="s">
        <v>218</v>
      </c>
      <c r="E1969" s="97">
        <v>0.21540000000000001</v>
      </c>
    </row>
    <row r="1970" spans="1:5" ht="15">
      <c r="A1970" s="98">
        <v>3032</v>
      </c>
      <c r="B1970">
        <v>31.67</v>
      </c>
      <c r="C1970">
        <v>30.31</v>
      </c>
      <c r="D1970" t="s">
        <v>218</v>
      </c>
      <c r="E1970" s="97">
        <v>-2.1999999999999999E-2</v>
      </c>
    </row>
    <row r="1971" spans="1:5" ht="15">
      <c r="A1971" s="98">
        <v>3031</v>
      </c>
      <c r="B1971">
        <v>34.770000000000003</v>
      </c>
      <c r="C1971">
        <v>33</v>
      </c>
      <c r="D1971" t="s">
        <v>218</v>
      </c>
      <c r="E1971" s="97">
        <v>2.8500000000000001E-2</v>
      </c>
    </row>
    <row r="1972" spans="1:5" ht="15">
      <c r="A1972" s="98">
        <v>3030</v>
      </c>
      <c r="B1972">
        <v>33.590000000000003</v>
      </c>
      <c r="C1972">
        <v>32.270000000000003</v>
      </c>
      <c r="D1972" t="s">
        <v>218</v>
      </c>
      <c r="E1972" s="97">
        <v>6.0600000000000001E-2</v>
      </c>
    </row>
    <row r="1973" spans="1:5" ht="15">
      <c r="A1973" s="98">
        <v>3029</v>
      </c>
      <c r="B1973">
        <v>34.57</v>
      </c>
      <c r="C1973">
        <v>32</v>
      </c>
      <c r="D1973" t="s">
        <v>218</v>
      </c>
      <c r="E1973" s="97">
        <v>2.7000000000000001E-3</v>
      </c>
    </row>
    <row r="1974" spans="1:5" ht="15">
      <c r="A1974" s="98">
        <v>3028</v>
      </c>
      <c r="B1974">
        <v>32.67</v>
      </c>
      <c r="C1974">
        <v>30.46</v>
      </c>
      <c r="D1974" t="s">
        <v>218</v>
      </c>
      <c r="E1974" s="97">
        <v>2.3800000000000002E-2</v>
      </c>
    </row>
    <row r="1975" spans="1:5" ht="15">
      <c r="A1975" s="98">
        <v>3027</v>
      </c>
      <c r="B1975">
        <v>31.21</v>
      </c>
      <c r="C1975">
        <v>30.23</v>
      </c>
      <c r="D1975" t="s">
        <v>218</v>
      </c>
      <c r="E1975" s="97">
        <v>7.4000000000000003E-3</v>
      </c>
    </row>
    <row r="1976" spans="1:5" ht="15">
      <c r="A1976" s="98">
        <v>3026</v>
      </c>
      <c r="B1976">
        <v>31.19</v>
      </c>
      <c r="C1976">
        <v>28.72</v>
      </c>
      <c r="D1976" t="s">
        <v>218</v>
      </c>
      <c r="E1976" s="97">
        <v>-2.4299999999999999E-2</v>
      </c>
    </row>
    <row r="1977" spans="1:5" ht="15">
      <c r="A1977" s="98">
        <v>3025</v>
      </c>
      <c r="B1977">
        <v>29.54</v>
      </c>
      <c r="C1977">
        <v>28.11</v>
      </c>
      <c r="D1977" t="s">
        <v>218</v>
      </c>
      <c r="E1977" s="97">
        <v>1.18E-2</v>
      </c>
    </row>
    <row r="1978" spans="1:5" ht="15">
      <c r="A1978" s="98">
        <v>3024</v>
      </c>
      <c r="B1978">
        <v>28.88</v>
      </c>
      <c r="C1978">
        <v>27.43</v>
      </c>
      <c r="D1978" t="s">
        <v>218</v>
      </c>
      <c r="E1978" s="97">
        <v>-2.7400000000000001E-2</v>
      </c>
    </row>
    <row r="1979" spans="1:5" ht="15">
      <c r="A1979" s="98">
        <v>3023</v>
      </c>
      <c r="B1979">
        <v>29.05</v>
      </c>
      <c r="C1979">
        <v>27.34</v>
      </c>
      <c r="D1979" t="s">
        <v>218</v>
      </c>
      <c r="E1979" s="97">
        <v>-5.3E-3</v>
      </c>
    </row>
    <row r="1980" spans="1:5" ht="15">
      <c r="A1980" s="98">
        <v>3022</v>
      </c>
      <c r="B1980">
        <v>31.94</v>
      </c>
      <c r="C1980">
        <v>29.04</v>
      </c>
      <c r="D1980" t="s">
        <v>218</v>
      </c>
      <c r="E1980" s="97">
        <v>2.06E-2</v>
      </c>
    </row>
    <row r="1981" spans="1:5" ht="15">
      <c r="A1981" s="98">
        <v>3021</v>
      </c>
      <c r="B1981">
        <v>28.02</v>
      </c>
      <c r="C1981">
        <v>26.34</v>
      </c>
      <c r="D1981" t="s">
        <v>218</v>
      </c>
      <c r="E1981" s="97">
        <v>-7.7100000000000002E-2</v>
      </c>
    </row>
    <row r="1982" spans="1:5" ht="15">
      <c r="A1982" s="98">
        <v>3020</v>
      </c>
      <c r="B1982">
        <v>27.04</v>
      </c>
      <c r="C1982">
        <v>26.26</v>
      </c>
      <c r="D1982" t="s">
        <v>218</v>
      </c>
      <c r="E1982" s="97">
        <v>3.9600000000000003E-2</v>
      </c>
    </row>
    <row r="1983" spans="1:5" ht="15">
      <c r="A1983" s="98">
        <v>3019</v>
      </c>
      <c r="B1983">
        <v>26.46</v>
      </c>
      <c r="C1983">
        <v>25.53</v>
      </c>
      <c r="D1983" t="s">
        <v>218</v>
      </c>
      <c r="E1983" s="97">
        <v>2.29E-2</v>
      </c>
    </row>
    <row r="1984" spans="1:5" ht="15">
      <c r="A1984" s="98">
        <v>3018</v>
      </c>
      <c r="B1984">
        <v>25.95</v>
      </c>
      <c r="C1984">
        <v>25.03</v>
      </c>
      <c r="D1984" t="s">
        <v>218</v>
      </c>
      <c r="E1984" s="97">
        <v>-1.9E-2</v>
      </c>
    </row>
    <row r="1985" spans="1:5" ht="15">
      <c r="A1985" s="98">
        <v>3017</v>
      </c>
      <c r="B1985">
        <v>25.43</v>
      </c>
      <c r="C1985">
        <v>24.46</v>
      </c>
      <c r="D1985" t="s">
        <v>218</v>
      </c>
      <c r="E1985" s="97">
        <v>0.12659999999999999</v>
      </c>
    </row>
    <row r="1986" spans="1:5" ht="15">
      <c r="A1986" s="98">
        <v>3016</v>
      </c>
      <c r="B1986">
        <v>24.48</v>
      </c>
      <c r="C1986">
        <v>23.5</v>
      </c>
      <c r="D1986" t="s">
        <v>218</v>
      </c>
      <c r="E1986" s="97">
        <v>-1.9E-3</v>
      </c>
    </row>
    <row r="1987" spans="1:5" ht="15">
      <c r="A1987" s="98">
        <v>3015</v>
      </c>
      <c r="B1987">
        <v>24.42</v>
      </c>
      <c r="C1987">
        <v>23.84</v>
      </c>
      <c r="D1987" t="s">
        <v>218</v>
      </c>
      <c r="E1987" s="97">
        <v>-4.8099999999999997E-2</v>
      </c>
    </row>
    <row r="1988" spans="1:5" ht="15">
      <c r="A1988" s="98">
        <v>3014</v>
      </c>
      <c r="B1988">
        <v>23.94</v>
      </c>
      <c r="C1988">
        <v>23</v>
      </c>
      <c r="D1988" t="s">
        <v>218</v>
      </c>
      <c r="E1988" s="97">
        <v>-3.4000000000000002E-2</v>
      </c>
    </row>
    <row r="1989" spans="1:5" ht="15">
      <c r="A1989" s="98">
        <v>3013</v>
      </c>
      <c r="B1989">
        <v>24.74</v>
      </c>
      <c r="C1989">
        <v>23.75</v>
      </c>
      <c r="D1989" t="s">
        <v>218</v>
      </c>
      <c r="E1989" s="97">
        <v>-1.67E-2</v>
      </c>
    </row>
    <row r="1990" spans="1:5" ht="15">
      <c r="A1990" s="98">
        <v>3012</v>
      </c>
      <c r="B1990">
        <v>24.56</v>
      </c>
      <c r="C1990">
        <v>22.96</v>
      </c>
      <c r="D1990" t="s">
        <v>218</v>
      </c>
      <c r="E1990" s="97">
        <v>6.5500000000000003E-2</v>
      </c>
    </row>
    <row r="1991" spans="1:5" ht="15">
      <c r="A1991" s="98">
        <v>3011</v>
      </c>
      <c r="B1991">
        <v>25.91</v>
      </c>
      <c r="C1991">
        <v>24.29</v>
      </c>
      <c r="D1991" t="s">
        <v>218</v>
      </c>
      <c r="E1991" s="97">
        <v>-4.7000000000000002E-3</v>
      </c>
    </row>
    <row r="1992" spans="1:5" ht="15">
      <c r="A1992" s="98">
        <v>3010</v>
      </c>
      <c r="B1992">
        <v>26.46</v>
      </c>
      <c r="C1992">
        <v>25.14</v>
      </c>
      <c r="D1992" t="s">
        <v>218</v>
      </c>
      <c r="E1992" s="97">
        <v>2.3900000000000001E-2</v>
      </c>
    </row>
    <row r="1993" spans="1:5" ht="15">
      <c r="A1993" s="98">
        <v>3009</v>
      </c>
      <c r="B1993">
        <v>25.3</v>
      </c>
      <c r="C1993">
        <v>23.6</v>
      </c>
      <c r="D1993" t="s">
        <v>218</v>
      </c>
      <c r="E1993" s="97">
        <v>-5.67E-2</v>
      </c>
    </row>
    <row r="1994" spans="1:5" ht="15">
      <c r="A1994" s="98">
        <v>3008</v>
      </c>
      <c r="B1994">
        <v>26.38</v>
      </c>
      <c r="C1994">
        <v>25.52</v>
      </c>
      <c r="D1994" t="s">
        <v>218</v>
      </c>
      <c r="E1994" s="97">
        <v>-3.1399999999999997E-2</v>
      </c>
    </row>
    <row r="1995" spans="1:5" ht="15">
      <c r="A1995" s="98">
        <v>3007</v>
      </c>
      <c r="B1995">
        <v>25.75</v>
      </c>
      <c r="C1995">
        <v>24.08</v>
      </c>
      <c r="D1995" t="s">
        <v>218</v>
      </c>
      <c r="E1995" s="97">
        <v>-1.8800000000000001E-2</v>
      </c>
    </row>
    <row r="1996" spans="1:5" ht="15">
      <c r="A1996" s="98">
        <v>3006</v>
      </c>
      <c r="B1996">
        <v>23.15</v>
      </c>
      <c r="C1996">
        <v>22.58</v>
      </c>
      <c r="D1996" t="s">
        <v>218</v>
      </c>
      <c r="E1996" s="97">
        <v>-4.2599999999999999E-2</v>
      </c>
    </row>
    <row r="1997" spans="1:5" ht="15">
      <c r="A1997" s="98">
        <v>3005</v>
      </c>
      <c r="B1997">
        <v>24.14</v>
      </c>
      <c r="C1997">
        <v>23.35</v>
      </c>
      <c r="D1997" t="s">
        <v>218</v>
      </c>
      <c r="E1997" s="97">
        <v>2.5000000000000001E-3</v>
      </c>
    </row>
    <row r="1998" spans="1:5" ht="15">
      <c r="A1998" s="98">
        <v>3004</v>
      </c>
      <c r="B1998">
        <v>23.85</v>
      </c>
      <c r="C1998">
        <v>23.18</v>
      </c>
      <c r="D1998" t="s">
        <v>218</v>
      </c>
      <c r="E1998" s="97">
        <v>5.7299999999999997E-2</v>
      </c>
    </row>
    <row r="1999" spans="1:5" ht="15">
      <c r="A1999" s="98">
        <v>3003</v>
      </c>
      <c r="B1999">
        <v>25.87</v>
      </c>
      <c r="C1999">
        <v>24.58</v>
      </c>
      <c r="D1999" t="s">
        <v>218</v>
      </c>
      <c r="E1999" s="97">
        <v>-6.8999999999999999E-3</v>
      </c>
    </row>
    <row r="2000" spans="1:5" ht="15">
      <c r="A2000" s="98">
        <v>3002</v>
      </c>
      <c r="B2000">
        <v>25.58</v>
      </c>
      <c r="C2000">
        <v>24.22</v>
      </c>
      <c r="D2000" t="s">
        <v>218</v>
      </c>
      <c r="E2000" s="97">
        <v>5.3600000000000002E-2</v>
      </c>
    </row>
    <row r="2001" spans="1:5" ht="15">
      <c r="A2001" s="98">
        <v>3001</v>
      </c>
      <c r="B2001">
        <v>25.91</v>
      </c>
      <c r="C2001">
        <v>24.66</v>
      </c>
      <c r="D2001" t="s">
        <v>218</v>
      </c>
      <c r="E2001" s="97">
        <v>-2.0500000000000001E-2</v>
      </c>
    </row>
    <row r="2002" spans="1:5" ht="15">
      <c r="A2002" s="98">
        <v>3000</v>
      </c>
      <c r="B2002">
        <v>25.93</v>
      </c>
      <c r="C2002">
        <v>25.03</v>
      </c>
      <c r="D2002" t="s">
        <v>218</v>
      </c>
      <c r="E2002" s="97">
        <v>-6.8000000000000005E-2</v>
      </c>
    </row>
    <row r="2003" spans="1:5" ht="15">
      <c r="A2003" s="98">
        <v>2999</v>
      </c>
      <c r="B2003">
        <v>25.53</v>
      </c>
      <c r="C2003">
        <v>24.23</v>
      </c>
      <c r="D2003" t="s">
        <v>218</v>
      </c>
      <c r="E2003" s="97">
        <v>1.43E-2</v>
      </c>
    </row>
    <row r="2004" spans="1:5" ht="15">
      <c r="A2004" s="98">
        <v>2998</v>
      </c>
      <c r="B2004">
        <v>25.06</v>
      </c>
      <c r="C2004">
        <v>23.96</v>
      </c>
      <c r="D2004" t="s">
        <v>218</v>
      </c>
      <c r="E2004" s="97">
        <v>4.1999999999999997E-3</v>
      </c>
    </row>
    <row r="2005" spans="1:5" ht="15">
      <c r="A2005" s="98">
        <v>2997</v>
      </c>
      <c r="B2005">
        <v>23.71</v>
      </c>
      <c r="C2005">
        <v>23.19</v>
      </c>
      <c r="D2005" t="s">
        <v>218</v>
      </c>
      <c r="E2005" s="97">
        <v>8.8200000000000001E-2</v>
      </c>
    </row>
    <row r="2006" spans="1:5" ht="15">
      <c r="A2006" s="98">
        <v>2996</v>
      </c>
      <c r="B2006">
        <v>23.34</v>
      </c>
      <c r="C2006">
        <v>22.26</v>
      </c>
      <c r="D2006" t="s">
        <v>218</v>
      </c>
      <c r="E2006" s="97">
        <v>-7.3000000000000001E-3</v>
      </c>
    </row>
    <row r="2007" spans="1:5" ht="15">
      <c r="A2007" s="98">
        <v>2995</v>
      </c>
      <c r="B2007">
        <v>23.69</v>
      </c>
      <c r="C2007">
        <v>22.48</v>
      </c>
      <c r="D2007" t="s">
        <v>218</v>
      </c>
      <c r="E2007" s="97">
        <v>3.4000000000000002E-2</v>
      </c>
    </row>
    <row r="2008" spans="1:5" ht="15">
      <c r="A2008" s="98">
        <v>2994</v>
      </c>
      <c r="B2008">
        <v>23.28</v>
      </c>
      <c r="C2008">
        <v>22.38</v>
      </c>
      <c r="D2008" t="s">
        <v>218</v>
      </c>
      <c r="E2008" s="97">
        <v>-2.0299999999999999E-2</v>
      </c>
    </row>
    <row r="2009" spans="1:5" ht="15">
      <c r="A2009" s="98">
        <v>2993</v>
      </c>
      <c r="B2009">
        <v>23.11</v>
      </c>
      <c r="C2009">
        <v>22.62</v>
      </c>
      <c r="D2009" t="s">
        <v>218</v>
      </c>
      <c r="E2009" s="97">
        <v>-2.7E-2</v>
      </c>
    </row>
    <row r="2010" spans="1:5" ht="15">
      <c r="A2010" s="98">
        <v>2992</v>
      </c>
      <c r="B2010">
        <v>22.42</v>
      </c>
      <c r="C2010">
        <v>22.01</v>
      </c>
      <c r="D2010" t="s">
        <v>218</v>
      </c>
      <c r="E2010" s="97">
        <v>-1.1599999999999999E-2</v>
      </c>
    </row>
    <row r="2011" spans="1:5" ht="15">
      <c r="A2011" s="98">
        <v>2991</v>
      </c>
      <c r="B2011">
        <v>22.01</v>
      </c>
      <c r="C2011">
        <v>21.59</v>
      </c>
      <c r="D2011" t="s">
        <v>218</v>
      </c>
      <c r="E2011" s="97">
        <v>-8.2400000000000001E-2</v>
      </c>
    </row>
    <row r="2012" spans="1:5" ht="15">
      <c r="A2012" s="98">
        <v>2990</v>
      </c>
      <c r="B2012">
        <v>21.59</v>
      </c>
      <c r="C2012">
        <v>21.12</v>
      </c>
      <c r="D2012" t="s">
        <v>218</v>
      </c>
      <c r="E2012" s="97">
        <v>2.5000000000000001E-3</v>
      </c>
    </row>
    <row r="2013" spans="1:5" ht="15">
      <c r="A2013" s="98">
        <v>2989</v>
      </c>
      <c r="B2013">
        <v>23.8</v>
      </c>
      <c r="C2013">
        <v>22.46</v>
      </c>
      <c r="D2013" t="s">
        <v>218</v>
      </c>
      <c r="E2013" s="97">
        <v>4.1000000000000003E-3</v>
      </c>
    </row>
    <row r="2014" spans="1:5" ht="15">
      <c r="A2014" s="98">
        <v>2988</v>
      </c>
      <c r="B2014">
        <v>24.2</v>
      </c>
      <c r="C2014">
        <v>22.71</v>
      </c>
      <c r="D2014" t="s">
        <v>218</v>
      </c>
      <c r="E2014" s="97">
        <v>4.7300000000000002E-2</v>
      </c>
    </row>
    <row r="2015" spans="1:5" ht="15">
      <c r="A2015" s="98">
        <v>2987</v>
      </c>
      <c r="B2015">
        <v>22.43</v>
      </c>
      <c r="C2015">
        <v>21.33</v>
      </c>
      <c r="D2015" t="s">
        <v>218</v>
      </c>
      <c r="E2015" s="97">
        <v>-2.2700000000000001E-2</v>
      </c>
    </row>
    <row r="2016" spans="1:5" ht="15">
      <c r="A2016" s="98">
        <v>2986</v>
      </c>
      <c r="B2016">
        <v>21.53</v>
      </c>
      <c r="C2016">
        <v>20.399999999999999</v>
      </c>
      <c r="D2016" t="s">
        <v>218</v>
      </c>
      <c r="E2016" s="97">
        <v>-7.0300000000000001E-2</v>
      </c>
    </row>
    <row r="2017" spans="1:5" ht="15">
      <c r="A2017" s="98">
        <v>2985</v>
      </c>
      <c r="B2017">
        <v>22.15</v>
      </c>
      <c r="C2017">
        <v>21.35</v>
      </c>
      <c r="D2017" t="s">
        <v>218</v>
      </c>
      <c r="E2017" s="97">
        <v>-2.1399999999999999E-2</v>
      </c>
    </row>
    <row r="2018" spans="1:5" ht="15">
      <c r="A2018" s="98">
        <v>2984</v>
      </c>
      <c r="B2018">
        <v>22.29</v>
      </c>
      <c r="C2018">
        <v>21.28</v>
      </c>
      <c r="D2018" t="s">
        <v>218</v>
      </c>
      <c r="E2018" s="97">
        <v>-1.5E-3</v>
      </c>
    </row>
    <row r="2019" spans="1:5" ht="15">
      <c r="A2019" s="98">
        <v>2983</v>
      </c>
      <c r="B2019">
        <v>22.42</v>
      </c>
      <c r="C2019">
        <v>20.66</v>
      </c>
      <c r="D2019" t="s">
        <v>218</v>
      </c>
      <c r="E2019" s="97">
        <v>-5.3E-3</v>
      </c>
    </row>
    <row r="2020" spans="1:5" ht="15">
      <c r="A2020" s="98">
        <v>2982</v>
      </c>
      <c r="B2020">
        <v>22.78</v>
      </c>
      <c r="C2020">
        <v>21.78</v>
      </c>
      <c r="D2020" t="s">
        <v>218</v>
      </c>
      <c r="E2020" s="97">
        <v>1.3100000000000001E-2</v>
      </c>
    </row>
    <row r="2021" spans="1:5" ht="15">
      <c r="A2021" s="98">
        <v>2981</v>
      </c>
      <c r="B2021">
        <v>22.84</v>
      </c>
      <c r="C2021">
        <v>21.92</v>
      </c>
      <c r="D2021" t="s">
        <v>218</v>
      </c>
      <c r="E2021" s="97">
        <v>-3.56E-2</v>
      </c>
    </row>
    <row r="2022" spans="1:5" ht="15">
      <c r="A2022" s="98">
        <v>2980</v>
      </c>
      <c r="B2022">
        <v>24.04</v>
      </c>
      <c r="C2022">
        <v>23.24</v>
      </c>
      <c r="D2022" t="s">
        <v>218</v>
      </c>
      <c r="E2022" s="97">
        <v>-9.2299999999999993E-2</v>
      </c>
    </row>
    <row r="2023" spans="1:5" ht="15">
      <c r="A2023" s="98">
        <v>2979</v>
      </c>
      <c r="B2023">
        <v>23.74</v>
      </c>
      <c r="C2023">
        <v>22.58</v>
      </c>
      <c r="D2023" t="s">
        <v>218</v>
      </c>
      <c r="E2023" s="97">
        <v>-3.0700000000000002E-2</v>
      </c>
    </row>
    <row r="2024" spans="1:5" ht="15">
      <c r="A2024" s="98">
        <v>2978</v>
      </c>
      <c r="B2024">
        <v>23.6</v>
      </c>
      <c r="C2024">
        <v>22.87</v>
      </c>
      <c r="D2024" t="s">
        <v>218</v>
      </c>
      <c r="E2024" s="97">
        <v>7.51E-2</v>
      </c>
    </row>
    <row r="2025" spans="1:5" ht="15">
      <c r="A2025" s="98">
        <v>2977</v>
      </c>
      <c r="B2025">
        <v>23.55</v>
      </c>
      <c r="C2025">
        <v>22.13</v>
      </c>
      <c r="D2025" t="s">
        <v>218</v>
      </c>
      <c r="E2025" s="97">
        <v>-0.1105</v>
      </c>
    </row>
    <row r="2026" spans="1:5" ht="15">
      <c r="A2026" s="98">
        <v>2976</v>
      </c>
      <c r="B2026">
        <v>23.07</v>
      </c>
      <c r="C2026">
        <v>22.22</v>
      </c>
      <c r="D2026" t="s">
        <v>218</v>
      </c>
      <c r="E2026" s="97">
        <v>9.8000000000000004E-2</v>
      </c>
    </row>
    <row r="2027" spans="1:5" ht="15">
      <c r="A2027" s="98">
        <v>2975</v>
      </c>
      <c r="B2027">
        <v>23.83</v>
      </c>
      <c r="C2027">
        <v>22.76</v>
      </c>
      <c r="D2027" t="s">
        <v>218</v>
      </c>
      <c r="E2027" s="97">
        <v>4.1000000000000003E-3</v>
      </c>
    </row>
    <row r="2028" spans="1:5" ht="15">
      <c r="A2028" s="98">
        <v>2974</v>
      </c>
      <c r="B2028">
        <v>23.54</v>
      </c>
      <c r="C2028">
        <v>21.68</v>
      </c>
      <c r="D2028" t="s">
        <v>218</v>
      </c>
      <c r="E2028" s="97">
        <v>-1.4200000000000001E-2</v>
      </c>
    </row>
    <row r="2029" spans="1:5" ht="15">
      <c r="A2029" s="98">
        <v>2973</v>
      </c>
      <c r="B2029">
        <v>21.34</v>
      </c>
      <c r="C2029">
        <v>20.74</v>
      </c>
      <c r="D2029" t="s">
        <v>218</v>
      </c>
      <c r="E2029" s="97">
        <v>-8.6199999999999999E-2</v>
      </c>
    </row>
    <row r="2030" spans="1:5" ht="15">
      <c r="A2030" s="98">
        <v>2972</v>
      </c>
      <c r="B2030">
        <v>21.57</v>
      </c>
      <c r="C2030">
        <v>20.74</v>
      </c>
      <c r="D2030" t="s">
        <v>218</v>
      </c>
      <c r="E2030" s="97">
        <v>1.1999999999999999E-3</v>
      </c>
    </row>
    <row r="2031" spans="1:5" ht="15">
      <c r="A2031" s="98">
        <v>2971</v>
      </c>
      <c r="B2031">
        <v>21.88</v>
      </c>
      <c r="C2031">
        <v>21.11</v>
      </c>
      <c r="D2031" t="s">
        <v>218</v>
      </c>
      <c r="E2031" s="97">
        <v>0.1933</v>
      </c>
    </row>
    <row r="2032" spans="1:5" ht="15">
      <c r="A2032" s="98">
        <v>2970</v>
      </c>
      <c r="B2032">
        <v>24.99</v>
      </c>
      <c r="C2032">
        <v>20.69</v>
      </c>
      <c r="D2032" t="s">
        <v>218</v>
      </c>
      <c r="E2032" s="97">
        <v>-0.11940000000000001</v>
      </c>
    </row>
    <row r="2033" spans="1:5" ht="15">
      <c r="A2033" s="98">
        <v>2969</v>
      </c>
      <c r="B2033">
        <v>26.88</v>
      </c>
      <c r="C2033">
        <v>23.22</v>
      </c>
      <c r="D2033" t="s">
        <v>218</v>
      </c>
      <c r="E2033" s="97">
        <v>4.4999999999999998E-2</v>
      </c>
    </row>
    <row r="2034" spans="1:5" ht="15">
      <c r="A2034" s="98">
        <v>2968</v>
      </c>
      <c r="B2034">
        <v>22.7</v>
      </c>
      <c r="C2034">
        <v>21.09</v>
      </c>
      <c r="D2034" t="s">
        <v>218</v>
      </c>
      <c r="E2034" s="97">
        <v>-1.34E-2</v>
      </c>
    </row>
    <row r="2035" spans="1:5" ht="15">
      <c r="A2035" s="98">
        <v>2967</v>
      </c>
      <c r="B2035">
        <v>21.43</v>
      </c>
      <c r="C2035">
        <v>20.95</v>
      </c>
      <c r="D2035" t="s">
        <v>218</v>
      </c>
      <c r="E2035" s="97">
        <v>-9.7100000000000006E-2</v>
      </c>
    </row>
    <row r="2036" spans="1:5" ht="15">
      <c r="A2036" s="98">
        <v>2966</v>
      </c>
      <c r="B2036">
        <v>25.15</v>
      </c>
      <c r="C2036">
        <v>22.69</v>
      </c>
      <c r="D2036" t="s">
        <v>218</v>
      </c>
      <c r="E2036" s="97">
        <v>1.54E-2</v>
      </c>
    </row>
    <row r="2037" spans="1:5" ht="15">
      <c r="A2037" s="98">
        <v>2965</v>
      </c>
      <c r="B2037">
        <v>26.19</v>
      </c>
      <c r="C2037">
        <v>24.51</v>
      </c>
      <c r="D2037" t="s">
        <v>218</v>
      </c>
      <c r="E2037" s="97">
        <v>3.7699999999999997E-2</v>
      </c>
    </row>
    <row r="2038" spans="1:5" ht="15">
      <c r="A2038" s="98">
        <v>2964</v>
      </c>
      <c r="B2038">
        <v>27.32</v>
      </c>
      <c r="C2038">
        <v>25.34</v>
      </c>
      <c r="D2038" t="s">
        <v>218</v>
      </c>
      <c r="E2038" s="97">
        <v>5.1000000000000004E-3</v>
      </c>
    </row>
    <row r="2039" spans="1:5" ht="15">
      <c r="A2039" s="98">
        <v>2963</v>
      </c>
      <c r="B2039">
        <v>26.54</v>
      </c>
      <c r="C2039">
        <v>24.24</v>
      </c>
      <c r="D2039" t="s">
        <v>218</v>
      </c>
      <c r="E2039" s="97">
        <v>6.5799999999999997E-2</v>
      </c>
    </row>
    <row r="2040" spans="1:5" ht="15">
      <c r="A2040" s="98">
        <v>2962</v>
      </c>
      <c r="B2040">
        <v>24.67</v>
      </c>
      <c r="C2040">
        <v>23.07</v>
      </c>
      <c r="D2040" t="s">
        <v>218</v>
      </c>
      <c r="E2040" s="97">
        <v>-2.47E-2</v>
      </c>
    </row>
    <row r="2041" spans="1:5" ht="15">
      <c r="A2041" s="98">
        <v>2961</v>
      </c>
      <c r="B2041">
        <v>24.04</v>
      </c>
      <c r="C2041">
        <v>21.78</v>
      </c>
      <c r="D2041" t="s">
        <v>218</v>
      </c>
      <c r="E2041" s="97">
        <v>2.8199999999999999E-2</v>
      </c>
    </row>
    <row r="2042" spans="1:5" ht="15">
      <c r="A2042" s="98">
        <v>2960</v>
      </c>
      <c r="B2042">
        <v>22.44</v>
      </c>
      <c r="C2042">
        <v>21.44</v>
      </c>
      <c r="D2042" t="s">
        <v>218</v>
      </c>
      <c r="E2042" s="97">
        <v>0.1023</v>
      </c>
    </row>
    <row r="2043" spans="1:5" ht="15">
      <c r="A2043" s="98">
        <v>2959</v>
      </c>
      <c r="B2043">
        <v>21.17</v>
      </c>
      <c r="C2043">
        <v>20.55</v>
      </c>
      <c r="D2043" t="s">
        <v>218</v>
      </c>
      <c r="E2043" s="97">
        <v>5.9400000000000001E-2</v>
      </c>
    </row>
    <row r="2044" spans="1:5" ht="15">
      <c r="A2044" s="98">
        <v>2958</v>
      </c>
      <c r="B2044">
        <v>21.92</v>
      </c>
      <c r="C2044">
        <v>21.32</v>
      </c>
      <c r="D2044" t="s">
        <v>218</v>
      </c>
      <c r="E2044" s="97">
        <v>4.53E-2</v>
      </c>
    </row>
    <row r="2045" spans="1:5" ht="15">
      <c r="A2045" s="98">
        <v>2957</v>
      </c>
      <c r="B2045">
        <v>22.79</v>
      </c>
      <c r="C2045">
        <v>21.54</v>
      </c>
      <c r="D2045" t="s">
        <v>218</v>
      </c>
      <c r="E2045" s="97">
        <v>-2.6100000000000002E-2</v>
      </c>
    </row>
    <row r="2046" spans="1:5" ht="15">
      <c r="A2046" s="98">
        <v>2956</v>
      </c>
      <c r="B2046">
        <v>24.59</v>
      </c>
      <c r="C2046">
        <v>23.83</v>
      </c>
      <c r="D2046" t="s">
        <v>218</v>
      </c>
      <c r="E2046" s="97">
        <v>-3.09E-2</v>
      </c>
    </row>
    <row r="2047" spans="1:5" ht="15">
      <c r="A2047" s="98">
        <v>2955</v>
      </c>
      <c r="B2047">
        <v>24.94</v>
      </c>
      <c r="C2047">
        <v>22.62</v>
      </c>
      <c r="D2047" t="s">
        <v>218</v>
      </c>
      <c r="E2047" s="97">
        <v>-1.0200000000000001E-2</v>
      </c>
    </row>
    <row r="2048" spans="1:5" ht="15">
      <c r="A2048" s="98">
        <v>2954</v>
      </c>
      <c r="B2048">
        <v>23.96</v>
      </c>
      <c r="C2048">
        <v>21.9</v>
      </c>
      <c r="D2048" t="s">
        <v>218</v>
      </c>
      <c r="E2048" s="97">
        <v>-2.1499999999999998E-2</v>
      </c>
    </row>
    <row r="2049" spans="1:5" ht="15">
      <c r="A2049" s="98">
        <v>2953</v>
      </c>
      <c r="B2049">
        <v>24.44</v>
      </c>
      <c r="C2049">
        <v>22.75</v>
      </c>
      <c r="D2049" t="s">
        <v>218</v>
      </c>
      <c r="E2049" s="97">
        <v>6.1999999999999998E-3</v>
      </c>
    </row>
    <row r="2050" spans="1:5" ht="15">
      <c r="A2050" s="98">
        <v>2952</v>
      </c>
      <c r="B2050">
        <v>23.11</v>
      </c>
      <c r="C2050">
        <v>21.42</v>
      </c>
      <c r="D2050" t="s">
        <v>218</v>
      </c>
      <c r="E2050" s="97">
        <v>-2.7799999999999998E-2</v>
      </c>
    </row>
    <row r="2051" spans="1:5" ht="15">
      <c r="A2051" s="98">
        <v>2951</v>
      </c>
      <c r="B2051">
        <v>22.25</v>
      </c>
      <c r="C2051">
        <v>21.35</v>
      </c>
      <c r="D2051" t="s">
        <v>218</v>
      </c>
      <c r="E2051" s="97">
        <v>-3.3399999999999999E-2</v>
      </c>
    </row>
    <row r="2052" spans="1:5" ht="15">
      <c r="A2052" s="98">
        <v>2950</v>
      </c>
      <c r="B2052">
        <v>22.42</v>
      </c>
      <c r="C2052">
        <v>20.82</v>
      </c>
      <c r="D2052" t="s">
        <v>218</v>
      </c>
      <c r="E2052" s="97">
        <v>9.0999999999999998E-2</v>
      </c>
    </row>
    <row r="2053" spans="1:5" ht="15">
      <c r="A2053" s="98">
        <v>2949</v>
      </c>
      <c r="B2053">
        <v>21.59</v>
      </c>
      <c r="C2053">
        <v>20.71</v>
      </c>
      <c r="D2053" t="s">
        <v>218</v>
      </c>
      <c r="E2053" s="97">
        <v>4.1200000000000001E-2</v>
      </c>
    </row>
    <row r="2054" spans="1:5" ht="15">
      <c r="A2054" s="98">
        <v>2948</v>
      </c>
      <c r="B2054">
        <v>21.06</v>
      </c>
      <c r="C2054">
        <v>19.88</v>
      </c>
      <c r="D2054" t="s">
        <v>218</v>
      </c>
      <c r="E2054" s="97">
        <v>8.2000000000000003E-2</v>
      </c>
    </row>
    <row r="2055" spans="1:5" ht="15">
      <c r="A2055" s="98">
        <v>2947</v>
      </c>
      <c r="B2055">
        <v>20.95</v>
      </c>
      <c r="C2055">
        <v>20.350000000000001</v>
      </c>
      <c r="D2055" t="s">
        <v>218</v>
      </c>
      <c r="E2055" s="97">
        <v>-0.1017</v>
      </c>
    </row>
    <row r="2056" spans="1:5" ht="15">
      <c r="A2056" s="98">
        <v>2946</v>
      </c>
      <c r="B2056">
        <v>21.12</v>
      </c>
      <c r="C2056">
        <v>20.239999999999998</v>
      </c>
      <c r="D2056" t="s">
        <v>218</v>
      </c>
      <c r="E2056" s="97">
        <v>-3.2500000000000001E-2</v>
      </c>
    </row>
    <row r="2057" spans="1:5" ht="15">
      <c r="A2057" s="98">
        <v>2945</v>
      </c>
      <c r="B2057">
        <v>20.49</v>
      </c>
      <c r="C2057">
        <v>19.55</v>
      </c>
      <c r="D2057" t="s">
        <v>218</v>
      </c>
      <c r="E2057" s="97">
        <v>4.2000000000000003E-2</v>
      </c>
    </row>
    <row r="2058" spans="1:5" ht="15">
      <c r="A2058" s="98">
        <v>2944</v>
      </c>
      <c r="B2058">
        <v>20.81</v>
      </c>
      <c r="C2058">
        <v>19.97</v>
      </c>
      <c r="D2058" t="s">
        <v>218</v>
      </c>
      <c r="E2058" s="97">
        <v>6.3500000000000001E-2</v>
      </c>
    </row>
    <row r="2059" spans="1:5" ht="15">
      <c r="A2059" s="98">
        <v>2943</v>
      </c>
      <c r="B2059">
        <v>20.22</v>
      </c>
      <c r="C2059">
        <v>19.27</v>
      </c>
      <c r="D2059" t="s">
        <v>218</v>
      </c>
      <c r="E2059" s="97">
        <v>-2.75E-2</v>
      </c>
    </row>
    <row r="2060" spans="1:5" ht="15">
      <c r="A2060" s="98">
        <v>2942</v>
      </c>
      <c r="B2060">
        <v>20.77</v>
      </c>
      <c r="C2060">
        <v>19.559999999999999</v>
      </c>
      <c r="D2060" t="s">
        <v>218</v>
      </c>
      <c r="E2060" s="97">
        <v>-7.3499999999999996E-2</v>
      </c>
    </row>
    <row r="2061" spans="1:5" ht="15">
      <c r="A2061" s="98">
        <v>2941</v>
      </c>
      <c r="B2061">
        <v>20.57</v>
      </c>
      <c r="C2061">
        <v>19.510000000000002</v>
      </c>
      <c r="D2061" t="s">
        <v>218</v>
      </c>
      <c r="E2061" s="97">
        <v>3.27E-2</v>
      </c>
    </row>
    <row r="2062" spans="1:5" ht="15">
      <c r="A2062" s="98">
        <v>2940</v>
      </c>
      <c r="B2062">
        <v>19.89</v>
      </c>
      <c r="C2062">
        <v>19.399999999999999</v>
      </c>
      <c r="D2062" t="s">
        <v>218</v>
      </c>
      <c r="E2062" s="97">
        <v>-3.1699999999999999E-2</v>
      </c>
    </row>
    <row r="2063" spans="1:5" ht="15">
      <c r="A2063" s="98">
        <v>2939</v>
      </c>
      <c r="B2063">
        <v>19.559999999999999</v>
      </c>
      <c r="C2063">
        <v>18.98</v>
      </c>
      <c r="D2063" t="s">
        <v>218</v>
      </c>
      <c r="E2063" s="97">
        <v>-4.7199999999999999E-2</v>
      </c>
    </row>
    <row r="2064" spans="1:5" ht="15">
      <c r="A2064" s="98">
        <v>2938</v>
      </c>
      <c r="B2064">
        <v>18.84</v>
      </c>
      <c r="C2064">
        <v>18.38</v>
      </c>
      <c r="D2064" t="s">
        <v>218</v>
      </c>
      <c r="E2064" s="97">
        <v>3.1899999999999998E-2</v>
      </c>
    </row>
    <row r="2065" spans="1:5" ht="15">
      <c r="A2065" s="98">
        <v>2937</v>
      </c>
      <c r="B2065">
        <v>19.399999999999999</v>
      </c>
      <c r="C2065">
        <v>18.739999999999998</v>
      </c>
      <c r="D2065" t="s">
        <v>218</v>
      </c>
      <c r="E2065" s="97">
        <v>4.3700000000000003E-2</v>
      </c>
    </row>
    <row r="2066" spans="1:5" ht="15">
      <c r="A2066" s="98">
        <v>2936</v>
      </c>
      <c r="B2066">
        <v>18.66</v>
      </c>
      <c r="C2066">
        <v>18.09</v>
      </c>
      <c r="D2066" t="s">
        <v>218</v>
      </c>
      <c r="E2066" s="97">
        <v>-7.6899999999999996E-2</v>
      </c>
    </row>
    <row r="2067" spans="1:5" ht="15">
      <c r="A2067" s="98">
        <v>2935</v>
      </c>
      <c r="B2067">
        <v>18.75</v>
      </c>
      <c r="C2067">
        <v>18.329999999999998</v>
      </c>
      <c r="D2067" t="s">
        <v>218</v>
      </c>
      <c r="E2067" s="97">
        <v>9.5999999999999992E-3</v>
      </c>
    </row>
    <row r="2068" spans="1:5" ht="15">
      <c r="A2068" s="98">
        <v>2934</v>
      </c>
      <c r="B2068">
        <v>18.84</v>
      </c>
      <c r="C2068">
        <v>18.14</v>
      </c>
      <c r="D2068" t="s">
        <v>218</v>
      </c>
      <c r="E2068" s="97">
        <v>-1.46E-2</v>
      </c>
    </row>
    <row r="2069" spans="1:5" ht="15">
      <c r="A2069" s="98">
        <v>2933</v>
      </c>
      <c r="B2069">
        <v>18.38</v>
      </c>
      <c r="C2069">
        <v>17.62</v>
      </c>
      <c r="D2069" t="s">
        <v>218</v>
      </c>
      <c r="E2069" s="97">
        <v>-6.9999999999999999E-4</v>
      </c>
    </row>
    <row r="2070" spans="1:5" ht="15">
      <c r="A2070" s="98">
        <v>2932</v>
      </c>
      <c r="B2070">
        <v>18.72</v>
      </c>
      <c r="C2070">
        <v>18.04</v>
      </c>
      <c r="D2070" t="s">
        <v>218</v>
      </c>
      <c r="E2070" s="97">
        <v>-3.1099999999999999E-2</v>
      </c>
    </row>
    <row r="2071" spans="1:5" ht="15">
      <c r="A2071" s="98">
        <v>2931</v>
      </c>
      <c r="B2071">
        <v>18.440000000000001</v>
      </c>
      <c r="C2071">
        <v>17.809999999999999</v>
      </c>
      <c r="D2071" t="s">
        <v>218</v>
      </c>
      <c r="E2071" s="97">
        <v>6.2199999999999998E-2</v>
      </c>
    </row>
    <row r="2072" spans="1:5" ht="15">
      <c r="A2072" s="98">
        <v>2930</v>
      </c>
      <c r="B2072">
        <v>18.16</v>
      </c>
      <c r="C2072">
        <v>17.55</v>
      </c>
      <c r="D2072" t="s">
        <v>218</v>
      </c>
      <c r="E2072" s="97">
        <v>-6.0000000000000001E-3</v>
      </c>
    </row>
    <row r="2073" spans="1:5" ht="15">
      <c r="A2073" s="98">
        <v>2929</v>
      </c>
      <c r="B2073">
        <v>17.510000000000002</v>
      </c>
      <c r="C2073">
        <v>17.02</v>
      </c>
      <c r="D2073" t="s">
        <v>218</v>
      </c>
      <c r="E2073" s="97">
        <v>0</v>
      </c>
    </row>
    <row r="2074" spans="1:5" ht="15">
      <c r="A2074" s="98">
        <v>2928</v>
      </c>
      <c r="B2074">
        <v>19.5</v>
      </c>
      <c r="C2074">
        <v>18.61</v>
      </c>
      <c r="D2074" t="s">
        <v>218</v>
      </c>
      <c r="E2074" s="97">
        <v>0</v>
      </c>
    </row>
    <row r="2075" spans="1:5" ht="15">
      <c r="A2075" s="98">
        <v>2927</v>
      </c>
      <c r="B2075">
        <v>19.41</v>
      </c>
      <c r="C2075">
        <v>19.12</v>
      </c>
      <c r="D2075" t="s">
        <v>218</v>
      </c>
      <c r="E2075" s="97">
        <v>8.9999999999999993E-3</v>
      </c>
    </row>
    <row r="2076" spans="1:5" ht="15">
      <c r="A2076" s="98">
        <v>2926</v>
      </c>
      <c r="B2076">
        <v>20.47</v>
      </c>
      <c r="C2076">
        <v>19.399999999999999</v>
      </c>
      <c r="D2076" t="s">
        <v>218</v>
      </c>
      <c r="E2076" s="97">
        <v>-1.6299999999999999E-2</v>
      </c>
    </row>
    <row r="2077" spans="1:5" ht="15">
      <c r="A2077" s="98">
        <v>2925</v>
      </c>
      <c r="B2077">
        <v>20.09</v>
      </c>
      <c r="C2077">
        <v>19.46</v>
      </c>
      <c r="D2077" t="s">
        <v>218</v>
      </c>
      <c r="E2077" s="97">
        <v>0.1028</v>
      </c>
    </row>
    <row r="2078" spans="1:5" ht="15">
      <c r="A2078" s="98">
        <v>2924</v>
      </c>
      <c r="B2078">
        <v>19.399999999999999</v>
      </c>
      <c r="C2078">
        <v>18.78</v>
      </c>
      <c r="D2078" t="s">
        <v>218</v>
      </c>
      <c r="E2078" s="97">
        <v>-3.7699999999999997E-2</v>
      </c>
    </row>
    <row r="2079" spans="1:5" ht="15">
      <c r="A2079" s="98">
        <v>2923</v>
      </c>
      <c r="B2079">
        <v>20.46</v>
      </c>
      <c r="C2079">
        <v>19.57</v>
      </c>
      <c r="D2079" t="s">
        <v>218</v>
      </c>
      <c r="E2079" s="97">
        <v>2.58E-2</v>
      </c>
    </row>
    <row r="2080" spans="1:5" ht="15">
      <c r="A2080" s="98">
        <v>2922</v>
      </c>
      <c r="B2080">
        <v>19.73</v>
      </c>
      <c r="C2080">
        <v>19.3</v>
      </c>
      <c r="D2080" t="s">
        <v>218</v>
      </c>
      <c r="E2080" s="97">
        <v>3.2000000000000002E-3</v>
      </c>
    </row>
    <row r="2081" spans="1:5" ht="15">
      <c r="A2081" s="98">
        <v>2921</v>
      </c>
      <c r="B2081">
        <v>19.28</v>
      </c>
      <c r="C2081">
        <v>18.170000000000002</v>
      </c>
      <c r="D2081" t="s">
        <v>218</v>
      </c>
      <c r="E2081" s="97">
        <v>-1.6000000000000001E-3</v>
      </c>
    </row>
    <row r="2082" spans="1:5" ht="15">
      <c r="A2082" s="98">
        <v>2920</v>
      </c>
      <c r="B2082">
        <v>20.350000000000001</v>
      </c>
      <c r="C2082">
        <v>18.559999999999999</v>
      </c>
      <c r="D2082" t="s">
        <v>218</v>
      </c>
      <c r="E2082" s="97">
        <v>-6.13E-2</v>
      </c>
    </row>
    <row r="2083" spans="1:5" ht="15">
      <c r="A2083" s="98">
        <v>2919</v>
      </c>
      <c r="B2083">
        <v>20.190000000000001</v>
      </c>
      <c r="C2083">
        <v>19.309999999999999</v>
      </c>
      <c r="D2083" t="s">
        <v>218</v>
      </c>
      <c r="E2083" s="97">
        <v>5.8500000000000003E-2</v>
      </c>
    </row>
    <row r="2084" spans="1:5" ht="15">
      <c r="A2084" s="98">
        <v>2918</v>
      </c>
      <c r="B2084">
        <v>20.2</v>
      </c>
      <c r="C2084">
        <v>19.47</v>
      </c>
      <c r="D2084" t="s">
        <v>218</v>
      </c>
      <c r="E2084" s="97">
        <v>-3.2000000000000002E-3</v>
      </c>
    </row>
    <row r="2085" spans="1:5" ht="15">
      <c r="A2085" s="98">
        <v>2917</v>
      </c>
      <c r="B2085">
        <v>19.03</v>
      </c>
      <c r="C2085">
        <v>18.059999999999999</v>
      </c>
      <c r="D2085" t="s">
        <v>218</v>
      </c>
      <c r="E2085" s="97">
        <v>5.8299999999999998E-2</v>
      </c>
    </row>
    <row r="2086" spans="1:5" ht="15">
      <c r="A2086" s="98">
        <v>2916</v>
      </c>
      <c r="B2086">
        <v>19.03</v>
      </c>
      <c r="C2086">
        <v>17.899999999999999</v>
      </c>
      <c r="D2086" t="s">
        <v>218</v>
      </c>
      <c r="E2086" s="97">
        <v>6.7999999999999996E-3</v>
      </c>
    </row>
    <row r="2087" spans="1:5" ht="15">
      <c r="A2087" s="98">
        <v>2915</v>
      </c>
      <c r="B2087">
        <v>19.8</v>
      </c>
      <c r="C2087">
        <v>17.82</v>
      </c>
      <c r="D2087" t="s">
        <v>218</v>
      </c>
      <c r="E2087" s="97">
        <v>-2.7300000000000001E-2</v>
      </c>
    </row>
    <row r="2088" spans="1:5" ht="15">
      <c r="A2088" s="98">
        <v>2914</v>
      </c>
      <c r="B2088">
        <v>18.96</v>
      </c>
      <c r="C2088">
        <v>17.73</v>
      </c>
      <c r="D2088" t="s">
        <v>218</v>
      </c>
      <c r="E2088" s="97">
        <v>4.41E-2</v>
      </c>
    </row>
    <row r="2089" spans="1:5" ht="15">
      <c r="A2089" s="98">
        <v>2913</v>
      </c>
      <c r="B2089">
        <v>20.09</v>
      </c>
      <c r="C2089">
        <v>19.34</v>
      </c>
      <c r="D2089" t="s">
        <v>218</v>
      </c>
      <c r="E2089" s="97">
        <v>9.98E-2</v>
      </c>
    </row>
    <row r="2090" spans="1:5" ht="15">
      <c r="A2090" s="98">
        <v>2912</v>
      </c>
      <c r="B2090">
        <v>20.329999999999998</v>
      </c>
      <c r="C2090">
        <v>19.2</v>
      </c>
      <c r="D2090" t="s">
        <v>218</v>
      </c>
      <c r="E2090" s="97">
        <v>1.54E-2</v>
      </c>
    </row>
    <row r="2091" spans="1:5" ht="15">
      <c r="A2091" s="98">
        <v>2911</v>
      </c>
      <c r="B2091">
        <v>20.86</v>
      </c>
      <c r="C2091">
        <v>19.71</v>
      </c>
      <c r="D2091" t="s">
        <v>218</v>
      </c>
      <c r="E2091" s="97">
        <v>-5.7299999999999997E-2</v>
      </c>
    </row>
    <row r="2092" spans="1:5" ht="15">
      <c r="A2092" s="98">
        <v>2910</v>
      </c>
      <c r="B2092">
        <v>21.7</v>
      </c>
      <c r="C2092">
        <v>20.86</v>
      </c>
      <c r="D2092" t="s">
        <v>218</v>
      </c>
      <c r="E2092" s="97">
        <v>-9.9000000000000008E-3</v>
      </c>
    </row>
    <row r="2093" spans="1:5" ht="15">
      <c r="A2093" s="98">
        <v>2909</v>
      </c>
      <c r="B2093">
        <v>22.14</v>
      </c>
      <c r="C2093">
        <v>20.67</v>
      </c>
      <c r="D2093" t="s">
        <v>218</v>
      </c>
      <c r="E2093" s="97">
        <v>5.5100000000000003E-2</v>
      </c>
    </row>
    <row r="2094" spans="1:5" ht="15">
      <c r="A2094" s="98">
        <v>2908</v>
      </c>
      <c r="B2094">
        <v>24.5</v>
      </c>
      <c r="C2094">
        <v>22.91</v>
      </c>
      <c r="D2094" t="s">
        <v>218</v>
      </c>
      <c r="E2094" s="97">
        <v>-4.1000000000000002E-2</v>
      </c>
    </row>
    <row r="2095" spans="1:5" ht="15">
      <c r="A2095" s="98">
        <v>2907</v>
      </c>
      <c r="B2095">
        <v>24.03</v>
      </c>
      <c r="C2095">
        <v>21.64</v>
      </c>
      <c r="D2095" t="s">
        <v>218</v>
      </c>
      <c r="E2095" s="97">
        <v>7.2300000000000003E-2</v>
      </c>
    </row>
    <row r="2096" spans="1:5" ht="15">
      <c r="A2096" s="98">
        <v>2906</v>
      </c>
      <c r="B2096">
        <v>22.03</v>
      </c>
      <c r="C2096">
        <v>19.91</v>
      </c>
      <c r="D2096" t="s">
        <v>218</v>
      </c>
      <c r="E2096" s="97">
        <v>-2.1100000000000001E-2</v>
      </c>
    </row>
    <row r="2097" spans="1:5" ht="15">
      <c r="A2097" s="98">
        <v>2905</v>
      </c>
      <c r="B2097">
        <v>20.51</v>
      </c>
      <c r="C2097">
        <v>19.91</v>
      </c>
      <c r="D2097" t="s">
        <v>218</v>
      </c>
      <c r="E2097" s="97">
        <v>-2.9700000000000001E-2</v>
      </c>
    </row>
    <row r="2098" spans="1:5" ht="15">
      <c r="A2098" s="98">
        <v>2904</v>
      </c>
      <c r="B2098">
        <v>20.96</v>
      </c>
      <c r="C2098">
        <v>20.05</v>
      </c>
      <c r="D2098" t="s">
        <v>218</v>
      </c>
      <c r="E2098" s="97">
        <v>4.2599999999999999E-2</v>
      </c>
    </row>
    <row r="2099" spans="1:5" ht="15">
      <c r="A2099" s="98">
        <v>2903</v>
      </c>
      <c r="B2099">
        <v>22.57</v>
      </c>
      <c r="C2099">
        <v>20.83</v>
      </c>
      <c r="D2099" t="s">
        <v>218</v>
      </c>
      <c r="E2099" s="97">
        <v>-4.4400000000000002E-2</v>
      </c>
    </row>
    <row r="2100" spans="1:5" ht="15">
      <c r="A2100" s="98">
        <v>2902</v>
      </c>
      <c r="B2100">
        <v>22.59</v>
      </c>
      <c r="C2100">
        <v>21.64</v>
      </c>
      <c r="D2100" t="s">
        <v>218</v>
      </c>
      <c r="E2100" s="97">
        <v>-2.8E-3</v>
      </c>
    </row>
    <row r="2101" spans="1:5" ht="15">
      <c r="A2101" s="98">
        <v>2901</v>
      </c>
      <c r="B2101">
        <v>21.31</v>
      </c>
      <c r="C2101">
        <v>20.21</v>
      </c>
      <c r="D2101" t="s">
        <v>218</v>
      </c>
      <c r="E2101" s="97">
        <v>-0.01</v>
      </c>
    </row>
    <row r="2102" spans="1:5" ht="15">
      <c r="A2102" s="98">
        <v>2900</v>
      </c>
      <c r="B2102">
        <v>21.62</v>
      </c>
      <c r="C2102">
        <v>20.83</v>
      </c>
      <c r="D2102" t="s">
        <v>218</v>
      </c>
      <c r="E2102" s="97">
        <v>-2.93E-2</v>
      </c>
    </row>
    <row r="2103" spans="1:5" ht="15">
      <c r="A2103" s="98">
        <v>2899</v>
      </c>
      <c r="B2103">
        <v>22.71</v>
      </c>
      <c r="C2103">
        <v>21.77</v>
      </c>
      <c r="D2103" t="s">
        <v>218</v>
      </c>
      <c r="E2103" s="97">
        <v>-1.4800000000000001E-2</v>
      </c>
    </row>
    <row r="2104" spans="1:5" ht="15">
      <c r="A2104" s="98">
        <v>2898</v>
      </c>
      <c r="B2104">
        <v>22.25</v>
      </c>
      <c r="C2104">
        <v>20.67</v>
      </c>
      <c r="D2104" t="s">
        <v>218</v>
      </c>
      <c r="E2104" s="97">
        <v>-8.3299999999999999E-2</v>
      </c>
    </row>
    <row r="2105" spans="1:5" ht="15">
      <c r="A2105" s="98">
        <v>2897</v>
      </c>
      <c r="B2105">
        <v>20.079999999999998</v>
      </c>
      <c r="C2105">
        <v>19.2</v>
      </c>
      <c r="D2105" t="s">
        <v>218</v>
      </c>
      <c r="E2105" s="97">
        <v>1.7899999999999999E-2</v>
      </c>
    </row>
    <row r="2106" spans="1:5" ht="15">
      <c r="A2106" s="98">
        <v>2896</v>
      </c>
      <c r="B2106">
        <v>19.649999999999999</v>
      </c>
      <c r="C2106">
        <v>18.5</v>
      </c>
      <c r="D2106" t="s">
        <v>218</v>
      </c>
      <c r="E2106" s="97">
        <v>5.0500000000000003E-2</v>
      </c>
    </row>
    <row r="2107" spans="1:5" ht="15">
      <c r="A2107" s="98">
        <v>2895</v>
      </c>
      <c r="B2107">
        <v>19.309999999999999</v>
      </c>
      <c r="C2107">
        <v>18.48</v>
      </c>
      <c r="D2107" t="s">
        <v>218</v>
      </c>
      <c r="E2107" s="97">
        <v>2.46E-2</v>
      </c>
    </row>
    <row r="2108" spans="1:5" ht="15">
      <c r="A2108" s="98">
        <v>2894</v>
      </c>
      <c r="B2108">
        <v>18.57</v>
      </c>
      <c r="C2108">
        <v>17.7</v>
      </c>
      <c r="D2108" t="s">
        <v>218</v>
      </c>
      <c r="E2108" s="97">
        <v>-5.3199999999999997E-2</v>
      </c>
    </row>
    <row r="2109" spans="1:5" ht="15">
      <c r="A2109" s="98">
        <v>2893</v>
      </c>
      <c r="B2109">
        <v>19.420000000000002</v>
      </c>
      <c r="C2109">
        <v>18.760000000000002</v>
      </c>
      <c r="D2109" t="s">
        <v>218</v>
      </c>
      <c r="E2109" s="97">
        <v>2.29E-2</v>
      </c>
    </row>
    <row r="2110" spans="1:5" ht="15">
      <c r="A2110" s="98">
        <v>2892</v>
      </c>
      <c r="B2110">
        <v>20.11</v>
      </c>
      <c r="C2110">
        <v>18.989999999999998</v>
      </c>
      <c r="D2110" t="s">
        <v>218</v>
      </c>
      <c r="E2110" s="97">
        <v>1.6400000000000001E-2</v>
      </c>
    </row>
    <row r="2111" spans="1:5" ht="15">
      <c r="A2111" s="98">
        <v>2891</v>
      </c>
      <c r="B2111">
        <v>20.71</v>
      </c>
      <c r="C2111">
        <v>19.54</v>
      </c>
      <c r="D2111" t="s">
        <v>218</v>
      </c>
      <c r="E2111" s="97">
        <v>-7.51E-2</v>
      </c>
    </row>
    <row r="2112" spans="1:5" ht="15">
      <c r="A2112" s="98">
        <v>2890</v>
      </c>
      <c r="B2112">
        <v>19.16</v>
      </c>
      <c r="C2112">
        <v>18.190000000000001</v>
      </c>
      <c r="D2112" t="s">
        <v>218</v>
      </c>
      <c r="E2112" s="97">
        <v>2.7900000000000001E-2</v>
      </c>
    </row>
    <row r="2113" spans="1:5" ht="15">
      <c r="A2113" s="98">
        <v>2889</v>
      </c>
      <c r="B2113">
        <v>19.03</v>
      </c>
      <c r="C2113">
        <v>18.22</v>
      </c>
      <c r="D2113" t="s">
        <v>218</v>
      </c>
      <c r="E2113" s="97">
        <v>4.1000000000000003E-3</v>
      </c>
    </row>
    <row r="2114" spans="1:5" ht="15">
      <c r="A2114" s="98">
        <v>2888</v>
      </c>
      <c r="B2114">
        <v>20.77</v>
      </c>
      <c r="C2114">
        <v>20.07</v>
      </c>
      <c r="D2114" t="s">
        <v>218</v>
      </c>
      <c r="E2114" s="97">
        <v>9.7699999999999995E-2</v>
      </c>
    </row>
    <row r="2115" spans="1:5" ht="15">
      <c r="A2115" s="98">
        <v>2887</v>
      </c>
      <c r="B2115">
        <v>20.79</v>
      </c>
      <c r="C2115">
        <v>19.73</v>
      </c>
      <c r="D2115" t="s">
        <v>218</v>
      </c>
      <c r="E2115" s="97">
        <v>-2.7000000000000001E-3</v>
      </c>
    </row>
    <row r="2116" spans="1:5" ht="15">
      <c r="A2116" s="98">
        <v>2886</v>
      </c>
      <c r="B2116">
        <v>21.58</v>
      </c>
      <c r="C2116">
        <v>20.420000000000002</v>
      </c>
      <c r="D2116" t="s">
        <v>218</v>
      </c>
      <c r="E2116" s="97">
        <v>-3.4000000000000002E-2</v>
      </c>
    </row>
    <row r="2117" spans="1:5" ht="15">
      <c r="A2117" s="98">
        <v>2885</v>
      </c>
      <c r="B2117">
        <v>20.260000000000002</v>
      </c>
      <c r="C2117">
        <v>19.43</v>
      </c>
      <c r="D2117" t="s">
        <v>218</v>
      </c>
      <c r="E2117" s="97">
        <v>-8.9999999999999998E-4</v>
      </c>
    </row>
    <row r="2118" spans="1:5" ht="15">
      <c r="A2118" s="98">
        <v>2884</v>
      </c>
      <c r="B2118">
        <v>23.37</v>
      </c>
      <c r="C2118">
        <v>20.62</v>
      </c>
      <c r="D2118" t="s">
        <v>218</v>
      </c>
      <c r="E2118" s="97">
        <v>2.9600000000000001E-2</v>
      </c>
    </row>
    <row r="2119" spans="1:5" ht="15">
      <c r="A2119" s="98">
        <v>2883</v>
      </c>
      <c r="B2119">
        <v>24.82</v>
      </c>
      <c r="C2119">
        <v>23.31</v>
      </c>
      <c r="D2119" t="s">
        <v>218</v>
      </c>
      <c r="E2119" s="97">
        <v>-2.7099999999999999E-2</v>
      </c>
    </row>
    <row r="2120" spans="1:5" ht="15">
      <c r="A2120" s="98">
        <v>2882</v>
      </c>
      <c r="B2120">
        <v>23.77</v>
      </c>
      <c r="C2120">
        <v>22.46</v>
      </c>
      <c r="D2120" t="s">
        <v>218</v>
      </c>
      <c r="E2120" s="97">
        <v>-2.8000000000000001E-2</v>
      </c>
    </row>
    <row r="2121" spans="1:5" ht="15">
      <c r="A2121" s="98">
        <v>2881</v>
      </c>
      <c r="B2121">
        <v>24.64</v>
      </c>
      <c r="C2121">
        <v>22.94</v>
      </c>
      <c r="D2121" t="s">
        <v>218</v>
      </c>
      <c r="E2121" s="97">
        <v>1.2E-2</v>
      </c>
    </row>
    <row r="2122" spans="1:5" ht="15">
      <c r="A2122" s="98">
        <v>2880</v>
      </c>
      <c r="B2122">
        <v>26.15</v>
      </c>
      <c r="C2122">
        <v>22.98</v>
      </c>
      <c r="D2122" t="s">
        <v>218</v>
      </c>
      <c r="E2122" s="97">
        <v>-2.5899999999999999E-2</v>
      </c>
    </row>
    <row r="2123" spans="1:5" ht="15">
      <c r="A2123" s="98">
        <v>2879</v>
      </c>
      <c r="B2123">
        <v>24.28</v>
      </c>
      <c r="C2123">
        <v>23.05</v>
      </c>
      <c r="D2123" t="s">
        <v>218</v>
      </c>
      <c r="E2123" s="97">
        <v>-9.9000000000000008E-3</v>
      </c>
    </row>
    <row r="2124" spans="1:5" ht="15">
      <c r="A2124" s="98">
        <v>2878</v>
      </c>
      <c r="B2124">
        <v>24.5</v>
      </c>
      <c r="C2124">
        <v>22.81</v>
      </c>
      <c r="D2124" t="s">
        <v>218</v>
      </c>
      <c r="E2124" s="97">
        <v>-4.8800000000000003E-2</v>
      </c>
    </row>
    <row r="2125" spans="1:5" ht="15">
      <c r="A2125" s="98">
        <v>2877</v>
      </c>
      <c r="B2125">
        <v>25.5</v>
      </c>
      <c r="C2125">
        <v>23.85</v>
      </c>
      <c r="D2125" t="s">
        <v>218</v>
      </c>
      <c r="E2125" s="97">
        <v>2.5000000000000001E-2</v>
      </c>
    </row>
    <row r="2126" spans="1:5" ht="15">
      <c r="A2126" s="98">
        <v>2876</v>
      </c>
      <c r="B2126">
        <v>25.56</v>
      </c>
      <c r="C2126">
        <v>23.97</v>
      </c>
      <c r="D2126" t="s">
        <v>218</v>
      </c>
      <c r="E2126" s="97">
        <v>8.9999999999999993E-3</v>
      </c>
    </row>
    <row r="2127" spans="1:5" ht="15">
      <c r="A2127" s="98">
        <v>2875</v>
      </c>
      <c r="B2127">
        <v>28.78</v>
      </c>
      <c r="C2127">
        <v>25.8</v>
      </c>
      <c r="D2127" t="s">
        <v>218</v>
      </c>
      <c r="E2127" s="97">
        <v>1.0699999999999999E-2</v>
      </c>
    </row>
    <row r="2128" spans="1:5" ht="15">
      <c r="A2128" s="98">
        <v>2874</v>
      </c>
      <c r="B2128">
        <v>25.92</v>
      </c>
      <c r="C2128">
        <v>24.6</v>
      </c>
      <c r="D2128" t="s">
        <v>218</v>
      </c>
      <c r="E2128" s="97">
        <v>2.6200000000000001E-2</v>
      </c>
    </row>
    <row r="2129" spans="1:5" ht="15">
      <c r="A2129" s="98">
        <v>2873</v>
      </c>
      <c r="B2129">
        <v>24.81</v>
      </c>
      <c r="C2129">
        <v>24.06</v>
      </c>
      <c r="D2129" t="s">
        <v>218</v>
      </c>
      <c r="E2129" s="97">
        <v>-4.2099999999999999E-2</v>
      </c>
    </row>
    <row r="2130" spans="1:5" ht="15">
      <c r="A2130" s="98">
        <v>2872</v>
      </c>
      <c r="B2130">
        <v>26.08</v>
      </c>
      <c r="C2130">
        <v>24.65</v>
      </c>
      <c r="D2130" t="s">
        <v>218</v>
      </c>
      <c r="E2130" s="97">
        <v>-7.0000000000000007E-2</v>
      </c>
    </row>
    <row r="2131" spans="1:5" ht="15">
      <c r="A2131" s="98">
        <v>2871</v>
      </c>
      <c r="B2131">
        <v>27.56</v>
      </c>
      <c r="C2131">
        <v>26</v>
      </c>
      <c r="D2131" t="s">
        <v>218</v>
      </c>
      <c r="E2131" s="97">
        <v>9.3799999999999994E-2</v>
      </c>
    </row>
    <row r="2132" spans="1:5" ht="15">
      <c r="A2132" s="98">
        <v>2870</v>
      </c>
      <c r="B2132">
        <v>28.5</v>
      </c>
      <c r="C2132">
        <v>26.84</v>
      </c>
      <c r="D2132" t="s">
        <v>218</v>
      </c>
      <c r="E2132" s="97">
        <v>-7.4000000000000003E-3</v>
      </c>
    </row>
    <row r="2133" spans="1:5" ht="15">
      <c r="A2133" s="98">
        <v>2869</v>
      </c>
      <c r="B2133">
        <v>29.02</v>
      </c>
      <c r="C2133">
        <v>26.46</v>
      </c>
      <c r="D2133" t="s">
        <v>218</v>
      </c>
      <c r="E2133" s="97">
        <v>-2.7E-2</v>
      </c>
    </row>
    <row r="2134" spans="1:5" ht="15">
      <c r="A2134" s="98">
        <v>2868</v>
      </c>
      <c r="B2134">
        <v>27.92</v>
      </c>
      <c r="C2134">
        <v>25.49</v>
      </c>
      <c r="D2134" t="s">
        <v>218</v>
      </c>
      <c r="E2134" s="97">
        <v>-8.6999999999999994E-3</v>
      </c>
    </row>
    <row r="2135" spans="1:5" ht="15">
      <c r="A2135" s="98">
        <v>2867</v>
      </c>
      <c r="B2135">
        <v>30.98</v>
      </c>
      <c r="C2135">
        <v>28.41</v>
      </c>
      <c r="D2135" t="s">
        <v>218</v>
      </c>
      <c r="E2135" s="97">
        <v>-2.01E-2</v>
      </c>
    </row>
    <row r="2136" spans="1:5" ht="15">
      <c r="A2136" s="98">
        <v>2866</v>
      </c>
      <c r="B2136">
        <v>29.24</v>
      </c>
      <c r="C2136">
        <v>26.29</v>
      </c>
      <c r="D2136" t="s">
        <v>218</v>
      </c>
      <c r="E2136" s="97">
        <v>-1.4500000000000001E-2</v>
      </c>
    </row>
    <row r="2137" spans="1:5" ht="15">
      <c r="A2137" s="98">
        <v>2865</v>
      </c>
      <c r="B2137">
        <v>25.88</v>
      </c>
      <c r="C2137">
        <v>24.88</v>
      </c>
      <c r="D2137" t="s">
        <v>218</v>
      </c>
      <c r="E2137" s="97">
        <v>-1.35E-2</v>
      </c>
    </row>
    <row r="2138" spans="1:5" ht="15">
      <c r="A2138" s="98">
        <v>2864</v>
      </c>
      <c r="B2138">
        <v>27.16</v>
      </c>
      <c r="C2138">
        <v>25.63</v>
      </c>
      <c r="D2138" t="s">
        <v>218</v>
      </c>
      <c r="E2138" s="97">
        <v>-2.2700000000000001E-2</v>
      </c>
    </row>
    <row r="2139" spans="1:5" ht="15">
      <c r="A2139" s="98">
        <v>2863</v>
      </c>
      <c r="B2139">
        <v>29.78</v>
      </c>
      <c r="C2139">
        <v>27.56</v>
      </c>
      <c r="D2139" t="s">
        <v>218</v>
      </c>
      <c r="E2139" s="97">
        <v>-6.4500000000000002E-2</v>
      </c>
    </row>
    <row r="2140" spans="1:5" ht="15">
      <c r="A2140" s="98">
        <v>2862</v>
      </c>
      <c r="B2140">
        <v>31.03</v>
      </c>
      <c r="C2140">
        <v>28.76</v>
      </c>
      <c r="D2140" t="s">
        <v>218</v>
      </c>
      <c r="E2140" s="97">
        <v>-7.0800000000000002E-2</v>
      </c>
    </row>
    <row r="2141" spans="1:5" ht="15">
      <c r="A2141" s="98">
        <v>2861</v>
      </c>
      <c r="B2141">
        <v>27.3</v>
      </c>
      <c r="C2141">
        <v>25.68</v>
      </c>
      <c r="D2141" t="s">
        <v>218</v>
      </c>
      <c r="E2141" s="97">
        <v>-3.9199999999999999E-2</v>
      </c>
    </row>
    <row r="2142" spans="1:5" ht="15">
      <c r="A2142" s="98">
        <v>2860</v>
      </c>
      <c r="B2142">
        <v>28.78</v>
      </c>
      <c r="C2142">
        <v>27.88</v>
      </c>
      <c r="D2142" t="s">
        <v>218</v>
      </c>
      <c r="E2142" s="97">
        <v>1.24E-2</v>
      </c>
    </row>
    <row r="2143" spans="1:5" ht="15">
      <c r="A2143" s="98">
        <v>2859</v>
      </c>
      <c r="B2143">
        <v>30.34</v>
      </c>
      <c r="C2143">
        <v>27.79</v>
      </c>
      <c r="D2143" t="s">
        <v>218</v>
      </c>
      <c r="E2143" s="97">
        <v>0.11559999999999999</v>
      </c>
    </row>
    <row r="2144" spans="1:5" ht="15">
      <c r="A2144" s="98">
        <v>2858</v>
      </c>
      <c r="B2144">
        <v>34.17</v>
      </c>
      <c r="C2144">
        <v>30.77</v>
      </c>
      <c r="D2144" t="s">
        <v>218</v>
      </c>
      <c r="E2144" s="97">
        <v>-3.09E-2</v>
      </c>
    </row>
    <row r="2145" spans="1:5" ht="15">
      <c r="A2145" s="98">
        <v>2857</v>
      </c>
      <c r="B2145">
        <v>36.35</v>
      </c>
      <c r="C2145">
        <v>33.85</v>
      </c>
      <c r="D2145" t="s">
        <v>218</v>
      </c>
      <c r="E2145" s="97">
        <v>8.4400000000000003E-2</v>
      </c>
    </row>
    <row r="2146" spans="1:5" ht="15">
      <c r="A2146" s="98">
        <v>2856</v>
      </c>
      <c r="B2146">
        <v>34.299999999999997</v>
      </c>
      <c r="C2146">
        <v>32.409999999999997</v>
      </c>
      <c r="D2146" t="s">
        <v>218</v>
      </c>
      <c r="E2146" s="97">
        <v>-2.1399999999999999E-2</v>
      </c>
    </row>
    <row r="2147" spans="1:5" ht="15">
      <c r="A2147" s="98">
        <v>2855</v>
      </c>
      <c r="B2147">
        <v>38.380000000000003</v>
      </c>
      <c r="C2147">
        <v>34.86</v>
      </c>
      <c r="D2147" t="s">
        <v>218</v>
      </c>
      <c r="E2147" s="97">
        <v>5.0000000000000001E-3</v>
      </c>
    </row>
    <row r="2148" spans="1:5" ht="15">
      <c r="A2148" s="98">
        <v>2854</v>
      </c>
      <c r="B2148">
        <v>36.82</v>
      </c>
      <c r="C2148">
        <v>35.200000000000003</v>
      </c>
      <c r="D2148" t="s">
        <v>218</v>
      </c>
      <c r="E2148" s="97">
        <v>9.4000000000000004E-3</v>
      </c>
    </row>
    <row r="2149" spans="1:5" ht="15">
      <c r="A2149" s="98">
        <v>2853</v>
      </c>
      <c r="B2149">
        <v>36.729999999999997</v>
      </c>
      <c r="C2149">
        <v>33.619999999999997</v>
      </c>
      <c r="D2149" t="s">
        <v>218</v>
      </c>
      <c r="E2149" s="97">
        <v>-4.6800000000000001E-2</v>
      </c>
    </row>
    <row r="2150" spans="1:5" ht="15">
      <c r="A2150" s="98">
        <v>2852</v>
      </c>
      <c r="B2150">
        <v>35.42</v>
      </c>
      <c r="C2150">
        <v>33.450000000000003</v>
      </c>
      <c r="D2150" t="s">
        <v>218</v>
      </c>
      <c r="E2150" s="97">
        <v>-3.9E-2</v>
      </c>
    </row>
    <row r="2151" spans="1:5" ht="15">
      <c r="A2151" s="98">
        <v>2851</v>
      </c>
      <c r="B2151">
        <v>38.17</v>
      </c>
      <c r="C2151">
        <v>35.979999999999997</v>
      </c>
      <c r="D2151" t="s">
        <v>218</v>
      </c>
      <c r="E2151" s="97">
        <v>-1.24E-2</v>
      </c>
    </row>
    <row r="2152" spans="1:5" ht="15">
      <c r="A2152" s="98">
        <v>2850</v>
      </c>
      <c r="B2152">
        <v>42.58</v>
      </c>
      <c r="C2152">
        <v>38.57</v>
      </c>
      <c r="D2152" t="s">
        <v>218</v>
      </c>
      <c r="E2152" s="97">
        <v>-9.1899999999999996E-2</v>
      </c>
    </row>
    <row r="2153" spans="1:5" ht="15">
      <c r="A2153" s="98">
        <v>2849</v>
      </c>
      <c r="B2153">
        <v>46.13</v>
      </c>
      <c r="C2153">
        <v>42.05</v>
      </c>
      <c r="D2153" t="s">
        <v>218</v>
      </c>
      <c r="E2153" s="97">
        <v>0.1338</v>
      </c>
    </row>
    <row r="2154" spans="1:5" ht="15">
      <c r="A2154" s="98">
        <v>2848</v>
      </c>
      <c r="B2154">
        <v>48.46</v>
      </c>
      <c r="C2154">
        <v>39.83</v>
      </c>
      <c r="D2154" t="s">
        <v>218</v>
      </c>
      <c r="E2154" s="97">
        <v>-2.7000000000000001E-3</v>
      </c>
    </row>
    <row r="2155" spans="1:5" ht="15">
      <c r="A2155" s="98">
        <v>2847</v>
      </c>
      <c r="B2155">
        <v>42.05</v>
      </c>
      <c r="C2155">
        <v>38.89</v>
      </c>
      <c r="D2155" t="s">
        <v>218</v>
      </c>
      <c r="E2155" s="97">
        <v>1.9800000000000002E-2</v>
      </c>
    </row>
    <row r="2156" spans="1:5" ht="15">
      <c r="A2156" s="98">
        <v>2846</v>
      </c>
      <c r="B2156">
        <v>38.799999999999997</v>
      </c>
      <c r="C2156">
        <v>35.51</v>
      </c>
      <c r="D2156" t="s">
        <v>218</v>
      </c>
      <c r="E2156" s="97">
        <v>-4.9399999999999999E-2</v>
      </c>
    </row>
    <row r="2157" spans="1:5" ht="15">
      <c r="A2157" s="98">
        <v>2845</v>
      </c>
      <c r="B2157">
        <v>33.89</v>
      </c>
      <c r="C2157">
        <v>31.19</v>
      </c>
      <c r="D2157" t="s">
        <v>218</v>
      </c>
      <c r="E2157" s="97">
        <v>6.7299999999999999E-2</v>
      </c>
    </row>
    <row r="2158" spans="1:5" ht="15">
      <c r="A2158" s="98">
        <v>2844</v>
      </c>
      <c r="B2158">
        <v>32.770000000000003</v>
      </c>
      <c r="C2158">
        <v>30.6</v>
      </c>
      <c r="D2158" t="s">
        <v>218</v>
      </c>
      <c r="E2158" s="97">
        <v>-0.14829999999999999</v>
      </c>
    </row>
    <row r="2159" spans="1:5" ht="15">
      <c r="A2159" s="98">
        <v>2843</v>
      </c>
      <c r="B2159">
        <v>33.68</v>
      </c>
      <c r="C2159">
        <v>32.03</v>
      </c>
      <c r="D2159" t="s">
        <v>218</v>
      </c>
      <c r="E2159" s="97">
        <v>0.13100000000000001</v>
      </c>
    </row>
    <row r="2160" spans="1:5" ht="15">
      <c r="A2160" s="98">
        <v>2842</v>
      </c>
      <c r="B2160">
        <v>36.950000000000003</v>
      </c>
      <c r="C2160">
        <v>32.770000000000003</v>
      </c>
      <c r="D2160" t="s">
        <v>218</v>
      </c>
      <c r="E2160" s="97">
        <v>-9.6600000000000005E-2</v>
      </c>
    </row>
    <row r="2161" spans="1:5" ht="15">
      <c r="A2161" s="98">
        <v>2841</v>
      </c>
      <c r="B2161">
        <v>43.93</v>
      </c>
      <c r="C2161">
        <v>36.86</v>
      </c>
      <c r="D2161" t="s">
        <v>218</v>
      </c>
      <c r="E2161" s="97">
        <v>-6.6500000000000004E-2</v>
      </c>
    </row>
    <row r="2162" spans="1:5" ht="15">
      <c r="A2162" s="98">
        <v>2840</v>
      </c>
      <c r="B2162">
        <v>45.21</v>
      </c>
      <c r="C2162">
        <v>41.77</v>
      </c>
      <c r="D2162" t="s">
        <v>218</v>
      </c>
      <c r="E2162" s="97">
        <v>0.22090000000000001</v>
      </c>
    </row>
    <row r="2163" spans="1:5" ht="15">
      <c r="A2163" s="98">
        <v>2839</v>
      </c>
      <c r="B2163">
        <v>43.06</v>
      </c>
      <c r="C2163">
        <v>40.28</v>
      </c>
      <c r="D2163" t="s">
        <v>218</v>
      </c>
      <c r="E2163" s="97">
        <v>9.1700000000000004E-2</v>
      </c>
    </row>
    <row r="2164" spans="1:5" ht="15">
      <c r="A2164" s="98">
        <v>2838</v>
      </c>
      <c r="B2164">
        <v>41.37</v>
      </c>
      <c r="C2164">
        <v>38.65</v>
      </c>
      <c r="D2164" t="s">
        <v>218</v>
      </c>
      <c r="E2164" s="97">
        <v>0.1779</v>
      </c>
    </row>
    <row r="2165" spans="1:5" ht="15">
      <c r="A2165" s="98">
        <v>2837</v>
      </c>
      <c r="B2165">
        <v>39.06</v>
      </c>
      <c r="C2165">
        <v>36.19</v>
      </c>
      <c r="D2165" t="s">
        <v>218</v>
      </c>
      <c r="E2165" s="97">
        <v>-5.6800000000000003E-2</v>
      </c>
    </row>
    <row r="2166" spans="1:5" ht="15">
      <c r="A2166" s="98">
        <v>2836</v>
      </c>
      <c r="B2166">
        <v>37.479999999999997</v>
      </c>
      <c r="C2166">
        <v>34.69</v>
      </c>
      <c r="D2166" t="s">
        <v>218</v>
      </c>
      <c r="E2166" s="97">
        <v>-5.0700000000000002E-2</v>
      </c>
    </row>
    <row r="2167" spans="1:5" ht="15">
      <c r="A2167" s="98">
        <v>2835</v>
      </c>
      <c r="B2167">
        <v>37.520000000000003</v>
      </c>
      <c r="C2167">
        <v>36.83</v>
      </c>
      <c r="D2167" t="s">
        <v>218</v>
      </c>
      <c r="E2167" s="97">
        <v>2.35E-2</v>
      </c>
    </row>
    <row r="2168" spans="1:5" ht="15">
      <c r="A2168" s="98">
        <v>2834</v>
      </c>
      <c r="B2168">
        <v>37.31</v>
      </c>
      <c r="C2168">
        <v>34.200000000000003</v>
      </c>
      <c r="D2168" t="s">
        <v>218</v>
      </c>
      <c r="E2168" s="97">
        <v>-6.2399999999999997E-2</v>
      </c>
    </row>
    <row r="2169" spans="1:5" ht="15">
      <c r="A2169" s="98">
        <v>2833</v>
      </c>
      <c r="B2169">
        <v>35.99</v>
      </c>
      <c r="C2169">
        <v>32.35</v>
      </c>
      <c r="D2169" t="s">
        <v>218</v>
      </c>
      <c r="E2169" s="97">
        <v>-3.8699999999999998E-2</v>
      </c>
    </row>
    <row r="2170" spans="1:5" ht="15">
      <c r="A2170" s="98">
        <v>2832</v>
      </c>
      <c r="B2170">
        <v>32.1</v>
      </c>
      <c r="C2170">
        <v>29.43</v>
      </c>
      <c r="D2170" t="s">
        <v>218</v>
      </c>
      <c r="E2170" s="97">
        <v>-3.0499999999999999E-2</v>
      </c>
    </row>
    <row r="2171" spans="1:5" ht="15">
      <c r="A2171" s="98">
        <v>2831</v>
      </c>
      <c r="B2171">
        <v>29.95</v>
      </c>
      <c r="C2171">
        <v>28.01</v>
      </c>
      <c r="D2171" t="s">
        <v>218</v>
      </c>
      <c r="E2171" s="97">
        <v>1.4E-3</v>
      </c>
    </row>
    <row r="2172" spans="1:5" ht="15">
      <c r="A2172" s="98">
        <v>2830</v>
      </c>
      <c r="B2172">
        <v>29.73</v>
      </c>
      <c r="C2172">
        <v>28.29</v>
      </c>
      <c r="D2172" t="s">
        <v>218</v>
      </c>
      <c r="E2172" s="97">
        <v>5.0000000000000001E-3</v>
      </c>
    </row>
    <row r="2173" spans="1:5" ht="15">
      <c r="A2173" s="98">
        <v>2829</v>
      </c>
      <c r="B2173">
        <v>30.22</v>
      </c>
      <c r="C2173">
        <v>29.18</v>
      </c>
      <c r="D2173" t="s">
        <v>218</v>
      </c>
      <c r="E2173" s="97">
        <v>2.7900000000000001E-2</v>
      </c>
    </row>
    <row r="2174" spans="1:5" ht="15">
      <c r="A2174" s="98">
        <v>2828</v>
      </c>
      <c r="B2174">
        <v>30.06</v>
      </c>
      <c r="C2174">
        <v>28.07</v>
      </c>
      <c r="D2174" t="s">
        <v>218</v>
      </c>
      <c r="E2174" s="97">
        <v>-5.8700000000000002E-2</v>
      </c>
    </row>
    <row r="2175" spans="1:5" ht="15">
      <c r="A2175" s="98">
        <v>2827</v>
      </c>
      <c r="B2175">
        <v>28.64</v>
      </c>
      <c r="C2175">
        <v>27.61</v>
      </c>
      <c r="D2175" t="s">
        <v>218</v>
      </c>
      <c r="E2175" s="97">
        <v>5.3800000000000001E-2</v>
      </c>
    </row>
    <row r="2176" spans="1:5" ht="15">
      <c r="A2176" s="98">
        <v>2826</v>
      </c>
      <c r="B2176">
        <v>29.54</v>
      </c>
      <c r="C2176">
        <v>28.08</v>
      </c>
      <c r="D2176" t="s">
        <v>218</v>
      </c>
      <c r="E2176" s="97">
        <v>2.46E-2</v>
      </c>
    </row>
    <row r="2177" spans="1:5" ht="15">
      <c r="A2177" s="98">
        <v>2825</v>
      </c>
      <c r="B2177">
        <v>31.93</v>
      </c>
      <c r="C2177">
        <v>29.63</v>
      </c>
      <c r="D2177" t="s">
        <v>218</v>
      </c>
      <c r="E2177" s="97">
        <v>-4.5499999999999999E-2</v>
      </c>
    </row>
    <row r="2178" spans="1:5" ht="15">
      <c r="A2178" s="98">
        <v>2824</v>
      </c>
      <c r="B2178">
        <v>30.8</v>
      </c>
      <c r="C2178">
        <v>29.53</v>
      </c>
      <c r="D2178" t="s">
        <v>218</v>
      </c>
      <c r="E2178" s="97">
        <v>-1.47E-2</v>
      </c>
    </row>
    <row r="2179" spans="1:5" ht="15">
      <c r="A2179" s="98">
        <v>2823</v>
      </c>
      <c r="B2179">
        <v>33.6</v>
      </c>
      <c r="C2179">
        <v>31.19</v>
      </c>
      <c r="D2179" t="s">
        <v>218</v>
      </c>
      <c r="E2179" s="97">
        <v>4.8500000000000001E-2</v>
      </c>
    </row>
    <row r="2180" spans="1:5" ht="15">
      <c r="A2180" s="98">
        <v>2822</v>
      </c>
      <c r="B2180">
        <v>35.42</v>
      </c>
      <c r="C2180">
        <v>33.21</v>
      </c>
      <c r="D2180" t="s">
        <v>218</v>
      </c>
      <c r="E2180" s="97">
        <v>3.5799999999999998E-2</v>
      </c>
    </row>
    <row r="2181" spans="1:5" ht="15">
      <c r="A2181" s="98">
        <v>2821</v>
      </c>
      <c r="B2181">
        <v>33.64</v>
      </c>
      <c r="C2181">
        <v>31.93</v>
      </c>
      <c r="D2181" t="s">
        <v>218</v>
      </c>
      <c r="E2181" s="97">
        <v>-1.1299999999999999E-2</v>
      </c>
    </row>
    <row r="2182" spans="1:5" ht="15">
      <c r="A2182" s="98">
        <v>2820</v>
      </c>
      <c r="B2182">
        <v>39.97</v>
      </c>
      <c r="C2182">
        <v>37.119999999999997</v>
      </c>
      <c r="D2182" t="s">
        <v>218</v>
      </c>
      <c r="E2182" s="97">
        <v>-1.4800000000000001E-2</v>
      </c>
    </row>
    <row r="2183" spans="1:5" ht="15">
      <c r="A2183" s="98">
        <v>2819</v>
      </c>
      <c r="B2183">
        <v>39.71</v>
      </c>
      <c r="C2183">
        <v>37.049999999999997</v>
      </c>
      <c r="D2183" t="s">
        <v>218</v>
      </c>
      <c r="E2183" s="97">
        <v>2.5899999999999999E-2</v>
      </c>
    </row>
    <row r="2184" spans="1:5" ht="15">
      <c r="A2184" s="98">
        <v>2818</v>
      </c>
      <c r="B2184">
        <v>40.409999999999997</v>
      </c>
      <c r="C2184">
        <v>38.21</v>
      </c>
      <c r="D2184" t="s">
        <v>218</v>
      </c>
      <c r="E2184" s="97">
        <v>6.13E-2</v>
      </c>
    </row>
    <row r="2185" spans="1:5" ht="15">
      <c r="A2185" s="98">
        <v>2817</v>
      </c>
      <c r="B2185">
        <v>37.35</v>
      </c>
      <c r="C2185">
        <v>35.99</v>
      </c>
      <c r="D2185" t="s">
        <v>218</v>
      </c>
      <c r="E2185" s="97">
        <v>-3.2000000000000001E-2</v>
      </c>
    </row>
    <row r="2186" spans="1:5" ht="15">
      <c r="A2186" s="98">
        <v>2816</v>
      </c>
      <c r="B2186">
        <v>39.630000000000003</v>
      </c>
      <c r="C2186">
        <v>36.04</v>
      </c>
      <c r="D2186" t="s">
        <v>218</v>
      </c>
      <c r="E2186" s="97">
        <v>2.4799999999999999E-2</v>
      </c>
    </row>
    <row r="2187" spans="1:5" ht="15">
      <c r="A2187" s="98">
        <v>2815</v>
      </c>
      <c r="B2187">
        <v>35.979999999999997</v>
      </c>
      <c r="C2187">
        <v>35.08</v>
      </c>
      <c r="D2187" t="s">
        <v>218</v>
      </c>
      <c r="E2187" s="97">
        <v>-1.6500000000000001E-2</v>
      </c>
    </row>
    <row r="2188" spans="1:5" ht="15">
      <c r="A2188" s="98">
        <v>2814</v>
      </c>
      <c r="B2188">
        <v>34.81</v>
      </c>
      <c r="C2188">
        <v>33.72</v>
      </c>
      <c r="D2188" t="s">
        <v>218</v>
      </c>
      <c r="E2188" s="97">
        <v>2.4199999999999999E-2</v>
      </c>
    </row>
    <row r="2189" spans="1:5" ht="15">
      <c r="A2189" s="98">
        <v>2813</v>
      </c>
      <c r="B2189">
        <v>37.74</v>
      </c>
      <c r="C2189">
        <v>36.1</v>
      </c>
      <c r="D2189" t="s">
        <v>218</v>
      </c>
      <c r="E2189" s="97">
        <v>1.14E-2</v>
      </c>
    </row>
    <row r="2190" spans="1:5" ht="15">
      <c r="A2190" s="98">
        <v>2812</v>
      </c>
      <c r="B2190">
        <v>38.520000000000003</v>
      </c>
      <c r="C2190">
        <v>35.82</v>
      </c>
      <c r="D2190" t="s">
        <v>218</v>
      </c>
      <c r="E2190" s="97">
        <v>2.6800000000000001E-2</v>
      </c>
    </row>
    <row r="2191" spans="1:5" ht="15">
      <c r="A2191" s="98">
        <v>2811</v>
      </c>
      <c r="B2191">
        <v>38.549999999999997</v>
      </c>
      <c r="C2191">
        <v>36.64</v>
      </c>
      <c r="D2191" t="s">
        <v>218</v>
      </c>
      <c r="E2191" s="97">
        <v>-7.6600000000000001E-2</v>
      </c>
    </row>
    <row r="2192" spans="1:5" ht="15">
      <c r="A2192" s="98">
        <v>2810</v>
      </c>
      <c r="B2192">
        <v>38.06</v>
      </c>
      <c r="C2192">
        <v>35.79</v>
      </c>
      <c r="D2192" t="s">
        <v>218</v>
      </c>
      <c r="E2192" s="97">
        <v>3.44E-2</v>
      </c>
    </row>
    <row r="2193" spans="1:5" ht="15">
      <c r="A2193" s="98">
        <v>2809</v>
      </c>
      <c r="B2193">
        <v>39.71</v>
      </c>
      <c r="C2193">
        <v>36.96</v>
      </c>
      <c r="D2193" t="s">
        <v>218</v>
      </c>
      <c r="E2193" s="97">
        <v>3.8199999999999998E-2</v>
      </c>
    </row>
    <row r="2194" spans="1:5" ht="15">
      <c r="A2194" s="98">
        <v>2808</v>
      </c>
      <c r="B2194">
        <v>40.700000000000003</v>
      </c>
      <c r="C2194">
        <v>38.92</v>
      </c>
      <c r="D2194" t="s">
        <v>218</v>
      </c>
      <c r="E2194" s="97">
        <v>-3.3E-3</v>
      </c>
    </row>
    <row r="2195" spans="1:5" ht="15">
      <c r="A2195" s="98">
        <v>2807</v>
      </c>
      <c r="B2195">
        <v>40.229999999999997</v>
      </c>
      <c r="C2195">
        <v>38.72</v>
      </c>
      <c r="D2195" t="s">
        <v>218</v>
      </c>
      <c r="E2195" s="97">
        <v>5.1299999999999998E-2</v>
      </c>
    </row>
    <row r="2196" spans="1:5" ht="15">
      <c r="A2196" s="98">
        <v>2806</v>
      </c>
      <c r="B2196">
        <v>41.18</v>
      </c>
      <c r="C2196">
        <v>39.26</v>
      </c>
      <c r="D2196" t="s">
        <v>218</v>
      </c>
      <c r="E2196" s="97">
        <v>-6.8999999999999999E-3</v>
      </c>
    </row>
    <row r="2197" spans="1:5" ht="15">
      <c r="A2197" s="98">
        <v>2805</v>
      </c>
      <c r="B2197">
        <v>41.34</v>
      </c>
      <c r="C2197">
        <v>39.57</v>
      </c>
      <c r="D2197" t="s">
        <v>218</v>
      </c>
      <c r="E2197" s="97">
        <v>-6.6199999999999995E-2</v>
      </c>
    </row>
    <row r="2198" spans="1:5" ht="15">
      <c r="A2198" s="98">
        <v>2804</v>
      </c>
      <c r="B2198">
        <v>39.92</v>
      </c>
      <c r="C2198">
        <v>36.79</v>
      </c>
      <c r="D2198" t="s">
        <v>218</v>
      </c>
      <c r="E2198" s="97">
        <v>-5.7099999999999998E-2</v>
      </c>
    </row>
    <row r="2199" spans="1:5" ht="15">
      <c r="A2199" s="98">
        <v>2803</v>
      </c>
      <c r="B2199">
        <v>36.15</v>
      </c>
      <c r="C2199">
        <v>34.6</v>
      </c>
      <c r="D2199" t="s">
        <v>218</v>
      </c>
      <c r="E2199" s="97">
        <v>0.17530000000000001</v>
      </c>
    </row>
    <row r="2200" spans="1:5" ht="15">
      <c r="A2200" s="98">
        <v>2802</v>
      </c>
      <c r="B2200">
        <v>36.97</v>
      </c>
      <c r="C2200">
        <v>33.96</v>
      </c>
      <c r="D2200" t="s">
        <v>218</v>
      </c>
      <c r="E2200" s="97">
        <v>-5.0099999999999999E-2</v>
      </c>
    </row>
    <row r="2201" spans="1:5" ht="15">
      <c r="A2201" s="98">
        <v>2801</v>
      </c>
      <c r="B2201">
        <v>41.86</v>
      </c>
      <c r="C2201">
        <v>38.89</v>
      </c>
      <c r="D2201" t="s">
        <v>218</v>
      </c>
      <c r="E2201" s="97">
        <v>6.0400000000000002E-2</v>
      </c>
    </row>
    <row r="2202" spans="1:5" ht="15">
      <c r="A2202" s="98">
        <v>2800</v>
      </c>
      <c r="B2202">
        <v>37.61</v>
      </c>
      <c r="C2202">
        <v>33.770000000000003</v>
      </c>
      <c r="D2202" t="s">
        <v>218</v>
      </c>
      <c r="E2202" s="97">
        <v>-1.5100000000000001E-2</v>
      </c>
    </row>
    <row r="2203" spans="1:5" ht="15">
      <c r="A2203" s="98">
        <v>2799</v>
      </c>
      <c r="B2203">
        <v>36.97</v>
      </c>
      <c r="C2203">
        <v>34.42</v>
      </c>
      <c r="D2203" t="s">
        <v>218</v>
      </c>
      <c r="E2203" s="97">
        <v>-2.1700000000000001E-2</v>
      </c>
    </row>
    <row r="2204" spans="1:5" ht="15">
      <c r="A2204" s="98">
        <v>2798</v>
      </c>
      <c r="B2204">
        <v>37.75</v>
      </c>
      <c r="C2204">
        <v>36.11</v>
      </c>
      <c r="D2204" t="s">
        <v>218</v>
      </c>
      <c r="E2204" s="97">
        <v>7.9000000000000008E-3</v>
      </c>
    </row>
    <row r="2205" spans="1:5" ht="15">
      <c r="A2205" s="98">
        <v>2797</v>
      </c>
      <c r="B2205">
        <v>40.29</v>
      </c>
      <c r="C2205">
        <v>38.67</v>
      </c>
      <c r="D2205" t="s">
        <v>218</v>
      </c>
      <c r="E2205" s="97">
        <v>-7.0000000000000001E-3</v>
      </c>
    </row>
    <row r="2206" spans="1:5" ht="15">
      <c r="A2206" s="98">
        <v>2796</v>
      </c>
      <c r="B2206">
        <v>42.95</v>
      </c>
      <c r="C2206">
        <v>41.04</v>
      </c>
      <c r="D2206" t="s">
        <v>218</v>
      </c>
      <c r="E2206" s="97">
        <v>-4.0800000000000003E-2</v>
      </c>
    </row>
    <row r="2207" spans="1:5" ht="15">
      <c r="A2207" s="98">
        <v>2795</v>
      </c>
      <c r="B2207">
        <v>43.44</v>
      </c>
      <c r="C2207">
        <v>39.96</v>
      </c>
      <c r="D2207" t="s">
        <v>218</v>
      </c>
      <c r="E2207" s="97">
        <v>3.4500000000000003E-2</v>
      </c>
    </row>
    <row r="2208" spans="1:5" ht="15">
      <c r="A2208" s="98">
        <v>2794</v>
      </c>
      <c r="B2208">
        <v>42.58</v>
      </c>
      <c r="C2208">
        <v>41.21</v>
      </c>
      <c r="D2208" t="s">
        <v>218</v>
      </c>
      <c r="E2208" s="97">
        <v>-1.11E-2</v>
      </c>
    </row>
    <row r="2209" spans="1:5" ht="15">
      <c r="A2209" s="98">
        <v>2793</v>
      </c>
      <c r="B2209">
        <v>39.39</v>
      </c>
      <c r="C2209">
        <v>37.54</v>
      </c>
      <c r="D2209" t="s">
        <v>218</v>
      </c>
      <c r="E2209" s="97">
        <v>4.6399999999999997E-2</v>
      </c>
    </row>
    <row r="2210" spans="1:5" ht="15">
      <c r="A2210" s="98">
        <v>2792</v>
      </c>
      <c r="B2210">
        <v>36.53</v>
      </c>
      <c r="C2210">
        <v>35.200000000000003</v>
      </c>
      <c r="D2210" t="s">
        <v>218</v>
      </c>
      <c r="E2210" s="97">
        <v>-4.9200000000000001E-2</v>
      </c>
    </row>
    <row r="2211" spans="1:5" ht="15">
      <c r="A2211" s="98">
        <v>2791</v>
      </c>
      <c r="B2211">
        <v>37.18</v>
      </c>
      <c r="C2211">
        <v>36.020000000000003</v>
      </c>
      <c r="D2211" t="s">
        <v>218</v>
      </c>
      <c r="E2211" s="97">
        <v>1.11E-2</v>
      </c>
    </row>
    <row r="2212" spans="1:5" ht="15">
      <c r="A2212" s="98">
        <v>2790</v>
      </c>
      <c r="B2212">
        <v>34.71</v>
      </c>
      <c r="C2212">
        <v>33.79</v>
      </c>
      <c r="D2212" t="s">
        <v>218</v>
      </c>
      <c r="E2212" s="97">
        <v>-3.0800000000000001E-2</v>
      </c>
    </row>
    <row r="2213" spans="1:5" ht="15">
      <c r="A2213" s="98">
        <v>2789</v>
      </c>
      <c r="B2213">
        <v>36.270000000000003</v>
      </c>
      <c r="C2213">
        <v>34.909999999999997</v>
      </c>
      <c r="D2213" t="s">
        <v>218</v>
      </c>
      <c r="E2213" s="97">
        <v>-6.1600000000000002E-2</v>
      </c>
    </row>
    <row r="2214" spans="1:5" ht="15">
      <c r="A2214" s="98">
        <v>2788</v>
      </c>
      <c r="B2214">
        <v>35.130000000000003</v>
      </c>
      <c r="C2214">
        <v>33.93</v>
      </c>
      <c r="D2214" t="s">
        <v>218</v>
      </c>
      <c r="E2214" s="97">
        <v>-3.1699999999999999E-2</v>
      </c>
    </row>
    <row r="2215" spans="1:5" ht="15">
      <c r="A2215" s="98">
        <v>2787</v>
      </c>
      <c r="B2215">
        <v>34.729999999999997</v>
      </c>
      <c r="C2215">
        <v>33.340000000000003</v>
      </c>
      <c r="D2215" t="s">
        <v>218</v>
      </c>
      <c r="E2215" s="97">
        <v>0</v>
      </c>
    </row>
    <row r="2216" spans="1:5" ht="15">
      <c r="A2216" s="98">
        <v>2786</v>
      </c>
      <c r="B2216">
        <v>35.549999999999997</v>
      </c>
      <c r="C2216">
        <v>33</v>
      </c>
      <c r="D2216" t="s">
        <v>218</v>
      </c>
      <c r="E2216" s="97">
        <v>-1.49E-2</v>
      </c>
    </row>
    <row r="2217" spans="1:5" ht="15">
      <c r="A2217" s="98">
        <v>2785</v>
      </c>
      <c r="B2217">
        <v>34.76</v>
      </c>
      <c r="C2217">
        <v>33.61</v>
      </c>
      <c r="D2217" t="s">
        <v>218</v>
      </c>
      <c r="E2217" s="97">
        <v>-4.41E-2</v>
      </c>
    </row>
    <row r="2218" spans="1:5" ht="15">
      <c r="A2218" s="98">
        <v>2784</v>
      </c>
      <c r="B2218">
        <v>35.61</v>
      </c>
      <c r="C2218">
        <v>33.200000000000003</v>
      </c>
      <c r="D2218" t="s">
        <v>218</v>
      </c>
      <c r="E2218" s="97">
        <v>-4.0300000000000002E-2</v>
      </c>
    </row>
    <row r="2219" spans="1:5" ht="15">
      <c r="A2219" s="98">
        <v>2783</v>
      </c>
      <c r="B2219">
        <v>34.43</v>
      </c>
      <c r="C2219">
        <v>32.53</v>
      </c>
      <c r="D2219" t="s">
        <v>218</v>
      </c>
      <c r="E2219" s="97">
        <v>2.0199999999999999E-2</v>
      </c>
    </row>
    <row r="2220" spans="1:5" ht="15">
      <c r="A2220" s="98">
        <v>2782</v>
      </c>
      <c r="B2220">
        <v>33.369999999999997</v>
      </c>
      <c r="C2220">
        <v>29.88</v>
      </c>
      <c r="D2220" t="s">
        <v>218</v>
      </c>
      <c r="E2220" s="97">
        <v>3.8300000000000001E-2</v>
      </c>
    </row>
    <row r="2221" spans="1:5" ht="15">
      <c r="A2221" s="98">
        <v>2781</v>
      </c>
      <c r="B2221">
        <v>31.67</v>
      </c>
      <c r="C2221">
        <v>30.31</v>
      </c>
      <c r="D2221" t="s">
        <v>218</v>
      </c>
      <c r="E2221" s="97">
        <v>4.9299999999999997E-2</v>
      </c>
    </row>
    <row r="2222" spans="1:5" ht="15">
      <c r="A2222" s="98">
        <v>2780</v>
      </c>
      <c r="B2222">
        <v>33.53</v>
      </c>
      <c r="C2222">
        <v>31.53</v>
      </c>
      <c r="D2222" t="s">
        <v>218</v>
      </c>
      <c r="E2222" s="97">
        <v>5.6899999999999999E-2</v>
      </c>
    </row>
    <row r="2223" spans="1:5" ht="15">
      <c r="A2223" s="98">
        <v>2779</v>
      </c>
      <c r="B2223">
        <v>32.5</v>
      </c>
      <c r="C2223">
        <v>30.79</v>
      </c>
      <c r="D2223" t="s">
        <v>218</v>
      </c>
      <c r="E2223" s="97">
        <v>3.2000000000000002E-3</v>
      </c>
    </row>
    <row r="2224" spans="1:5" ht="15">
      <c r="A2224" s="98">
        <v>2778</v>
      </c>
      <c r="B2224">
        <v>31.57</v>
      </c>
      <c r="C2224">
        <v>29.69</v>
      </c>
      <c r="D2224" t="s">
        <v>218</v>
      </c>
      <c r="E2224" s="97">
        <v>-3.1899999999999998E-2</v>
      </c>
    </row>
    <row r="2225" spans="1:5" ht="15">
      <c r="A2225" s="98">
        <v>2777</v>
      </c>
      <c r="B2225">
        <v>31.7</v>
      </c>
      <c r="C2225">
        <v>28.62</v>
      </c>
      <c r="D2225" t="s">
        <v>218</v>
      </c>
      <c r="E2225" s="97">
        <v>2.23E-2</v>
      </c>
    </row>
    <row r="2226" spans="1:5" ht="15">
      <c r="A2226" s="98">
        <v>2776</v>
      </c>
      <c r="B2226">
        <v>30.9</v>
      </c>
      <c r="C2226">
        <v>28.83</v>
      </c>
      <c r="D2226" t="s">
        <v>218</v>
      </c>
      <c r="E2226" s="97">
        <v>-4.7800000000000002E-2</v>
      </c>
    </row>
    <row r="2227" spans="1:5" ht="15">
      <c r="A2227" s="98">
        <v>2775</v>
      </c>
      <c r="B2227">
        <v>31.72</v>
      </c>
      <c r="C2227">
        <v>30.43</v>
      </c>
      <c r="D2227" t="s">
        <v>218</v>
      </c>
      <c r="E2227" s="97">
        <v>-3.0000000000000001E-3</v>
      </c>
    </row>
    <row r="2228" spans="1:5" ht="15">
      <c r="A2228" s="98">
        <v>2774</v>
      </c>
      <c r="B2228">
        <v>32.6</v>
      </c>
      <c r="C2228">
        <v>30.71</v>
      </c>
      <c r="D2228" t="s">
        <v>218</v>
      </c>
      <c r="E2228" s="97">
        <v>-1.9300000000000001E-2</v>
      </c>
    </row>
    <row r="2229" spans="1:5" ht="15">
      <c r="A2229" s="98">
        <v>2773</v>
      </c>
      <c r="B2229">
        <v>31.85</v>
      </c>
      <c r="C2229">
        <v>30.76</v>
      </c>
      <c r="D2229" t="s">
        <v>218</v>
      </c>
      <c r="E2229" s="97">
        <v>-6.6E-3</v>
      </c>
    </row>
    <row r="2230" spans="1:5" ht="15">
      <c r="A2230" s="98">
        <v>2772</v>
      </c>
      <c r="B2230">
        <v>31.03</v>
      </c>
      <c r="C2230">
        <v>29.1</v>
      </c>
      <c r="D2230" t="s">
        <v>218</v>
      </c>
      <c r="E2230" s="97">
        <v>-3.6200000000000003E-2</v>
      </c>
    </row>
    <row r="2231" spans="1:5" ht="15">
      <c r="A2231" s="98">
        <v>2771</v>
      </c>
      <c r="B2231">
        <v>31.64</v>
      </c>
      <c r="C2231">
        <v>30.41</v>
      </c>
      <c r="D2231" t="s">
        <v>218</v>
      </c>
      <c r="E2231" s="97">
        <v>7.9000000000000008E-3</v>
      </c>
    </row>
    <row r="2232" spans="1:5" ht="15">
      <c r="A2232" s="98">
        <v>2770</v>
      </c>
      <c r="B2232">
        <v>31.2</v>
      </c>
      <c r="C2232">
        <v>29.75</v>
      </c>
      <c r="D2232" t="s">
        <v>218</v>
      </c>
      <c r="E2232" s="97">
        <v>-7.1000000000000004E-3</v>
      </c>
    </row>
    <row r="2233" spans="1:5" ht="15">
      <c r="A2233" s="98">
        <v>2769</v>
      </c>
      <c r="B2233">
        <v>31.9</v>
      </c>
      <c r="C2233">
        <v>30.5</v>
      </c>
      <c r="D2233" t="s">
        <v>218</v>
      </c>
      <c r="E2233" s="97">
        <v>5.9400000000000001E-2</v>
      </c>
    </row>
    <row r="2234" spans="1:5" ht="15">
      <c r="A2234" s="98">
        <v>2768</v>
      </c>
      <c r="B2234">
        <v>29.76</v>
      </c>
      <c r="C2234">
        <v>28.65</v>
      </c>
      <c r="D2234" t="s">
        <v>218</v>
      </c>
      <c r="E2234" s="97">
        <v>5.8099999999999999E-2</v>
      </c>
    </row>
    <row r="2235" spans="1:5" ht="15">
      <c r="A2235" s="98">
        <v>2767</v>
      </c>
      <c r="B2235">
        <v>28.23</v>
      </c>
      <c r="C2235">
        <v>26.44</v>
      </c>
      <c r="D2235" t="s">
        <v>218</v>
      </c>
      <c r="E2235" s="97">
        <v>8.09E-2</v>
      </c>
    </row>
    <row r="2236" spans="1:5" ht="15">
      <c r="A2236" s="98">
        <v>2766</v>
      </c>
      <c r="B2236">
        <v>27.66</v>
      </c>
      <c r="C2236">
        <v>26.73</v>
      </c>
      <c r="D2236" t="s">
        <v>218</v>
      </c>
      <c r="E2236" s="97">
        <v>-3.1699999999999999E-2</v>
      </c>
    </row>
    <row r="2237" spans="1:5" ht="15">
      <c r="A2237" s="98">
        <v>2765</v>
      </c>
      <c r="B2237">
        <v>28.15</v>
      </c>
      <c r="C2237">
        <v>26.63</v>
      </c>
      <c r="D2237" t="s">
        <v>218</v>
      </c>
      <c r="E2237" s="97">
        <v>-1.15E-2</v>
      </c>
    </row>
    <row r="2238" spans="1:5" ht="15">
      <c r="A2238" s="98">
        <v>2764</v>
      </c>
      <c r="B2238">
        <v>26.93</v>
      </c>
      <c r="C2238">
        <v>25.06</v>
      </c>
      <c r="D2238" t="s">
        <v>218</v>
      </c>
      <c r="E2238" s="97">
        <v>8.1000000000000003E-2</v>
      </c>
    </row>
    <row r="2239" spans="1:5" ht="15">
      <c r="A2239" s="98">
        <v>2763</v>
      </c>
      <c r="B2239">
        <v>24.75</v>
      </c>
      <c r="C2239">
        <v>23.41</v>
      </c>
      <c r="D2239" t="s">
        <v>218</v>
      </c>
      <c r="E2239" s="97">
        <v>-1.9199999999999998E-2</v>
      </c>
    </row>
    <row r="2240" spans="1:5" ht="15">
      <c r="A2240" s="98">
        <v>2762</v>
      </c>
      <c r="B2240">
        <v>24.22</v>
      </c>
      <c r="C2240">
        <v>23.05</v>
      </c>
      <c r="D2240" t="s">
        <v>218</v>
      </c>
      <c r="E2240" s="97">
        <v>-8.6999999999999994E-3</v>
      </c>
    </row>
    <row r="2241" spans="1:5" ht="15">
      <c r="A2241" s="98">
        <v>2761</v>
      </c>
      <c r="B2241">
        <v>25.42</v>
      </c>
      <c r="C2241">
        <v>23.62</v>
      </c>
      <c r="D2241" t="s">
        <v>218</v>
      </c>
      <c r="E2241" s="97">
        <v>-2.3699999999999999E-2</v>
      </c>
    </row>
    <row r="2242" spans="1:5" ht="15">
      <c r="A2242" s="98">
        <v>2760</v>
      </c>
      <c r="B2242">
        <v>26.15</v>
      </c>
      <c r="C2242">
        <v>24.56</v>
      </c>
      <c r="D2242" t="s">
        <v>218</v>
      </c>
      <c r="E2242" s="97">
        <v>-0.01</v>
      </c>
    </row>
    <row r="2243" spans="1:5" ht="15">
      <c r="A2243" s="98">
        <v>2759</v>
      </c>
      <c r="B2243">
        <v>27.42</v>
      </c>
      <c r="C2243">
        <v>23.97</v>
      </c>
      <c r="D2243" t="s">
        <v>218</v>
      </c>
      <c r="E2243" s="97">
        <v>-2.6100000000000002E-2</v>
      </c>
    </row>
    <row r="2244" spans="1:5" ht="15">
      <c r="A2244" s="98">
        <v>2758</v>
      </c>
      <c r="B2244">
        <v>27.7</v>
      </c>
      <c r="C2244">
        <v>26.84</v>
      </c>
      <c r="D2244" t="s">
        <v>218</v>
      </c>
      <c r="E2244" s="97">
        <v>-6.4999999999999997E-3</v>
      </c>
    </row>
    <row r="2245" spans="1:5" ht="15">
      <c r="A2245" s="98">
        <v>2757</v>
      </c>
      <c r="B2245">
        <v>28.61</v>
      </c>
      <c r="C2245">
        <v>27.28</v>
      </c>
      <c r="D2245" t="s">
        <v>218</v>
      </c>
      <c r="E2245" s="97">
        <v>-2.9899999999999999E-2</v>
      </c>
    </row>
    <row r="2246" spans="1:5" ht="15">
      <c r="A2246" s="98">
        <v>2756</v>
      </c>
      <c r="B2246">
        <v>28.41</v>
      </c>
      <c r="C2246">
        <v>27.47</v>
      </c>
      <c r="D2246" t="s">
        <v>218</v>
      </c>
      <c r="E2246" s="97">
        <v>1.52E-2</v>
      </c>
    </row>
    <row r="2247" spans="1:5" ht="15">
      <c r="A2247" s="98">
        <v>2755</v>
      </c>
      <c r="B2247">
        <v>29.51</v>
      </c>
      <c r="C2247">
        <v>28.27</v>
      </c>
      <c r="D2247" t="s">
        <v>218</v>
      </c>
      <c r="E2247" s="97">
        <v>-1.72E-2</v>
      </c>
    </row>
    <row r="2248" spans="1:5" ht="15">
      <c r="A2248" s="98">
        <v>2754</v>
      </c>
      <c r="B2248">
        <v>30.2</v>
      </c>
      <c r="C2248">
        <v>29.26</v>
      </c>
      <c r="D2248" t="s">
        <v>218</v>
      </c>
      <c r="E2248" s="97">
        <v>-9.2999999999999992E-3</v>
      </c>
    </row>
    <row r="2249" spans="1:5" ht="15">
      <c r="A2249" s="98">
        <v>2753</v>
      </c>
      <c r="B2249">
        <v>30.64</v>
      </c>
      <c r="C2249">
        <v>28.77</v>
      </c>
      <c r="D2249" t="s">
        <v>218</v>
      </c>
      <c r="E2249" s="97">
        <v>-2.35E-2</v>
      </c>
    </row>
    <row r="2250" spans="1:5" ht="15">
      <c r="A2250" s="98">
        <v>2752</v>
      </c>
      <c r="B2250">
        <v>31.2</v>
      </c>
      <c r="C2250">
        <v>29.99</v>
      </c>
      <c r="D2250" t="s">
        <v>218</v>
      </c>
      <c r="E2250" s="97">
        <v>-3.5099999999999999E-2</v>
      </c>
    </row>
    <row r="2251" spans="1:5" ht="15">
      <c r="A2251" s="98">
        <v>2751</v>
      </c>
      <c r="B2251">
        <v>30.49</v>
      </c>
      <c r="C2251">
        <v>28.65</v>
      </c>
      <c r="D2251" t="s">
        <v>218</v>
      </c>
      <c r="E2251" s="97">
        <v>3.6400000000000002E-2</v>
      </c>
    </row>
    <row r="2252" spans="1:5" ht="15">
      <c r="A2252" s="98">
        <v>2750</v>
      </c>
      <c r="B2252">
        <v>29</v>
      </c>
      <c r="C2252">
        <v>27.55</v>
      </c>
      <c r="D2252" t="s">
        <v>218</v>
      </c>
      <c r="E2252" s="97">
        <v>1.77E-2</v>
      </c>
    </row>
    <row r="2253" spans="1:5" ht="15">
      <c r="A2253" s="98">
        <v>2749</v>
      </c>
      <c r="B2253">
        <v>28.16</v>
      </c>
      <c r="C2253">
        <v>27.23</v>
      </c>
      <c r="D2253" t="s">
        <v>218</v>
      </c>
      <c r="E2253" s="97">
        <v>-1.5E-3</v>
      </c>
    </row>
    <row r="2254" spans="1:5" ht="15">
      <c r="A2254" s="98">
        <v>2748</v>
      </c>
      <c r="B2254">
        <v>28.67</v>
      </c>
      <c r="C2254">
        <v>27.56</v>
      </c>
      <c r="D2254" t="s">
        <v>218</v>
      </c>
      <c r="E2254" s="97">
        <v>8.0000000000000004E-4</v>
      </c>
    </row>
    <row r="2255" spans="1:5" ht="15">
      <c r="A2255" s="98">
        <v>2747</v>
      </c>
      <c r="B2255">
        <v>28.29</v>
      </c>
      <c r="C2255">
        <v>26.22</v>
      </c>
      <c r="D2255" t="s">
        <v>218</v>
      </c>
      <c r="E2255" s="97">
        <v>-2.0400000000000001E-2</v>
      </c>
    </row>
    <row r="2256" spans="1:5" ht="15">
      <c r="A2256" s="98">
        <v>2746</v>
      </c>
      <c r="B2256">
        <v>26.82</v>
      </c>
      <c r="C2256">
        <v>25.9</v>
      </c>
      <c r="D2256" t="s">
        <v>218</v>
      </c>
      <c r="E2256" s="97">
        <v>-4.4999999999999997E-3</v>
      </c>
    </row>
    <row r="2257" spans="1:5" ht="15">
      <c r="A2257" s="98">
        <v>2745</v>
      </c>
      <c r="B2257">
        <v>28.55</v>
      </c>
      <c r="C2257">
        <v>27.29</v>
      </c>
      <c r="D2257" t="s">
        <v>218</v>
      </c>
      <c r="E2257" s="97">
        <v>4.07E-2</v>
      </c>
    </row>
    <row r="2258" spans="1:5" ht="15">
      <c r="A2258" s="98">
        <v>2744</v>
      </c>
      <c r="B2258">
        <v>30.84</v>
      </c>
      <c r="C2258">
        <v>27.88</v>
      </c>
      <c r="D2258" t="s">
        <v>218</v>
      </c>
      <c r="E2258" s="97">
        <v>4.7000000000000002E-3</v>
      </c>
    </row>
    <row r="2259" spans="1:5" ht="15">
      <c r="A2259" s="98">
        <v>2743</v>
      </c>
      <c r="B2259">
        <v>28.75</v>
      </c>
      <c r="C2259">
        <v>26.59</v>
      </c>
      <c r="D2259" t="s">
        <v>218</v>
      </c>
      <c r="E2259" s="97">
        <v>3.8999999999999998E-3</v>
      </c>
    </row>
    <row r="2260" spans="1:5" ht="15">
      <c r="A2260" s="98">
        <v>2742</v>
      </c>
      <c r="B2260">
        <v>27.69</v>
      </c>
      <c r="C2260">
        <v>25.87</v>
      </c>
      <c r="D2260" t="s">
        <v>218</v>
      </c>
      <c r="E2260" s="97">
        <v>-2.3099999999999999E-2</v>
      </c>
    </row>
    <row r="2261" spans="1:5" ht="15">
      <c r="A2261" s="98">
        <v>2741</v>
      </c>
      <c r="B2261">
        <v>26.82</v>
      </c>
      <c r="C2261">
        <v>26.38</v>
      </c>
      <c r="D2261" t="s">
        <v>218</v>
      </c>
      <c r="E2261" s="97">
        <v>-3.9300000000000002E-2</v>
      </c>
    </row>
    <row r="2262" spans="1:5" ht="15">
      <c r="A2262" s="98">
        <v>2740</v>
      </c>
      <c r="B2262">
        <v>27.57</v>
      </c>
      <c r="C2262">
        <v>26.16</v>
      </c>
      <c r="D2262" t="s">
        <v>218</v>
      </c>
      <c r="E2262" s="97">
        <v>4.0099999999999997E-2</v>
      </c>
    </row>
    <row r="2263" spans="1:5" ht="15">
      <c r="A2263" s="98">
        <v>2739</v>
      </c>
      <c r="B2263">
        <v>29.97</v>
      </c>
      <c r="C2263">
        <v>27.52</v>
      </c>
      <c r="D2263" t="s">
        <v>218</v>
      </c>
      <c r="E2263" s="97">
        <v>-1.7399999999999999E-2</v>
      </c>
    </row>
    <row r="2264" spans="1:5" ht="15">
      <c r="A2264" s="98">
        <v>2738</v>
      </c>
      <c r="B2264">
        <v>30.83</v>
      </c>
      <c r="C2264">
        <v>29.47</v>
      </c>
      <c r="D2264" t="s">
        <v>218</v>
      </c>
      <c r="E2264" s="97">
        <v>0</v>
      </c>
    </row>
    <row r="2265" spans="1:5" ht="15">
      <c r="A2265" s="98">
        <v>2737</v>
      </c>
      <c r="B2265">
        <v>29.62</v>
      </c>
      <c r="C2265">
        <v>28.6</v>
      </c>
      <c r="D2265" t="s">
        <v>218</v>
      </c>
      <c r="E2265" s="97">
        <v>-1.2699999999999999E-2</v>
      </c>
    </row>
    <row r="2266" spans="1:5" ht="15">
      <c r="A2266" s="98">
        <v>2736</v>
      </c>
      <c r="B2266">
        <v>28.74</v>
      </c>
      <c r="C2266">
        <v>25.32</v>
      </c>
      <c r="D2266" t="s">
        <v>218</v>
      </c>
      <c r="E2266" s="97">
        <v>3.8E-3</v>
      </c>
    </row>
    <row r="2267" spans="1:5" ht="15">
      <c r="A2267" s="98">
        <v>2735</v>
      </c>
      <c r="B2267">
        <v>25.55</v>
      </c>
      <c r="C2267">
        <v>24.68</v>
      </c>
      <c r="D2267" t="s">
        <v>218</v>
      </c>
      <c r="E2267" s="97">
        <v>2.2200000000000001E-2</v>
      </c>
    </row>
    <row r="2268" spans="1:5" ht="15">
      <c r="A2268" s="98">
        <v>2734</v>
      </c>
      <c r="B2268">
        <v>25.42</v>
      </c>
      <c r="C2268">
        <v>24.29</v>
      </c>
      <c r="D2268" t="s">
        <v>218</v>
      </c>
      <c r="E2268" s="97">
        <v>-3.0999999999999999E-3</v>
      </c>
    </row>
    <row r="2269" spans="1:5" ht="15">
      <c r="A2269" s="98">
        <v>2733</v>
      </c>
      <c r="B2269">
        <v>25.69</v>
      </c>
      <c r="C2269">
        <v>24.91</v>
      </c>
      <c r="D2269" t="s">
        <v>218</v>
      </c>
      <c r="E2269" s="97">
        <v>-3.8899999999999997E-2</v>
      </c>
    </row>
    <row r="2270" spans="1:5" ht="15">
      <c r="A2270" s="98">
        <v>2732</v>
      </c>
      <c r="B2270">
        <v>25.76</v>
      </c>
      <c r="C2270">
        <v>25.07</v>
      </c>
      <c r="D2270" t="s">
        <v>218</v>
      </c>
      <c r="E2270" s="97">
        <v>-1.38E-2</v>
      </c>
    </row>
    <row r="2271" spans="1:5" ht="15">
      <c r="A2271" s="98">
        <v>2731</v>
      </c>
      <c r="B2271">
        <v>24.9</v>
      </c>
      <c r="C2271">
        <v>24.02</v>
      </c>
      <c r="D2271" t="s">
        <v>218</v>
      </c>
      <c r="E2271" s="97">
        <v>-2.8999999999999998E-3</v>
      </c>
    </row>
    <row r="2272" spans="1:5" ht="15">
      <c r="A2272" s="98">
        <v>2730</v>
      </c>
      <c r="B2272">
        <v>24.69</v>
      </c>
      <c r="C2272">
        <v>24.15</v>
      </c>
      <c r="D2272" t="s">
        <v>218</v>
      </c>
      <c r="E2272" s="97">
        <v>-9.2999999999999992E-3</v>
      </c>
    </row>
    <row r="2273" spans="1:5" ht="15">
      <c r="A2273" s="98">
        <v>2729</v>
      </c>
      <c r="B2273">
        <v>25.48</v>
      </c>
      <c r="C2273">
        <v>24.68</v>
      </c>
      <c r="D2273" t="s">
        <v>218</v>
      </c>
      <c r="E2273" s="97">
        <v>-5.0000000000000001E-3</v>
      </c>
    </row>
    <row r="2274" spans="1:5" ht="15">
      <c r="A2274" s="98">
        <v>2728</v>
      </c>
      <c r="B2274">
        <v>25.09</v>
      </c>
      <c r="C2274">
        <v>24.38</v>
      </c>
      <c r="D2274" t="s">
        <v>218</v>
      </c>
      <c r="E2274" s="97">
        <v>-0.1323</v>
      </c>
    </row>
    <row r="2275" spans="1:5" ht="15">
      <c r="A2275" s="98">
        <v>2727</v>
      </c>
      <c r="B2275">
        <v>26.01</v>
      </c>
      <c r="C2275">
        <v>24.85</v>
      </c>
      <c r="D2275" t="s">
        <v>218</v>
      </c>
      <c r="E2275" s="97">
        <v>-5.4999999999999997E-3</v>
      </c>
    </row>
    <row r="2276" spans="1:5" ht="15">
      <c r="A2276" s="98">
        <v>2726</v>
      </c>
      <c r="B2276">
        <v>25.8</v>
      </c>
      <c r="C2276">
        <v>24.69</v>
      </c>
      <c r="D2276" t="s">
        <v>218</v>
      </c>
      <c r="E2276" s="97">
        <v>0</v>
      </c>
    </row>
    <row r="2277" spans="1:5" ht="15">
      <c r="A2277" s="98">
        <v>2725</v>
      </c>
      <c r="B2277">
        <v>26</v>
      </c>
      <c r="C2277">
        <v>25.2</v>
      </c>
      <c r="D2277" t="s">
        <v>218</v>
      </c>
      <c r="E2277" s="97">
        <v>5.7200000000000001E-2</v>
      </c>
    </row>
    <row r="2278" spans="1:5" ht="15">
      <c r="A2278" s="98">
        <v>2724</v>
      </c>
      <c r="B2278">
        <v>27.7</v>
      </c>
      <c r="C2278">
        <v>26.73</v>
      </c>
      <c r="D2278" t="s">
        <v>218</v>
      </c>
      <c r="E2278" s="97">
        <v>-2.1000000000000001E-2</v>
      </c>
    </row>
    <row r="2279" spans="1:5" ht="15">
      <c r="A2279" s="98">
        <v>2723</v>
      </c>
      <c r="B2279">
        <v>29.08</v>
      </c>
      <c r="C2279">
        <v>27.77</v>
      </c>
      <c r="D2279" t="s">
        <v>218</v>
      </c>
      <c r="E2279" s="97">
        <v>-4.0899999999999999E-2</v>
      </c>
    </row>
    <row r="2280" spans="1:5" ht="15">
      <c r="A2280" s="98">
        <v>2722</v>
      </c>
      <c r="B2280">
        <v>29.19</v>
      </c>
      <c r="C2280">
        <v>27.35</v>
      </c>
      <c r="D2280" t="s">
        <v>218</v>
      </c>
      <c r="E2280" s="97">
        <v>-1.15E-2</v>
      </c>
    </row>
    <row r="2281" spans="1:5" ht="15">
      <c r="A2281" s="98">
        <v>2721</v>
      </c>
      <c r="B2281">
        <v>32.409999999999997</v>
      </c>
      <c r="C2281">
        <v>28.45</v>
      </c>
      <c r="D2281" t="s">
        <v>218</v>
      </c>
      <c r="E2281" s="97">
        <v>8.5099999999999995E-2</v>
      </c>
    </row>
    <row r="2282" spans="1:5" ht="15">
      <c r="A2282" s="98">
        <v>2720</v>
      </c>
      <c r="B2282">
        <v>35.33</v>
      </c>
      <c r="C2282">
        <v>32.97</v>
      </c>
      <c r="D2282" t="s">
        <v>218</v>
      </c>
      <c r="E2282" s="97">
        <v>5.0900000000000001E-2</v>
      </c>
    </row>
    <row r="2283" spans="1:5" ht="15">
      <c r="A2283" s="98">
        <v>2719</v>
      </c>
      <c r="B2283">
        <v>34.47</v>
      </c>
      <c r="C2283">
        <v>31.82</v>
      </c>
      <c r="D2283" t="s">
        <v>218</v>
      </c>
      <c r="E2283" s="97">
        <v>-2.0899999999999998E-2</v>
      </c>
    </row>
    <row r="2284" spans="1:5" ht="15">
      <c r="A2284" s="98">
        <v>2718</v>
      </c>
      <c r="B2284">
        <v>33.24</v>
      </c>
      <c r="C2284">
        <v>31.05</v>
      </c>
      <c r="D2284" t="s">
        <v>218</v>
      </c>
      <c r="E2284" s="97">
        <v>-1.8499999999999999E-2</v>
      </c>
    </row>
    <row r="2285" spans="1:5" ht="15">
      <c r="A2285" s="98">
        <v>2717</v>
      </c>
      <c r="B2285">
        <v>31.5</v>
      </c>
      <c r="C2285">
        <v>30.66</v>
      </c>
      <c r="D2285" t="s">
        <v>218</v>
      </c>
      <c r="E2285" s="97">
        <v>2.86E-2</v>
      </c>
    </row>
    <row r="2286" spans="1:5" ht="15">
      <c r="A2286" s="98">
        <v>2716</v>
      </c>
      <c r="B2286">
        <v>31.66</v>
      </c>
      <c r="C2286">
        <v>30.61</v>
      </c>
      <c r="D2286" t="s">
        <v>218</v>
      </c>
      <c r="E2286" s="97">
        <v>-2.1899999999999999E-2</v>
      </c>
    </row>
    <row r="2287" spans="1:5" ht="15">
      <c r="A2287" s="98">
        <v>2715</v>
      </c>
      <c r="B2287">
        <v>32.450000000000003</v>
      </c>
      <c r="C2287">
        <v>30.87</v>
      </c>
      <c r="D2287" t="s">
        <v>218</v>
      </c>
      <c r="E2287" s="97">
        <v>-8.4599999999999995E-2</v>
      </c>
    </row>
    <row r="2288" spans="1:5" ht="15">
      <c r="A2288" s="98">
        <v>2714</v>
      </c>
      <c r="B2288">
        <v>33.369999999999997</v>
      </c>
      <c r="C2288">
        <v>32.700000000000003</v>
      </c>
      <c r="D2288" t="s">
        <v>218</v>
      </c>
      <c r="E2288" s="97">
        <v>6.5500000000000003E-2</v>
      </c>
    </row>
    <row r="2289" spans="1:5" ht="15">
      <c r="A2289" s="98">
        <v>2713</v>
      </c>
      <c r="B2289">
        <v>33.22</v>
      </c>
      <c r="C2289">
        <v>31.98</v>
      </c>
      <c r="D2289" t="s">
        <v>218</v>
      </c>
      <c r="E2289" s="97">
        <v>2.46E-2</v>
      </c>
    </row>
    <row r="2290" spans="1:5" ht="15">
      <c r="A2290" s="98">
        <v>2712</v>
      </c>
      <c r="B2290">
        <v>34.24</v>
      </c>
      <c r="C2290">
        <v>33.119999999999997</v>
      </c>
      <c r="D2290" t="s">
        <v>218</v>
      </c>
      <c r="E2290" s="97">
        <v>2.3099999999999999E-2</v>
      </c>
    </row>
    <row r="2291" spans="1:5" ht="15">
      <c r="A2291" s="98">
        <v>2711</v>
      </c>
      <c r="B2291">
        <v>34.31</v>
      </c>
      <c r="C2291">
        <v>33.19</v>
      </c>
      <c r="D2291" t="s">
        <v>218</v>
      </c>
      <c r="E2291" s="97">
        <v>-2.2599999999999999E-2</v>
      </c>
    </row>
    <row r="2292" spans="1:5" ht="15">
      <c r="A2292" s="98">
        <v>2710</v>
      </c>
      <c r="B2292">
        <v>35.659999999999997</v>
      </c>
      <c r="C2292">
        <v>33.99</v>
      </c>
      <c r="D2292" t="s">
        <v>218</v>
      </c>
      <c r="E2292" s="97">
        <v>3.7900000000000003E-2</v>
      </c>
    </row>
    <row r="2293" spans="1:5" ht="15">
      <c r="A2293" s="98">
        <v>2709</v>
      </c>
      <c r="B2293">
        <v>33.97</v>
      </c>
      <c r="C2293">
        <v>32.72</v>
      </c>
      <c r="D2293" t="s">
        <v>218</v>
      </c>
      <c r="E2293" s="97">
        <v>9.1899999999999996E-2</v>
      </c>
    </row>
    <row r="2294" spans="1:5" ht="15">
      <c r="A2294" s="98">
        <v>2708</v>
      </c>
      <c r="B2294">
        <v>34.33</v>
      </c>
      <c r="C2294">
        <v>33.770000000000003</v>
      </c>
      <c r="D2294" t="s">
        <v>218</v>
      </c>
      <c r="E2294" s="97">
        <v>-4.8000000000000001E-2</v>
      </c>
    </row>
    <row r="2295" spans="1:5" ht="15">
      <c r="A2295" s="98">
        <v>2707</v>
      </c>
      <c r="B2295">
        <v>35.200000000000003</v>
      </c>
      <c r="C2295">
        <v>33.33</v>
      </c>
      <c r="D2295" t="s">
        <v>218</v>
      </c>
      <c r="E2295" s="97">
        <v>4.0300000000000002E-2</v>
      </c>
    </row>
    <row r="2296" spans="1:5" ht="15">
      <c r="A2296" s="98">
        <v>2706</v>
      </c>
      <c r="B2296">
        <v>33.94</v>
      </c>
      <c r="C2296">
        <v>32.42</v>
      </c>
      <c r="D2296" t="s">
        <v>218</v>
      </c>
      <c r="E2296" s="97">
        <v>5.1799999999999999E-2</v>
      </c>
    </row>
    <row r="2297" spans="1:5" ht="15">
      <c r="A2297" s="98">
        <v>2705</v>
      </c>
      <c r="B2297">
        <v>32.119999999999997</v>
      </c>
      <c r="C2297">
        <v>31.11</v>
      </c>
      <c r="D2297" t="s">
        <v>218</v>
      </c>
      <c r="E2297" s="97">
        <v>-4.4200000000000003E-2</v>
      </c>
    </row>
    <row r="2298" spans="1:5" ht="15">
      <c r="A2298" s="98">
        <v>2704</v>
      </c>
      <c r="B2298">
        <v>31.72</v>
      </c>
      <c r="C2298">
        <v>31.13</v>
      </c>
      <c r="D2298" t="s">
        <v>218</v>
      </c>
      <c r="E2298" s="97">
        <v>9.7999999999999997E-3</v>
      </c>
    </row>
    <row r="2299" spans="1:5" ht="15">
      <c r="A2299" s="98">
        <v>2703</v>
      </c>
      <c r="B2299">
        <v>31.27</v>
      </c>
      <c r="C2299">
        <v>30.86</v>
      </c>
      <c r="D2299" t="s">
        <v>218</v>
      </c>
      <c r="E2299" s="97">
        <v>-4.48E-2</v>
      </c>
    </row>
    <row r="2300" spans="1:5" ht="15">
      <c r="A2300" s="98">
        <v>2702</v>
      </c>
      <c r="B2300">
        <v>31.65</v>
      </c>
      <c r="C2300">
        <v>30.16</v>
      </c>
      <c r="D2300" t="s">
        <v>218</v>
      </c>
      <c r="E2300" s="97">
        <v>-5.3999999999999999E-2</v>
      </c>
    </row>
    <row r="2301" spans="1:5" ht="15">
      <c r="A2301" s="98">
        <v>2701</v>
      </c>
      <c r="B2301">
        <v>32.31</v>
      </c>
      <c r="C2301">
        <v>31.46</v>
      </c>
      <c r="D2301" t="s">
        <v>218</v>
      </c>
      <c r="E2301" s="97">
        <v>2.3800000000000002E-2</v>
      </c>
    </row>
    <row r="2302" spans="1:5" ht="15">
      <c r="A2302" s="98">
        <v>2700</v>
      </c>
      <c r="B2302">
        <v>33.06</v>
      </c>
      <c r="C2302">
        <v>31.6</v>
      </c>
      <c r="D2302" t="s">
        <v>218</v>
      </c>
      <c r="E2302" s="97">
        <v>-3.5099999999999999E-2</v>
      </c>
    </row>
    <row r="2303" spans="1:5" ht="15">
      <c r="A2303" s="98">
        <v>2699</v>
      </c>
      <c r="B2303">
        <v>32.21</v>
      </c>
      <c r="C2303">
        <v>31.75</v>
      </c>
      <c r="D2303" t="s">
        <v>218</v>
      </c>
      <c r="E2303" s="97">
        <v>4.1000000000000003E-3</v>
      </c>
    </row>
    <row r="2304" spans="1:5" ht="15">
      <c r="A2304" s="98">
        <v>2698</v>
      </c>
      <c r="B2304">
        <v>31.85</v>
      </c>
      <c r="C2304">
        <v>30.47</v>
      </c>
      <c r="D2304" t="s">
        <v>218</v>
      </c>
      <c r="E2304" s="97">
        <v>7.9100000000000004E-2</v>
      </c>
    </row>
    <row r="2305" spans="1:5" ht="15">
      <c r="A2305" s="98">
        <v>2697</v>
      </c>
      <c r="B2305">
        <v>29.84</v>
      </c>
      <c r="C2305">
        <v>29.06</v>
      </c>
      <c r="D2305" t="s">
        <v>218</v>
      </c>
      <c r="E2305" s="97">
        <v>-5.3400000000000003E-2</v>
      </c>
    </row>
    <row r="2306" spans="1:5" ht="15">
      <c r="A2306" s="98">
        <v>2696</v>
      </c>
      <c r="B2306">
        <v>30.52</v>
      </c>
      <c r="C2306">
        <v>29.71</v>
      </c>
      <c r="D2306" t="s">
        <v>218</v>
      </c>
      <c r="E2306" s="97">
        <v>2.8500000000000001E-2</v>
      </c>
    </row>
    <row r="2307" spans="1:5" ht="15">
      <c r="A2307" s="98">
        <v>2695</v>
      </c>
      <c r="B2307">
        <v>31.98</v>
      </c>
      <c r="C2307">
        <v>30.98</v>
      </c>
      <c r="D2307" t="s">
        <v>218</v>
      </c>
      <c r="E2307" s="97">
        <v>-2.5000000000000001E-2</v>
      </c>
    </row>
    <row r="2308" spans="1:5" ht="15">
      <c r="A2308" s="98">
        <v>2694</v>
      </c>
      <c r="B2308">
        <v>31.33</v>
      </c>
      <c r="C2308">
        <v>30.38</v>
      </c>
      <c r="D2308" t="s">
        <v>218</v>
      </c>
      <c r="E2308" s="97">
        <v>-1.7100000000000001E-2</v>
      </c>
    </row>
    <row r="2309" spans="1:5" ht="15">
      <c r="A2309" s="98">
        <v>2693</v>
      </c>
      <c r="B2309">
        <v>31.53</v>
      </c>
      <c r="C2309">
        <v>30.69</v>
      </c>
      <c r="D2309" t="s">
        <v>218</v>
      </c>
      <c r="E2309" s="97">
        <v>7.9600000000000004E-2</v>
      </c>
    </row>
    <row r="2310" spans="1:5" ht="15">
      <c r="A2310" s="98">
        <v>2692</v>
      </c>
      <c r="B2310">
        <v>32.81</v>
      </c>
      <c r="C2310">
        <v>30.84</v>
      </c>
      <c r="D2310" t="s">
        <v>218</v>
      </c>
      <c r="E2310" s="97">
        <v>2.9600000000000001E-2</v>
      </c>
    </row>
    <row r="2311" spans="1:5" ht="15">
      <c r="A2311" s="98">
        <v>2691</v>
      </c>
      <c r="B2311">
        <v>33.85</v>
      </c>
      <c r="C2311">
        <v>33.08</v>
      </c>
      <c r="D2311" t="s">
        <v>218</v>
      </c>
      <c r="E2311" s="97">
        <v>-4.2900000000000001E-2</v>
      </c>
    </row>
    <row r="2312" spans="1:5" ht="15">
      <c r="A2312" s="98">
        <v>2690</v>
      </c>
      <c r="B2312">
        <v>33.75</v>
      </c>
      <c r="C2312">
        <v>32.97</v>
      </c>
      <c r="D2312" t="s">
        <v>218</v>
      </c>
      <c r="E2312" s="97">
        <v>-1.78E-2</v>
      </c>
    </row>
    <row r="2313" spans="1:5" ht="15">
      <c r="A2313" s="98">
        <v>2689</v>
      </c>
      <c r="B2313">
        <v>34.4</v>
      </c>
      <c r="C2313">
        <v>33.32</v>
      </c>
      <c r="D2313" t="s">
        <v>218</v>
      </c>
      <c r="E2313" s="97">
        <v>-3.5999999999999999E-3</v>
      </c>
    </row>
    <row r="2314" spans="1:5" ht="15">
      <c r="A2314" s="98">
        <v>2688</v>
      </c>
      <c r="B2314">
        <v>32.979999999999997</v>
      </c>
      <c r="C2314">
        <v>31.67</v>
      </c>
      <c r="D2314" t="s">
        <v>218</v>
      </c>
      <c r="E2314" s="97">
        <v>-6.9999999999999999E-4</v>
      </c>
    </row>
    <row r="2315" spans="1:5" ht="15">
      <c r="A2315" s="98">
        <v>2687</v>
      </c>
      <c r="B2315">
        <v>31.25</v>
      </c>
      <c r="C2315">
        <v>30.45</v>
      </c>
      <c r="D2315" t="s">
        <v>218</v>
      </c>
      <c r="E2315" s="97">
        <v>1.15E-2</v>
      </c>
    </row>
    <row r="2316" spans="1:5" ht="15">
      <c r="A2316" s="98">
        <v>2686</v>
      </c>
      <c r="B2316">
        <v>32.619999999999997</v>
      </c>
      <c r="C2316">
        <v>31.67</v>
      </c>
      <c r="D2316" t="s">
        <v>218</v>
      </c>
      <c r="E2316" s="97">
        <v>-2.5899999999999999E-2</v>
      </c>
    </row>
    <row r="2317" spans="1:5" ht="15">
      <c r="A2317" s="98">
        <v>2685</v>
      </c>
      <c r="B2317">
        <v>31.51</v>
      </c>
      <c r="C2317">
        <v>30.24</v>
      </c>
      <c r="D2317" t="s">
        <v>218</v>
      </c>
      <c r="E2317" s="97">
        <v>-4.2299999999999997E-2</v>
      </c>
    </row>
    <row r="2318" spans="1:5" ht="15">
      <c r="A2318" s="98">
        <v>2684</v>
      </c>
      <c r="B2318">
        <v>31.54</v>
      </c>
      <c r="C2318">
        <v>30.4</v>
      </c>
      <c r="D2318" t="s">
        <v>218</v>
      </c>
      <c r="E2318" s="97">
        <v>-2.4899999999999999E-2</v>
      </c>
    </row>
    <row r="2319" spans="1:5" ht="15">
      <c r="A2319" s="98">
        <v>2683</v>
      </c>
      <c r="B2319">
        <v>32</v>
      </c>
      <c r="C2319">
        <v>30.41</v>
      </c>
      <c r="D2319" t="s">
        <v>218</v>
      </c>
      <c r="E2319" s="97">
        <v>-9.7000000000000003E-3</v>
      </c>
    </row>
    <row r="2320" spans="1:5" ht="15">
      <c r="A2320" s="98">
        <v>2682</v>
      </c>
      <c r="B2320">
        <v>29.7</v>
      </c>
      <c r="C2320">
        <v>28.44</v>
      </c>
      <c r="D2320" t="s">
        <v>218</v>
      </c>
      <c r="E2320" s="97">
        <v>4.9599999999999998E-2</v>
      </c>
    </row>
    <row r="2321" spans="1:5" ht="15">
      <c r="A2321" s="98">
        <v>2681</v>
      </c>
      <c r="B2321">
        <v>31</v>
      </c>
      <c r="C2321">
        <v>30.33</v>
      </c>
      <c r="D2321" t="s">
        <v>218</v>
      </c>
      <c r="E2321" s="97">
        <v>-1.34E-2</v>
      </c>
    </row>
    <row r="2322" spans="1:5" ht="15">
      <c r="A2322" s="98">
        <v>2680</v>
      </c>
      <c r="B2322">
        <v>30.5</v>
      </c>
      <c r="C2322">
        <v>28.75</v>
      </c>
      <c r="D2322" t="s">
        <v>218</v>
      </c>
      <c r="E2322" s="97">
        <v>-4.7000000000000002E-3</v>
      </c>
    </row>
    <row r="2323" spans="1:5" ht="15">
      <c r="A2323" s="98">
        <v>2679</v>
      </c>
      <c r="B2323">
        <v>28.79</v>
      </c>
      <c r="C2323">
        <v>27.89</v>
      </c>
      <c r="D2323" t="s">
        <v>218</v>
      </c>
      <c r="E2323" s="97">
        <v>-2.2800000000000001E-2</v>
      </c>
    </row>
    <row r="2324" spans="1:5" ht="15">
      <c r="A2324" s="98">
        <v>2678</v>
      </c>
      <c r="B2324">
        <v>29.1</v>
      </c>
      <c r="C2324">
        <v>27.62</v>
      </c>
      <c r="D2324" t="s">
        <v>218</v>
      </c>
      <c r="E2324" s="97">
        <v>-3.4599999999999999E-2</v>
      </c>
    </row>
    <row r="2325" spans="1:5" ht="15">
      <c r="A2325" s="98">
        <v>2677</v>
      </c>
      <c r="B2325">
        <v>28.25</v>
      </c>
      <c r="C2325">
        <v>27.58</v>
      </c>
      <c r="D2325" t="s">
        <v>218</v>
      </c>
      <c r="E2325" s="97">
        <v>-7.4999999999999997E-3</v>
      </c>
    </row>
    <row r="2326" spans="1:5" ht="15">
      <c r="A2326" s="98">
        <v>2676</v>
      </c>
      <c r="B2326">
        <v>30.21</v>
      </c>
      <c r="C2326">
        <v>28.57</v>
      </c>
      <c r="D2326" t="s">
        <v>218</v>
      </c>
      <c r="E2326" s="97">
        <v>-5.6599999999999998E-2</v>
      </c>
    </row>
    <row r="2327" spans="1:5" ht="15">
      <c r="A2327" s="98">
        <v>2675</v>
      </c>
      <c r="B2327">
        <v>29.58</v>
      </c>
      <c r="C2327">
        <v>28.18</v>
      </c>
      <c r="D2327" t="s">
        <v>218</v>
      </c>
      <c r="E2327" s="97">
        <v>4.4999999999999998E-2</v>
      </c>
    </row>
    <row r="2328" spans="1:5" ht="15">
      <c r="A2328" s="98">
        <v>2674</v>
      </c>
      <c r="B2328">
        <v>28.12</v>
      </c>
      <c r="C2328">
        <v>27.45</v>
      </c>
      <c r="D2328" t="s">
        <v>218</v>
      </c>
      <c r="E2328" s="97">
        <v>-4.6399999999999997E-2</v>
      </c>
    </row>
    <row r="2329" spans="1:5" ht="15">
      <c r="A2329" s="98">
        <v>2673</v>
      </c>
      <c r="B2329">
        <v>28.44</v>
      </c>
      <c r="C2329">
        <v>27.54</v>
      </c>
      <c r="D2329" t="s">
        <v>218</v>
      </c>
      <c r="E2329" s="97">
        <v>-3.1300000000000001E-2</v>
      </c>
    </row>
    <row r="2330" spans="1:5" ht="15">
      <c r="A2330" s="98">
        <v>2672</v>
      </c>
      <c r="B2330">
        <v>30.04</v>
      </c>
      <c r="C2330">
        <v>28.35</v>
      </c>
      <c r="D2330" t="s">
        <v>218</v>
      </c>
      <c r="E2330" s="97">
        <v>-2.2800000000000001E-2</v>
      </c>
    </row>
    <row r="2331" spans="1:5" ht="15">
      <c r="A2331" s="98">
        <v>2671</v>
      </c>
      <c r="B2331">
        <v>28.86</v>
      </c>
      <c r="C2331">
        <v>27.68</v>
      </c>
      <c r="D2331" t="s">
        <v>218</v>
      </c>
      <c r="E2331" s="97">
        <v>-5.7700000000000001E-2</v>
      </c>
    </row>
    <row r="2332" spans="1:5" ht="15">
      <c r="A2332" s="98">
        <v>2670</v>
      </c>
      <c r="B2332">
        <v>27.94</v>
      </c>
      <c r="C2332">
        <v>26.86</v>
      </c>
      <c r="D2332" t="s">
        <v>218</v>
      </c>
      <c r="E2332" s="97">
        <v>5.7599999999999998E-2</v>
      </c>
    </row>
    <row r="2333" spans="1:5" ht="15">
      <c r="A2333" s="98">
        <v>2669</v>
      </c>
      <c r="B2333">
        <v>27.23</v>
      </c>
      <c r="C2333">
        <v>26.13</v>
      </c>
      <c r="D2333" t="s">
        <v>218</v>
      </c>
      <c r="E2333" s="97">
        <v>3.2599999999999997E-2</v>
      </c>
    </row>
    <row r="2334" spans="1:5" ht="15">
      <c r="A2334" s="98">
        <v>2668</v>
      </c>
      <c r="B2334">
        <v>27.13</v>
      </c>
      <c r="C2334">
        <v>25.51</v>
      </c>
      <c r="D2334" t="s">
        <v>218</v>
      </c>
      <c r="E2334" s="97">
        <v>-7.5200000000000003E-2</v>
      </c>
    </row>
    <row r="2335" spans="1:5" ht="15">
      <c r="A2335" s="98">
        <v>2667</v>
      </c>
      <c r="B2335">
        <v>25.2</v>
      </c>
      <c r="C2335">
        <v>24.31</v>
      </c>
      <c r="D2335" t="s">
        <v>218</v>
      </c>
      <c r="E2335" s="97">
        <v>-2.3300000000000001E-2</v>
      </c>
    </row>
    <row r="2336" spans="1:5" ht="15">
      <c r="A2336" s="98">
        <v>2666</v>
      </c>
      <c r="B2336">
        <v>25</v>
      </c>
      <c r="C2336">
        <v>23.32</v>
      </c>
      <c r="D2336" t="s">
        <v>218</v>
      </c>
      <c r="E2336" s="97">
        <v>5.57E-2</v>
      </c>
    </row>
    <row r="2337" spans="1:5" ht="15">
      <c r="A2337" s="98">
        <v>2665</v>
      </c>
      <c r="B2337">
        <v>23.42</v>
      </c>
      <c r="C2337">
        <v>22.44</v>
      </c>
      <c r="D2337" t="s">
        <v>218</v>
      </c>
      <c r="E2337" s="97">
        <v>0.13020000000000001</v>
      </c>
    </row>
    <row r="2338" spans="1:5" ht="15">
      <c r="A2338" s="98">
        <v>2664</v>
      </c>
      <c r="B2338">
        <v>22.85</v>
      </c>
      <c r="C2338">
        <v>21.95</v>
      </c>
      <c r="D2338" t="s">
        <v>218</v>
      </c>
      <c r="E2338" s="97">
        <v>1.12E-2</v>
      </c>
    </row>
    <row r="2339" spans="1:5" ht="15">
      <c r="A2339" s="98">
        <v>2663</v>
      </c>
      <c r="B2339">
        <v>22.38</v>
      </c>
      <c r="C2339">
        <v>21.33</v>
      </c>
      <c r="D2339" t="s">
        <v>218</v>
      </c>
      <c r="E2339" s="97">
        <v>4.2900000000000001E-2</v>
      </c>
    </row>
    <row r="2340" spans="1:5" ht="15">
      <c r="A2340" s="98">
        <v>2662</v>
      </c>
      <c r="B2340">
        <v>22.35</v>
      </c>
      <c r="C2340">
        <v>21.56</v>
      </c>
      <c r="D2340" t="s">
        <v>218</v>
      </c>
      <c r="E2340" s="97">
        <v>3.3E-3</v>
      </c>
    </row>
    <row r="2341" spans="1:5" ht="15">
      <c r="A2341" s="98">
        <v>2661</v>
      </c>
      <c r="B2341">
        <v>21.86</v>
      </c>
      <c r="C2341">
        <v>20.260000000000002</v>
      </c>
      <c r="D2341" t="s">
        <v>218</v>
      </c>
      <c r="E2341" s="97">
        <v>-2.3E-2</v>
      </c>
    </row>
    <row r="2342" spans="1:5" ht="15">
      <c r="A2342" s="98">
        <v>2660</v>
      </c>
      <c r="B2342">
        <v>21.07</v>
      </c>
      <c r="C2342">
        <v>20.68</v>
      </c>
      <c r="D2342" t="s">
        <v>218</v>
      </c>
      <c r="E2342" s="97">
        <v>-2.9100000000000001E-2</v>
      </c>
    </row>
    <row r="2343" spans="1:5" ht="15">
      <c r="A2343" s="98">
        <v>2659</v>
      </c>
      <c r="B2343">
        <v>21.27</v>
      </c>
      <c r="C2343">
        <v>20.309999999999999</v>
      </c>
      <c r="D2343" t="s">
        <v>218</v>
      </c>
      <c r="E2343" s="97">
        <v>-2.4199999999999999E-2</v>
      </c>
    </row>
    <row r="2344" spans="1:5" ht="15">
      <c r="A2344" s="98">
        <v>2658</v>
      </c>
      <c r="B2344">
        <v>20.89</v>
      </c>
      <c r="C2344">
        <v>20.36</v>
      </c>
      <c r="D2344" t="s">
        <v>218</v>
      </c>
      <c r="E2344" s="97">
        <v>-4.3400000000000001E-2</v>
      </c>
    </row>
    <row r="2345" spans="1:5" ht="15">
      <c r="A2345" s="98">
        <v>2657</v>
      </c>
      <c r="B2345">
        <v>20.96</v>
      </c>
      <c r="C2345">
        <v>20.65</v>
      </c>
      <c r="D2345" t="s">
        <v>218</v>
      </c>
      <c r="E2345" s="97">
        <v>4.8500000000000001E-2</v>
      </c>
    </row>
    <row r="2346" spans="1:5" ht="15">
      <c r="A2346" s="98">
        <v>2656</v>
      </c>
      <c r="B2346">
        <v>21.33</v>
      </c>
      <c r="C2346">
        <v>20.46</v>
      </c>
      <c r="D2346" t="s">
        <v>218</v>
      </c>
      <c r="E2346" s="97">
        <v>4.7600000000000003E-2</v>
      </c>
    </row>
    <row r="2347" spans="1:5" ht="15">
      <c r="A2347" s="98">
        <v>2655</v>
      </c>
      <c r="B2347">
        <v>21.56</v>
      </c>
      <c r="C2347">
        <v>20.87</v>
      </c>
      <c r="D2347" t="s">
        <v>218</v>
      </c>
      <c r="E2347" s="97">
        <v>-4.02E-2</v>
      </c>
    </row>
    <row r="2348" spans="1:5" ht="15">
      <c r="A2348" s="98">
        <v>2654</v>
      </c>
      <c r="B2348">
        <v>22.33</v>
      </c>
      <c r="C2348">
        <v>21.32</v>
      </c>
      <c r="D2348" t="s">
        <v>218</v>
      </c>
      <c r="E2348" s="97">
        <v>0.15809999999999999</v>
      </c>
    </row>
    <row r="2349" spans="1:5" ht="15">
      <c r="A2349" s="98">
        <v>2653</v>
      </c>
      <c r="B2349">
        <v>21.42</v>
      </c>
      <c r="C2349">
        <v>20.63</v>
      </c>
      <c r="D2349" t="s">
        <v>218</v>
      </c>
      <c r="E2349" s="97">
        <v>-6.59E-2</v>
      </c>
    </row>
    <row r="2350" spans="1:5" ht="15">
      <c r="A2350" s="98">
        <v>2652</v>
      </c>
      <c r="B2350">
        <v>21.71</v>
      </c>
      <c r="C2350">
        <v>21.06</v>
      </c>
      <c r="D2350" t="s">
        <v>218</v>
      </c>
      <c r="E2350" s="97">
        <v>5.79E-2</v>
      </c>
    </row>
    <row r="2351" spans="1:5" ht="15">
      <c r="A2351" s="98">
        <v>2651</v>
      </c>
      <c r="B2351">
        <v>21.35</v>
      </c>
      <c r="C2351">
        <v>20.399999999999999</v>
      </c>
      <c r="D2351" t="s">
        <v>218</v>
      </c>
      <c r="E2351" s="97">
        <v>-2.52E-2</v>
      </c>
    </row>
    <row r="2352" spans="1:5" ht="15">
      <c r="A2352" s="98">
        <v>2650</v>
      </c>
      <c r="B2352">
        <v>21.58</v>
      </c>
      <c r="C2352">
        <v>20.94</v>
      </c>
      <c r="D2352" t="s">
        <v>218</v>
      </c>
      <c r="E2352" s="97">
        <v>6.9000000000000006E-2</v>
      </c>
    </row>
    <row r="2353" spans="1:5" ht="15">
      <c r="A2353" s="98">
        <v>2649</v>
      </c>
      <c r="B2353">
        <v>21.66</v>
      </c>
      <c r="C2353">
        <v>20.7</v>
      </c>
      <c r="D2353" t="s">
        <v>218</v>
      </c>
      <c r="E2353" s="97">
        <v>-4.8399999999999999E-2</v>
      </c>
    </row>
    <row r="2354" spans="1:5" ht="15">
      <c r="A2354" s="98">
        <v>2648</v>
      </c>
      <c r="B2354">
        <v>20.93</v>
      </c>
      <c r="C2354">
        <v>19.66</v>
      </c>
      <c r="D2354" t="s">
        <v>218</v>
      </c>
      <c r="E2354" s="97">
        <v>-3.3399999999999999E-2</v>
      </c>
    </row>
    <row r="2355" spans="1:5" ht="15">
      <c r="A2355" s="98">
        <v>2647</v>
      </c>
      <c r="B2355">
        <v>20.02</v>
      </c>
      <c r="C2355">
        <v>19.39</v>
      </c>
      <c r="D2355" t="s">
        <v>218</v>
      </c>
      <c r="E2355" s="97">
        <v>-5.1999999999999998E-2</v>
      </c>
    </row>
    <row r="2356" spans="1:5" ht="15">
      <c r="A2356" s="98">
        <v>2646</v>
      </c>
      <c r="B2356">
        <v>20.05</v>
      </c>
      <c r="C2356">
        <v>19.350000000000001</v>
      </c>
      <c r="D2356" t="s">
        <v>218</v>
      </c>
      <c r="E2356" s="97">
        <v>-2.5899999999999999E-2</v>
      </c>
    </row>
    <row r="2357" spans="1:5" ht="15">
      <c r="A2357" s="98">
        <v>2645</v>
      </c>
      <c r="B2357">
        <v>20.29</v>
      </c>
      <c r="C2357">
        <v>19.82</v>
      </c>
      <c r="D2357" t="s">
        <v>218</v>
      </c>
      <c r="E2357" s="97">
        <v>2.47E-2</v>
      </c>
    </row>
    <row r="2358" spans="1:5" ht="15">
      <c r="A2358" s="98">
        <v>2644</v>
      </c>
      <c r="B2358">
        <v>19.79</v>
      </c>
      <c r="C2358">
        <v>19.22</v>
      </c>
      <c r="D2358" t="s">
        <v>218</v>
      </c>
      <c r="E2358" s="97">
        <v>-2.7099999999999999E-2</v>
      </c>
    </row>
    <row r="2359" spans="1:5" ht="15">
      <c r="A2359" s="98">
        <v>2643</v>
      </c>
      <c r="B2359">
        <v>19.420000000000002</v>
      </c>
      <c r="C2359">
        <v>18.239999999999998</v>
      </c>
      <c r="D2359" t="s">
        <v>218</v>
      </c>
      <c r="E2359" s="97">
        <v>7.7600000000000002E-2</v>
      </c>
    </row>
    <row r="2360" spans="1:5" ht="15">
      <c r="A2360" s="98">
        <v>2642</v>
      </c>
      <c r="B2360">
        <v>20.69</v>
      </c>
      <c r="C2360">
        <v>19.45</v>
      </c>
      <c r="D2360" t="s">
        <v>218</v>
      </c>
      <c r="E2360" s="97">
        <v>-7.9000000000000008E-3</v>
      </c>
    </row>
    <row r="2361" spans="1:5" ht="15">
      <c r="A2361" s="98">
        <v>2641</v>
      </c>
      <c r="B2361">
        <v>21.68</v>
      </c>
      <c r="C2361">
        <v>20.3</v>
      </c>
      <c r="D2361" t="s">
        <v>218</v>
      </c>
      <c r="E2361" s="97">
        <v>0.06</v>
      </c>
    </row>
    <row r="2362" spans="1:5" ht="15">
      <c r="A2362" s="98">
        <v>2640</v>
      </c>
      <c r="B2362">
        <v>21.72</v>
      </c>
      <c r="C2362">
        <v>21.21</v>
      </c>
      <c r="D2362" t="s">
        <v>218</v>
      </c>
      <c r="E2362" s="97">
        <v>-7.2999999999999995E-2</v>
      </c>
    </row>
    <row r="2363" spans="1:5" ht="15">
      <c r="A2363" s="98">
        <v>2639</v>
      </c>
      <c r="B2363">
        <v>21</v>
      </c>
      <c r="C2363">
        <v>19.559999999999999</v>
      </c>
      <c r="D2363" t="s">
        <v>218</v>
      </c>
      <c r="E2363" s="97">
        <v>-3.73E-2</v>
      </c>
    </row>
    <row r="2364" spans="1:5" ht="15">
      <c r="A2364" s="98">
        <v>2638</v>
      </c>
      <c r="B2364">
        <v>20.079999999999998</v>
      </c>
      <c r="C2364">
        <v>19.14</v>
      </c>
      <c r="D2364" t="s">
        <v>218</v>
      </c>
      <c r="E2364" s="97">
        <v>5.79E-2</v>
      </c>
    </row>
    <row r="2365" spans="1:5" ht="15">
      <c r="A2365" s="98">
        <v>2637</v>
      </c>
      <c r="B2365">
        <v>20.75</v>
      </c>
      <c r="C2365">
        <v>19.66</v>
      </c>
      <c r="D2365" t="s">
        <v>218</v>
      </c>
      <c r="E2365" s="97">
        <v>2.5700000000000001E-2</v>
      </c>
    </row>
    <row r="2366" spans="1:5" ht="15">
      <c r="A2366" s="98">
        <v>2636</v>
      </c>
      <c r="B2366">
        <v>20.350000000000001</v>
      </c>
      <c r="C2366">
        <v>19.79</v>
      </c>
      <c r="D2366" t="s">
        <v>218</v>
      </c>
      <c r="E2366" s="97">
        <v>5.9400000000000001E-2</v>
      </c>
    </row>
    <row r="2367" spans="1:5" ht="15">
      <c r="A2367" s="98">
        <v>2635</v>
      </c>
      <c r="B2367">
        <v>20.74</v>
      </c>
      <c r="C2367">
        <v>19.66</v>
      </c>
      <c r="D2367" t="s">
        <v>218</v>
      </c>
      <c r="E2367" s="97">
        <v>-2.3099999999999999E-2</v>
      </c>
    </row>
    <row r="2368" spans="1:5" ht="15">
      <c r="A2368" s="98">
        <v>2634</v>
      </c>
      <c r="B2368">
        <v>19.829999999999998</v>
      </c>
      <c r="C2368">
        <v>19.440000000000001</v>
      </c>
      <c r="D2368" t="s">
        <v>218</v>
      </c>
      <c r="E2368" s="97">
        <v>-6.2300000000000001E-2</v>
      </c>
    </row>
    <row r="2369" spans="1:5" ht="15">
      <c r="A2369" s="98">
        <v>2633</v>
      </c>
      <c r="B2369">
        <v>20.98</v>
      </c>
      <c r="C2369">
        <v>20.059999999999999</v>
      </c>
      <c r="D2369" t="s">
        <v>218</v>
      </c>
      <c r="E2369" s="97">
        <v>1.7999999999999999E-2</v>
      </c>
    </row>
    <row r="2370" spans="1:5" ht="15">
      <c r="A2370" s="98">
        <v>2632</v>
      </c>
      <c r="B2370">
        <v>21.22</v>
      </c>
      <c r="C2370">
        <v>20.7</v>
      </c>
      <c r="D2370" t="s">
        <v>218</v>
      </c>
      <c r="E2370" s="97">
        <v>-1.06E-2</v>
      </c>
    </row>
    <row r="2371" spans="1:5" ht="15">
      <c r="A2371" s="98">
        <v>2631</v>
      </c>
      <c r="B2371">
        <v>20.95</v>
      </c>
      <c r="C2371">
        <v>20.5</v>
      </c>
      <c r="D2371" t="s">
        <v>218</v>
      </c>
      <c r="E2371" s="97">
        <v>2.4299999999999999E-2</v>
      </c>
    </row>
    <row r="2372" spans="1:5" ht="15">
      <c r="A2372" s="98">
        <v>2630</v>
      </c>
      <c r="B2372">
        <v>21.39</v>
      </c>
      <c r="C2372">
        <v>20.81</v>
      </c>
      <c r="D2372" t="s">
        <v>218</v>
      </c>
      <c r="E2372" s="97">
        <v>-1.7299999999999999E-2</v>
      </c>
    </row>
    <row r="2373" spans="1:5" ht="15">
      <c r="A2373" s="98">
        <v>2629</v>
      </c>
      <c r="B2373">
        <v>21.44</v>
      </c>
      <c r="C2373">
        <v>20.16</v>
      </c>
      <c r="D2373" t="s">
        <v>218</v>
      </c>
      <c r="E2373" s="97">
        <v>-6.3500000000000001E-2</v>
      </c>
    </row>
    <row r="2374" spans="1:5" ht="15">
      <c r="A2374" s="98">
        <v>2628</v>
      </c>
      <c r="B2374">
        <v>22.81</v>
      </c>
      <c r="C2374">
        <v>22.12</v>
      </c>
      <c r="D2374" t="s">
        <v>218</v>
      </c>
      <c r="E2374" s="97">
        <v>6.8500000000000005E-2</v>
      </c>
    </row>
    <row r="2375" spans="1:5" ht="15">
      <c r="A2375" s="98">
        <v>2627</v>
      </c>
      <c r="B2375">
        <v>21.87</v>
      </c>
      <c r="C2375">
        <v>20.64</v>
      </c>
      <c r="D2375" t="s">
        <v>218</v>
      </c>
      <c r="E2375" s="97">
        <v>-2.2700000000000001E-2</v>
      </c>
    </row>
    <row r="2376" spans="1:5" ht="15">
      <c r="A2376" s="98">
        <v>2626</v>
      </c>
      <c r="B2376">
        <v>20.72</v>
      </c>
      <c r="C2376">
        <v>20.100000000000001</v>
      </c>
      <c r="D2376" t="s">
        <v>218</v>
      </c>
      <c r="E2376" s="97">
        <v>2.53E-2</v>
      </c>
    </row>
    <row r="2377" spans="1:5" ht="15">
      <c r="A2377" s="98">
        <v>2625</v>
      </c>
      <c r="B2377">
        <v>21.04</v>
      </c>
      <c r="C2377">
        <v>20.39</v>
      </c>
      <c r="D2377" t="s">
        <v>218</v>
      </c>
      <c r="E2377" s="97">
        <v>-2.47E-2</v>
      </c>
    </row>
    <row r="2378" spans="1:5" ht="15">
      <c r="A2378" s="98">
        <v>2624</v>
      </c>
      <c r="B2378">
        <v>20.9</v>
      </c>
      <c r="C2378">
        <v>20.5</v>
      </c>
      <c r="D2378" t="s">
        <v>218</v>
      </c>
      <c r="E2378" s="97">
        <v>-8.2799999999999999E-2</v>
      </c>
    </row>
    <row r="2379" spans="1:5" ht="15">
      <c r="A2379" s="98">
        <v>2623</v>
      </c>
      <c r="B2379">
        <v>21.28</v>
      </c>
      <c r="C2379">
        <v>20.22</v>
      </c>
      <c r="D2379" t="s">
        <v>218</v>
      </c>
      <c r="E2379" s="97">
        <v>-1.47E-2</v>
      </c>
    </row>
    <row r="2380" spans="1:5" ht="15">
      <c r="A2380" s="98">
        <v>2622</v>
      </c>
      <c r="B2380">
        <v>20.55</v>
      </c>
      <c r="C2380">
        <v>19.78</v>
      </c>
      <c r="D2380" t="s">
        <v>218</v>
      </c>
      <c r="E2380" s="97">
        <v>5.91E-2</v>
      </c>
    </row>
    <row r="2381" spans="1:5" ht="15">
      <c r="A2381" s="98">
        <v>2621</v>
      </c>
      <c r="B2381">
        <v>20.329999999999998</v>
      </c>
      <c r="C2381">
        <v>19.739999999999998</v>
      </c>
      <c r="D2381" t="s">
        <v>218</v>
      </c>
      <c r="E2381" s="97">
        <v>-1.35E-2</v>
      </c>
    </row>
    <row r="2382" spans="1:5" ht="15">
      <c r="A2382" s="98">
        <v>2620</v>
      </c>
      <c r="B2382">
        <v>19.989999999999998</v>
      </c>
      <c r="C2382">
        <v>19.510000000000002</v>
      </c>
      <c r="D2382" t="s">
        <v>218</v>
      </c>
      <c r="E2382" s="97">
        <v>5.16E-2</v>
      </c>
    </row>
    <row r="2383" spans="1:5" ht="15">
      <c r="A2383" s="98">
        <v>2619</v>
      </c>
      <c r="B2383">
        <v>19.59</v>
      </c>
      <c r="C2383">
        <v>18.89</v>
      </c>
      <c r="D2383" t="s">
        <v>218</v>
      </c>
      <c r="E2383" s="97">
        <v>1.44E-2</v>
      </c>
    </row>
    <row r="2384" spans="1:5" ht="15">
      <c r="A2384" s="98">
        <v>2618</v>
      </c>
      <c r="B2384">
        <v>20.99</v>
      </c>
      <c r="C2384">
        <v>20.16</v>
      </c>
      <c r="D2384" t="s">
        <v>218</v>
      </c>
      <c r="E2384" s="97">
        <v>-4.3200000000000002E-2</v>
      </c>
    </row>
    <row r="2385" spans="1:5" ht="15">
      <c r="A2385" s="98">
        <v>2617</v>
      </c>
      <c r="B2385">
        <v>20.89</v>
      </c>
      <c r="C2385">
        <v>20.239999999999998</v>
      </c>
      <c r="D2385" t="s">
        <v>218</v>
      </c>
      <c r="E2385" s="97">
        <v>5.9999999999999995E-4</v>
      </c>
    </row>
    <row r="2386" spans="1:5" ht="15">
      <c r="A2386" s="98">
        <v>2616</v>
      </c>
      <c r="B2386">
        <v>21.25</v>
      </c>
      <c r="C2386">
        <v>20.48</v>
      </c>
      <c r="D2386" t="s">
        <v>218</v>
      </c>
      <c r="E2386" s="97">
        <v>-0.1173</v>
      </c>
    </row>
    <row r="2387" spans="1:5" ht="15">
      <c r="A2387" s="98">
        <v>2615</v>
      </c>
      <c r="B2387">
        <v>20.47</v>
      </c>
      <c r="C2387">
        <v>19.399999999999999</v>
      </c>
      <c r="D2387" t="s">
        <v>218</v>
      </c>
      <c r="E2387" s="97">
        <v>-2.2200000000000001E-2</v>
      </c>
    </row>
    <row r="2388" spans="1:5" ht="15">
      <c r="A2388" s="98">
        <v>2614</v>
      </c>
      <c r="B2388">
        <v>19.64</v>
      </c>
      <c r="C2388">
        <v>18.87</v>
      </c>
      <c r="D2388" t="s">
        <v>218</v>
      </c>
      <c r="E2388" s="97">
        <v>-9.5999999999999992E-3</v>
      </c>
    </row>
    <row r="2389" spans="1:5" ht="15">
      <c r="A2389" s="98">
        <v>2613</v>
      </c>
      <c r="B2389">
        <v>19.63</v>
      </c>
      <c r="C2389">
        <v>19.21</v>
      </c>
      <c r="D2389" t="s">
        <v>218</v>
      </c>
      <c r="E2389" s="97">
        <v>-1.37E-2</v>
      </c>
    </row>
    <row r="2390" spans="1:5" ht="15">
      <c r="A2390" s="98">
        <v>2612</v>
      </c>
      <c r="B2390">
        <v>20.8</v>
      </c>
      <c r="C2390">
        <v>19.29</v>
      </c>
      <c r="D2390" t="s">
        <v>218</v>
      </c>
      <c r="E2390" s="97">
        <v>-2.07E-2</v>
      </c>
    </row>
    <row r="2391" spans="1:5" ht="15">
      <c r="A2391" s="98">
        <v>2611</v>
      </c>
      <c r="B2391">
        <v>19.399999999999999</v>
      </c>
      <c r="C2391">
        <v>18.84</v>
      </c>
      <c r="D2391" t="s">
        <v>218</v>
      </c>
      <c r="E2391" s="97">
        <v>-3.1600000000000003E-2</v>
      </c>
    </row>
    <row r="2392" spans="1:5" ht="15">
      <c r="A2392" s="98">
        <v>2610</v>
      </c>
      <c r="B2392">
        <v>19.73</v>
      </c>
      <c r="C2392">
        <v>18.86</v>
      </c>
      <c r="D2392" t="s">
        <v>218</v>
      </c>
      <c r="E2392" s="97">
        <v>8.0699999999999994E-2</v>
      </c>
    </row>
    <row r="2393" spans="1:5" ht="15">
      <c r="A2393" s="98">
        <v>2609</v>
      </c>
      <c r="B2393">
        <v>20.32</v>
      </c>
      <c r="C2393">
        <v>19.84</v>
      </c>
      <c r="D2393" t="s">
        <v>218</v>
      </c>
      <c r="E2393" s="97">
        <v>-2.07E-2</v>
      </c>
    </row>
    <row r="2394" spans="1:5" ht="15">
      <c r="A2394" s="98">
        <v>2608</v>
      </c>
      <c r="B2394">
        <v>20.05</v>
      </c>
      <c r="C2394">
        <v>19.37</v>
      </c>
      <c r="D2394" t="s">
        <v>218</v>
      </c>
      <c r="E2394" s="97">
        <v>3.9699999999999999E-2</v>
      </c>
    </row>
    <row r="2395" spans="1:5" ht="15">
      <c r="A2395" s="98">
        <v>2607</v>
      </c>
      <c r="B2395">
        <v>19.63</v>
      </c>
      <c r="C2395">
        <v>18.93</v>
      </c>
      <c r="D2395" t="s">
        <v>218</v>
      </c>
      <c r="E2395" s="97">
        <v>-2.3199999999999998E-2</v>
      </c>
    </row>
    <row r="2396" spans="1:5" ht="15">
      <c r="A2396" s="98">
        <v>2606</v>
      </c>
      <c r="B2396">
        <v>19.5</v>
      </c>
      <c r="C2396">
        <v>19.05</v>
      </c>
      <c r="D2396" t="s">
        <v>218</v>
      </c>
      <c r="E2396" s="97">
        <v>-6.0699999999999997E-2</v>
      </c>
    </row>
    <row r="2397" spans="1:5" ht="15">
      <c r="A2397" s="98">
        <v>2605</v>
      </c>
      <c r="B2397">
        <v>18.89</v>
      </c>
      <c r="C2397">
        <v>18.260000000000002</v>
      </c>
      <c r="D2397" t="s">
        <v>218</v>
      </c>
      <c r="E2397" s="97">
        <v>9.0499999999999997E-2</v>
      </c>
    </row>
    <row r="2398" spans="1:5" ht="15">
      <c r="A2398" s="98">
        <v>2604</v>
      </c>
      <c r="B2398">
        <v>19.670000000000002</v>
      </c>
      <c r="C2398">
        <v>18.7</v>
      </c>
      <c r="D2398" t="s">
        <v>218</v>
      </c>
      <c r="E2398" s="97">
        <v>6.3299999999999995E-2</v>
      </c>
    </row>
    <row r="2399" spans="1:5" ht="15">
      <c r="A2399" s="98">
        <v>2603</v>
      </c>
      <c r="B2399">
        <v>19.93</v>
      </c>
      <c r="C2399">
        <v>19.38</v>
      </c>
      <c r="D2399" t="s">
        <v>218</v>
      </c>
      <c r="E2399" s="97">
        <v>8.1199999999999994E-2</v>
      </c>
    </row>
    <row r="2400" spans="1:5" ht="15">
      <c r="A2400" s="98">
        <v>2602</v>
      </c>
      <c r="B2400">
        <v>20.149999999999999</v>
      </c>
      <c r="C2400">
        <v>19.66</v>
      </c>
      <c r="D2400" t="s">
        <v>218</v>
      </c>
      <c r="E2400" s="97">
        <v>-4.7100000000000003E-2</v>
      </c>
    </row>
    <row r="2401" spans="1:5" ht="15">
      <c r="A2401" s="98">
        <v>2601</v>
      </c>
      <c r="B2401">
        <v>20.45</v>
      </c>
      <c r="C2401">
        <v>19.8</v>
      </c>
      <c r="D2401" t="s">
        <v>218</v>
      </c>
      <c r="E2401" s="97">
        <v>-4.1999999999999997E-3</v>
      </c>
    </row>
    <row r="2402" spans="1:5" ht="15">
      <c r="A2402" s="98">
        <v>2600</v>
      </c>
      <c r="B2402">
        <v>20.2</v>
      </c>
      <c r="C2402">
        <v>19.100000000000001</v>
      </c>
      <c r="D2402" t="s">
        <v>218</v>
      </c>
      <c r="E2402" s="97">
        <v>-3.32E-2</v>
      </c>
    </row>
    <row r="2403" spans="1:5" ht="15">
      <c r="A2403" s="98">
        <v>2599</v>
      </c>
      <c r="B2403">
        <v>20.36</v>
      </c>
      <c r="C2403">
        <v>19.78</v>
      </c>
      <c r="D2403" t="s">
        <v>218</v>
      </c>
      <c r="E2403" s="97">
        <v>3.5499999999999997E-2</v>
      </c>
    </row>
    <row r="2404" spans="1:5" ht="15">
      <c r="A2404" s="98">
        <v>2598</v>
      </c>
      <c r="B2404">
        <v>20.07</v>
      </c>
      <c r="C2404">
        <v>19.100000000000001</v>
      </c>
      <c r="D2404" t="s">
        <v>218</v>
      </c>
      <c r="E2404" s="97">
        <v>1.9E-2</v>
      </c>
    </row>
    <row r="2405" spans="1:5" ht="15">
      <c r="A2405" s="98">
        <v>2597</v>
      </c>
      <c r="B2405">
        <v>19.600000000000001</v>
      </c>
      <c r="C2405">
        <v>18.600000000000001</v>
      </c>
      <c r="D2405" t="s">
        <v>218</v>
      </c>
      <c r="E2405" s="97">
        <v>8.1000000000000003E-2</v>
      </c>
    </row>
    <row r="2406" spans="1:5" ht="15">
      <c r="A2406" s="98">
        <v>2596</v>
      </c>
      <c r="B2406">
        <v>18.649999999999999</v>
      </c>
      <c r="C2406">
        <v>17.88</v>
      </c>
      <c r="D2406" t="s">
        <v>218</v>
      </c>
      <c r="E2406" s="97">
        <v>2.0299999999999999E-2</v>
      </c>
    </row>
    <row r="2407" spans="1:5" ht="15">
      <c r="A2407" s="98">
        <v>2595</v>
      </c>
      <c r="B2407">
        <v>18.88</v>
      </c>
      <c r="C2407">
        <v>17.649999999999999</v>
      </c>
      <c r="D2407" t="s">
        <v>218</v>
      </c>
      <c r="E2407" s="97">
        <v>5.4199999999999998E-2</v>
      </c>
    </row>
    <row r="2408" spans="1:5" ht="15">
      <c r="A2408" s="98">
        <v>2594</v>
      </c>
      <c r="B2408">
        <v>18.760000000000002</v>
      </c>
      <c r="C2408">
        <v>18.25</v>
      </c>
      <c r="D2408" t="s">
        <v>218</v>
      </c>
      <c r="E2408" s="97">
        <v>-4.1099999999999998E-2</v>
      </c>
    </row>
    <row r="2409" spans="1:5" ht="15">
      <c r="A2409" s="98">
        <v>2593</v>
      </c>
      <c r="B2409">
        <v>19.5</v>
      </c>
      <c r="C2409">
        <v>18.32</v>
      </c>
      <c r="D2409" t="s">
        <v>218</v>
      </c>
      <c r="E2409" s="97">
        <v>-6.3500000000000001E-2</v>
      </c>
    </row>
    <row r="2410" spans="1:5" ht="15">
      <c r="A2410" s="98">
        <v>2592</v>
      </c>
      <c r="B2410">
        <v>19.03</v>
      </c>
      <c r="C2410">
        <v>18.73</v>
      </c>
      <c r="D2410" t="s">
        <v>218</v>
      </c>
      <c r="E2410" s="97">
        <v>-6.4199999999999993E-2</v>
      </c>
    </row>
    <row r="2411" spans="1:5" ht="15">
      <c r="A2411" s="98">
        <v>2591</v>
      </c>
      <c r="B2411">
        <v>19.579999999999998</v>
      </c>
      <c r="C2411">
        <v>18.36</v>
      </c>
      <c r="D2411" t="s">
        <v>218</v>
      </c>
      <c r="E2411" s="97">
        <v>8.1100000000000005E-2</v>
      </c>
    </row>
    <row r="2412" spans="1:5" ht="15">
      <c r="A2412" s="98">
        <v>2590</v>
      </c>
      <c r="B2412">
        <v>20.77</v>
      </c>
      <c r="C2412">
        <v>20.059999999999999</v>
      </c>
      <c r="D2412" t="s">
        <v>218</v>
      </c>
      <c r="E2412" s="97">
        <v>3.2099999999999997E-2</v>
      </c>
    </row>
    <row r="2413" spans="1:5" ht="15">
      <c r="A2413" s="98">
        <v>2589</v>
      </c>
      <c r="B2413">
        <v>22.86</v>
      </c>
      <c r="C2413">
        <v>21.25</v>
      </c>
      <c r="D2413" t="s">
        <v>218</v>
      </c>
      <c r="E2413" s="97">
        <v>-5.0799999999999998E-2</v>
      </c>
    </row>
    <row r="2414" spans="1:5" ht="15">
      <c r="A2414" s="98">
        <v>2588</v>
      </c>
      <c r="B2414">
        <v>22.68</v>
      </c>
      <c r="C2414">
        <v>21.36</v>
      </c>
      <c r="D2414" t="s">
        <v>218</v>
      </c>
      <c r="E2414" s="97">
        <v>7.7000000000000002E-3</v>
      </c>
    </row>
    <row r="2415" spans="1:5" ht="15">
      <c r="A2415" s="98">
        <v>2587</v>
      </c>
      <c r="B2415">
        <v>23.89</v>
      </c>
      <c r="C2415">
        <v>21.48</v>
      </c>
      <c r="D2415" t="s">
        <v>218</v>
      </c>
      <c r="E2415" s="97">
        <v>-9.5000000000000001E-2</v>
      </c>
    </row>
    <row r="2416" spans="1:5" ht="15">
      <c r="A2416" s="98">
        <v>2586</v>
      </c>
      <c r="B2416">
        <v>21.72</v>
      </c>
      <c r="C2416">
        <v>20.09</v>
      </c>
      <c r="D2416" t="s">
        <v>218</v>
      </c>
      <c r="E2416" s="97">
        <v>0.12959999999999999</v>
      </c>
    </row>
    <row r="2417" spans="1:5" ht="15">
      <c r="A2417" s="98">
        <v>2585</v>
      </c>
      <c r="B2417">
        <v>20.21</v>
      </c>
      <c r="C2417">
        <v>19.48</v>
      </c>
      <c r="D2417" t="s">
        <v>218</v>
      </c>
      <c r="E2417" s="97">
        <v>-6.0299999999999999E-2</v>
      </c>
    </row>
    <row r="2418" spans="1:5" ht="15">
      <c r="A2418" s="98">
        <v>2584</v>
      </c>
      <c r="B2418">
        <v>20.309999999999999</v>
      </c>
      <c r="C2418">
        <v>19.510000000000002</v>
      </c>
      <c r="D2418" t="s">
        <v>218</v>
      </c>
      <c r="E2418" s="97">
        <v>3.1699999999999999E-2</v>
      </c>
    </row>
    <row r="2419" spans="1:5" ht="15">
      <c r="A2419" s="98">
        <v>2583</v>
      </c>
      <c r="B2419">
        <v>19.55</v>
      </c>
      <c r="C2419">
        <v>17.75</v>
      </c>
      <c r="D2419" t="s">
        <v>218</v>
      </c>
      <c r="E2419" s="97">
        <v>2.87E-2</v>
      </c>
    </row>
    <row r="2420" spans="1:5" ht="15">
      <c r="A2420" s="98">
        <v>2582</v>
      </c>
      <c r="B2420">
        <v>18.989999999999998</v>
      </c>
      <c r="C2420">
        <v>18.05</v>
      </c>
      <c r="D2420" t="s">
        <v>218</v>
      </c>
      <c r="E2420" s="97">
        <v>2.3400000000000001E-2</v>
      </c>
    </row>
    <row r="2421" spans="1:5" ht="15">
      <c r="A2421" s="98">
        <v>2581</v>
      </c>
      <c r="B2421">
        <v>18.96</v>
      </c>
      <c r="C2421">
        <v>18.2</v>
      </c>
      <c r="D2421" t="s">
        <v>218</v>
      </c>
      <c r="E2421" s="97">
        <v>-4.2799999999999998E-2</v>
      </c>
    </row>
    <row r="2422" spans="1:5" ht="15">
      <c r="A2422" s="98">
        <v>2580</v>
      </c>
      <c r="B2422">
        <v>18.940000000000001</v>
      </c>
      <c r="C2422">
        <v>18.149999999999999</v>
      </c>
      <c r="D2422" t="s">
        <v>218</v>
      </c>
      <c r="E2422" s="97">
        <v>-6.0699999999999997E-2</v>
      </c>
    </row>
    <row r="2423" spans="1:5" ht="15">
      <c r="A2423" s="98">
        <v>2579</v>
      </c>
      <c r="B2423">
        <v>18.850000000000001</v>
      </c>
      <c r="C2423">
        <v>18.010000000000002</v>
      </c>
      <c r="D2423" t="s">
        <v>218</v>
      </c>
      <c r="E2423" s="97">
        <v>-5.4000000000000003E-3</v>
      </c>
    </row>
    <row r="2424" spans="1:5" ht="15">
      <c r="A2424" s="98">
        <v>2578</v>
      </c>
      <c r="B2424">
        <v>18.38</v>
      </c>
      <c r="C2424">
        <v>17.79</v>
      </c>
      <c r="D2424" t="s">
        <v>218</v>
      </c>
      <c r="E2424" s="97">
        <v>2.8299999999999999E-2</v>
      </c>
    </row>
    <row r="2425" spans="1:5" ht="15">
      <c r="A2425" s="98">
        <v>2577</v>
      </c>
      <c r="B2425">
        <v>18.329999999999998</v>
      </c>
      <c r="C2425">
        <v>17.809999999999999</v>
      </c>
      <c r="D2425" t="s">
        <v>218</v>
      </c>
      <c r="E2425" s="97">
        <v>-1.3299999999999999E-2</v>
      </c>
    </row>
    <row r="2426" spans="1:5" ht="15">
      <c r="A2426" s="98">
        <v>2576</v>
      </c>
      <c r="B2426">
        <v>18.18</v>
      </c>
      <c r="C2426">
        <v>17.64</v>
      </c>
      <c r="D2426" t="s">
        <v>218</v>
      </c>
      <c r="E2426" s="97">
        <v>-4.7899999999999998E-2</v>
      </c>
    </row>
    <row r="2427" spans="1:5" ht="15">
      <c r="A2427" s="98">
        <v>2575</v>
      </c>
      <c r="B2427">
        <v>18.63</v>
      </c>
      <c r="C2427">
        <v>17.73</v>
      </c>
      <c r="D2427" t="s">
        <v>218</v>
      </c>
      <c r="E2427" s="97">
        <v>-3.0800000000000001E-2</v>
      </c>
    </row>
    <row r="2428" spans="1:5" ht="15">
      <c r="A2428" s="98">
        <v>2574</v>
      </c>
      <c r="B2428">
        <v>19.579999999999998</v>
      </c>
      <c r="C2428">
        <v>19.21</v>
      </c>
      <c r="D2428" t="s">
        <v>218</v>
      </c>
      <c r="E2428" s="97">
        <v>-9.74E-2</v>
      </c>
    </row>
    <row r="2429" spans="1:5" ht="15">
      <c r="A2429" s="98">
        <v>2573</v>
      </c>
      <c r="B2429">
        <v>20.3</v>
      </c>
      <c r="C2429">
        <v>19.45</v>
      </c>
      <c r="D2429" t="s">
        <v>218</v>
      </c>
      <c r="E2429" s="97">
        <v>-4.1599999999999998E-2</v>
      </c>
    </row>
    <row r="2430" spans="1:5" ht="15">
      <c r="A2430" s="98">
        <v>2572</v>
      </c>
      <c r="B2430">
        <v>19.93</v>
      </c>
      <c r="C2430">
        <v>19.09</v>
      </c>
      <c r="D2430" t="s">
        <v>218</v>
      </c>
      <c r="E2430" s="97">
        <v>-4.2200000000000001E-2</v>
      </c>
    </row>
    <row r="2431" spans="1:5" ht="15">
      <c r="A2431" s="98">
        <v>2571</v>
      </c>
      <c r="B2431">
        <v>19.59</v>
      </c>
      <c r="C2431">
        <v>18.45</v>
      </c>
      <c r="D2431" t="s">
        <v>218</v>
      </c>
      <c r="E2431" s="97">
        <v>0.12690000000000001</v>
      </c>
    </row>
    <row r="2432" spans="1:5" ht="15">
      <c r="A2432" s="98">
        <v>2570</v>
      </c>
      <c r="B2432">
        <v>18.75</v>
      </c>
      <c r="C2432">
        <v>18.52</v>
      </c>
      <c r="D2432" t="s">
        <v>218</v>
      </c>
      <c r="E2432" s="97">
        <v>3.3500000000000002E-2</v>
      </c>
    </row>
    <row r="2433" spans="1:5" ht="15">
      <c r="A2433" s="98">
        <v>2569</v>
      </c>
      <c r="B2433">
        <v>19.829999999999998</v>
      </c>
      <c r="C2433">
        <v>18.95</v>
      </c>
      <c r="D2433" t="s">
        <v>218</v>
      </c>
      <c r="E2433" s="97">
        <v>2.3199999999999998E-2</v>
      </c>
    </row>
    <row r="2434" spans="1:5" ht="15">
      <c r="A2434" s="98">
        <v>2568</v>
      </c>
      <c r="B2434">
        <v>19.579999999999998</v>
      </c>
      <c r="C2434">
        <v>19.21</v>
      </c>
      <c r="D2434" t="s">
        <v>218</v>
      </c>
      <c r="E2434" s="97">
        <v>-0.1096</v>
      </c>
    </row>
    <row r="2435" spans="1:5" ht="15">
      <c r="A2435" s="98">
        <v>2567</v>
      </c>
      <c r="B2435">
        <v>19.64</v>
      </c>
      <c r="C2435">
        <v>18.7</v>
      </c>
      <c r="D2435" t="s">
        <v>218</v>
      </c>
      <c r="E2435" s="97">
        <v>-3.7400000000000003E-2</v>
      </c>
    </row>
    <row r="2436" spans="1:5" ht="15">
      <c r="A2436" s="98">
        <v>2566</v>
      </c>
      <c r="B2436">
        <v>18.690000000000001</v>
      </c>
      <c r="C2436">
        <v>18.149999999999999</v>
      </c>
      <c r="D2436" t="s">
        <v>218</v>
      </c>
      <c r="E2436" s="97">
        <v>0.15459999999999999</v>
      </c>
    </row>
    <row r="2437" spans="1:5" ht="15">
      <c r="A2437" s="98">
        <v>2565</v>
      </c>
      <c r="B2437">
        <v>18.59</v>
      </c>
      <c r="C2437">
        <v>18.25</v>
      </c>
      <c r="D2437" t="s">
        <v>218</v>
      </c>
      <c r="E2437" s="97">
        <v>-0.1147</v>
      </c>
    </row>
    <row r="2438" spans="1:5" ht="15">
      <c r="A2438" s="98">
        <v>2564</v>
      </c>
      <c r="B2438">
        <v>19.14</v>
      </c>
      <c r="C2438">
        <v>18.45</v>
      </c>
      <c r="D2438" t="s">
        <v>218</v>
      </c>
      <c r="E2438" s="97">
        <v>0.1071</v>
      </c>
    </row>
    <row r="2439" spans="1:5" ht="15">
      <c r="A2439" s="98">
        <v>2563</v>
      </c>
      <c r="B2439">
        <v>20.149999999999999</v>
      </c>
      <c r="C2439">
        <v>19.260000000000002</v>
      </c>
      <c r="D2439" t="s">
        <v>218</v>
      </c>
      <c r="E2439" s="97">
        <v>0.12470000000000001</v>
      </c>
    </row>
    <row r="2440" spans="1:5" ht="15">
      <c r="A2440" s="98">
        <v>2562</v>
      </c>
      <c r="B2440">
        <v>20.02</v>
      </c>
      <c r="C2440">
        <v>19.190000000000001</v>
      </c>
      <c r="D2440" t="s">
        <v>218</v>
      </c>
      <c r="E2440" s="97">
        <v>5.1299999999999998E-2</v>
      </c>
    </row>
    <row r="2441" spans="1:5" ht="15">
      <c r="A2441" s="98">
        <v>2561</v>
      </c>
      <c r="B2441">
        <v>20.66</v>
      </c>
      <c r="C2441">
        <v>18.510000000000002</v>
      </c>
      <c r="D2441" t="s">
        <v>218</v>
      </c>
      <c r="E2441" s="97">
        <v>9.0499999999999997E-2</v>
      </c>
    </row>
    <row r="2442" spans="1:5" ht="15">
      <c r="A2442" s="98">
        <v>2560</v>
      </c>
      <c r="B2442">
        <v>19.350000000000001</v>
      </c>
      <c r="C2442">
        <v>18.850000000000001</v>
      </c>
      <c r="D2442" t="s">
        <v>218</v>
      </c>
      <c r="E2442" s="97">
        <v>5.5999999999999999E-3</v>
      </c>
    </row>
    <row r="2443" spans="1:5" ht="15">
      <c r="A2443" s="98">
        <v>2559</v>
      </c>
      <c r="B2443">
        <v>18.940000000000001</v>
      </c>
      <c r="C2443">
        <v>17.95</v>
      </c>
      <c r="D2443" t="s">
        <v>218</v>
      </c>
      <c r="E2443" s="97">
        <v>-1.03E-2</v>
      </c>
    </row>
    <row r="2444" spans="1:5" ht="15">
      <c r="A2444" s="98">
        <v>2558</v>
      </c>
      <c r="B2444">
        <v>18.239999999999998</v>
      </c>
      <c r="C2444">
        <v>17.98</v>
      </c>
      <c r="D2444" t="s">
        <v>218</v>
      </c>
      <c r="E2444" s="97">
        <v>-2.0899999999999998E-2</v>
      </c>
    </row>
    <row r="2445" spans="1:5" ht="15">
      <c r="A2445" s="98">
        <v>2557</v>
      </c>
      <c r="B2445">
        <v>18.149999999999999</v>
      </c>
      <c r="C2445">
        <v>17.559999999999999</v>
      </c>
      <c r="D2445" t="s">
        <v>218</v>
      </c>
      <c r="E2445" s="97">
        <v>2.9100000000000001E-2</v>
      </c>
    </row>
    <row r="2446" spans="1:5" ht="15">
      <c r="A2446" s="98">
        <v>2556</v>
      </c>
      <c r="B2446">
        <v>17.86</v>
      </c>
      <c r="C2446">
        <v>17.52</v>
      </c>
      <c r="D2446" t="s">
        <v>218</v>
      </c>
      <c r="E2446" s="97">
        <v>-7.6E-3</v>
      </c>
    </row>
    <row r="2447" spans="1:5" ht="15">
      <c r="A2447" s="98">
        <v>2555</v>
      </c>
      <c r="B2447">
        <v>20.03</v>
      </c>
      <c r="C2447">
        <v>19.03</v>
      </c>
      <c r="D2447" t="s">
        <v>218</v>
      </c>
      <c r="E2447" s="97">
        <v>-1.89E-2</v>
      </c>
    </row>
    <row r="2448" spans="1:5" ht="15">
      <c r="A2448" s="98">
        <v>2554</v>
      </c>
      <c r="B2448">
        <v>19.97</v>
      </c>
      <c r="C2448">
        <v>19.309999999999999</v>
      </c>
      <c r="D2448" t="s">
        <v>218</v>
      </c>
      <c r="E2448" s="97">
        <v>-6.7000000000000002E-3</v>
      </c>
    </row>
    <row r="2449" spans="1:5" ht="15">
      <c r="A2449" s="98">
        <v>2553</v>
      </c>
      <c r="B2449">
        <v>21.26</v>
      </c>
      <c r="C2449">
        <v>19.440000000000001</v>
      </c>
      <c r="D2449" t="s">
        <v>218</v>
      </c>
      <c r="E2449" s="97">
        <v>-6.0999999999999999E-2</v>
      </c>
    </row>
    <row r="2450" spans="1:5" ht="15">
      <c r="A2450" s="98">
        <v>2552</v>
      </c>
      <c r="B2450">
        <v>22.27</v>
      </c>
      <c r="C2450">
        <v>21.04</v>
      </c>
      <c r="D2450" t="s">
        <v>218</v>
      </c>
      <c r="E2450" s="97">
        <v>-2.3900000000000001E-2</v>
      </c>
    </row>
    <row r="2451" spans="1:5" ht="15">
      <c r="A2451" s="98">
        <v>2551</v>
      </c>
      <c r="B2451">
        <v>22.73</v>
      </c>
      <c r="C2451">
        <v>21.85</v>
      </c>
      <c r="D2451" t="s">
        <v>218</v>
      </c>
      <c r="E2451" s="97">
        <v>1.5599999999999999E-2</v>
      </c>
    </row>
    <row r="2452" spans="1:5" ht="15">
      <c r="A2452" s="98">
        <v>2550</v>
      </c>
      <c r="B2452">
        <v>22.85</v>
      </c>
      <c r="C2452">
        <v>21.64</v>
      </c>
      <c r="D2452" t="s">
        <v>218</v>
      </c>
      <c r="E2452" s="97">
        <v>1.52E-2</v>
      </c>
    </row>
    <row r="2453" spans="1:5" ht="15">
      <c r="A2453" s="98">
        <v>2549</v>
      </c>
      <c r="B2453">
        <v>23.26</v>
      </c>
      <c r="C2453">
        <v>22.03</v>
      </c>
      <c r="D2453" t="s">
        <v>218</v>
      </c>
      <c r="E2453" s="97">
        <v>1.35E-2</v>
      </c>
    </row>
    <row r="2454" spans="1:5" ht="15">
      <c r="A2454" s="98">
        <v>2548</v>
      </c>
      <c r="B2454">
        <v>22.82</v>
      </c>
      <c r="C2454">
        <v>20.99</v>
      </c>
      <c r="D2454" t="s">
        <v>218</v>
      </c>
      <c r="E2454" s="97">
        <v>1.23E-2</v>
      </c>
    </row>
    <row r="2455" spans="1:5" ht="15">
      <c r="A2455" s="98">
        <v>2547</v>
      </c>
      <c r="B2455">
        <v>21.45</v>
      </c>
      <c r="C2455">
        <v>20.71</v>
      </c>
      <c r="D2455" t="s">
        <v>218</v>
      </c>
      <c r="E2455" s="97">
        <v>-1.1599999999999999E-2</v>
      </c>
    </row>
    <row r="2456" spans="1:5" ht="15">
      <c r="A2456" s="98">
        <v>2546</v>
      </c>
      <c r="B2456">
        <v>20.09</v>
      </c>
      <c r="C2456">
        <v>18.95</v>
      </c>
      <c r="D2456" t="s">
        <v>218</v>
      </c>
      <c r="E2456" s="97">
        <v>1.7600000000000001E-2</v>
      </c>
    </row>
    <row r="2457" spans="1:5" ht="15">
      <c r="A2457" s="98">
        <v>2545</v>
      </c>
      <c r="B2457">
        <v>20.69</v>
      </c>
      <c r="C2457">
        <v>19.45</v>
      </c>
      <c r="D2457" t="s">
        <v>218</v>
      </c>
      <c r="E2457" s="97">
        <v>-5.1999999999999998E-3</v>
      </c>
    </row>
    <row r="2458" spans="1:5" ht="15">
      <c r="A2458" s="98">
        <v>2544</v>
      </c>
      <c r="B2458">
        <v>20.14</v>
      </c>
      <c r="C2458">
        <v>19.399999999999999</v>
      </c>
      <c r="D2458" t="s">
        <v>218</v>
      </c>
      <c r="E2458" s="97">
        <v>-3.4500000000000003E-2</v>
      </c>
    </row>
    <row r="2459" spans="1:5" ht="15">
      <c r="A2459" s="98">
        <v>2543</v>
      </c>
      <c r="B2459">
        <v>19.61</v>
      </c>
      <c r="C2459">
        <v>19.079999999999998</v>
      </c>
      <c r="D2459" t="s">
        <v>218</v>
      </c>
      <c r="E2459" s="97">
        <v>-2.75E-2</v>
      </c>
    </row>
    <row r="2460" spans="1:5" ht="15">
      <c r="A2460" s="98">
        <v>2542</v>
      </c>
      <c r="B2460">
        <v>19.28</v>
      </c>
      <c r="C2460">
        <v>18.260000000000002</v>
      </c>
      <c r="D2460" t="s">
        <v>218</v>
      </c>
      <c r="E2460" s="97">
        <v>2.4400000000000002E-2</v>
      </c>
    </row>
    <row r="2461" spans="1:5" ht="15">
      <c r="A2461" s="98">
        <v>2541</v>
      </c>
      <c r="B2461">
        <v>18.920000000000002</v>
      </c>
      <c r="C2461">
        <v>18.420000000000002</v>
      </c>
      <c r="D2461" t="s">
        <v>218</v>
      </c>
      <c r="E2461" s="97">
        <v>-9.6600000000000005E-2</v>
      </c>
    </row>
    <row r="2462" spans="1:5" ht="15">
      <c r="A2462" s="98">
        <v>2540</v>
      </c>
      <c r="B2462">
        <v>17.91</v>
      </c>
      <c r="C2462">
        <v>17.420000000000002</v>
      </c>
      <c r="D2462" t="s">
        <v>218</v>
      </c>
      <c r="E2462" s="97">
        <v>-8.9999999999999993E-3</v>
      </c>
    </row>
    <row r="2463" spans="1:5" ht="15">
      <c r="A2463" s="98">
        <v>2539</v>
      </c>
      <c r="B2463">
        <v>17.79</v>
      </c>
      <c r="C2463">
        <v>17.2</v>
      </c>
      <c r="D2463" t="s">
        <v>218</v>
      </c>
      <c r="E2463" s="97">
        <v>3.0599999999999999E-2</v>
      </c>
    </row>
    <row r="2464" spans="1:5" ht="15">
      <c r="A2464" s="98">
        <v>2538</v>
      </c>
      <c r="B2464">
        <v>17.96</v>
      </c>
      <c r="C2464">
        <v>16.98</v>
      </c>
      <c r="D2464" t="s">
        <v>218</v>
      </c>
      <c r="E2464" s="97">
        <v>1.34E-2</v>
      </c>
    </row>
    <row r="2465" spans="1:5" ht="15">
      <c r="A2465" s="98">
        <v>2537</v>
      </c>
      <c r="B2465">
        <v>18.05</v>
      </c>
      <c r="C2465">
        <v>16.86</v>
      </c>
      <c r="D2465" t="s">
        <v>218</v>
      </c>
      <c r="E2465" s="97">
        <v>2.8899999999999999E-2</v>
      </c>
    </row>
    <row r="2466" spans="1:5" ht="15">
      <c r="A2466" s="98">
        <v>2536</v>
      </c>
      <c r="B2466">
        <v>17.850000000000001</v>
      </c>
      <c r="C2466">
        <v>16.97</v>
      </c>
      <c r="D2466" t="s">
        <v>218</v>
      </c>
      <c r="E2466" s="97">
        <v>-2.98E-2</v>
      </c>
    </row>
    <row r="2467" spans="1:5" ht="15">
      <c r="A2467" s="98">
        <v>2535</v>
      </c>
      <c r="B2467">
        <v>18.07</v>
      </c>
      <c r="C2467">
        <v>17.04</v>
      </c>
      <c r="D2467" t="s">
        <v>218</v>
      </c>
      <c r="E2467" s="97">
        <v>2.1499999999999998E-2</v>
      </c>
    </row>
    <row r="2468" spans="1:5" ht="15">
      <c r="A2468" s="98">
        <v>2534</v>
      </c>
      <c r="B2468">
        <v>17.23</v>
      </c>
      <c r="C2468">
        <v>16.190000000000001</v>
      </c>
      <c r="D2468" t="s">
        <v>218</v>
      </c>
      <c r="E2468" s="97">
        <v>9.3200000000000005E-2</v>
      </c>
    </row>
    <row r="2469" spans="1:5" ht="15">
      <c r="A2469" s="98">
        <v>2533</v>
      </c>
      <c r="B2469">
        <v>17.98</v>
      </c>
      <c r="C2469">
        <v>17.100000000000001</v>
      </c>
      <c r="D2469" t="s">
        <v>218</v>
      </c>
      <c r="E2469" s="97">
        <v>5.5E-2</v>
      </c>
    </row>
    <row r="2470" spans="1:5" ht="15">
      <c r="A2470" s="98">
        <v>2532</v>
      </c>
      <c r="B2470">
        <v>18.510000000000002</v>
      </c>
      <c r="C2470">
        <v>17.48</v>
      </c>
      <c r="D2470" t="s">
        <v>218</v>
      </c>
      <c r="E2470" s="97">
        <v>-1.95E-2</v>
      </c>
    </row>
    <row r="2471" spans="1:5" ht="15">
      <c r="A2471" s="98">
        <v>2531</v>
      </c>
      <c r="B2471">
        <v>18.68</v>
      </c>
      <c r="C2471">
        <v>17.670000000000002</v>
      </c>
      <c r="D2471" t="s">
        <v>218</v>
      </c>
      <c r="E2471" s="97">
        <v>8.8000000000000005E-3</v>
      </c>
    </row>
    <row r="2472" spans="1:5" ht="15">
      <c r="A2472" s="98">
        <v>2530</v>
      </c>
      <c r="B2472">
        <v>18.18</v>
      </c>
      <c r="C2472">
        <v>17.739999999999998</v>
      </c>
      <c r="D2472" t="s">
        <v>218</v>
      </c>
      <c r="E2472" s="97">
        <v>2.58E-2</v>
      </c>
    </row>
    <row r="2473" spans="1:5" ht="15">
      <c r="A2473" s="98">
        <v>2529</v>
      </c>
      <c r="B2473">
        <v>17.89</v>
      </c>
      <c r="C2473">
        <v>16.77</v>
      </c>
      <c r="D2473" t="s">
        <v>218</v>
      </c>
      <c r="E2473" s="97">
        <v>-5.7200000000000001E-2</v>
      </c>
    </row>
    <row r="2474" spans="1:5" ht="15">
      <c r="A2474" s="98">
        <v>2528</v>
      </c>
      <c r="B2474">
        <v>17.02</v>
      </c>
      <c r="C2474">
        <v>16.34</v>
      </c>
      <c r="D2474" t="s">
        <v>218</v>
      </c>
      <c r="E2474" s="97">
        <v>1.4E-2</v>
      </c>
    </row>
    <row r="2475" spans="1:5" ht="15">
      <c r="A2475" s="98">
        <v>2527</v>
      </c>
      <c r="B2475">
        <v>16.760000000000002</v>
      </c>
      <c r="C2475">
        <v>16.010000000000002</v>
      </c>
      <c r="D2475" t="s">
        <v>218</v>
      </c>
      <c r="E2475" s="97">
        <v>-3.5999999999999997E-2</v>
      </c>
    </row>
    <row r="2476" spans="1:5" ht="15">
      <c r="A2476" s="98">
        <v>2526</v>
      </c>
      <c r="B2476">
        <v>16.190000000000001</v>
      </c>
      <c r="C2476">
        <v>15.79</v>
      </c>
      <c r="D2476" t="s">
        <v>218</v>
      </c>
      <c r="E2476" s="97">
        <v>-7.0999999999999994E-2</v>
      </c>
    </row>
    <row r="2477" spans="1:5" ht="15">
      <c r="A2477" s="98">
        <v>2525</v>
      </c>
      <c r="B2477">
        <v>16.7</v>
      </c>
      <c r="C2477">
        <v>16.22</v>
      </c>
      <c r="D2477" t="s">
        <v>218</v>
      </c>
      <c r="E2477" s="97">
        <v>-7.1499999999999994E-2</v>
      </c>
    </row>
    <row r="2478" spans="1:5" ht="15">
      <c r="A2478" s="98">
        <v>2524</v>
      </c>
      <c r="B2478">
        <v>16.78</v>
      </c>
      <c r="C2478">
        <v>16.45</v>
      </c>
      <c r="D2478" t="s">
        <v>218</v>
      </c>
      <c r="E2478" s="97">
        <v>7.2499999999999995E-2</v>
      </c>
    </row>
    <row r="2479" spans="1:5" ht="15">
      <c r="A2479" s="98">
        <v>2523</v>
      </c>
      <c r="B2479">
        <v>17.32</v>
      </c>
      <c r="C2479">
        <v>16.55</v>
      </c>
      <c r="D2479" t="s">
        <v>218</v>
      </c>
      <c r="E2479" s="97">
        <v>4.1999999999999997E-3</v>
      </c>
    </row>
    <row r="2480" spans="1:5" ht="15">
      <c r="A2480" s="98">
        <v>2522</v>
      </c>
      <c r="B2480">
        <v>17.37</v>
      </c>
      <c r="C2480">
        <v>16.62</v>
      </c>
      <c r="D2480" t="s">
        <v>218</v>
      </c>
      <c r="E2480" s="97">
        <v>7.2999999999999995E-2</v>
      </c>
    </row>
    <row r="2481" spans="1:5" ht="15">
      <c r="A2481" s="98">
        <v>2521</v>
      </c>
      <c r="B2481">
        <v>16.93</v>
      </c>
      <c r="C2481">
        <v>16.5</v>
      </c>
      <c r="D2481" t="s">
        <v>218</v>
      </c>
      <c r="E2481" s="97">
        <v>7.1000000000000004E-3</v>
      </c>
    </row>
    <row r="2482" spans="1:5" ht="15">
      <c r="A2482" s="98">
        <v>2520</v>
      </c>
      <c r="B2482">
        <v>17.88</v>
      </c>
      <c r="C2482">
        <v>17.53</v>
      </c>
      <c r="D2482" t="s">
        <v>218</v>
      </c>
      <c r="E2482" s="97">
        <v>-7.3499999999999996E-2</v>
      </c>
    </row>
    <row r="2483" spans="1:5" ht="15">
      <c r="A2483" s="98">
        <v>2519</v>
      </c>
      <c r="B2483">
        <v>18.53</v>
      </c>
      <c r="C2483">
        <v>17.5</v>
      </c>
      <c r="D2483" t="s">
        <v>218</v>
      </c>
      <c r="E2483" s="97">
        <v>-4.3499999999999997E-2</v>
      </c>
    </row>
    <row r="2484" spans="1:5" ht="15">
      <c r="A2484" s="98">
        <v>2518</v>
      </c>
      <c r="B2484">
        <v>17.850000000000001</v>
      </c>
      <c r="C2484">
        <v>16.55</v>
      </c>
      <c r="D2484" t="s">
        <v>218</v>
      </c>
      <c r="E2484" s="97">
        <v>-4.0099999999999997E-2</v>
      </c>
    </row>
    <row r="2485" spans="1:5" ht="15">
      <c r="A2485" s="98">
        <v>2517</v>
      </c>
      <c r="B2485">
        <v>17.13</v>
      </c>
      <c r="C2485">
        <v>16.43</v>
      </c>
      <c r="D2485" t="s">
        <v>218</v>
      </c>
      <c r="E2485" s="97">
        <v>-4.8999999999999998E-3</v>
      </c>
    </row>
    <row r="2486" spans="1:5" ht="15">
      <c r="A2486" s="98">
        <v>2516</v>
      </c>
      <c r="B2486">
        <v>17</v>
      </c>
      <c r="C2486">
        <v>16.170000000000002</v>
      </c>
      <c r="D2486" t="s">
        <v>218</v>
      </c>
      <c r="E2486" s="97">
        <v>3.56E-2</v>
      </c>
    </row>
    <row r="2487" spans="1:5" ht="15">
      <c r="A2487" s="98">
        <v>2515</v>
      </c>
      <c r="B2487">
        <v>19.36</v>
      </c>
      <c r="C2487">
        <v>18.04</v>
      </c>
      <c r="D2487" t="s">
        <v>218</v>
      </c>
      <c r="E2487" s="97">
        <v>3.4500000000000003E-2</v>
      </c>
    </row>
    <row r="2488" spans="1:5" ht="15">
      <c r="A2488" s="98">
        <v>2514</v>
      </c>
      <c r="B2488">
        <v>19.170000000000002</v>
      </c>
      <c r="C2488">
        <v>17.78</v>
      </c>
      <c r="D2488" t="s">
        <v>218</v>
      </c>
      <c r="E2488" s="97">
        <v>-2.06E-2</v>
      </c>
    </row>
    <row r="2489" spans="1:5" ht="15">
      <c r="A2489" s="98">
        <v>2513</v>
      </c>
      <c r="B2489">
        <v>19.510000000000002</v>
      </c>
      <c r="C2489">
        <v>18.649999999999999</v>
      </c>
      <c r="D2489" t="s">
        <v>218</v>
      </c>
      <c r="E2489" s="97">
        <v>4.7399999999999998E-2</v>
      </c>
    </row>
    <row r="2490" spans="1:5" ht="15">
      <c r="A2490" s="98">
        <v>2512</v>
      </c>
      <c r="B2490">
        <v>19.61</v>
      </c>
      <c r="C2490">
        <v>18.46</v>
      </c>
      <c r="D2490" t="s">
        <v>218</v>
      </c>
      <c r="E2490" s="97">
        <v>1.03E-2</v>
      </c>
    </row>
    <row r="2491" spans="1:5" ht="15">
      <c r="A2491" s="98">
        <v>2511</v>
      </c>
      <c r="B2491">
        <v>19.399999999999999</v>
      </c>
      <c r="C2491">
        <v>18.82</v>
      </c>
      <c r="D2491" t="s">
        <v>218</v>
      </c>
      <c r="E2491" s="97">
        <v>-2.6599999999999999E-2</v>
      </c>
    </row>
    <row r="2492" spans="1:5" ht="15">
      <c r="A2492" s="98">
        <v>2510</v>
      </c>
      <c r="B2492">
        <v>18.98</v>
      </c>
      <c r="C2492">
        <v>17.190000000000001</v>
      </c>
      <c r="D2492" t="s">
        <v>218</v>
      </c>
      <c r="E2492" s="97">
        <v>3.1699999999999999E-2</v>
      </c>
    </row>
    <row r="2493" spans="1:5" ht="15">
      <c r="A2493" s="98">
        <v>2509</v>
      </c>
      <c r="B2493">
        <v>17.87</v>
      </c>
      <c r="C2493">
        <v>16.399999999999999</v>
      </c>
      <c r="D2493" t="s">
        <v>218</v>
      </c>
      <c r="E2493" s="97">
        <v>1.61E-2</v>
      </c>
    </row>
    <row r="2494" spans="1:5" ht="15">
      <c r="A2494" s="98">
        <v>2508</v>
      </c>
      <c r="B2494">
        <v>17.260000000000002</v>
      </c>
      <c r="C2494">
        <v>16.02</v>
      </c>
      <c r="D2494" t="s">
        <v>218</v>
      </c>
      <c r="E2494" s="97">
        <v>3.7199999999999997E-2</v>
      </c>
    </row>
    <row r="2495" spans="1:5" ht="15">
      <c r="A2495" s="98">
        <v>2507</v>
      </c>
      <c r="B2495">
        <v>16.62</v>
      </c>
      <c r="C2495">
        <v>16.16</v>
      </c>
      <c r="D2495" t="s">
        <v>218</v>
      </c>
      <c r="E2495" s="97">
        <v>-2.1999999999999999E-2</v>
      </c>
    </row>
    <row r="2496" spans="1:5" ht="15">
      <c r="A2496" s="98">
        <v>2506</v>
      </c>
      <c r="B2496">
        <v>17.03</v>
      </c>
      <c r="C2496">
        <v>16.170000000000002</v>
      </c>
      <c r="D2496" t="s">
        <v>218</v>
      </c>
      <c r="E2496" s="97">
        <v>-7.5399999999999995E-2</v>
      </c>
    </row>
    <row r="2497" spans="1:5" ht="15">
      <c r="A2497" s="98">
        <v>2505</v>
      </c>
      <c r="B2497">
        <v>16.89</v>
      </c>
      <c r="C2497">
        <v>16.170000000000002</v>
      </c>
      <c r="D2497" t="s">
        <v>218</v>
      </c>
      <c r="E2497" s="97">
        <v>0.05</v>
      </c>
    </row>
    <row r="2498" spans="1:5" ht="15">
      <c r="A2498" s="98">
        <v>2504</v>
      </c>
      <c r="B2498">
        <v>16.68</v>
      </c>
      <c r="C2498">
        <v>15.77</v>
      </c>
      <c r="D2498" t="s">
        <v>218</v>
      </c>
      <c r="E2498" s="97">
        <v>-1.9099999999999999E-2</v>
      </c>
    </row>
    <row r="2499" spans="1:5" ht="15">
      <c r="A2499" s="98">
        <v>2503</v>
      </c>
      <c r="B2499">
        <v>16.829999999999998</v>
      </c>
      <c r="C2499">
        <v>16.29</v>
      </c>
      <c r="D2499" t="s">
        <v>218</v>
      </c>
      <c r="E2499" s="97">
        <v>-6.3799999999999996E-2</v>
      </c>
    </row>
    <row r="2500" spans="1:5" ht="15">
      <c r="A2500" s="98">
        <v>2502</v>
      </c>
      <c r="B2500">
        <v>17.32</v>
      </c>
      <c r="C2500">
        <v>16.5</v>
      </c>
      <c r="D2500" t="s">
        <v>218</v>
      </c>
      <c r="E2500" s="97">
        <v>1.3599999999999999E-2</v>
      </c>
    </row>
    <row r="2501" spans="1:5" ht="15">
      <c r="A2501" s="98">
        <v>2501</v>
      </c>
      <c r="B2501">
        <v>17.59</v>
      </c>
      <c r="C2501">
        <v>16.52</v>
      </c>
      <c r="D2501" t="s">
        <v>218</v>
      </c>
      <c r="E2501" s="97">
        <v>6.59E-2</v>
      </c>
    </row>
    <row r="2502" spans="1:5" ht="15">
      <c r="A2502" s="98">
        <v>2500</v>
      </c>
      <c r="B2502">
        <v>17.8</v>
      </c>
      <c r="C2502">
        <v>16.559999999999999</v>
      </c>
      <c r="D2502" t="s">
        <v>218</v>
      </c>
      <c r="E2502" s="97">
        <v>-3.2199999999999999E-2</v>
      </c>
    </row>
    <row r="2503" spans="1:5" ht="15">
      <c r="A2503" s="98">
        <v>2499</v>
      </c>
      <c r="B2503">
        <v>18.27</v>
      </c>
      <c r="C2503">
        <v>17.579999999999998</v>
      </c>
      <c r="D2503" t="s">
        <v>218</v>
      </c>
      <c r="E2503" s="97">
        <v>4.8500000000000001E-2</v>
      </c>
    </row>
    <row r="2504" spans="1:5" ht="15">
      <c r="A2504" s="98">
        <v>2498</v>
      </c>
      <c r="B2504">
        <v>17.95</v>
      </c>
      <c r="C2504">
        <v>16.510000000000002</v>
      </c>
      <c r="D2504" t="s">
        <v>218</v>
      </c>
      <c r="E2504" s="97">
        <v>-1.9800000000000002E-2</v>
      </c>
    </row>
    <row r="2505" spans="1:5" ht="15">
      <c r="A2505" s="98">
        <v>2497</v>
      </c>
      <c r="B2505">
        <v>16.98</v>
      </c>
      <c r="C2505">
        <v>16.09</v>
      </c>
      <c r="D2505" t="s">
        <v>218</v>
      </c>
      <c r="E2505" s="97">
        <v>2.2100000000000002E-2</v>
      </c>
    </row>
    <row r="2506" spans="1:5" ht="15">
      <c r="A2506" s="98">
        <v>2496</v>
      </c>
      <c r="B2506">
        <v>17.420000000000002</v>
      </c>
      <c r="C2506">
        <v>15.79</v>
      </c>
      <c r="D2506" t="s">
        <v>218</v>
      </c>
      <c r="E2506" s="97">
        <v>-2.98E-2</v>
      </c>
    </row>
    <row r="2507" spans="1:5" ht="15">
      <c r="A2507" s="98">
        <v>2495</v>
      </c>
      <c r="B2507">
        <v>17.45</v>
      </c>
      <c r="C2507">
        <v>15.9</v>
      </c>
      <c r="D2507" t="s">
        <v>218</v>
      </c>
      <c r="E2507" s="97">
        <v>2.76E-2</v>
      </c>
    </row>
    <row r="2508" spans="1:5" ht="15">
      <c r="A2508" s="98">
        <v>2494</v>
      </c>
      <c r="B2508">
        <v>16.27</v>
      </c>
      <c r="C2508">
        <v>15.52</v>
      </c>
      <c r="D2508" t="s">
        <v>218</v>
      </c>
      <c r="E2508" s="97">
        <v>5.4999999999999997E-3</v>
      </c>
    </row>
    <row r="2509" spans="1:5" ht="15">
      <c r="A2509" s="98">
        <v>2493</v>
      </c>
      <c r="B2509">
        <v>16.190000000000001</v>
      </c>
      <c r="C2509">
        <v>14.66</v>
      </c>
      <c r="D2509" t="s">
        <v>218</v>
      </c>
      <c r="E2509" s="97">
        <v>-2.87E-2</v>
      </c>
    </row>
    <row r="2510" spans="1:5" ht="15">
      <c r="A2510" s="98">
        <v>2492</v>
      </c>
      <c r="B2510">
        <v>16.809999999999999</v>
      </c>
      <c r="C2510">
        <v>15.71</v>
      </c>
      <c r="D2510" t="s">
        <v>218</v>
      </c>
      <c r="E2510" s="97">
        <v>-4.19E-2</v>
      </c>
    </row>
    <row r="2511" spans="1:5" ht="15">
      <c r="A2511" s="98">
        <v>2491</v>
      </c>
      <c r="B2511">
        <v>17.309999999999999</v>
      </c>
      <c r="C2511">
        <v>16.61</v>
      </c>
      <c r="D2511" t="s">
        <v>218</v>
      </c>
      <c r="E2511" s="97">
        <v>-8.1100000000000005E-2</v>
      </c>
    </row>
    <row r="2512" spans="1:5" ht="15">
      <c r="A2512" s="98">
        <v>2490</v>
      </c>
      <c r="B2512">
        <v>17.399999999999999</v>
      </c>
      <c r="C2512">
        <v>16.29</v>
      </c>
      <c r="D2512" t="s">
        <v>218</v>
      </c>
      <c r="E2512" s="97">
        <v>-2.5700000000000001E-2</v>
      </c>
    </row>
    <row r="2513" spans="1:5" ht="15">
      <c r="A2513" s="98">
        <v>2489</v>
      </c>
      <c r="B2513">
        <v>16.77</v>
      </c>
      <c r="C2513">
        <v>16.239999999999998</v>
      </c>
      <c r="D2513" t="s">
        <v>218</v>
      </c>
      <c r="E2513" s="97">
        <v>3.6200000000000003E-2</v>
      </c>
    </row>
    <row r="2514" spans="1:5" ht="15">
      <c r="A2514" s="98">
        <v>2488</v>
      </c>
      <c r="B2514">
        <v>17.489999999999998</v>
      </c>
      <c r="C2514">
        <v>16.63</v>
      </c>
      <c r="D2514" t="s">
        <v>218</v>
      </c>
      <c r="E2514" s="97">
        <v>-1.6199999999999999E-2</v>
      </c>
    </row>
    <row r="2515" spans="1:5" ht="15">
      <c r="A2515" s="98">
        <v>2487</v>
      </c>
      <c r="B2515">
        <v>17.86</v>
      </c>
      <c r="C2515">
        <v>17.07</v>
      </c>
      <c r="D2515" t="s">
        <v>218</v>
      </c>
      <c r="E2515" s="97">
        <v>2.7400000000000001E-2</v>
      </c>
    </row>
    <row r="2516" spans="1:5" ht="15">
      <c r="A2516" s="98">
        <v>2486</v>
      </c>
      <c r="B2516">
        <v>17.97</v>
      </c>
      <c r="C2516">
        <v>17.2</v>
      </c>
      <c r="D2516" t="s">
        <v>218</v>
      </c>
      <c r="E2516" s="97">
        <v>9.8000000000000004E-2</v>
      </c>
    </row>
    <row r="2517" spans="1:5" ht="15">
      <c r="A2517" s="98">
        <v>2485</v>
      </c>
      <c r="B2517">
        <v>18.86</v>
      </c>
      <c r="C2517">
        <v>17.41</v>
      </c>
      <c r="D2517" t="s">
        <v>218</v>
      </c>
      <c r="E2517" s="97">
        <v>2.8500000000000001E-2</v>
      </c>
    </row>
    <row r="2518" spans="1:5" ht="15">
      <c r="A2518" s="98">
        <v>2484</v>
      </c>
      <c r="B2518">
        <v>18.68</v>
      </c>
      <c r="C2518">
        <v>17.54</v>
      </c>
      <c r="D2518" t="s">
        <v>218</v>
      </c>
      <c r="E2518" s="97">
        <v>-1.67E-2</v>
      </c>
    </row>
    <row r="2519" spans="1:5" ht="15">
      <c r="A2519" s="98">
        <v>2483</v>
      </c>
      <c r="B2519">
        <v>18.489999999999998</v>
      </c>
      <c r="C2519">
        <v>17.440000000000001</v>
      </c>
      <c r="D2519" t="s">
        <v>218</v>
      </c>
      <c r="E2519" s="97">
        <v>-4.4999999999999998E-2</v>
      </c>
    </row>
    <row r="2520" spans="1:5" ht="15">
      <c r="A2520" s="98">
        <v>2482</v>
      </c>
      <c r="B2520">
        <v>17.670000000000002</v>
      </c>
      <c r="C2520">
        <v>16.190000000000001</v>
      </c>
      <c r="D2520" t="s">
        <v>218</v>
      </c>
      <c r="E2520" s="97">
        <v>-4.4999999999999997E-3</v>
      </c>
    </row>
    <row r="2521" spans="1:5" ht="15">
      <c r="A2521" s="98">
        <v>2481</v>
      </c>
      <c r="B2521">
        <v>16.75</v>
      </c>
      <c r="C2521">
        <v>15.5</v>
      </c>
      <c r="D2521" t="s">
        <v>218</v>
      </c>
      <c r="E2521" s="97">
        <v>4.0800000000000003E-2</v>
      </c>
    </row>
    <row r="2522" spans="1:5" ht="15">
      <c r="A2522" s="98">
        <v>2480</v>
      </c>
      <c r="B2522">
        <v>15.68</v>
      </c>
      <c r="C2522">
        <v>15.32</v>
      </c>
      <c r="D2522" t="s">
        <v>218</v>
      </c>
      <c r="E2522" s="97">
        <v>1.14E-2</v>
      </c>
    </row>
    <row r="2523" spans="1:5" ht="15">
      <c r="A2523" s="98">
        <v>2479</v>
      </c>
      <c r="B2523">
        <v>16.88</v>
      </c>
      <c r="C2523">
        <v>15.57</v>
      </c>
      <c r="D2523" t="s">
        <v>218</v>
      </c>
      <c r="E2523" s="97">
        <v>-7.1000000000000004E-3</v>
      </c>
    </row>
    <row r="2524" spans="1:5" ht="15">
      <c r="A2524" s="98">
        <v>2478</v>
      </c>
      <c r="B2524">
        <v>17.46</v>
      </c>
      <c r="C2524">
        <v>16.79</v>
      </c>
      <c r="D2524" t="s">
        <v>218</v>
      </c>
      <c r="E2524" s="97">
        <v>1.8700000000000001E-2</v>
      </c>
    </row>
    <row r="2525" spans="1:5" ht="15">
      <c r="A2525" s="98">
        <v>2477</v>
      </c>
      <c r="B2525">
        <v>18.329999999999998</v>
      </c>
      <c r="C2525">
        <v>16.53</v>
      </c>
      <c r="D2525" t="s">
        <v>218</v>
      </c>
      <c r="E2525" s="97">
        <v>0</v>
      </c>
    </row>
    <row r="2526" spans="1:5" ht="15">
      <c r="A2526" s="98">
        <v>2476</v>
      </c>
      <c r="B2526">
        <v>17.3</v>
      </c>
      <c r="C2526">
        <v>16.399999999999999</v>
      </c>
      <c r="D2526" t="s">
        <v>218</v>
      </c>
      <c r="E2526" s="97">
        <v>2.8000000000000001E-2</v>
      </c>
    </row>
    <row r="2527" spans="1:5" ht="15">
      <c r="A2527" s="98">
        <v>2475</v>
      </c>
      <c r="B2527">
        <v>17.309999999999999</v>
      </c>
      <c r="C2527">
        <v>15.49</v>
      </c>
      <c r="D2527" t="s">
        <v>218</v>
      </c>
      <c r="E2527" s="97">
        <v>-1.41E-2</v>
      </c>
    </row>
    <row r="2528" spans="1:5" ht="15">
      <c r="A2528" s="98">
        <v>2474</v>
      </c>
      <c r="B2528">
        <v>15.44</v>
      </c>
      <c r="C2528">
        <v>14.9</v>
      </c>
      <c r="D2528" t="s">
        <v>218</v>
      </c>
      <c r="E2528" s="97">
        <v>-6.1000000000000004E-3</v>
      </c>
    </row>
    <row r="2529" spans="1:5" ht="15">
      <c r="A2529" s="98">
        <v>2473</v>
      </c>
      <c r="B2529">
        <v>16.13</v>
      </c>
      <c r="C2529">
        <v>15.09</v>
      </c>
      <c r="D2529" t="s">
        <v>218</v>
      </c>
      <c r="E2529" s="97">
        <v>-2.3199999999999998E-2</v>
      </c>
    </row>
    <row r="2530" spans="1:5" ht="15">
      <c r="A2530" s="98">
        <v>2472</v>
      </c>
      <c r="B2530">
        <v>15.63</v>
      </c>
      <c r="C2530">
        <v>14.24</v>
      </c>
      <c r="D2530" t="s">
        <v>218</v>
      </c>
      <c r="E2530" s="97">
        <v>-6.8099999999999994E-2</v>
      </c>
    </row>
    <row r="2531" spans="1:5" ht="15">
      <c r="A2531" s="98">
        <v>2471</v>
      </c>
      <c r="B2531">
        <v>14.87</v>
      </c>
      <c r="C2531">
        <v>14.01</v>
      </c>
      <c r="D2531" t="s">
        <v>218</v>
      </c>
      <c r="E2531" s="97">
        <v>1.9199999999999998E-2</v>
      </c>
    </row>
    <row r="2532" spans="1:5" ht="15">
      <c r="A2532" s="98">
        <v>2470</v>
      </c>
      <c r="B2532">
        <v>15.05</v>
      </c>
      <c r="C2532">
        <v>14.56</v>
      </c>
      <c r="D2532" t="s">
        <v>218</v>
      </c>
      <c r="E2532" s="97">
        <v>1.6999999999999999E-3</v>
      </c>
    </row>
    <row r="2533" spans="1:5" ht="15">
      <c r="A2533" s="98">
        <v>2469</v>
      </c>
      <c r="B2533">
        <v>15.78</v>
      </c>
      <c r="C2533">
        <v>14.52</v>
      </c>
      <c r="D2533" t="s">
        <v>218</v>
      </c>
      <c r="E2533" s="97">
        <v>5.9999999999999995E-4</v>
      </c>
    </row>
    <row r="2534" spans="1:5" ht="15">
      <c r="A2534" s="98">
        <v>2468</v>
      </c>
      <c r="B2534">
        <v>15.44</v>
      </c>
      <c r="C2534">
        <v>14.74</v>
      </c>
      <c r="D2534" t="s">
        <v>218</v>
      </c>
      <c r="E2534" s="97">
        <v>6.7699999999999996E-2</v>
      </c>
    </row>
    <row r="2535" spans="1:5" ht="15">
      <c r="A2535" s="98">
        <v>2467</v>
      </c>
      <c r="B2535">
        <v>17.059999999999999</v>
      </c>
      <c r="C2535">
        <v>15.29</v>
      </c>
      <c r="D2535" t="s">
        <v>218</v>
      </c>
      <c r="E2535" s="97">
        <v>-2.8799999999999999E-2</v>
      </c>
    </row>
    <row r="2536" spans="1:5" ht="15">
      <c r="A2536" s="98">
        <v>2466</v>
      </c>
      <c r="B2536">
        <v>17.66</v>
      </c>
      <c r="C2536">
        <v>16.79</v>
      </c>
      <c r="D2536" t="s">
        <v>218</v>
      </c>
      <c r="E2536" s="97">
        <v>-3.2899999999999999E-2</v>
      </c>
    </row>
    <row r="2537" spans="1:5" ht="15">
      <c r="A2537" s="98">
        <v>2465</v>
      </c>
      <c r="B2537">
        <v>17.350000000000001</v>
      </c>
      <c r="C2537">
        <v>16.55</v>
      </c>
      <c r="D2537" t="s">
        <v>218</v>
      </c>
      <c r="E2537" s="97">
        <v>2.5000000000000001E-2</v>
      </c>
    </row>
    <row r="2538" spans="1:5" ht="15">
      <c r="A2538" s="98">
        <v>2464</v>
      </c>
      <c r="B2538">
        <v>17.559999999999999</v>
      </c>
      <c r="C2538">
        <v>16.670000000000002</v>
      </c>
      <c r="D2538" t="s">
        <v>218</v>
      </c>
      <c r="E2538" s="97">
        <v>-2.8299999999999999E-2</v>
      </c>
    </row>
    <row r="2539" spans="1:5" ht="15">
      <c r="A2539" s="98">
        <v>2463</v>
      </c>
      <c r="B2539">
        <v>17.78</v>
      </c>
      <c r="C2539">
        <v>17.170000000000002</v>
      </c>
      <c r="D2539" t="s">
        <v>218</v>
      </c>
      <c r="E2539" s="97">
        <v>1.84E-2</v>
      </c>
    </row>
    <row r="2540" spans="1:5" ht="15">
      <c r="A2540" s="98">
        <v>2462</v>
      </c>
      <c r="B2540">
        <v>18.059999999999999</v>
      </c>
      <c r="C2540">
        <v>17.46</v>
      </c>
      <c r="D2540" t="s">
        <v>218</v>
      </c>
      <c r="E2540" s="97">
        <v>-1.03E-2</v>
      </c>
    </row>
    <row r="2541" spans="1:5" ht="15">
      <c r="A2541" s="98">
        <v>2461</v>
      </c>
      <c r="B2541">
        <v>17.989999999999998</v>
      </c>
      <c r="C2541">
        <v>17.600000000000001</v>
      </c>
      <c r="D2541" t="s">
        <v>218</v>
      </c>
      <c r="E2541" s="97">
        <v>-4.8800000000000003E-2</v>
      </c>
    </row>
    <row r="2542" spans="1:5" ht="15">
      <c r="A2542" s="98">
        <v>2460</v>
      </c>
      <c r="B2542">
        <v>17.71</v>
      </c>
      <c r="C2542">
        <v>15.94</v>
      </c>
      <c r="D2542" t="s">
        <v>218</v>
      </c>
      <c r="E2542" s="97">
        <v>-1.9699999999999999E-2</v>
      </c>
    </row>
    <row r="2543" spans="1:5" ht="15">
      <c r="A2543" s="98">
        <v>2459</v>
      </c>
      <c r="B2543">
        <v>16.82</v>
      </c>
      <c r="C2543">
        <v>16.12</v>
      </c>
      <c r="D2543" t="s">
        <v>218</v>
      </c>
      <c r="E2543" s="97">
        <v>-1.8800000000000001E-2</v>
      </c>
    </row>
    <row r="2544" spans="1:5" ht="15">
      <c r="A2544" s="98">
        <v>2458</v>
      </c>
      <c r="B2544">
        <v>16.760000000000002</v>
      </c>
      <c r="C2544">
        <v>15.84</v>
      </c>
      <c r="D2544" t="s">
        <v>218</v>
      </c>
      <c r="E2544" s="97">
        <v>-1.18E-2</v>
      </c>
    </row>
    <row r="2545" spans="1:5" ht="15">
      <c r="A2545" s="98">
        <v>2457</v>
      </c>
      <c r="B2545">
        <v>16.16</v>
      </c>
      <c r="C2545">
        <v>15.26</v>
      </c>
      <c r="D2545" t="s">
        <v>218</v>
      </c>
      <c r="E2545" s="97">
        <v>-5.1000000000000004E-3</v>
      </c>
    </row>
    <row r="2546" spans="1:5" ht="15">
      <c r="A2546" s="98">
        <v>2456</v>
      </c>
      <c r="B2546">
        <v>15.72</v>
      </c>
      <c r="C2546">
        <v>15.23</v>
      </c>
      <c r="D2546" t="s">
        <v>218</v>
      </c>
      <c r="E2546" s="97">
        <v>5.0000000000000001E-4</v>
      </c>
    </row>
    <row r="2547" spans="1:5" ht="15">
      <c r="A2547" s="98">
        <v>2455</v>
      </c>
      <c r="B2547">
        <v>16.03</v>
      </c>
      <c r="C2547">
        <v>14.86</v>
      </c>
      <c r="D2547" t="s">
        <v>218</v>
      </c>
      <c r="E2547" s="97">
        <v>-6.25E-2</v>
      </c>
    </row>
    <row r="2548" spans="1:5" ht="15">
      <c r="A2548" s="98">
        <v>2454</v>
      </c>
      <c r="B2548">
        <v>15.96</v>
      </c>
      <c r="C2548">
        <v>15.32</v>
      </c>
      <c r="D2548" t="s">
        <v>218</v>
      </c>
      <c r="E2548" s="97">
        <v>-1.2800000000000001E-2</v>
      </c>
    </row>
    <row r="2549" spans="1:5" ht="15">
      <c r="A2549" s="98">
        <v>2453</v>
      </c>
      <c r="B2549">
        <v>15.76</v>
      </c>
      <c r="C2549">
        <v>15.3</v>
      </c>
      <c r="D2549" t="s">
        <v>218</v>
      </c>
      <c r="E2549" s="97">
        <v>-7.2599999999999998E-2</v>
      </c>
    </row>
    <row r="2550" spans="1:5" ht="15">
      <c r="A2550" s="98">
        <v>2452</v>
      </c>
      <c r="B2550">
        <v>15.97</v>
      </c>
      <c r="C2550">
        <v>15.2</v>
      </c>
      <c r="D2550" t="s">
        <v>218</v>
      </c>
      <c r="E2550" s="97">
        <v>4.8500000000000001E-2</v>
      </c>
    </row>
    <row r="2551" spans="1:5" ht="15">
      <c r="A2551" s="98">
        <v>2451</v>
      </c>
      <c r="B2551">
        <v>16.55</v>
      </c>
      <c r="C2551">
        <v>15.82</v>
      </c>
      <c r="D2551" t="s">
        <v>218</v>
      </c>
      <c r="E2551" s="97">
        <v>-2.52E-2</v>
      </c>
    </row>
    <row r="2552" spans="1:5" ht="15">
      <c r="A2552" s="98">
        <v>2450</v>
      </c>
      <c r="B2552">
        <v>16.78</v>
      </c>
      <c r="C2552">
        <v>16.25</v>
      </c>
      <c r="D2552" t="s">
        <v>218</v>
      </c>
      <c r="E2552" s="97">
        <v>-1.2999999999999999E-3</v>
      </c>
    </row>
    <row r="2553" spans="1:5" ht="15">
      <c r="A2553" s="98">
        <v>2449</v>
      </c>
      <c r="B2553">
        <v>16.760000000000002</v>
      </c>
      <c r="C2553">
        <v>15.77</v>
      </c>
      <c r="D2553" t="s">
        <v>218</v>
      </c>
      <c r="E2553" s="97">
        <v>4.9000000000000002E-2</v>
      </c>
    </row>
    <row r="2554" spans="1:5" ht="15">
      <c r="A2554" s="98">
        <v>2448</v>
      </c>
      <c r="B2554">
        <v>16.05</v>
      </c>
      <c r="C2554">
        <v>14.93</v>
      </c>
      <c r="D2554" t="s">
        <v>218</v>
      </c>
      <c r="E2554" s="97">
        <v>8.9899999999999994E-2</v>
      </c>
    </row>
    <row r="2555" spans="1:5" ht="15">
      <c r="A2555" s="98">
        <v>2447</v>
      </c>
      <c r="B2555">
        <v>15.33</v>
      </c>
      <c r="C2555">
        <v>14.69</v>
      </c>
      <c r="D2555" t="s">
        <v>218</v>
      </c>
      <c r="E2555" s="97">
        <v>-9.1999999999999998E-3</v>
      </c>
    </row>
    <row r="2556" spans="1:5" ht="15">
      <c r="A2556" s="98">
        <v>2446</v>
      </c>
      <c r="B2556">
        <v>14.77</v>
      </c>
      <c r="C2556">
        <v>13.8</v>
      </c>
      <c r="D2556" t="s">
        <v>218</v>
      </c>
      <c r="E2556" s="97">
        <v>0.1203</v>
      </c>
    </row>
    <row r="2557" spans="1:5" ht="15">
      <c r="A2557" s="98">
        <v>2445</v>
      </c>
      <c r="B2557">
        <v>15.05</v>
      </c>
      <c r="C2557">
        <v>14.4</v>
      </c>
      <c r="D2557" t="s">
        <v>218</v>
      </c>
      <c r="E2557" s="97">
        <v>-1.6999999999999999E-3</v>
      </c>
    </row>
    <row r="2558" spans="1:5" ht="15">
      <c r="A2558" s="98">
        <v>2444</v>
      </c>
      <c r="B2558">
        <v>14.89</v>
      </c>
      <c r="C2558">
        <v>14.18</v>
      </c>
      <c r="D2558" t="s">
        <v>218</v>
      </c>
      <c r="E2558" s="97">
        <v>-3.2000000000000001E-2</v>
      </c>
    </row>
    <row r="2559" spans="1:5" ht="15">
      <c r="A2559" s="98">
        <v>2443</v>
      </c>
      <c r="B2559">
        <v>15.27</v>
      </c>
      <c r="C2559">
        <v>14.47</v>
      </c>
      <c r="D2559" t="s">
        <v>218</v>
      </c>
      <c r="E2559" s="97">
        <v>6.7000000000000002E-3</v>
      </c>
    </row>
    <row r="2560" spans="1:5" ht="15">
      <c r="A2560" s="98">
        <v>2442</v>
      </c>
      <c r="B2560">
        <v>14.5</v>
      </c>
      <c r="C2560">
        <v>14.19</v>
      </c>
      <c r="D2560" t="s">
        <v>218</v>
      </c>
      <c r="E2560" s="97">
        <v>-6.4799999999999996E-2</v>
      </c>
    </row>
    <row r="2561" spans="1:5" ht="15">
      <c r="A2561" s="98">
        <v>2441</v>
      </c>
      <c r="B2561">
        <v>14.82</v>
      </c>
      <c r="C2561">
        <v>13.83</v>
      </c>
      <c r="D2561" t="s">
        <v>218</v>
      </c>
      <c r="E2561" s="97">
        <v>3.2099999999999997E-2</v>
      </c>
    </row>
    <row r="2562" spans="1:5" ht="15">
      <c r="A2562" s="98">
        <v>2440</v>
      </c>
      <c r="B2562">
        <v>15.83</v>
      </c>
      <c r="C2562">
        <v>14.54</v>
      </c>
      <c r="D2562" t="s">
        <v>218</v>
      </c>
      <c r="E2562" s="97">
        <v>-2.9600000000000001E-2</v>
      </c>
    </row>
    <row r="2563" spans="1:5" ht="15">
      <c r="A2563" s="98">
        <v>2439</v>
      </c>
      <c r="B2563">
        <v>16.739999999999998</v>
      </c>
      <c r="C2563">
        <v>15.56</v>
      </c>
      <c r="D2563" t="s">
        <v>218</v>
      </c>
      <c r="E2563" s="97">
        <v>-3.7999999999999999E-2</v>
      </c>
    </row>
    <row r="2564" spans="1:5" ht="15">
      <c r="A2564" s="98">
        <v>2438</v>
      </c>
      <c r="B2564">
        <v>18.7</v>
      </c>
      <c r="C2564">
        <v>16.11</v>
      </c>
      <c r="D2564" t="s">
        <v>218</v>
      </c>
      <c r="E2564" s="97">
        <v>6.1499999999999999E-2</v>
      </c>
    </row>
    <row r="2565" spans="1:5" ht="15">
      <c r="A2565" s="98">
        <v>2437</v>
      </c>
      <c r="B2565">
        <v>20.69</v>
      </c>
      <c r="C2565">
        <v>17.63</v>
      </c>
      <c r="D2565" t="s">
        <v>218</v>
      </c>
      <c r="E2565" s="97">
        <v>3.2300000000000002E-2</v>
      </c>
    </row>
    <row r="2566" spans="1:5" ht="15">
      <c r="A2566" s="98">
        <v>2436</v>
      </c>
      <c r="B2566">
        <v>20.079999999999998</v>
      </c>
      <c r="C2566">
        <v>18.059999999999999</v>
      </c>
      <c r="D2566" t="s">
        <v>218</v>
      </c>
      <c r="E2566" s="97">
        <v>5.0000000000000001E-3</v>
      </c>
    </row>
    <row r="2567" spans="1:5" ht="15">
      <c r="A2567" s="98">
        <v>2435</v>
      </c>
      <c r="B2567">
        <v>21.39</v>
      </c>
      <c r="C2567">
        <v>18.86</v>
      </c>
      <c r="D2567" t="s">
        <v>218</v>
      </c>
      <c r="E2567" s="97">
        <v>-2.8899999999999999E-2</v>
      </c>
    </row>
    <row r="2568" spans="1:5" ht="15">
      <c r="A2568" s="98">
        <v>2434</v>
      </c>
      <c r="B2568">
        <v>20.94</v>
      </c>
      <c r="C2568">
        <v>19.86</v>
      </c>
      <c r="D2568" t="s">
        <v>218</v>
      </c>
      <c r="E2568" s="97">
        <v>-3.7600000000000001E-2</v>
      </c>
    </row>
    <row r="2569" spans="1:5" ht="15">
      <c r="A2569" s="98">
        <v>2433</v>
      </c>
      <c r="B2569">
        <v>19.55</v>
      </c>
      <c r="C2569">
        <v>17.98</v>
      </c>
      <c r="D2569" t="s">
        <v>218</v>
      </c>
      <c r="E2569" s="97">
        <v>2.2100000000000002E-2</v>
      </c>
    </row>
    <row r="2570" spans="1:5" ht="15">
      <c r="A2570" s="98">
        <v>2432</v>
      </c>
      <c r="B2570">
        <v>19.23</v>
      </c>
      <c r="C2570">
        <v>18.350000000000001</v>
      </c>
      <c r="D2570" t="s">
        <v>218</v>
      </c>
      <c r="E2570" s="97">
        <v>2.0899999999999998E-2</v>
      </c>
    </row>
    <row r="2571" spans="1:5" ht="15">
      <c r="A2571" s="98">
        <v>2431</v>
      </c>
      <c r="B2571">
        <v>19.25</v>
      </c>
      <c r="C2571">
        <v>17.89</v>
      </c>
      <c r="D2571" t="s">
        <v>218</v>
      </c>
      <c r="E2571" s="97">
        <v>8.0999999999999996E-3</v>
      </c>
    </row>
    <row r="2572" spans="1:5" ht="15">
      <c r="A2572" s="98">
        <v>2430</v>
      </c>
      <c r="B2572">
        <v>22.67</v>
      </c>
      <c r="C2572">
        <v>20.61</v>
      </c>
      <c r="D2572" t="s">
        <v>218</v>
      </c>
      <c r="E2572" s="97">
        <v>-3.4000000000000002E-2</v>
      </c>
    </row>
    <row r="2573" spans="1:5" ht="15">
      <c r="A2573" s="98">
        <v>2429</v>
      </c>
      <c r="B2573">
        <v>21.33</v>
      </c>
      <c r="C2573">
        <v>20.010000000000002</v>
      </c>
      <c r="D2573" t="s">
        <v>218</v>
      </c>
      <c r="E2573" s="97">
        <v>-1.8499999999999999E-2</v>
      </c>
    </row>
    <row r="2574" spans="1:5" ht="15">
      <c r="A2574" s="98">
        <v>2428</v>
      </c>
      <c r="B2574">
        <v>20.83</v>
      </c>
      <c r="C2574">
        <v>19.45</v>
      </c>
      <c r="D2574" t="s">
        <v>218</v>
      </c>
      <c r="E2574" s="97">
        <v>-2E-3</v>
      </c>
    </row>
    <row r="2575" spans="1:5" ht="15">
      <c r="A2575" s="98">
        <v>2427</v>
      </c>
      <c r="B2575">
        <v>19.579999999999998</v>
      </c>
      <c r="C2575">
        <v>17.61</v>
      </c>
      <c r="D2575" t="s">
        <v>218</v>
      </c>
      <c r="E2575" s="97">
        <v>5.28E-2</v>
      </c>
    </row>
    <row r="2576" spans="1:5" ht="15">
      <c r="A2576" s="98">
        <v>2426</v>
      </c>
      <c r="B2576">
        <v>18.23</v>
      </c>
      <c r="C2576">
        <v>16.670000000000002</v>
      </c>
      <c r="D2576" t="s">
        <v>218</v>
      </c>
      <c r="E2576" s="97">
        <v>3.9800000000000002E-2</v>
      </c>
    </row>
    <row r="2577" spans="1:5" ht="15">
      <c r="A2577" s="98">
        <v>2425</v>
      </c>
      <c r="B2577">
        <v>17.170000000000002</v>
      </c>
      <c r="C2577">
        <v>16.29</v>
      </c>
      <c r="D2577" t="s">
        <v>218</v>
      </c>
      <c r="E2577" s="97">
        <v>1.1000000000000001E-3</v>
      </c>
    </row>
    <row r="2578" spans="1:5" ht="15">
      <c r="A2578" s="98">
        <v>2424</v>
      </c>
      <c r="B2578">
        <v>16.8</v>
      </c>
      <c r="C2578">
        <v>16.13</v>
      </c>
      <c r="D2578" t="s">
        <v>218</v>
      </c>
      <c r="E2578" s="97">
        <v>-2.2000000000000001E-3</v>
      </c>
    </row>
    <row r="2579" spans="1:5" ht="15">
      <c r="A2579" s="98">
        <v>2423</v>
      </c>
      <c r="B2579">
        <v>16.96</v>
      </c>
      <c r="C2579">
        <v>16.23</v>
      </c>
      <c r="D2579" t="s">
        <v>218</v>
      </c>
      <c r="E2579" s="97">
        <v>-1.7600000000000001E-2</v>
      </c>
    </row>
    <row r="2580" spans="1:5" ht="15">
      <c r="A2580" s="98">
        <v>2422</v>
      </c>
      <c r="B2580">
        <v>17.25</v>
      </c>
      <c r="C2580">
        <v>16.649999999999999</v>
      </c>
      <c r="D2580" t="s">
        <v>218</v>
      </c>
      <c r="E2580" s="97">
        <v>-4.8999999999999998E-3</v>
      </c>
    </row>
    <row r="2581" spans="1:5" ht="15">
      <c r="A2581" s="98">
        <v>2421</v>
      </c>
      <c r="B2581">
        <v>16.55</v>
      </c>
      <c r="C2581">
        <v>15.21</v>
      </c>
      <c r="D2581" t="s">
        <v>218</v>
      </c>
      <c r="E2581" s="97">
        <v>-1.0800000000000001E-2</v>
      </c>
    </row>
    <row r="2582" spans="1:5" ht="15">
      <c r="A2582" s="98">
        <v>2420</v>
      </c>
      <c r="B2582">
        <v>16.64</v>
      </c>
      <c r="C2582">
        <v>14.81</v>
      </c>
      <c r="D2582" t="s">
        <v>218</v>
      </c>
      <c r="E2582" s="97">
        <v>-1.6E-2</v>
      </c>
    </row>
    <row r="2583" spans="1:5" ht="15">
      <c r="A2583" s="98">
        <v>2419</v>
      </c>
      <c r="B2583">
        <v>15.53</v>
      </c>
      <c r="C2583">
        <v>15.07</v>
      </c>
      <c r="D2583" t="s">
        <v>218</v>
      </c>
      <c r="E2583" s="97">
        <v>4.6300000000000001E-2</v>
      </c>
    </row>
    <row r="2584" spans="1:5" ht="15">
      <c r="A2584" s="98">
        <v>2418</v>
      </c>
      <c r="B2584">
        <v>16.36</v>
      </c>
      <c r="C2584">
        <v>15.34</v>
      </c>
      <c r="D2584" t="s">
        <v>218</v>
      </c>
      <c r="E2584" s="97">
        <v>-9.1600000000000001E-2</v>
      </c>
    </row>
    <row r="2585" spans="1:5" ht="15">
      <c r="A2585" s="98">
        <v>2417</v>
      </c>
      <c r="B2585">
        <v>16.82</v>
      </c>
      <c r="C2585">
        <v>14.96</v>
      </c>
      <c r="D2585" t="s">
        <v>218</v>
      </c>
      <c r="E2585" s="97">
        <v>8.2000000000000007E-3</v>
      </c>
    </row>
    <row r="2586" spans="1:5" ht="15">
      <c r="A2586" s="98">
        <v>2416</v>
      </c>
      <c r="B2586">
        <v>16.12</v>
      </c>
      <c r="C2586">
        <v>15</v>
      </c>
      <c r="D2586" t="s">
        <v>218</v>
      </c>
      <c r="E2586" s="97">
        <v>-3.3099999999999997E-2</v>
      </c>
    </row>
    <row r="2587" spans="1:5" ht="15">
      <c r="A2587" s="98">
        <v>2415</v>
      </c>
      <c r="B2587">
        <v>17.98</v>
      </c>
      <c r="C2587">
        <v>15.29</v>
      </c>
      <c r="D2587" t="s">
        <v>218</v>
      </c>
      <c r="E2587" s="97">
        <v>-5.7700000000000001E-2</v>
      </c>
    </row>
    <row r="2588" spans="1:5" ht="15">
      <c r="A2588" s="98">
        <v>2414</v>
      </c>
      <c r="B2588">
        <v>17.71</v>
      </c>
      <c r="C2588">
        <v>15.6</v>
      </c>
      <c r="D2588" t="s">
        <v>218</v>
      </c>
      <c r="E2588" s="97">
        <v>-5.1999999999999998E-2</v>
      </c>
    </row>
    <row r="2589" spans="1:5" ht="15">
      <c r="A2589" s="98">
        <v>2413</v>
      </c>
      <c r="B2589">
        <v>16.78</v>
      </c>
      <c r="C2589">
        <v>15.22</v>
      </c>
      <c r="D2589" t="s">
        <v>218</v>
      </c>
      <c r="E2589" s="97">
        <v>6.6299999999999998E-2</v>
      </c>
    </row>
    <row r="2590" spans="1:5" ht="15">
      <c r="A2590" s="98">
        <v>2412</v>
      </c>
      <c r="B2590">
        <v>15.69</v>
      </c>
      <c r="C2590">
        <v>14.77</v>
      </c>
      <c r="D2590" t="s">
        <v>218</v>
      </c>
      <c r="E2590" s="97">
        <v>2.5100000000000001E-2</v>
      </c>
    </row>
    <row r="2591" spans="1:5" ht="15">
      <c r="A2591" s="98">
        <v>2411</v>
      </c>
      <c r="B2591">
        <v>16.079999999999998</v>
      </c>
      <c r="C2591">
        <v>15.33</v>
      </c>
      <c r="D2591" t="s">
        <v>218</v>
      </c>
      <c r="E2591" s="97">
        <v>6.4600000000000005E-2</v>
      </c>
    </row>
    <row r="2592" spans="1:5" ht="15">
      <c r="A2592" s="98">
        <v>2410</v>
      </c>
      <c r="B2592">
        <v>16.72</v>
      </c>
      <c r="C2592">
        <v>14.79</v>
      </c>
      <c r="D2592" t="s">
        <v>218</v>
      </c>
      <c r="E2592" s="97">
        <v>3.4000000000000002E-2</v>
      </c>
    </row>
    <row r="2593" spans="1:5" ht="15">
      <c r="A2593" s="98">
        <v>2409</v>
      </c>
      <c r="B2593">
        <v>16.940000000000001</v>
      </c>
      <c r="C2593">
        <v>15.55</v>
      </c>
      <c r="D2593" t="s">
        <v>218</v>
      </c>
      <c r="E2593" s="97">
        <v>9.5999999999999992E-3</v>
      </c>
    </row>
    <row r="2594" spans="1:5" ht="15">
      <c r="A2594" s="98">
        <v>2408</v>
      </c>
      <c r="B2594">
        <v>15.98</v>
      </c>
      <c r="C2594">
        <v>13.86</v>
      </c>
      <c r="D2594" t="s">
        <v>218</v>
      </c>
      <c r="E2594" s="97">
        <v>1.6899999999999998E-2</v>
      </c>
    </row>
    <row r="2595" spans="1:5" ht="15">
      <c r="A2595" s="98">
        <v>2407</v>
      </c>
      <c r="B2595">
        <v>14.56</v>
      </c>
      <c r="C2595">
        <v>13.89</v>
      </c>
      <c r="D2595" t="s">
        <v>218</v>
      </c>
      <c r="E2595" s="97">
        <v>3.44E-2</v>
      </c>
    </row>
    <row r="2596" spans="1:5" ht="15">
      <c r="A2596" s="98">
        <v>2406</v>
      </c>
      <c r="B2596">
        <v>15.22</v>
      </c>
      <c r="C2596">
        <v>14.39</v>
      </c>
      <c r="D2596" t="s">
        <v>218</v>
      </c>
      <c r="E2596" s="97">
        <v>-4.5699999999999998E-2</v>
      </c>
    </row>
    <row r="2597" spans="1:5" ht="15">
      <c r="A2597" s="98">
        <v>2405</v>
      </c>
      <c r="B2597">
        <v>15.17</v>
      </c>
      <c r="C2597">
        <v>14.37</v>
      </c>
      <c r="D2597" t="s">
        <v>218</v>
      </c>
      <c r="E2597" s="97">
        <v>-2.0999999999999999E-3</v>
      </c>
    </row>
    <row r="2598" spans="1:5" ht="15">
      <c r="A2598" s="98">
        <v>2404</v>
      </c>
      <c r="B2598">
        <v>16.54</v>
      </c>
      <c r="C2598">
        <v>15.55</v>
      </c>
      <c r="D2598" t="s">
        <v>218</v>
      </c>
      <c r="E2598" s="97">
        <v>-2.76E-2</v>
      </c>
    </row>
    <row r="2599" spans="1:5" ht="15">
      <c r="A2599" s="98">
        <v>2403</v>
      </c>
      <c r="B2599">
        <v>17.27</v>
      </c>
      <c r="C2599">
        <v>15.87</v>
      </c>
      <c r="D2599" t="s">
        <v>218</v>
      </c>
      <c r="E2599" s="97">
        <v>-3.0800000000000001E-2</v>
      </c>
    </row>
    <row r="2600" spans="1:5" ht="15">
      <c r="A2600" s="98">
        <v>2402</v>
      </c>
      <c r="B2600">
        <v>17.23</v>
      </c>
      <c r="C2600">
        <v>16.14</v>
      </c>
      <c r="D2600" t="s">
        <v>218</v>
      </c>
      <c r="E2600" s="97">
        <v>3.5099999999999999E-2</v>
      </c>
    </row>
    <row r="2601" spans="1:5" ht="15">
      <c r="A2601" s="98">
        <v>2401</v>
      </c>
      <c r="B2601">
        <v>17.72</v>
      </c>
      <c r="C2601">
        <v>16.61</v>
      </c>
      <c r="D2601" t="s">
        <v>218</v>
      </c>
      <c r="E2601" s="97">
        <v>-5.4899999999999997E-2</v>
      </c>
    </row>
    <row r="2602" spans="1:5" ht="15">
      <c r="A2602" s="98">
        <v>2400</v>
      </c>
      <c r="B2602">
        <v>17.13</v>
      </c>
      <c r="C2602">
        <v>15.97</v>
      </c>
      <c r="D2602" t="s">
        <v>218</v>
      </c>
      <c r="E2602" s="97">
        <v>2.3300000000000001E-2</v>
      </c>
    </row>
    <row r="2603" spans="1:5" ht="15">
      <c r="A2603" s="98">
        <v>2399</v>
      </c>
      <c r="B2603">
        <v>16.55</v>
      </c>
      <c r="C2603">
        <v>15.64</v>
      </c>
      <c r="D2603" t="s">
        <v>218</v>
      </c>
      <c r="E2603" s="97">
        <v>1.0699999999999999E-2</v>
      </c>
    </row>
    <row r="2604" spans="1:5" ht="15">
      <c r="A2604" s="98">
        <v>2398</v>
      </c>
      <c r="B2604">
        <v>17.670000000000002</v>
      </c>
      <c r="C2604">
        <v>16.45</v>
      </c>
      <c r="D2604" t="s">
        <v>218</v>
      </c>
      <c r="E2604" s="97">
        <v>-2E-3</v>
      </c>
    </row>
    <row r="2605" spans="1:5" ht="15">
      <c r="A2605" s="98">
        <v>2397</v>
      </c>
      <c r="B2605">
        <v>18.170000000000002</v>
      </c>
      <c r="C2605">
        <v>16.440000000000001</v>
      </c>
      <c r="D2605" t="s">
        <v>218</v>
      </c>
      <c r="E2605" s="97">
        <v>6.0600000000000001E-2</v>
      </c>
    </row>
    <row r="2606" spans="1:5" ht="15">
      <c r="A2606" s="98">
        <v>2396</v>
      </c>
      <c r="B2606">
        <v>20.2</v>
      </c>
      <c r="C2606">
        <v>18.989999999999998</v>
      </c>
      <c r="D2606" t="s">
        <v>218</v>
      </c>
      <c r="E2606" s="97">
        <v>-3.7499999999999999E-2</v>
      </c>
    </row>
    <row r="2607" spans="1:5" ht="15">
      <c r="A2607" s="98">
        <v>2395</v>
      </c>
      <c r="B2607">
        <v>19.28</v>
      </c>
      <c r="C2607">
        <v>17.940000000000001</v>
      </c>
      <c r="D2607" t="s">
        <v>218</v>
      </c>
      <c r="E2607" s="97">
        <v>1.37E-2</v>
      </c>
    </row>
    <row r="2608" spans="1:5" ht="15">
      <c r="A2608" s="98">
        <v>2394</v>
      </c>
      <c r="B2608">
        <v>20.41</v>
      </c>
      <c r="C2608">
        <v>18.14</v>
      </c>
      <c r="D2608" t="s">
        <v>218</v>
      </c>
      <c r="E2608" s="97">
        <v>-2.8199999999999999E-2</v>
      </c>
    </row>
    <row r="2609" spans="1:5" ht="15">
      <c r="A2609" s="98">
        <v>2393</v>
      </c>
      <c r="B2609">
        <v>18.920000000000002</v>
      </c>
      <c r="C2609">
        <v>17.97</v>
      </c>
      <c r="D2609" t="s">
        <v>218</v>
      </c>
      <c r="E2609" s="97">
        <v>-2.8899999999999999E-2</v>
      </c>
    </row>
    <row r="2610" spans="1:5" ht="15">
      <c r="A2610" s="98">
        <v>2392</v>
      </c>
      <c r="B2610">
        <v>19.27</v>
      </c>
      <c r="C2610">
        <v>18.059999999999999</v>
      </c>
      <c r="D2610" t="s">
        <v>218</v>
      </c>
      <c r="E2610" s="97">
        <v>3.4599999999999999E-2</v>
      </c>
    </row>
    <row r="2611" spans="1:5" ht="15">
      <c r="A2611" s="98">
        <v>2391</v>
      </c>
      <c r="B2611">
        <v>20.45</v>
      </c>
      <c r="C2611">
        <v>19.649999999999999</v>
      </c>
      <c r="D2611" t="s">
        <v>218</v>
      </c>
      <c r="E2611" s="97">
        <v>1.89E-2</v>
      </c>
    </row>
    <row r="2612" spans="1:5" ht="15">
      <c r="A2612" s="98">
        <v>2390</v>
      </c>
      <c r="B2612">
        <v>19.7</v>
      </c>
      <c r="C2612">
        <v>19.14</v>
      </c>
      <c r="D2612" t="s">
        <v>218</v>
      </c>
      <c r="E2612" s="97">
        <v>-2.2100000000000002E-2</v>
      </c>
    </row>
    <row r="2613" spans="1:5" ht="15">
      <c r="A2613" s="98">
        <v>2389</v>
      </c>
      <c r="B2613">
        <v>18.93</v>
      </c>
      <c r="C2613">
        <v>17.579999999999998</v>
      </c>
      <c r="D2613" t="s">
        <v>218</v>
      </c>
      <c r="E2613" s="97">
        <v>-3.0999999999999999E-3</v>
      </c>
    </row>
    <row r="2614" spans="1:5" ht="15">
      <c r="A2614" s="98">
        <v>2388</v>
      </c>
      <c r="B2614">
        <v>19.25</v>
      </c>
      <c r="C2614">
        <v>18.55</v>
      </c>
      <c r="D2614" t="s">
        <v>218</v>
      </c>
      <c r="E2614" s="97">
        <v>1.8800000000000001E-2</v>
      </c>
    </row>
    <row r="2615" spans="1:5" ht="15">
      <c r="A2615" s="98">
        <v>2387</v>
      </c>
      <c r="B2615">
        <v>18.739999999999998</v>
      </c>
      <c r="C2615">
        <v>18</v>
      </c>
      <c r="D2615" t="s">
        <v>218</v>
      </c>
      <c r="E2615" s="97">
        <v>-1.24E-2</v>
      </c>
    </row>
    <row r="2616" spans="1:5" ht="15">
      <c r="A2616" s="98">
        <v>2386</v>
      </c>
      <c r="B2616">
        <v>18.82</v>
      </c>
      <c r="C2616">
        <v>17.96</v>
      </c>
      <c r="D2616" t="s">
        <v>218</v>
      </c>
      <c r="E2616" s="97">
        <v>-6.7799999999999999E-2</v>
      </c>
    </row>
    <row r="2617" spans="1:5" ht="15">
      <c r="A2617" s="98">
        <v>2385</v>
      </c>
      <c r="B2617">
        <v>18.420000000000002</v>
      </c>
      <c r="C2617">
        <v>15.73</v>
      </c>
      <c r="D2617" t="s">
        <v>218</v>
      </c>
      <c r="E2617" s="97">
        <v>2.8999999999999998E-3</v>
      </c>
    </row>
    <row r="2618" spans="1:5" ht="15">
      <c r="A2618" s="98">
        <v>2384</v>
      </c>
      <c r="B2618">
        <v>16.3</v>
      </c>
      <c r="C2618">
        <v>15.78</v>
      </c>
      <c r="D2618" t="s">
        <v>218</v>
      </c>
      <c r="E2618" s="97">
        <v>8.3000000000000001E-3</v>
      </c>
    </row>
    <row r="2619" spans="1:5" ht="15">
      <c r="A2619" s="98">
        <v>2383</v>
      </c>
      <c r="B2619">
        <v>15.86</v>
      </c>
      <c r="C2619">
        <v>15.19</v>
      </c>
      <c r="D2619" t="s">
        <v>218</v>
      </c>
      <c r="E2619" s="97">
        <v>7.5200000000000003E-2</v>
      </c>
    </row>
    <row r="2620" spans="1:5" ht="15">
      <c r="A2620" s="98">
        <v>2382</v>
      </c>
      <c r="B2620">
        <v>15.65</v>
      </c>
      <c r="C2620">
        <v>15.39</v>
      </c>
      <c r="D2620" t="s">
        <v>218</v>
      </c>
      <c r="E2620" s="97">
        <v>-3.3300000000000003E-2</v>
      </c>
    </row>
    <row r="2621" spans="1:5" ht="15">
      <c r="A2621" s="98">
        <v>2381</v>
      </c>
      <c r="B2621">
        <v>16.96</v>
      </c>
      <c r="C2621">
        <v>16.190000000000001</v>
      </c>
      <c r="D2621" t="s">
        <v>218</v>
      </c>
      <c r="E2621" s="97">
        <v>2E-3</v>
      </c>
    </row>
    <row r="2622" spans="1:5" ht="15">
      <c r="A2622" s="98">
        <v>2380</v>
      </c>
      <c r="B2622">
        <v>16.7</v>
      </c>
      <c r="C2622">
        <v>15.95</v>
      </c>
      <c r="D2622" t="s">
        <v>218</v>
      </c>
      <c r="E2622" s="97">
        <v>-1.2500000000000001E-2</v>
      </c>
    </row>
    <row r="2623" spans="1:5" ht="15">
      <c r="A2623" s="98">
        <v>2379</v>
      </c>
      <c r="B2623">
        <v>17.04</v>
      </c>
      <c r="C2623">
        <v>16.16</v>
      </c>
      <c r="D2623" t="s">
        <v>218</v>
      </c>
      <c r="E2623" s="97">
        <v>-1.04E-2</v>
      </c>
    </row>
    <row r="2624" spans="1:5" ht="15">
      <c r="A2624" s="98">
        <v>2378</v>
      </c>
      <c r="B2624">
        <v>16.899999999999999</v>
      </c>
      <c r="C2624">
        <v>15.82</v>
      </c>
      <c r="D2624" t="s">
        <v>218</v>
      </c>
      <c r="E2624" s="97">
        <v>-2.1299999999999999E-2</v>
      </c>
    </row>
    <row r="2625" spans="1:5" ht="15">
      <c r="A2625" s="98">
        <v>2377</v>
      </c>
      <c r="B2625">
        <v>16.7</v>
      </c>
      <c r="C2625">
        <v>15.33</v>
      </c>
      <c r="D2625" t="s">
        <v>218</v>
      </c>
      <c r="E2625" s="97">
        <v>1.2200000000000001E-2</v>
      </c>
    </row>
    <row r="2626" spans="1:5" ht="15">
      <c r="A2626" s="98">
        <v>2376</v>
      </c>
      <c r="B2626">
        <v>15.88</v>
      </c>
      <c r="C2626">
        <v>15</v>
      </c>
      <c r="D2626" t="s">
        <v>218</v>
      </c>
      <c r="E2626" s="97">
        <v>9.9000000000000008E-3</v>
      </c>
    </row>
    <row r="2627" spans="1:5" ht="15">
      <c r="A2627" s="98">
        <v>2375</v>
      </c>
      <c r="B2627">
        <v>15.46</v>
      </c>
      <c r="C2627">
        <v>14.56</v>
      </c>
      <c r="D2627" t="s">
        <v>218</v>
      </c>
      <c r="E2627" s="97">
        <v>-2.0799999999999999E-2</v>
      </c>
    </row>
    <row r="2628" spans="1:5" ht="15">
      <c r="A2628" s="98">
        <v>2374</v>
      </c>
      <c r="B2628">
        <v>15.35</v>
      </c>
      <c r="C2628">
        <v>14.92</v>
      </c>
      <c r="D2628" t="s">
        <v>218</v>
      </c>
      <c r="E2628" s="97">
        <v>-6.8199999999999997E-2</v>
      </c>
    </row>
    <row r="2629" spans="1:5" ht="15">
      <c r="A2629" s="98">
        <v>2373</v>
      </c>
      <c r="B2629">
        <v>16.36</v>
      </c>
      <c r="C2629">
        <v>15.54</v>
      </c>
      <c r="D2629" t="s">
        <v>218</v>
      </c>
      <c r="E2629" s="97">
        <v>4.24E-2</v>
      </c>
    </row>
    <row r="2630" spans="1:5" ht="15">
      <c r="A2630" s="98">
        <v>2372</v>
      </c>
      <c r="B2630">
        <v>15.35</v>
      </c>
      <c r="C2630">
        <v>14.72</v>
      </c>
      <c r="D2630" t="s">
        <v>218</v>
      </c>
      <c r="E2630" s="97">
        <v>2.0199999999999999E-2</v>
      </c>
    </row>
    <row r="2631" spans="1:5" ht="15">
      <c r="A2631" s="98">
        <v>2371</v>
      </c>
      <c r="B2631">
        <v>15.22</v>
      </c>
      <c r="C2631">
        <v>14.48</v>
      </c>
      <c r="D2631" t="s">
        <v>218</v>
      </c>
      <c r="E2631" s="97">
        <v>1.0200000000000001E-2</v>
      </c>
    </row>
    <row r="2632" spans="1:5" ht="15">
      <c r="A2632" s="98">
        <v>2370</v>
      </c>
      <c r="B2632">
        <v>15.58</v>
      </c>
      <c r="C2632">
        <v>15</v>
      </c>
      <c r="D2632" t="s">
        <v>218</v>
      </c>
      <c r="E2632" s="97">
        <v>-1.06E-2</v>
      </c>
    </row>
    <row r="2633" spans="1:5" ht="15">
      <c r="A2633" s="98">
        <v>2369</v>
      </c>
      <c r="B2633">
        <v>15.25</v>
      </c>
      <c r="C2633">
        <v>14.51</v>
      </c>
      <c r="D2633" t="s">
        <v>218</v>
      </c>
      <c r="E2633" s="97">
        <v>-5.0000000000000001E-4</v>
      </c>
    </row>
    <row r="2634" spans="1:5" ht="15">
      <c r="A2634" s="98">
        <v>2368</v>
      </c>
      <c r="B2634">
        <v>15.62</v>
      </c>
      <c r="C2634">
        <v>14.96</v>
      </c>
      <c r="D2634" t="s">
        <v>218</v>
      </c>
      <c r="E2634" s="97">
        <v>7.0900000000000005E-2</v>
      </c>
    </row>
    <row r="2635" spans="1:5" ht="15">
      <c r="A2635" s="98">
        <v>2367</v>
      </c>
      <c r="B2635">
        <v>15.64</v>
      </c>
      <c r="C2635">
        <v>14.31</v>
      </c>
      <c r="D2635" t="s">
        <v>218</v>
      </c>
      <c r="E2635" s="97">
        <v>-4.7E-2</v>
      </c>
    </row>
    <row r="2636" spans="1:5" ht="15">
      <c r="A2636" s="98">
        <v>2366</v>
      </c>
      <c r="B2636">
        <v>14.82</v>
      </c>
      <c r="C2636">
        <v>13.75</v>
      </c>
      <c r="D2636" t="s">
        <v>218</v>
      </c>
      <c r="E2636" s="97">
        <v>0.02</v>
      </c>
    </row>
    <row r="2637" spans="1:5" ht="15">
      <c r="A2637" s="98">
        <v>2365</v>
      </c>
      <c r="B2637">
        <v>14.97</v>
      </c>
      <c r="C2637">
        <v>14.16</v>
      </c>
      <c r="D2637" t="s">
        <v>218</v>
      </c>
      <c r="E2637" s="97">
        <v>2E-3</v>
      </c>
    </row>
    <row r="2638" spans="1:5" ht="15">
      <c r="A2638" s="98">
        <v>2364</v>
      </c>
      <c r="B2638">
        <v>15.29</v>
      </c>
      <c r="C2638">
        <v>14.47</v>
      </c>
      <c r="D2638" t="s">
        <v>218</v>
      </c>
      <c r="E2638" s="97">
        <v>4.2799999999999998E-2</v>
      </c>
    </row>
    <row r="2639" spans="1:5" ht="15">
      <c r="A2639" s="98">
        <v>2363</v>
      </c>
      <c r="B2639">
        <v>16.13</v>
      </c>
      <c r="C2639">
        <v>15.19</v>
      </c>
      <c r="D2639" t="s">
        <v>218</v>
      </c>
      <c r="E2639" s="97">
        <v>-3.0800000000000001E-2</v>
      </c>
    </row>
    <row r="2640" spans="1:5" ht="15">
      <c r="A2640" s="98">
        <v>2362</v>
      </c>
      <c r="B2640">
        <v>16.28</v>
      </c>
      <c r="C2640">
        <v>15.22</v>
      </c>
      <c r="D2640" t="s">
        <v>218</v>
      </c>
      <c r="E2640" s="97">
        <v>-6.7400000000000002E-2</v>
      </c>
    </row>
    <row r="2641" spans="1:5" ht="15">
      <c r="A2641" s="98">
        <v>2361</v>
      </c>
      <c r="B2641">
        <v>15.73</v>
      </c>
      <c r="C2641">
        <v>14.25</v>
      </c>
      <c r="D2641" t="s">
        <v>218</v>
      </c>
      <c r="E2641" s="97">
        <v>-3.8E-3</v>
      </c>
    </row>
    <row r="2642" spans="1:5" ht="15">
      <c r="A2642" s="98">
        <v>2360</v>
      </c>
      <c r="B2642">
        <v>15.57</v>
      </c>
      <c r="C2642">
        <v>14.41</v>
      </c>
      <c r="D2642" t="s">
        <v>218</v>
      </c>
      <c r="E2642" s="97">
        <v>3.7999999999999999E-2</v>
      </c>
    </row>
    <row r="2643" spans="1:5" ht="15">
      <c r="A2643" s="98">
        <v>2359</v>
      </c>
      <c r="B2643">
        <v>15.45</v>
      </c>
      <c r="C2643">
        <v>14.8</v>
      </c>
      <c r="D2643" t="s">
        <v>218</v>
      </c>
      <c r="E2643" s="97">
        <v>0.1147</v>
      </c>
    </row>
    <row r="2644" spans="1:5" ht="15">
      <c r="A2644" s="98">
        <v>2358</v>
      </c>
      <c r="B2644">
        <v>16.75</v>
      </c>
      <c r="C2644">
        <v>16.13</v>
      </c>
      <c r="D2644" t="s">
        <v>218</v>
      </c>
      <c r="E2644" s="97">
        <v>-4.3700000000000003E-2</v>
      </c>
    </row>
    <row r="2645" spans="1:5" ht="15">
      <c r="A2645" s="98">
        <v>2357</v>
      </c>
      <c r="B2645">
        <v>16.47</v>
      </c>
      <c r="C2645">
        <v>15.59</v>
      </c>
      <c r="D2645" t="s">
        <v>218</v>
      </c>
      <c r="E2645" s="97">
        <v>-3.7999999999999999E-2</v>
      </c>
    </row>
    <row r="2646" spans="1:5" ht="15">
      <c r="A2646" s="98">
        <v>2356</v>
      </c>
      <c r="B2646">
        <v>16.36</v>
      </c>
      <c r="C2646">
        <v>15.5</v>
      </c>
      <c r="D2646" t="s">
        <v>218</v>
      </c>
      <c r="E2646" s="97">
        <v>4.4999999999999997E-3</v>
      </c>
    </row>
    <row r="2647" spans="1:5" ht="15">
      <c r="A2647" s="98">
        <v>2355</v>
      </c>
      <c r="B2647">
        <v>16.03</v>
      </c>
      <c r="C2647">
        <v>15.71</v>
      </c>
      <c r="D2647" t="s">
        <v>218</v>
      </c>
      <c r="E2647" s="97">
        <v>0.02</v>
      </c>
    </row>
    <row r="2648" spans="1:5" ht="15">
      <c r="A2648" s="98">
        <v>2354</v>
      </c>
      <c r="B2648">
        <v>15.61</v>
      </c>
      <c r="C2648">
        <v>14.61</v>
      </c>
      <c r="D2648" t="s">
        <v>218</v>
      </c>
      <c r="E2648" s="97">
        <v>-8.6E-3</v>
      </c>
    </row>
    <row r="2649" spans="1:5" ht="15">
      <c r="A2649" s="98">
        <v>2353</v>
      </c>
      <c r="B2649">
        <v>15.08</v>
      </c>
      <c r="C2649">
        <v>14.28</v>
      </c>
      <c r="D2649" t="s">
        <v>218</v>
      </c>
      <c r="E2649" s="97">
        <v>-7.2999999999999995E-2</v>
      </c>
    </row>
    <row r="2650" spans="1:5" ht="15">
      <c r="A2650" s="98">
        <v>2352</v>
      </c>
      <c r="B2650">
        <v>16.59</v>
      </c>
      <c r="C2650">
        <v>13.34</v>
      </c>
      <c r="D2650" t="s">
        <v>218</v>
      </c>
      <c r="E2650" s="97">
        <v>1.14E-2</v>
      </c>
    </row>
    <row r="2651" spans="1:5" ht="15">
      <c r="A2651" s="98">
        <v>2351</v>
      </c>
      <c r="B2651">
        <v>14.73</v>
      </c>
      <c r="C2651">
        <v>13.6</v>
      </c>
      <c r="D2651" t="s">
        <v>218</v>
      </c>
      <c r="E2651" s="97">
        <v>9.5999999999999992E-3</v>
      </c>
    </row>
    <row r="2652" spans="1:5" ht="15">
      <c r="A2652" s="98">
        <v>2350</v>
      </c>
      <c r="B2652">
        <v>14.58</v>
      </c>
      <c r="C2652">
        <v>13.95</v>
      </c>
      <c r="D2652" t="s">
        <v>218</v>
      </c>
      <c r="E2652" s="97">
        <v>-1.5599999999999999E-2</v>
      </c>
    </row>
    <row r="2653" spans="1:5" ht="15">
      <c r="A2653" s="98">
        <v>2349</v>
      </c>
      <c r="B2653">
        <v>15.83</v>
      </c>
      <c r="C2653">
        <v>14.86</v>
      </c>
      <c r="D2653" t="s">
        <v>218</v>
      </c>
      <c r="E2653" s="97">
        <v>2.4199999999999999E-2</v>
      </c>
    </row>
    <row r="2654" spans="1:5" ht="15">
      <c r="A2654" s="98">
        <v>2348</v>
      </c>
      <c r="B2654">
        <v>15.57</v>
      </c>
      <c r="C2654">
        <v>13.98</v>
      </c>
      <c r="D2654" t="s">
        <v>218</v>
      </c>
      <c r="E2654" s="97">
        <v>-4.4499999999999998E-2</v>
      </c>
    </row>
    <row r="2655" spans="1:5" ht="15">
      <c r="A2655" s="98">
        <v>2347</v>
      </c>
      <c r="B2655">
        <v>16.46</v>
      </c>
      <c r="C2655">
        <v>13.91</v>
      </c>
      <c r="D2655" t="s">
        <v>218</v>
      </c>
      <c r="E2655" s="97">
        <v>1.7899999999999999E-2</v>
      </c>
    </row>
    <row r="2656" spans="1:5" ht="15">
      <c r="A2656" s="98">
        <v>2346</v>
      </c>
      <c r="B2656">
        <v>17.100000000000001</v>
      </c>
      <c r="C2656">
        <v>15.29</v>
      </c>
      <c r="D2656" t="s">
        <v>218</v>
      </c>
      <c r="E2656" s="97">
        <v>2.1700000000000001E-2</v>
      </c>
    </row>
    <row r="2657" spans="1:5" ht="15">
      <c r="A2657" s="98">
        <v>2345</v>
      </c>
      <c r="B2657">
        <v>16.940000000000001</v>
      </c>
      <c r="C2657">
        <v>15.82</v>
      </c>
      <c r="D2657" t="s">
        <v>218</v>
      </c>
      <c r="E2657" s="97">
        <v>-3.8E-3</v>
      </c>
    </row>
    <row r="2658" spans="1:5" ht="15">
      <c r="A2658" s="98">
        <v>2344</v>
      </c>
      <c r="B2658">
        <v>17.93</v>
      </c>
      <c r="C2658">
        <v>16.98</v>
      </c>
      <c r="D2658" t="s">
        <v>218</v>
      </c>
      <c r="E2658" s="97">
        <v>1.9E-3</v>
      </c>
    </row>
    <row r="2659" spans="1:5" ht="15">
      <c r="A2659" s="98">
        <v>2343</v>
      </c>
      <c r="B2659">
        <v>17.34</v>
      </c>
      <c r="C2659">
        <v>16.3</v>
      </c>
      <c r="D2659" t="s">
        <v>218</v>
      </c>
      <c r="E2659" s="97">
        <v>2.3099999999999999E-2</v>
      </c>
    </row>
    <row r="2660" spans="1:5" ht="15">
      <c r="A2660" s="98">
        <v>2342</v>
      </c>
      <c r="B2660">
        <v>17.41</v>
      </c>
      <c r="C2660">
        <v>15.94</v>
      </c>
      <c r="D2660" t="s">
        <v>218</v>
      </c>
      <c r="E2660" s="97">
        <v>-2.2599999999999999E-2</v>
      </c>
    </row>
    <row r="2661" spans="1:5" ht="15">
      <c r="A2661" s="98">
        <v>2341</v>
      </c>
      <c r="B2661">
        <v>16.12</v>
      </c>
      <c r="C2661">
        <v>15.42</v>
      </c>
      <c r="D2661" t="s">
        <v>218</v>
      </c>
      <c r="E2661" s="97">
        <v>4.7999999999999996E-3</v>
      </c>
    </row>
    <row r="2662" spans="1:5" ht="15">
      <c r="A2662" s="98">
        <v>2340</v>
      </c>
      <c r="B2662">
        <v>15.89</v>
      </c>
      <c r="C2662">
        <v>15.27</v>
      </c>
      <c r="D2662" t="s">
        <v>218</v>
      </c>
      <c r="E2662" s="97">
        <v>-5.6899999999999999E-2</v>
      </c>
    </row>
    <row r="2663" spans="1:5" ht="15">
      <c r="A2663" s="98">
        <v>2339</v>
      </c>
      <c r="B2663">
        <v>16.579999999999998</v>
      </c>
      <c r="C2663">
        <v>15.22</v>
      </c>
      <c r="D2663" t="s">
        <v>218</v>
      </c>
      <c r="E2663" s="97">
        <v>2.0899999999999998E-2</v>
      </c>
    </row>
    <row r="2664" spans="1:5" ht="15">
      <c r="A2664" s="98">
        <v>2338</v>
      </c>
      <c r="B2664">
        <v>16.05</v>
      </c>
      <c r="C2664">
        <v>15.28</v>
      </c>
      <c r="D2664" t="s">
        <v>218</v>
      </c>
      <c r="E2664" s="97">
        <v>-4.53E-2</v>
      </c>
    </row>
    <row r="2665" spans="1:5" ht="15">
      <c r="A2665" s="98">
        <v>2337</v>
      </c>
      <c r="B2665">
        <v>16.649999999999999</v>
      </c>
      <c r="C2665">
        <v>15.82</v>
      </c>
      <c r="D2665" t="s">
        <v>218</v>
      </c>
      <c r="E2665" s="97">
        <v>-1.8E-3</v>
      </c>
    </row>
    <row r="2666" spans="1:5" ht="15">
      <c r="A2666" s="98">
        <v>2336</v>
      </c>
      <c r="B2666">
        <v>18.41</v>
      </c>
      <c r="C2666">
        <v>16.170000000000002</v>
      </c>
      <c r="D2666" t="s">
        <v>218</v>
      </c>
      <c r="E2666" s="97">
        <v>-3.6299999999999999E-2</v>
      </c>
    </row>
    <row r="2667" spans="1:5" ht="15">
      <c r="A2667" s="98">
        <v>2335</v>
      </c>
      <c r="B2667">
        <v>19.68</v>
      </c>
      <c r="C2667">
        <v>18.18</v>
      </c>
      <c r="D2667" t="s">
        <v>218</v>
      </c>
      <c r="E2667" s="97">
        <v>-4.2099999999999999E-2</v>
      </c>
    </row>
    <row r="2668" spans="1:5" ht="15">
      <c r="A2668" s="98">
        <v>2334</v>
      </c>
      <c r="B2668">
        <v>19.97</v>
      </c>
      <c r="C2668">
        <v>18.63</v>
      </c>
      <c r="D2668" t="s">
        <v>218</v>
      </c>
      <c r="E2668" s="97">
        <v>-4.53E-2</v>
      </c>
    </row>
    <row r="2669" spans="1:5" ht="15">
      <c r="A2669" s="98">
        <v>2333</v>
      </c>
      <c r="B2669">
        <v>18.86</v>
      </c>
      <c r="C2669">
        <v>17.25</v>
      </c>
      <c r="D2669" t="s">
        <v>218</v>
      </c>
      <c r="E2669" s="97">
        <v>-5.57E-2</v>
      </c>
    </row>
    <row r="2670" spans="1:5" ht="15">
      <c r="A2670" s="98">
        <v>2332</v>
      </c>
      <c r="B2670">
        <v>18.489999999999998</v>
      </c>
      <c r="C2670">
        <v>17.84</v>
      </c>
      <c r="D2670" t="s">
        <v>218</v>
      </c>
      <c r="E2670" s="97">
        <v>-6.9999999999999999E-4</v>
      </c>
    </row>
    <row r="2671" spans="1:5" ht="15">
      <c r="A2671" s="98">
        <v>2331</v>
      </c>
      <c r="B2671">
        <v>19.3</v>
      </c>
      <c r="C2671">
        <v>18.36</v>
      </c>
      <c r="D2671" t="s">
        <v>218</v>
      </c>
      <c r="E2671" s="97">
        <v>-4.6399999999999997E-2</v>
      </c>
    </row>
    <row r="2672" spans="1:5" ht="15">
      <c r="A2672" s="98">
        <v>2330</v>
      </c>
      <c r="B2672">
        <v>19.25</v>
      </c>
      <c r="C2672">
        <v>17.97</v>
      </c>
      <c r="D2672" t="s">
        <v>218</v>
      </c>
      <c r="E2672" s="97">
        <v>-2.3300000000000001E-2</v>
      </c>
    </row>
    <row r="2673" spans="1:5" ht="15">
      <c r="A2673" s="98">
        <v>2329</v>
      </c>
      <c r="B2673">
        <v>19.28</v>
      </c>
      <c r="C2673">
        <v>17.420000000000002</v>
      </c>
      <c r="D2673" t="s">
        <v>218</v>
      </c>
      <c r="E2673" s="97">
        <v>3.2599999999999997E-2</v>
      </c>
    </row>
    <row r="2674" spans="1:5" ht="15">
      <c r="A2674" s="98">
        <v>2328</v>
      </c>
      <c r="B2674">
        <v>17.28</v>
      </c>
      <c r="C2674">
        <v>16.16</v>
      </c>
      <c r="D2674" t="s">
        <v>218</v>
      </c>
      <c r="E2674" s="97">
        <v>6.7999999999999996E-3</v>
      </c>
    </row>
    <row r="2675" spans="1:5" ht="15">
      <c r="A2675" s="98">
        <v>2327</v>
      </c>
      <c r="B2675">
        <v>17.55</v>
      </c>
      <c r="C2675">
        <v>16.13</v>
      </c>
      <c r="D2675" t="s">
        <v>218</v>
      </c>
      <c r="E2675" s="97">
        <v>-1.2E-2</v>
      </c>
    </row>
    <row r="2676" spans="1:5" ht="15">
      <c r="A2676" s="98">
        <v>2326</v>
      </c>
      <c r="B2676">
        <v>17.55</v>
      </c>
      <c r="C2676">
        <v>16.309999999999999</v>
      </c>
      <c r="D2676" t="s">
        <v>218</v>
      </c>
      <c r="E2676" s="97">
        <v>-2.7099999999999999E-2</v>
      </c>
    </row>
    <row r="2677" spans="1:5" ht="15">
      <c r="A2677" s="98">
        <v>2325</v>
      </c>
      <c r="B2677">
        <v>17.04</v>
      </c>
      <c r="C2677">
        <v>15.78</v>
      </c>
      <c r="D2677" t="s">
        <v>218</v>
      </c>
      <c r="E2677" s="97">
        <v>5.0500000000000003E-2</v>
      </c>
    </row>
    <row r="2678" spans="1:5" ht="15">
      <c r="A2678" s="98">
        <v>2324</v>
      </c>
      <c r="B2678">
        <v>16.71</v>
      </c>
      <c r="C2678">
        <v>15.79</v>
      </c>
      <c r="D2678" t="s">
        <v>218</v>
      </c>
      <c r="E2678" s="97">
        <v>-7.4999999999999997E-3</v>
      </c>
    </row>
    <row r="2679" spans="1:5" ht="15">
      <c r="A2679" s="98">
        <v>2323</v>
      </c>
      <c r="B2679">
        <v>15.81</v>
      </c>
      <c r="C2679">
        <v>15.33</v>
      </c>
      <c r="D2679" t="s">
        <v>218</v>
      </c>
      <c r="E2679" s="97">
        <v>-9.5999999999999992E-3</v>
      </c>
    </row>
    <row r="2680" spans="1:5" ht="15">
      <c r="A2680" s="98">
        <v>2322</v>
      </c>
      <c r="B2680">
        <v>15.76</v>
      </c>
      <c r="C2680">
        <v>14.81</v>
      </c>
      <c r="D2680" t="s">
        <v>218</v>
      </c>
      <c r="E2680" s="97">
        <v>-1.8100000000000002E-2</v>
      </c>
    </row>
    <row r="2681" spans="1:5" ht="15">
      <c r="A2681" s="98">
        <v>2321</v>
      </c>
      <c r="B2681">
        <v>15.22</v>
      </c>
      <c r="C2681">
        <v>14.76</v>
      </c>
      <c r="D2681" t="s">
        <v>218</v>
      </c>
      <c r="E2681" s="97">
        <v>-5.3999999999999999E-2</v>
      </c>
    </row>
    <row r="2682" spans="1:5" ht="15">
      <c r="A2682" s="98">
        <v>2320</v>
      </c>
      <c r="B2682">
        <v>15.02</v>
      </c>
      <c r="C2682">
        <v>14.67</v>
      </c>
      <c r="D2682" t="s">
        <v>218</v>
      </c>
      <c r="E2682" s="97">
        <v>0.06</v>
      </c>
    </row>
    <row r="2683" spans="1:5" ht="15">
      <c r="A2683" s="98">
        <v>2319</v>
      </c>
      <c r="B2683">
        <v>15.58</v>
      </c>
      <c r="C2683">
        <v>15.3</v>
      </c>
      <c r="D2683" t="s">
        <v>218</v>
      </c>
      <c r="E2683" s="97">
        <v>-5.8099999999999999E-2</v>
      </c>
    </row>
    <row r="2684" spans="1:5" ht="15">
      <c r="A2684" s="98">
        <v>2318</v>
      </c>
      <c r="B2684">
        <v>15.85</v>
      </c>
      <c r="C2684">
        <v>15.28</v>
      </c>
      <c r="D2684" t="s">
        <v>218</v>
      </c>
      <c r="E2684" s="97">
        <v>-3.49E-2</v>
      </c>
    </row>
    <row r="2685" spans="1:5" ht="15">
      <c r="A2685" s="98">
        <v>2317</v>
      </c>
      <c r="B2685">
        <v>15.39</v>
      </c>
      <c r="C2685">
        <v>14.72</v>
      </c>
      <c r="D2685" t="s">
        <v>218</v>
      </c>
      <c r="E2685" s="97">
        <v>3.6499999999999998E-2</v>
      </c>
    </row>
    <row r="2686" spans="1:5" ht="15">
      <c r="A2686" s="98">
        <v>2316</v>
      </c>
      <c r="B2686">
        <v>15.05</v>
      </c>
      <c r="C2686">
        <v>14.18</v>
      </c>
      <c r="D2686" t="s">
        <v>218</v>
      </c>
      <c r="E2686" s="97">
        <v>-4.1599999999999998E-2</v>
      </c>
    </row>
    <row r="2687" spans="1:5" ht="15">
      <c r="A2687" s="98">
        <v>2315</v>
      </c>
      <c r="B2687">
        <v>14.38</v>
      </c>
      <c r="C2687">
        <v>13.79</v>
      </c>
      <c r="D2687" t="s">
        <v>218</v>
      </c>
      <c r="E2687" s="97">
        <v>2.4899999999999999E-2</v>
      </c>
    </row>
    <row r="2688" spans="1:5" ht="15">
      <c r="A2688" s="98">
        <v>2314</v>
      </c>
      <c r="B2688">
        <v>14.64</v>
      </c>
      <c r="C2688">
        <v>14.03</v>
      </c>
      <c r="D2688" t="s">
        <v>218</v>
      </c>
      <c r="E2688" s="97">
        <v>-2.46E-2</v>
      </c>
    </row>
    <row r="2689" spans="1:5" ht="15">
      <c r="A2689" s="98">
        <v>2313</v>
      </c>
      <c r="B2689">
        <v>14.31</v>
      </c>
      <c r="C2689">
        <v>13.88</v>
      </c>
      <c r="D2689" t="s">
        <v>218</v>
      </c>
      <c r="E2689" s="97">
        <v>-5.2200000000000003E-2</v>
      </c>
    </row>
    <row r="2690" spans="1:5" ht="15">
      <c r="A2690" s="98">
        <v>2312</v>
      </c>
      <c r="B2690">
        <v>14.41</v>
      </c>
      <c r="C2690">
        <v>13.7</v>
      </c>
      <c r="D2690" t="s">
        <v>218</v>
      </c>
      <c r="E2690" s="97">
        <v>-3.0000000000000001E-3</v>
      </c>
    </row>
    <row r="2691" spans="1:5" ht="15">
      <c r="A2691" s="98">
        <v>2311</v>
      </c>
      <c r="B2691">
        <v>14.23</v>
      </c>
      <c r="C2691">
        <v>13.69</v>
      </c>
      <c r="D2691" t="s">
        <v>218</v>
      </c>
      <c r="E2691" s="97">
        <v>8.9999999999999993E-3</v>
      </c>
    </row>
    <row r="2692" spans="1:5" ht="15">
      <c r="A2692" s="98">
        <v>2310</v>
      </c>
      <c r="B2692">
        <v>13.78</v>
      </c>
      <c r="C2692">
        <v>13.16</v>
      </c>
      <c r="D2692" t="s">
        <v>218</v>
      </c>
      <c r="E2692" s="97">
        <v>7.1800000000000003E-2</v>
      </c>
    </row>
    <row r="2693" spans="1:5" ht="15">
      <c r="A2693" s="98">
        <v>2309</v>
      </c>
      <c r="B2693">
        <v>13.89</v>
      </c>
      <c r="C2693">
        <v>13.5</v>
      </c>
      <c r="D2693" t="s">
        <v>218</v>
      </c>
      <c r="E2693" s="97">
        <v>-9.1999999999999998E-3</v>
      </c>
    </row>
    <row r="2694" spans="1:5" ht="15">
      <c r="A2694" s="98">
        <v>2308</v>
      </c>
      <c r="B2694">
        <v>14.67</v>
      </c>
      <c r="C2694">
        <v>13.68</v>
      </c>
      <c r="D2694" t="s">
        <v>218</v>
      </c>
      <c r="E2694" s="97">
        <v>3.2599999999999997E-2</v>
      </c>
    </row>
    <row r="2695" spans="1:5" ht="15">
      <c r="A2695" s="98">
        <v>2307</v>
      </c>
      <c r="B2695">
        <v>14.66</v>
      </c>
      <c r="C2695">
        <v>14.27</v>
      </c>
      <c r="D2695" t="s">
        <v>218</v>
      </c>
      <c r="E2695" s="97">
        <v>-4.5600000000000002E-2</v>
      </c>
    </row>
    <row r="2696" spans="1:5" ht="15">
      <c r="A2696" s="98">
        <v>2306</v>
      </c>
      <c r="B2696">
        <v>14.43</v>
      </c>
      <c r="C2696">
        <v>13.93</v>
      </c>
      <c r="D2696" t="s">
        <v>218</v>
      </c>
      <c r="E2696" s="97">
        <v>4.5999999999999999E-2</v>
      </c>
    </row>
    <row r="2697" spans="1:5" ht="15">
      <c r="A2697" s="98">
        <v>2305</v>
      </c>
      <c r="B2697">
        <v>15.29</v>
      </c>
      <c r="C2697">
        <v>13.98</v>
      </c>
      <c r="D2697" t="s">
        <v>218</v>
      </c>
      <c r="E2697" s="97">
        <v>2.7E-2</v>
      </c>
    </row>
    <row r="2698" spans="1:5" ht="15">
      <c r="A2698" s="98">
        <v>2304</v>
      </c>
      <c r="B2698">
        <v>15.98</v>
      </c>
      <c r="C2698">
        <v>13.38</v>
      </c>
      <c r="D2698" t="s">
        <v>218</v>
      </c>
      <c r="E2698" s="97">
        <v>-2.9499999999999998E-2</v>
      </c>
    </row>
    <row r="2699" spans="1:5" ht="15">
      <c r="A2699" s="98">
        <v>2303</v>
      </c>
      <c r="B2699">
        <v>15.3</v>
      </c>
      <c r="C2699">
        <v>13.95</v>
      </c>
      <c r="D2699" t="s">
        <v>218</v>
      </c>
      <c r="E2699" s="97">
        <v>-4.41E-2</v>
      </c>
    </row>
    <row r="2700" spans="1:5" ht="15">
      <c r="A2700" s="98">
        <v>2302</v>
      </c>
      <c r="B2700">
        <v>15.08</v>
      </c>
      <c r="C2700">
        <v>14.61</v>
      </c>
      <c r="D2700" t="s">
        <v>218</v>
      </c>
      <c r="E2700" s="97">
        <v>6.3E-3</v>
      </c>
    </row>
    <row r="2701" spans="1:5" ht="15">
      <c r="A2701" s="98">
        <v>2301</v>
      </c>
      <c r="B2701">
        <v>14.94</v>
      </c>
      <c r="C2701">
        <v>14.08</v>
      </c>
      <c r="D2701" t="s">
        <v>218</v>
      </c>
      <c r="E2701" s="97">
        <v>-7.4999999999999997E-3</v>
      </c>
    </row>
    <row r="2702" spans="1:5" ht="15">
      <c r="A2702" s="98">
        <v>2300</v>
      </c>
      <c r="B2702">
        <v>15.09</v>
      </c>
      <c r="C2702">
        <v>14.55</v>
      </c>
      <c r="D2702" t="s">
        <v>218</v>
      </c>
      <c r="E2702" s="97">
        <v>5.7200000000000001E-2</v>
      </c>
    </row>
    <row r="2703" spans="1:5" ht="15">
      <c r="A2703" s="98">
        <v>2299</v>
      </c>
      <c r="B2703">
        <v>14.84</v>
      </c>
      <c r="C2703">
        <v>13.69</v>
      </c>
      <c r="D2703" t="s">
        <v>218</v>
      </c>
      <c r="E2703" s="97">
        <v>-2.92E-2</v>
      </c>
    </row>
    <row r="2704" spans="1:5" ht="15">
      <c r="A2704" s="98">
        <v>2298</v>
      </c>
      <c r="B2704">
        <v>14.14</v>
      </c>
      <c r="C2704">
        <v>13.2</v>
      </c>
      <c r="D2704" t="s">
        <v>218</v>
      </c>
      <c r="E2704" s="97">
        <v>-4.7999999999999996E-3</v>
      </c>
    </row>
    <row r="2705" spans="1:5" ht="15">
      <c r="A2705" s="98">
        <v>2297</v>
      </c>
      <c r="B2705">
        <v>13.67</v>
      </c>
      <c r="C2705">
        <v>13.2</v>
      </c>
      <c r="D2705" t="s">
        <v>218</v>
      </c>
      <c r="E2705" s="97">
        <v>6.4000000000000003E-3</v>
      </c>
    </row>
    <row r="2706" spans="1:5" ht="15">
      <c r="A2706" s="98">
        <v>2296</v>
      </c>
      <c r="B2706">
        <v>13.11</v>
      </c>
      <c r="C2706">
        <v>12.6</v>
      </c>
      <c r="D2706" t="s">
        <v>218</v>
      </c>
      <c r="E2706" s="97">
        <v>-4.6300000000000001E-2</v>
      </c>
    </row>
    <row r="2707" spans="1:5" ht="15">
      <c r="A2707" s="98">
        <v>2295</v>
      </c>
      <c r="B2707">
        <v>13.45</v>
      </c>
      <c r="C2707">
        <v>12.99</v>
      </c>
      <c r="D2707" t="s">
        <v>218</v>
      </c>
      <c r="E2707" s="97">
        <v>-3.2000000000000001E-2</v>
      </c>
    </row>
    <row r="2708" spans="1:5" ht="15">
      <c r="A2708" s="98">
        <v>2294</v>
      </c>
      <c r="B2708">
        <v>14.19</v>
      </c>
      <c r="C2708">
        <v>13.51</v>
      </c>
      <c r="D2708" t="s">
        <v>218</v>
      </c>
      <c r="E2708" s="97">
        <v>-1.84E-2</v>
      </c>
    </row>
    <row r="2709" spans="1:5" ht="15">
      <c r="A2709" s="98">
        <v>2293</v>
      </c>
      <c r="B2709">
        <v>14.1</v>
      </c>
      <c r="C2709">
        <v>13.24</v>
      </c>
      <c r="D2709" t="s">
        <v>218</v>
      </c>
      <c r="E2709" s="97">
        <v>1.9300000000000001E-2</v>
      </c>
    </row>
    <row r="2710" spans="1:5" ht="15">
      <c r="A2710" s="98">
        <v>2292</v>
      </c>
      <c r="B2710">
        <v>14.66</v>
      </c>
      <c r="C2710">
        <v>13.32</v>
      </c>
      <c r="D2710" t="s">
        <v>218</v>
      </c>
      <c r="E2710" s="97">
        <v>-9.1000000000000004E-3</v>
      </c>
    </row>
    <row r="2711" spans="1:5" ht="15">
      <c r="A2711" s="98">
        <v>2291</v>
      </c>
      <c r="B2711">
        <v>15.52</v>
      </c>
      <c r="C2711">
        <v>13.78</v>
      </c>
      <c r="D2711" t="s">
        <v>218</v>
      </c>
      <c r="E2711" s="97">
        <v>-5.9999999999999995E-4</v>
      </c>
    </row>
    <row r="2712" spans="1:5" ht="15">
      <c r="A2712" s="98">
        <v>2290</v>
      </c>
      <c r="B2712">
        <v>15.27</v>
      </c>
      <c r="C2712">
        <v>14.28</v>
      </c>
      <c r="D2712" t="s">
        <v>218</v>
      </c>
      <c r="E2712" s="97">
        <v>1.9800000000000002E-2</v>
      </c>
    </row>
    <row r="2713" spans="1:5" ht="15">
      <c r="A2713" s="98">
        <v>2289</v>
      </c>
      <c r="B2713">
        <v>15.69</v>
      </c>
      <c r="C2713">
        <v>14.91</v>
      </c>
      <c r="D2713" t="s">
        <v>218</v>
      </c>
      <c r="E2713" s="97">
        <v>9.4000000000000004E-3</v>
      </c>
    </row>
    <row r="2714" spans="1:5" ht="15">
      <c r="A2714" s="98">
        <v>2288</v>
      </c>
      <c r="B2714">
        <v>15.63</v>
      </c>
      <c r="C2714">
        <v>13.92</v>
      </c>
      <c r="D2714" t="s">
        <v>218</v>
      </c>
      <c r="E2714" s="97">
        <v>8.5000000000000006E-3</v>
      </c>
    </row>
    <row r="2715" spans="1:5" ht="15">
      <c r="A2715" s="98">
        <v>2287</v>
      </c>
      <c r="B2715">
        <v>16.559999999999999</v>
      </c>
      <c r="C2715">
        <v>15.22</v>
      </c>
      <c r="D2715" t="s">
        <v>218</v>
      </c>
      <c r="E2715" s="97">
        <v>5.6099999999999997E-2</v>
      </c>
    </row>
    <row r="2716" spans="1:5" ht="15">
      <c r="A2716" s="98">
        <v>2286</v>
      </c>
      <c r="B2716">
        <v>16.489999999999998</v>
      </c>
      <c r="C2716">
        <v>14.72</v>
      </c>
      <c r="D2716" t="s">
        <v>218</v>
      </c>
      <c r="E2716" s="97">
        <v>-4.7999999999999996E-3</v>
      </c>
    </row>
    <row r="2717" spans="1:5" ht="15">
      <c r="A2717" s="98">
        <v>2285</v>
      </c>
      <c r="B2717">
        <v>16.16</v>
      </c>
      <c r="C2717">
        <v>14.64</v>
      </c>
      <c r="D2717" t="s">
        <v>218</v>
      </c>
      <c r="E2717" s="97">
        <v>-4.7999999999999996E-3</v>
      </c>
    </row>
    <row r="2718" spans="1:5" ht="15">
      <c r="A2718" s="98">
        <v>2284</v>
      </c>
      <c r="B2718">
        <v>16.32</v>
      </c>
      <c r="C2718">
        <v>14.32</v>
      </c>
      <c r="D2718" t="s">
        <v>218</v>
      </c>
      <c r="E2718" s="97">
        <v>1.9E-3</v>
      </c>
    </row>
    <row r="2719" spans="1:5" ht="15">
      <c r="A2719" s="98">
        <v>2283</v>
      </c>
      <c r="B2719">
        <v>15.53</v>
      </c>
      <c r="C2719">
        <v>14.8</v>
      </c>
      <c r="D2719" t="s">
        <v>218</v>
      </c>
      <c r="E2719" s="97">
        <v>-2.1000000000000001E-2</v>
      </c>
    </row>
    <row r="2720" spans="1:5" ht="15">
      <c r="A2720" s="98">
        <v>2282</v>
      </c>
      <c r="B2720">
        <v>15.19</v>
      </c>
      <c r="C2720">
        <v>14.28</v>
      </c>
      <c r="D2720" t="s">
        <v>218</v>
      </c>
      <c r="E2720" s="97">
        <v>-7.9600000000000004E-2</v>
      </c>
    </row>
    <row r="2721" spans="1:5" ht="15">
      <c r="A2721" s="98">
        <v>2281</v>
      </c>
      <c r="B2721">
        <v>15.41</v>
      </c>
      <c r="C2721">
        <v>14.31</v>
      </c>
      <c r="D2721" t="s">
        <v>218</v>
      </c>
      <c r="E2721" s="97">
        <v>0.1009</v>
      </c>
    </row>
    <row r="2722" spans="1:5" ht="15">
      <c r="A2722" s="98">
        <v>2280</v>
      </c>
      <c r="B2722">
        <v>16.71</v>
      </c>
      <c r="C2722">
        <v>16.02</v>
      </c>
      <c r="D2722" t="s">
        <v>218</v>
      </c>
      <c r="E2722" s="97">
        <v>0.14460000000000001</v>
      </c>
    </row>
    <row r="2723" spans="1:5" ht="15">
      <c r="A2723" s="98">
        <v>2279</v>
      </c>
      <c r="B2723">
        <v>16.87</v>
      </c>
      <c r="C2723">
        <v>15.97</v>
      </c>
      <c r="D2723" t="s">
        <v>218</v>
      </c>
      <c r="E2723" s="97">
        <v>-5.0999999999999997E-2</v>
      </c>
    </row>
    <row r="2724" spans="1:5" ht="15">
      <c r="A2724" s="98">
        <v>2278</v>
      </c>
      <c r="B2724">
        <v>16.53</v>
      </c>
      <c r="C2724">
        <v>15.66</v>
      </c>
      <c r="D2724" t="s">
        <v>218</v>
      </c>
      <c r="E2724" s="97">
        <v>5.1499999999999997E-2</v>
      </c>
    </row>
    <row r="2725" spans="1:5" ht="15">
      <c r="A2725" s="98">
        <v>2277</v>
      </c>
      <c r="B2725">
        <v>16.05</v>
      </c>
      <c r="C2725">
        <v>15.36</v>
      </c>
      <c r="D2725" t="s">
        <v>218</v>
      </c>
      <c r="E2725" s="97">
        <v>7.3499999999999996E-2</v>
      </c>
    </row>
    <row r="2726" spans="1:5" ht="15">
      <c r="A2726" s="98">
        <v>2276</v>
      </c>
      <c r="B2726">
        <v>16.29</v>
      </c>
      <c r="C2726">
        <v>14.96</v>
      </c>
      <c r="D2726" t="s">
        <v>218</v>
      </c>
      <c r="E2726" s="97">
        <v>2.76E-2</v>
      </c>
    </row>
    <row r="2727" spans="1:5" ht="15">
      <c r="A2727" s="98">
        <v>2275</v>
      </c>
      <c r="B2727">
        <v>16.760000000000002</v>
      </c>
      <c r="C2727">
        <v>16.18</v>
      </c>
      <c r="D2727" t="s">
        <v>218</v>
      </c>
      <c r="E2727" s="97">
        <v>-1.9599999999999999E-2</v>
      </c>
    </row>
    <row r="2728" spans="1:5" ht="15">
      <c r="A2728" s="98">
        <v>2274</v>
      </c>
      <c r="B2728">
        <v>16.32</v>
      </c>
      <c r="C2728">
        <v>15.21</v>
      </c>
      <c r="D2728" t="s">
        <v>218</v>
      </c>
      <c r="E2728" s="97">
        <v>3.8300000000000001E-2</v>
      </c>
    </row>
    <row r="2729" spans="1:5" ht="15">
      <c r="A2729" s="98">
        <v>2273</v>
      </c>
      <c r="B2729">
        <v>15.18</v>
      </c>
      <c r="C2729">
        <v>13.79</v>
      </c>
      <c r="D2729" t="s">
        <v>218</v>
      </c>
      <c r="E2729" s="97">
        <v>-1.3299999999999999E-2</v>
      </c>
    </row>
    <row r="2730" spans="1:5" ht="15">
      <c r="A2730" s="98">
        <v>2272</v>
      </c>
      <c r="B2730">
        <v>14.02</v>
      </c>
      <c r="C2730">
        <v>12.95</v>
      </c>
      <c r="D2730" t="s">
        <v>218</v>
      </c>
      <c r="E2730" s="97">
        <v>2.3800000000000002E-2</v>
      </c>
    </row>
    <row r="2731" spans="1:5" ht="15">
      <c r="A2731" s="98">
        <v>2271</v>
      </c>
      <c r="B2731">
        <v>14.1</v>
      </c>
      <c r="C2731">
        <v>13.23</v>
      </c>
      <c r="D2731" t="s">
        <v>218</v>
      </c>
      <c r="E2731" s="97">
        <v>2.8999999999999998E-3</v>
      </c>
    </row>
    <row r="2732" spans="1:5" ht="15">
      <c r="A2732" s="98">
        <v>2270</v>
      </c>
      <c r="B2732">
        <v>14.48</v>
      </c>
      <c r="C2732">
        <v>13.68</v>
      </c>
      <c r="D2732" t="s">
        <v>218</v>
      </c>
      <c r="E2732" s="97">
        <v>-5.0099999999999999E-2</v>
      </c>
    </row>
    <row r="2733" spans="1:5" ht="15">
      <c r="A2733" s="98">
        <v>2269</v>
      </c>
      <c r="B2733">
        <v>13.96</v>
      </c>
      <c r="C2733">
        <v>12.89</v>
      </c>
      <c r="D2733" t="s">
        <v>218</v>
      </c>
      <c r="E2733" s="97">
        <v>1.5900000000000001E-2</v>
      </c>
    </row>
    <row r="2734" spans="1:5" ht="15">
      <c r="A2734" s="98">
        <v>2268</v>
      </c>
      <c r="B2734">
        <v>13.51</v>
      </c>
      <c r="C2734">
        <v>12.79</v>
      </c>
      <c r="D2734" t="s">
        <v>218</v>
      </c>
      <c r="E2734" s="97">
        <v>8.8000000000000005E-3</v>
      </c>
    </row>
    <row r="2735" spans="1:5" ht="15">
      <c r="A2735" s="98">
        <v>2267</v>
      </c>
      <c r="B2735">
        <v>13.12</v>
      </c>
      <c r="C2735">
        <v>12.64</v>
      </c>
      <c r="D2735" t="s">
        <v>218</v>
      </c>
      <c r="E2735" s="97">
        <v>9.2999999999999992E-3</v>
      </c>
    </row>
    <row r="2736" spans="1:5" ht="15">
      <c r="A2736" s="98">
        <v>2266</v>
      </c>
      <c r="B2736">
        <v>13.48</v>
      </c>
      <c r="C2736">
        <v>13.04</v>
      </c>
      <c r="D2736" t="s">
        <v>218</v>
      </c>
      <c r="E2736" s="97">
        <v>-2.8000000000000001E-2</v>
      </c>
    </row>
    <row r="2737" spans="1:5" ht="15">
      <c r="A2737" s="98">
        <v>2265</v>
      </c>
      <c r="B2737">
        <v>14.06</v>
      </c>
      <c r="C2737">
        <v>13.25</v>
      </c>
      <c r="D2737" t="s">
        <v>218</v>
      </c>
      <c r="E2737" s="97">
        <v>-0.1129</v>
      </c>
    </row>
    <row r="2738" spans="1:5" ht="15">
      <c r="A2738" s="98">
        <v>2264</v>
      </c>
      <c r="B2738">
        <v>13.67</v>
      </c>
      <c r="C2738">
        <v>13.2</v>
      </c>
      <c r="D2738" t="s">
        <v>218</v>
      </c>
      <c r="E2738" s="97">
        <v>-3.3799999999999997E-2</v>
      </c>
    </row>
    <row r="2739" spans="1:5" ht="15">
      <c r="A2739" s="98">
        <v>2263</v>
      </c>
      <c r="B2739">
        <v>13.39</v>
      </c>
      <c r="C2739">
        <v>12.77</v>
      </c>
      <c r="D2739" t="s">
        <v>218</v>
      </c>
      <c r="E2739" s="97">
        <v>2.3999999999999998E-3</v>
      </c>
    </row>
    <row r="2740" spans="1:5" ht="15">
      <c r="A2740" s="98">
        <v>2262</v>
      </c>
      <c r="B2740">
        <v>13.29</v>
      </c>
      <c r="C2740">
        <v>12.96</v>
      </c>
      <c r="D2740" t="s">
        <v>218</v>
      </c>
      <c r="E2740" s="97">
        <v>7.9600000000000004E-2</v>
      </c>
    </row>
    <row r="2741" spans="1:5" ht="15">
      <c r="A2741" s="98">
        <v>2261</v>
      </c>
      <c r="B2741">
        <v>13.83</v>
      </c>
      <c r="C2741">
        <v>12.77</v>
      </c>
      <c r="D2741" t="s">
        <v>218</v>
      </c>
      <c r="E2741" s="97">
        <v>3.32E-2</v>
      </c>
    </row>
    <row r="2742" spans="1:5" ht="15">
      <c r="A2742" s="98">
        <v>2260</v>
      </c>
      <c r="B2742">
        <v>13.71</v>
      </c>
      <c r="C2742">
        <v>12.94</v>
      </c>
      <c r="D2742" t="s">
        <v>218</v>
      </c>
      <c r="E2742" s="97">
        <v>1.11E-2</v>
      </c>
    </row>
    <row r="2743" spans="1:5" ht="15">
      <c r="A2743" s="98">
        <v>2259</v>
      </c>
      <c r="B2743">
        <v>12.91</v>
      </c>
      <c r="C2743">
        <v>12.57</v>
      </c>
      <c r="D2743" t="s">
        <v>218</v>
      </c>
      <c r="E2743" s="97">
        <v>-1.9099999999999999E-2</v>
      </c>
    </row>
    <row r="2744" spans="1:5" ht="15">
      <c r="A2744" s="98">
        <v>2258</v>
      </c>
      <c r="B2744">
        <v>12.89</v>
      </c>
      <c r="C2744">
        <v>12.56</v>
      </c>
      <c r="D2744" t="s">
        <v>218</v>
      </c>
      <c r="E2744" s="97">
        <v>-0.1159</v>
      </c>
    </row>
    <row r="2745" spans="1:5" ht="15">
      <c r="A2745" s="98">
        <v>2257</v>
      </c>
      <c r="B2745">
        <v>12.9</v>
      </c>
      <c r="C2745">
        <v>12.59</v>
      </c>
      <c r="D2745" t="s">
        <v>218</v>
      </c>
      <c r="E2745" s="97">
        <v>6.7900000000000002E-2</v>
      </c>
    </row>
    <row r="2746" spans="1:5" ht="15">
      <c r="A2746" s="98">
        <v>2256</v>
      </c>
      <c r="B2746">
        <v>13.69</v>
      </c>
      <c r="C2746">
        <v>12.93</v>
      </c>
      <c r="D2746" t="s">
        <v>218</v>
      </c>
      <c r="E2746" s="97">
        <v>6.1100000000000002E-2</v>
      </c>
    </row>
    <row r="2747" spans="1:5" ht="15">
      <c r="A2747" s="98">
        <v>2255</v>
      </c>
      <c r="B2747">
        <v>13.38</v>
      </c>
      <c r="C2747">
        <v>13.07</v>
      </c>
      <c r="D2747" t="s">
        <v>218</v>
      </c>
      <c r="E2747" s="97">
        <v>1.6E-2</v>
      </c>
    </row>
    <row r="2748" spans="1:5" ht="15">
      <c r="A2748" s="98">
        <v>2254</v>
      </c>
      <c r="B2748">
        <v>13.12</v>
      </c>
      <c r="C2748">
        <v>12.77</v>
      </c>
      <c r="D2748" t="s">
        <v>218</v>
      </c>
      <c r="E2748" s="97">
        <v>-6.88E-2</v>
      </c>
    </row>
    <row r="2749" spans="1:5" ht="15">
      <c r="A2749" s="98">
        <v>2253</v>
      </c>
      <c r="B2749">
        <v>13.04</v>
      </c>
      <c r="C2749">
        <v>12.72</v>
      </c>
      <c r="D2749" t="s">
        <v>218</v>
      </c>
      <c r="E2749" s="97">
        <v>3.2599999999999997E-2</v>
      </c>
    </row>
    <row r="2750" spans="1:5" ht="15">
      <c r="A2750" s="98">
        <v>2252</v>
      </c>
      <c r="B2750">
        <v>13.06</v>
      </c>
      <c r="C2750">
        <v>12.4</v>
      </c>
      <c r="D2750" t="s">
        <v>218</v>
      </c>
      <c r="E2750" s="97">
        <v>-1.6899999999999998E-2</v>
      </c>
    </row>
    <row r="2751" spans="1:5" ht="15">
      <c r="A2751" s="98">
        <v>2251</v>
      </c>
      <c r="B2751">
        <v>13.4</v>
      </c>
      <c r="C2751">
        <v>12.93</v>
      </c>
      <c r="D2751" t="s">
        <v>218</v>
      </c>
      <c r="E2751" s="97">
        <v>-3.4799999999999998E-2</v>
      </c>
    </row>
    <row r="2752" spans="1:5" ht="15">
      <c r="A2752" s="98">
        <v>2250</v>
      </c>
      <c r="B2752">
        <v>13.74</v>
      </c>
      <c r="C2752">
        <v>12.96</v>
      </c>
      <c r="D2752" t="s">
        <v>218</v>
      </c>
      <c r="E2752" s="97">
        <v>-6.5600000000000006E-2</v>
      </c>
    </row>
    <row r="2753" spans="1:5" ht="15">
      <c r="A2753" s="98">
        <v>2249</v>
      </c>
      <c r="B2753">
        <v>13.68</v>
      </c>
      <c r="C2753">
        <v>13.18</v>
      </c>
      <c r="D2753" t="s">
        <v>218</v>
      </c>
      <c r="E2753" s="97">
        <v>6.5799999999999997E-2</v>
      </c>
    </row>
    <row r="2754" spans="1:5" ht="15">
      <c r="A2754" s="98">
        <v>2248</v>
      </c>
      <c r="B2754">
        <v>13.71</v>
      </c>
      <c r="C2754">
        <v>12.77</v>
      </c>
      <c r="D2754" t="s">
        <v>218</v>
      </c>
      <c r="E2754" s="97">
        <v>-4.0500000000000001E-2</v>
      </c>
    </row>
    <row r="2755" spans="1:5" ht="15">
      <c r="A2755" s="98">
        <v>2247</v>
      </c>
      <c r="B2755">
        <v>13.15</v>
      </c>
      <c r="C2755">
        <v>12.68</v>
      </c>
      <c r="D2755" t="s">
        <v>218</v>
      </c>
      <c r="E2755" s="97">
        <v>4.0800000000000003E-2</v>
      </c>
    </row>
    <row r="2756" spans="1:5" ht="15">
      <c r="A2756" s="98">
        <v>2246</v>
      </c>
      <c r="B2756">
        <v>12.61</v>
      </c>
      <c r="C2756">
        <v>12.13</v>
      </c>
      <c r="D2756" t="s">
        <v>218</v>
      </c>
      <c r="E2756" s="97">
        <v>2.0799999999999999E-2</v>
      </c>
    </row>
    <row r="2757" spans="1:5" ht="15">
      <c r="A2757" s="98">
        <v>2245</v>
      </c>
      <c r="B2757">
        <v>12.97</v>
      </c>
      <c r="C2757">
        <v>12.21</v>
      </c>
      <c r="D2757" t="s">
        <v>218</v>
      </c>
      <c r="E2757" s="97">
        <v>3.1699999999999999E-2</v>
      </c>
    </row>
    <row r="2758" spans="1:5" ht="15">
      <c r="A2758" s="98">
        <v>2244</v>
      </c>
      <c r="B2758">
        <v>12.88</v>
      </c>
      <c r="C2758">
        <v>12.23</v>
      </c>
      <c r="D2758" t="s">
        <v>218</v>
      </c>
      <c r="E2758" s="97">
        <v>-1.5E-3</v>
      </c>
    </row>
    <row r="2759" spans="1:5" ht="15">
      <c r="A2759" s="98">
        <v>2243</v>
      </c>
      <c r="B2759">
        <v>12.59</v>
      </c>
      <c r="C2759">
        <v>11.96</v>
      </c>
      <c r="D2759" t="s">
        <v>218</v>
      </c>
      <c r="E2759" s="97">
        <v>9.1999999999999998E-3</v>
      </c>
    </row>
    <row r="2760" spans="1:5" ht="15">
      <c r="A2760" s="98">
        <v>2242</v>
      </c>
      <c r="B2760">
        <v>12.75</v>
      </c>
      <c r="C2760">
        <v>11.87</v>
      </c>
      <c r="D2760" t="s">
        <v>218</v>
      </c>
      <c r="E2760" s="97">
        <v>4.9299999999999997E-2</v>
      </c>
    </row>
    <row r="2761" spans="1:5" ht="15">
      <c r="A2761" s="98">
        <v>2241</v>
      </c>
      <c r="B2761">
        <v>12.34</v>
      </c>
      <c r="C2761">
        <v>11.77</v>
      </c>
      <c r="D2761" t="s">
        <v>218</v>
      </c>
      <c r="E2761" s="97">
        <v>7.8899999999999998E-2</v>
      </c>
    </row>
    <row r="2762" spans="1:5" ht="15">
      <c r="A2762" s="98">
        <v>2240</v>
      </c>
      <c r="B2762">
        <v>12</v>
      </c>
      <c r="C2762">
        <v>11.37</v>
      </c>
      <c r="D2762" t="s">
        <v>218</v>
      </c>
      <c r="E2762" s="97">
        <v>3.9300000000000002E-2</v>
      </c>
    </row>
    <row r="2763" spans="1:5" ht="15">
      <c r="A2763" s="98">
        <v>2239</v>
      </c>
      <c r="B2763">
        <v>11.71</v>
      </c>
      <c r="C2763">
        <v>11.37</v>
      </c>
      <c r="D2763" t="s">
        <v>218</v>
      </c>
      <c r="E2763" s="97">
        <v>-2.7300000000000001E-2</v>
      </c>
    </row>
    <row r="2764" spans="1:5" ht="15">
      <c r="A2764" s="98">
        <v>2238</v>
      </c>
      <c r="B2764">
        <v>11.64</v>
      </c>
      <c r="C2764">
        <v>11.14</v>
      </c>
      <c r="D2764" t="s">
        <v>218</v>
      </c>
      <c r="E2764" s="97">
        <v>-5.96E-2</v>
      </c>
    </row>
    <row r="2765" spans="1:5" ht="15">
      <c r="A2765" s="98">
        <v>2237</v>
      </c>
      <c r="B2765">
        <v>12.16</v>
      </c>
      <c r="C2765">
        <v>11.53</v>
      </c>
      <c r="D2765" t="s">
        <v>218</v>
      </c>
      <c r="E2765" s="97">
        <v>-7.6200000000000004E-2</v>
      </c>
    </row>
    <row r="2766" spans="1:5" ht="15">
      <c r="A2766" s="98">
        <v>2236</v>
      </c>
      <c r="B2766">
        <v>12.4</v>
      </c>
      <c r="C2766">
        <v>11.97</v>
      </c>
      <c r="D2766" t="s">
        <v>218</v>
      </c>
      <c r="E2766" s="97">
        <v>-8.9999999999999993E-3</v>
      </c>
    </row>
    <row r="2767" spans="1:5" ht="15">
      <c r="A2767" s="98">
        <v>2235</v>
      </c>
      <c r="B2767">
        <v>11.79</v>
      </c>
      <c r="C2767">
        <v>11.61</v>
      </c>
      <c r="D2767" t="s">
        <v>218</v>
      </c>
      <c r="E2767" s="97">
        <v>3.7900000000000003E-2</v>
      </c>
    </row>
    <row r="2768" spans="1:5" ht="15">
      <c r="A2768" s="98">
        <v>2234</v>
      </c>
      <c r="B2768">
        <v>12.61</v>
      </c>
      <c r="C2768">
        <v>12.18</v>
      </c>
      <c r="D2768" t="s">
        <v>218</v>
      </c>
      <c r="E2768" s="97">
        <v>-7.0499999999999993E-2</v>
      </c>
    </row>
    <row r="2769" spans="1:5" ht="15">
      <c r="A2769" s="98">
        <v>2233</v>
      </c>
      <c r="B2769">
        <v>13.29</v>
      </c>
      <c r="C2769">
        <v>12.42</v>
      </c>
      <c r="D2769" t="s">
        <v>218</v>
      </c>
      <c r="E2769" s="97">
        <v>-8.2299999999999998E-2</v>
      </c>
    </row>
    <row r="2770" spans="1:5" ht="15">
      <c r="A2770" s="98">
        <v>2232</v>
      </c>
      <c r="B2770">
        <v>14.23</v>
      </c>
      <c r="C2770">
        <v>13.25</v>
      </c>
      <c r="D2770" t="s">
        <v>218</v>
      </c>
      <c r="E2770" s="97">
        <v>2.1600000000000001E-2</v>
      </c>
    </row>
    <row r="2771" spans="1:5" ht="15">
      <c r="A2771" s="98">
        <v>2231</v>
      </c>
      <c r="B2771">
        <v>14.45</v>
      </c>
      <c r="C2771">
        <v>13.93</v>
      </c>
      <c r="D2771" t="s">
        <v>218</v>
      </c>
      <c r="E2771" s="97">
        <v>-2.3E-2</v>
      </c>
    </row>
    <row r="2772" spans="1:5" ht="15">
      <c r="A2772" s="98">
        <v>2230</v>
      </c>
      <c r="B2772">
        <v>14.09</v>
      </c>
      <c r="C2772">
        <v>13.26</v>
      </c>
      <c r="D2772" t="s">
        <v>218</v>
      </c>
      <c r="E2772" s="97">
        <v>6.4299999999999996E-2</v>
      </c>
    </row>
    <row r="2773" spans="1:5" ht="15">
      <c r="A2773" s="98">
        <v>2229</v>
      </c>
      <c r="B2773">
        <v>14.09</v>
      </c>
      <c r="C2773">
        <v>13.33</v>
      </c>
      <c r="D2773" t="s">
        <v>218</v>
      </c>
      <c r="E2773" s="97">
        <v>-6.4000000000000001E-2</v>
      </c>
    </row>
    <row r="2774" spans="1:5" ht="15">
      <c r="A2774" s="98">
        <v>2228</v>
      </c>
      <c r="B2774">
        <v>13.51</v>
      </c>
      <c r="C2774">
        <v>12.94</v>
      </c>
      <c r="D2774" t="s">
        <v>218</v>
      </c>
      <c r="E2774" s="97">
        <v>2.2499999999999999E-2</v>
      </c>
    </row>
    <row r="2775" spans="1:5" ht="15">
      <c r="A2775" s="98">
        <v>2227</v>
      </c>
      <c r="B2775">
        <v>13.93</v>
      </c>
      <c r="C2775">
        <v>12.94</v>
      </c>
      <c r="D2775" t="s">
        <v>218</v>
      </c>
      <c r="E2775" s="97">
        <v>-1.6E-2</v>
      </c>
    </row>
    <row r="2776" spans="1:5" ht="15">
      <c r="A2776" s="98">
        <v>2226</v>
      </c>
      <c r="B2776">
        <v>13.68</v>
      </c>
      <c r="C2776">
        <v>13.05</v>
      </c>
      <c r="D2776" t="s">
        <v>218</v>
      </c>
      <c r="E2776" s="97">
        <v>1.3299999999999999E-2</v>
      </c>
    </row>
    <row r="2777" spans="1:5" ht="15">
      <c r="A2777" s="98">
        <v>2225</v>
      </c>
      <c r="B2777">
        <v>13.94</v>
      </c>
      <c r="C2777">
        <v>12.54</v>
      </c>
      <c r="D2777" t="s">
        <v>218</v>
      </c>
      <c r="E2777" s="97">
        <v>5.1900000000000002E-2</v>
      </c>
    </row>
    <row r="2778" spans="1:5" ht="15">
      <c r="A2778" s="98">
        <v>2224</v>
      </c>
      <c r="B2778">
        <v>12.86</v>
      </c>
      <c r="C2778">
        <v>12.37</v>
      </c>
      <c r="D2778" t="s">
        <v>218</v>
      </c>
      <c r="E2778" s="97">
        <v>-5.91E-2</v>
      </c>
    </row>
    <row r="2779" spans="1:5" ht="15">
      <c r="A2779" s="98">
        <v>2223</v>
      </c>
      <c r="B2779">
        <v>12.82</v>
      </c>
      <c r="C2779">
        <v>12.29</v>
      </c>
      <c r="D2779" t="s">
        <v>218</v>
      </c>
      <c r="E2779" s="97">
        <v>-2.8999999999999998E-3</v>
      </c>
    </row>
    <row r="2780" spans="1:5" ht="15">
      <c r="A2780" s="98">
        <v>2222</v>
      </c>
      <c r="B2780">
        <v>13.15</v>
      </c>
      <c r="C2780">
        <v>12.3</v>
      </c>
      <c r="D2780" t="s">
        <v>218</v>
      </c>
      <c r="E2780" s="97">
        <v>-3.2199999999999999E-2</v>
      </c>
    </row>
    <row r="2781" spans="1:5" ht="15">
      <c r="A2781" s="98">
        <v>2221</v>
      </c>
      <c r="B2781">
        <v>13.21</v>
      </c>
      <c r="C2781">
        <v>12.41</v>
      </c>
      <c r="D2781" t="s">
        <v>218</v>
      </c>
      <c r="E2781" s="97">
        <v>3.8600000000000002E-2</v>
      </c>
    </row>
    <row r="2782" spans="1:5" ht="15">
      <c r="A2782" s="98">
        <v>2220</v>
      </c>
      <c r="B2782">
        <v>14.11</v>
      </c>
      <c r="C2782">
        <v>13.28</v>
      </c>
      <c r="D2782" t="s">
        <v>218</v>
      </c>
      <c r="E2782" s="97">
        <v>3.5700000000000003E-2</v>
      </c>
    </row>
    <row r="2783" spans="1:5" ht="15">
      <c r="A2783" s="98">
        <v>2219</v>
      </c>
      <c r="B2783">
        <v>14.46</v>
      </c>
      <c r="C2783">
        <v>13.4</v>
      </c>
      <c r="D2783" t="s">
        <v>218</v>
      </c>
      <c r="E2783" s="97">
        <v>-0.11840000000000001</v>
      </c>
    </row>
    <row r="2784" spans="1:5" ht="15">
      <c r="A2784" s="98">
        <v>2218</v>
      </c>
      <c r="B2784">
        <v>14.75</v>
      </c>
      <c r="C2784">
        <v>14.17</v>
      </c>
      <c r="D2784" t="s">
        <v>218</v>
      </c>
      <c r="E2784" s="97">
        <v>2.5000000000000001E-2</v>
      </c>
    </row>
    <row r="2785" spans="1:5" ht="15">
      <c r="A2785" s="98">
        <v>2217</v>
      </c>
      <c r="B2785">
        <v>14.36</v>
      </c>
      <c r="C2785">
        <v>13.88</v>
      </c>
      <c r="D2785" t="s">
        <v>218</v>
      </c>
      <c r="E2785" s="97">
        <v>-2.6100000000000002E-2</v>
      </c>
    </row>
    <row r="2786" spans="1:5" ht="15">
      <c r="A2786" s="98">
        <v>2216</v>
      </c>
      <c r="B2786">
        <v>13.84</v>
      </c>
      <c r="C2786">
        <v>13.06</v>
      </c>
      <c r="D2786" t="s">
        <v>218</v>
      </c>
      <c r="E2786" s="97">
        <v>2.9600000000000001E-2</v>
      </c>
    </row>
    <row r="2787" spans="1:5" ht="15">
      <c r="A2787" s="98">
        <v>2215</v>
      </c>
      <c r="B2787">
        <v>13.57</v>
      </c>
      <c r="C2787">
        <v>12.96</v>
      </c>
      <c r="D2787" t="s">
        <v>218</v>
      </c>
      <c r="E2787" s="97">
        <v>-1.2500000000000001E-2</v>
      </c>
    </row>
    <row r="2788" spans="1:5" ht="15">
      <c r="A2788" s="98">
        <v>2214</v>
      </c>
      <c r="B2788">
        <v>13.56</v>
      </c>
      <c r="C2788">
        <v>12.83</v>
      </c>
      <c r="D2788" t="s">
        <v>218</v>
      </c>
      <c r="E2788" s="97">
        <v>-1.67E-2</v>
      </c>
    </row>
    <row r="2789" spans="1:5" ht="15">
      <c r="A2789" s="98">
        <v>2213</v>
      </c>
      <c r="B2789">
        <v>13.63</v>
      </c>
      <c r="C2789">
        <v>12.79</v>
      </c>
      <c r="D2789" t="s">
        <v>218</v>
      </c>
      <c r="E2789" s="97">
        <v>-5.28E-2</v>
      </c>
    </row>
    <row r="2790" spans="1:5" ht="15">
      <c r="A2790" s="98">
        <v>2212</v>
      </c>
      <c r="B2790">
        <v>13.02</v>
      </c>
      <c r="C2790">
        <v>12.02</v>
      </c>
      <c r="D2790" t="s">
        <v>218</v>
      </c>
      <c r="E2790" s="97">
        <v>5.8200000000000002E-2</v>
      </c>
    </row>
    <row r="2791" spans="1:5" ht="15">
      <c r="A2791" s="98">
        <v>2211</v>
      </c>
      <c r="B2791">
        <v>12.06</v>
      </c>
      <c r="C2791">
        <v>11.52</v>
      </c>
      <c r="D2791" t="s">
        <v>218</v>
      </c>
      <c r="E2791" s="97">
        <v>-5.6000000000000001E-2</v>
      </c>
    </row>
    <row r="2792" spans="1:5" ht="15">
      <c r="A2792" s="98">
        <v>2210</v>
      </c>
      <c r="B2792">
        <v>12.12</v>
      </c>
      <c r="C2792">
        <v>11.72</v>
      </c>
      <c r="D2792" t="s">
        <v>218</v>
      </c>
      <c r="E2792" s="97">
        <v>9.4999999999999998E-3</v>
      </c>
    </row>
    <row r="2793" spans="1:5" ht="15">
      <c r="A2793" s="98">
        <v>2209</v>
      </c>
      <c r="B2793">
        <v>11.97</v>
      </c>
      <c r="C2793">
        <v>10.9</v>
      </c>
      <c r="D2793" t="s">
        <v>218</v>
      </c>
      <c r="E2793" s="97">
        <v>-4.9299999999999997E-2</v>
      </c>
    </row>
    <row r="2794" spans="1:5" ht="15">
      <c r="A2794" s="98">
        <v>2208</v>
      </c>
      <c r="B2794">
        <v>11.75</v>
      </c>
      <c r="C2794">
        <v>11.36</v>
      </c>
      <c r="D2794" t="s">
        <v>218</v>
      </c>
      <c r="E2794" s="97">
        <v>-0.1087</v>
      </c>
    </row>
    <row r="2795" spans="1:5" ht="15">
      <c r="A2795" s="98">
        <v>2207</v>
      </c>
      <c r="B2795">
        <v>11.67</v>
      </c>
      <c r="C2795">
        <v>11.45</v>
      </c>
      <c r="D2795" t="s">
        <v>218</v>
      </c>
      <c r="E2795" s="97">
        <v>2.7099999999999999E-2</v>
      </c>
    </row>
    <row r="2796" spans="1:5" ht="15">
      <c r="A2796" s="98">
        <v>2206</v>
      </c>
      <c r="B2796">
        <v>12.02</v>
      </c>
      <c r="C2796">
        <v>11.41</v>
      </c>
      <c r="D2796" t="s">
        <v>218</v>
      </c>
      <c r="E2796" s="97">
        <v>-3.7999999999999999E-2</v>
      </c>
    </row>
    <row r="2797" spans="1:5" ht="15">
      <c r="A2797" s="98">
        <v>2205</v>
      </c>
      <c r="B2797">
        <v>11.99</v>
      </c>
      <c r="C2797">
        <v>11.38</v>
      </c>
      <c r="D2797" t="s">
        <v>218</v>
      </c>
      <c r="E2797" s="97">
        <v>8.0600000000000005E-2</v>
      </c>
    </row>
    <row r="2798" spans="1:5" ht="15">
      <c r="A2798" s="98">
        <v>2204</v>
      </c>
      <c r="B2798">
        <v>11.82</v>
      </c>
      <c r="C2798">
        <v>11.25</v>
      </c>
      <c r="D2798" t="s">
        <v>218</v>
      </c>
      <c r="E2798" s="97">
        <v>5.7599999999999998E-2</v>
      </c>
    </row>
    <row r="2799" spans="1:5" ht="15">
      <c r="A2799" s="98">
        <v>2203</v>
      </c>
      <c r="B2799">
        <v>11.86</v>
      </c>
      <c r="C2799">
        <v>11.18</v>
      </c>
      <c r="D2799" t="s">
        <v>218</v>
      </c>
      <c r="E2799" s="97">
        <v>1.2999999999999999E-2</v>
      </c>
    </row>
    <row r="2800" spans="1:5" ht="15">
      <c r="A2800" s="98">
        <v>2202</v>
      </c>
      <c r="B2800">
        <v>11.76</v>
      </c>
      <c r="C2800">
        <v>11.13</v>
      </c>
      <c r="D2800" t="s">
        <v>218</v>
      </c>
      <c r="E2800" s="97">
        <v>7.9399999999999998E-2</v>
      </c>
    </row>
    <row r="2801" spans="1:5" ht="15">
      <c r="A2801" s="98">
        <v>2201</v>
      </c>
      <c r="B2801">
        <v>11.5</v>
      </c>
      <c r="C2801">
        <v>11.03</v>
      </c>
      <c r="D2801" t="s">
        <v>218</v>
      </c>
      <c r="E2801" s="97">
        <v>-0.14030000000000001</v>
      </c>
    </row>
    <row r="2802" spans="1:5" ht="15">
      <c r="A2802" s="98">
        <v>2200</v>
      </c>
      <c r="B2802">
        <v>11.91</v>
      </c>
      <c r="C2802">
        <v>11.21</v>
      </c>
      <c r="D2802" t="s">
        <v>218</v>
      </c>
      <c r="E2802" s="97">
        <v>7.3599999999999999E-2</v>
      </c>
    </row>
    <row r="2803" spans="1:5" ht="15">
      <c r="A2803" s="98">
        <v>2199</v>
      </c>
      <c r="B2803">
        <v>12.12</v>
      </c>
      <c r="C2803">
        <v>11.18</v>
      </c>
      <c r="D2803" t="s">
        <v>218</v>
      </c>
      <c r="E2803" s="97">
        <v>6.8500000000000005E-2</v>
      </c>
    </row>
    <row r="2804" spans="1:5" ht="15">
      <c r="A2804" s="98">
        <v>2198</v>
      </c>
      <c r="B2804">
        <v>13.2</v>
      </c>
      <c r="C2804">
        <v>12.09</v>
      </c>
      <c r="D2804" t="s">
        <v>218</v>
      </c>
      <c r="E2804" s="97">
        <v>-7.3099999999999998E-2</v>
      </c>
    </row>
    <row r="2805" spans="1:5" ht="15">
      <c r="A2805" s="98">
        <v>2197</v>
      </c>
      <c r="B2805">
        <v>12.94</v>
      </c>
      <c r="C2805">
        <v>12.3</v>
      </c>
      <c r="D2805" t="s">
        <v>218</v>
      </c>
      <c r="E2805" s="97">
        <v>-7.8700000000000006E-2</v>
      </c>
    </row>
    <row r="2806" spans="1:5" ht="15">
      <c r="A2806" s="98">
        <v>2196</v>
      </c>
      <c r="B2806">
        <v>12.51</v>
      </c>
      <c r="C2806">
        <v>11.48</v>
      </c>
      <c r="D2806" t="s">
        <v>218</v>
      </c>
      <c r="E2806" s="97">
        <v>2.12E-2</v>
      </c>
    </row>
    <row r="2807" spans="1:5" ht="15">
      <c r="A2807" s="98">
        <v>2195</v>
      </c>
      <c r="B2807">
        <v>11.78</v>
      </c>
      <c r="C2807">
        <v>10.92</v>
      </c>
      <c r="D2807" t="s">
        <v>218</v>
      </c>
      <c r="E2807" s="97">
        <v>1.7999999999999999E-2</v>
      </c>
    </row>
    <row r="2808" spans="1:5" ht="15">
      <c r="A2808" s="98">
        <v>2194</v>
      </c>
      <c r="B2808">
        <v>12.5</v>
      </c>
      <c r="C2808">
        <v>11.73</v>
      </c>
      <c r="D2808" t="s">
        <v>218</v>
      </c>
      <c r="E2808" s="97">
        <v>-4.1099999999999998E-2</v>
      </c>
    </row>
    <row r="2809" spans="1:5" ht="15">
      <c r="A2809" s="98">
        <v>2193</v>
      </c>
      <c r="B2809">
        <v>12.1</v>
      </c>
      <c r="C2809">
        <v>11.66</v>
      </c>
      <c r="D2809" t="s">
        <v>218</v>
      </c>
      <c r="E2809" s="97">
        <v>8.3400000000000002E-2</v>
      </c>
    </row>
    <row r="2810" spans="1:5" ht="15">
      <c r="A2810" s="98">
        <v>2192</v>
      </c>
      <c r="B2810">
        <v>12.91</v>
      </c>
      <c r="C2810">
        <v>12.2</v>
      </c>
      <c r="D2810" t="s">
        <v>218</v>
      </c>
      <c r="E2810" s="97">
        <v>-1.29E-2</v>
      </c>
    </row>
    <row r="2811" spans="1:5" ht="15">
      <c r="A2811" s="98">
        <v>2191</v>
      </c>
      <c r="B2811">
        <v>13.07</v>
      </c>
      <c r="C2811">
        <v>12.23</v>
      </c>
      <c r="D2811" t="s">
        <v>218</v>
      </c>
      <c r="E2811" s="97">
        <v>3.4599999999999999E-2</v>
      </c>
    </row>
    <row r="2812" spans="1:5" ht="15">
      <c r="A2812" s="98">
        <v>2190</v>
      </c>
      <c r="B2812">
        <v>12.5</v>
      </c>
      <c r="C2812">
        <v>11.94</v>
      </c>
      <c r="D2812" t="s">
        <v>218</v>
      </c>
      <c r="E2812" s="97">
        <v>2.5700000000000001E-2</v>
      </c>
    </row>
    <row r="2813" spans="1:5" ht="15">
      <c r="A2813" s="98">
        <v>2189</v>
      </c>
      <c r="B2813">
        <v>12.6</v>
      </c>
      <c r="C2813">
        <v>12.05</v>
      </c>
      <c r="D2813" t="s">
        <v>218</v>
      </c>
      <c r="E2813" s="97">
        <v>-4.48E-2</v>
      </c>
    </row>
    <row r="2814" spans="1:5" ht="15">
      <c r="A2814" s="98">
        <v>2188</v>
      </c>
      <c r="B2814">
        <v>12.5</v>
      </c>
      <c r="C2814">
        <v>11.95</v>
      </c>
      <c r="D2814" t="s">
        <v>218</v>
      </c>
      <c r="E2814" s="97">
        <v>7.7299999999999994E-2</v>
      </c>
    </row>
    <row r="2815" spans="1:5" ht="15">
      <c r="A2815" s="98">
        <v>2187</v>
      </c>
      <c r="B2815">
        <v>12.72</v>
      </c>
      <c r="C2815">
        <v>12.2</v>
      </c>
      <c r="D2815" t="s">
        <v>218</v>
      </c>
      <c r="E2815" s="97">
        <v>-7.7000000000000002E-3</v>
      </c>
    </row>
    <row r="2816" spans="1:5" ht="15">
      <c r="A2816" s="98">
        <v>2186</v>
      </c>
      <c r="B2816">
        <v>12.97</v>
      </c>
      <c r="C2816">
        <v>12.42</v>
      </c>
      <c r="D2816" t="s">
        <v>218</v>
      </c>
      <c r="E2816" s="97">
        <v>-3.7600000000000001E-2</v>
      </c>
    </row>
    <row r="2817" spans="1:5" ht="15">
      <c r="A2817" s="98">
        <v>2185</v>
      </c>
      <c r="B2817">
        <v>12.98</v>
      </c>
      <c r="C2817">
        <v>12.11</v>
      </c>
      <c r="D2817" t="s">
        <v>218</v>
      </c>
      <c r="E2817" s="97">
        <v>3.3E-3</v>
      </c>
    </row>
    <row r="2818" spans="1:5" ht="15">
      <c r="A2818" s="98">
        <v>2184</v>
      </c>
      <c r="B2818">
        <v>12.99</v>
      </c>
      <c r="C2818">
        <v>12.36</v>
      </c>
      <c r="D2818" t="s">
        <v>218</v>
      </c>
      <c r="E2818" s="97">
        <v>-6.5100000000000005E-2</v>
      </c>
    </row>
    <row r="2819" spans="1:5" ht="15">
      <c r="A2819" s="98">
        <v>2183</v>
      </c>
      <c r="B2819">
        <v>13.22</v>
      </c>
      <c r="C2819">
        <v>12.33</v>
      </c>
      <c r="D2819" t="s">
        <v>218</v>
      </c>
      <c r="E2819" s="97">
        <v>3.7900000000000003E-2</v>
      </c>
    </row>
    <row r="2820" spans="1:5" ht="15">
      <c r="A2820" s="98">
        <v>2182</v>
      </c>
      <c r="B2820">
        <v>13.81</v>
      </c>
      <c r="C2820">
        <v>13.19</v>
      </c>
      <c r="D2820" t="s">
        <v>218</v>
      </c>
      <c r="E2820" s="97">
        <v>-6.3299999999999995E-2</v>
      </c>
    </row>
    <row r="2821" spans="1:5" ht="15">
      <c r="A2821" s="98">
        <v>2181</v>
      </c>
      <c r="B2821">
        <v>13.67</v>
      </c>
      <c r="C2821">
        <v>13.2</v>
      </c>
      <c r="D2821" t="s">
        <v>218</v>
      </c>
      <c r="E2821" s="97">
        <v>0.22459999999999999</v>
      </c>
    </row>
    <row r="2822" spans="1:5" ht="15">
      <c r="A2822" s="98">
        <v>2180</v>
      </c>
      <c r="B2822">
        <v>13.67</v>
      </c>
      <c r="C2822">
        <v>13.08</v>
      </c>
      <c r="D2822" t="s">
        <v>218</v>
      </c>
      <c r="E2822" s="97">
        <v>-3.0599999999999999E-2</v>
      </c>
    </row>
    <row r="2823" spans="1:5" ht="15">
      <c r="A2823" s="98">
        <v>2179</v>
      </c>
      <c r="B2823">
        <v>13.98</v>
      </c>
      <c r="C2823">
        <v>13.33</v>
      </c>
      <c r="D2823" t="s">
        <v>218</v>
      </c>
      <c r="E2823" s="97">
        <v>1.0500000000000001E-2</v>
      </c>
    </row>
    <row r="2824" spans="1:5" ht="15">
      <c r="A2824" s="98">
        <v>2178</v>
      </c>
      <c r="B2824">
        <v>14.28</v>
      </c>
      <c r="C2824">
        <v>13.15</v>
      </c>
      <c r="D2824" t="s">
        <v>218</v>
      </c>
      <c r="E2824" s="97">
        <v>0.1066</v>
      </c>
    </row>
    <row r="2825" spans="1:5" ht="15">
      <c r="A2825" s="98">
        <v>2177</v>
      </c>
      <c r="B2825">
        <v>14.89</v>
      </c>
      <c r="C2825">
        <v>13.88</v>
      </c>
      <c r="D2825" t="s">
        <v>218</v>
      </c>
      <c r="E2825" s="97">
        <v>7.4000000000000003E-3</v>
      </c>
    </row>
    <row r="2826" spans="1:5" ht="15">
      <c r="A2826" s="98">
        <v>2176</v>
      </c>
      <c r="B2826">
        <v>13.88</v>
      </c>
      <c r="C2826">
        <v>12.97</v>
      </c>
      <c r="D2826" t="s">
        <v>218</v>
      </c>
      <c r="E2826" s="97">
        <v>1.9400000000000001E-2</v>
      </c>
    </row>
    <row r="2827" spans="1:5" ht="15">
      <c r="A2827" s="98">
        <v>2175</v>
      </c>
      <c r="B2827">
        <v>14.01</v>
      </c>
      <c r="C2827">
        <v>13.44</v>
      </c>
      <c r="D2827" t="s">
        <v>218</v>
      </c>
      <c r="E2827" s="97">
        <v>5.6599999999999998E-2</v>
      </c>
    </row>
    <row r="2828" spans="1:5" ht="15">
      <c r="A2828" s="98">
        <v>2174</v>
      </c>
      <c r="B2828">
        <v>14.68</v>
      </c>
      <c r="C2828">
        <v>13.38</v>
      </c>
      <c r="D2828" t="s">
        <v>218</v>
      </c>
      <c r="E2828" s="97">
        <v>-1.7000000000000001E-2</v>
      </c>
    </row>
    <row r="2829" spans="1:5" ht="15">
      <c r="A2829" s="98">
        <v>2173</v>
      </c>
      <c r="B2829">
        <v>14.47</v>
      </c>
      <c r="C2829">
        <v>13.64</v>
      </c>
      <c r="D2829" t="s">
        <v>218</v>
      </c>
      <c r="E2829" s="97">
        <v>-4.5999999999999999E-2</v>
      </c>
    </row>
    <row r="2830" spans="1:5" ht="15">
      <c r="A2830" s="98">
        <v>2172</v>
      </c>
      <c r="B2830">
        <v>14.1</v>
      </c>
      <c r="C2830">
        <v>13.57</v>
      </c>
      <c r="D2830" t="s">
        <v>218</v>
      </c>
      <c r="E2830" s="97">
        <v>3.4299999999999997E-2</v>
      </c>
    </row>
    <row r="2831" spans="1:5" ht="15">
      <c r="A2831" s="98">
        <v>2171</v>
      </c>
      <c r="B2831">
        <v>14.38</v>
      </c>
      <c r="C2831">
        <v>12.92</v>
      </c>
      <c r="D2831" t="s">
        <v>218</v>
      </c>
      <c r="E2831" s="97">
        <v>-6.8999999999999999E-3</v>
      </c>
    </row>
    <row r="2832" spans="1:5" ht="15">
      <c r="A2832" s="98">
        <v>2170</v>
      </c>
      <c r="B2832">
        <v>14.76</v>
      </c>
      <c r="C2832">
        <v>13.96</v>
      </c>
      <c r="D2832" t="s">
        <v>218</v>
      </c>
      <c r="E2832" s="97">
        <v>-2.1100000000000001E-2</v>
      </c>
    </row>
    <row r="2833" spans="1:5" ht="15">
      <c r="A2833" s="98">
        <v>2169</v>
      </c>
      <c r="B2833">
        <v>14.11</v>
      </c>
      <c r="C2833">
        <v>13.66</v>
      </c>
      <c r="D2833" t="s">
        <v>218</v>
      </c>
      <c r="E2833" s="97">
        <v>-9.0499999999999997E-2</v>
      </c>
    </row>
    <row r="2834" spans="1:5" ht="15">
      <c r="A2834" s="98">
        <v>2168</v>
      </c>
      <c r="B2834">
        <v>13.76</v>
      </c>
      <c r="C2834">
        <v>12.89</v>
      </c>
      <c r="D2834" t="s">
        <v>218</v>
      </c>
      <c r="E2834" s="97">
        <v>-9.6600000000000005E-2</v>
      </c>
    </row>
    <row r="2835" spans="1:5" ht="15">
      <c r="A2835" s="98">
        <v>2167</v>
      </c>
      <c r="B2835">
        <v>12.96</v>
      </c>
      <c r="C2835">
        <v>12.3</v>
      </c>
      <c r="D2835" t="s">
        <v>218</v>
      </c>
      <c r="E2835" s="97">
        <v>-3.32E-2</v>
      </c>
    </row>
    <row r="2836" spans="1:5" ht="15">
      <c r="A2836" s="98">
        <v>2166</v>
      </c>
      <c r="B2836">
        <v>12.65</v>
      </c>
      <c r="C2836">
        <v>11.52</v>
      </c>
      <c r="D2836" t="s">
        <v>218</v>
      </c>
      <c r="E2836" s="97">
        <v>4.87E-2</v>
      </c>
    </row>
    <row r="2837" spans="1:5" ht="15">
      <c r="A2837" s="98">
        <v>2165</v>
      </c>
      <c r="B2837">
        <v>12.46</v>
      </c>
      <c r="C2837">
        <v>11.82</v>
      </c>
      <c r="D2837" t="s">
        <v>218</v>
      </c>
      <c r="E2837" s="97">
        <v>-2.75E-2</v>
      </c>
    </row>
    <row r="2838" spans="1:5" ht="15">
      <c r="A2838" s="98">
        <v>2164</v>
      </c>
      <c r="B2838">
        <v>12.83</v>
      </c>
      <c r="C2838">
        <v>11.2</v>
      </c>
      <c r="D2838" t="s">
        <v>218</v>
      </c>
      <c r="E2838" s="97">
        <v>-6.2E-2</v>
      </c>
    </row>
    <row r="2839" spans="1:5" ht="15">
      <c r="A2839" s="98">
        <v>2163</v>
      </c>
      <c r="B2839">
        <v>13.44</v>
      </c>
      <c r="C2839">
        <v>11.27</v>
      </c>
      <c r="D2839" t="s">
        <v>218</v>
      </c>
      <c r="E2839" s="97">
        <v>-7.85E-2</v>
      </c>
    </row>
    <row r="2840" spans="1:5" ht="15">
      <c r="A2840" s="98">
        <v>2162</v>
      </c>
      <c r="B2840">
        <v>14.6</v>
      </c>
      <c r="C2840">
        <v>12.67</v>
      </c>
      <c r="D2840" t="s">
        <v>218</v>
      </c>
      <c r="E2840" s="97">
        <v>-6.7699999999999996E-2</v>
      </c>
    </row>
    <row r="2841" spans="1:5" ht="15">
      <c r="A2841" s="98">
        <v>2161</v>
      </c>
      <c r="B2841">
        <v>18.05</v>
      </c>
      <c r="C2841">
        <v>14.71</v>
      </c>
      <c r="D2841" t="s">
        <v>218</v>
      </c>
      <c r="E2841" s="97">
        <v>9.1800000000000007E-2</v>
      </c>
    </row>
    <row r="2842" spans="1:5" ht="15">
      <c r="A2842" s="98">
        <v>2160</v>
      </c>
      <c r="B2842">
        <v>18.59</v>
      </c>
      <c r="C2842">
        <v>16.41</v>
      </c>
      <c r="D2842" t="s">
        <v>218</v>
      </c>
      <c r="E2842" s="97">
        <v>0.11749999999999999</v>
      </c>
    </row>
    <row r="2843" spans="1:5" ht="15">
      <c r="A2843" s="98">
        <v>2159</v>
      </c>
      <c r="B2843">
        <v>15.97</v>
      </c>
      <c r="C2843">
        <v>14.81</v>
      </c>
      <c r="D2843" t="s">
        <v>218</v>
      </c>
      <c r="E2843" s="97">
        <v>0.15359999999999999</v>
      </c>
    </row>
    <row r="2844" spans="1:5" ht="15">
      <c r="A2844" s="98">
        <v>2158</v>
      </c>
      <c r="B2844">
        <v>17.25</v>
      </c>
      <c r="C2844">
        <v>14.52</v>
      </c>
      <c r="D2844" t="s">
        <v>218</v>
      </c>
      <c r="E2844" s="97">
        <v>3.3999999999999998E-3</v>
      </c>
    </row>
    <row r="2845" spans="1:5" ht="15">
      <c r="A2845" s="98">
        <v>2157</v>
      </c>
      <c r="B2845">
        <v>16.22</v>
      </c>
      <c r="C2845">
        <v>14.26</v>
      </c>
      <c r="D2845" t="s">
        <v>218</v>
      </c>
      <c r="E2845" s="97">
        <v>1.8800000000000001E-2</v>
      </c>
    </row>
    <row r="2846" spans="1:5" ht="15">
      <c r="A2846" s="98">
        <v>2156</v>
      </c>
      <c r="B2846">
        <v>16.32</v>
      </c>
      <c r="C2846">
        <v>14.2</v>
      </c>
      <c r="D2846" t="s">
        <v>218</v>
      </c>
      <c r="E2846" s="97">
        <v>-0.1177</v>
      </c>
    </row>
    <row r="2847" spans="1:5" ht="15">
      <c r="A2847" s="98">
        <v>2155</v>
      </c>
      <c r="B2847">
        <v>15.47</v>
      </c>
      <c r="C2847">
        <v>14.6</v>
      </c>
      <c r="D2847" t="s">
        <v>218</v>
      </c>
      <c r="E2847" s="97">
        <v>-9.5699999999999993E-2</v>
      </c>
    </row>
    <row r="2848" spans="1:5" ht="15">
      <c r="A2848" s="98">
        <v>2154</v>
      </c>
      <c r="B2848">
        <v>15.15</v>
      </c>
      <c r="C2848">
        <v>14.27</v>
      </c>
      <c r="D2848" t="s">
        <v>218</v>
      </c>
      <c r="E2848" s="97">
        <v>-1.4800000000000001E-2</v>
      </c>
    </row>
    <row r="2849" spans="1:5" ht="15">
      <c r="A2849" s="98">
        <v>2153</v>
      </c>
      <c r="B2849">
        <v>15.93</v>
      </c>
      <c r="C2849">
        <v>14.43</v>
      </c>
      <c r="D2849" t="s">
        <v>218</v>
      </c>
      <c r="E2849" s="97">
        <v>-0.11260000000000001</v>
      </c>
    </row>
    <row r="2850" spans="1:5" ht="15">
      <c r="A2850" s="98">
        <v>2152</v>
      </c>
      <c r="B2850">
        <v>16.87</v>
      </c>
      <c r="C2850">
        <v>14.19</v>
      </c>
      <c r="D2850" t="s">
        <v>218</v>
      </c>
      <c r="E2850" s="97">
        <v>7.2800000000000004E-2</v>
      </c>
    </row>
    <row r="2851" spans="1:5" ht="15">
      <c r="A2851" s="98">
        <v>2151</v>
      </c>
      <c r="B2851">
        <v>16.920000000000002</v>
      </c>
      <c r="C2851">
        <v>15.26</v>
      </c>
      <c r="D2851" t="s">
        <v>218</v>
      </c>
      <c r="E2851" s="97">
        <v>9.69E-2</v>
      </c>
    </row>
    <row r="2852" spans="1:5" ht="15">
      <c r="A2852" s="98">
        <v>2150</v>
      </c>
      <c r="B2852">
        <v>16.010000000000002</v>
      </c>
      <c r="C2852">
        <v>15.08</v>
      </c>
      <c r="D2852" t="s">
        <v>218</v>
      </c>
      <c r="E2852" s="97">
        <v>8.6800000000000002E-2</v>
      </c>
    </row>
    <row r="2853" spans="1:5" ht="15">
      <c r="A2853" s="98">
        <v>2149</v>
      </c>
      <c r="B2853">
        <v>15.31</v>
      </c>
      <c r="C2853">
        <v>14.53</v>
      </c>
      <c r="D2853" t="s">
        <v>218</v>
      </c>
      <c r="E2853" s="97">
        <v>-9.2999999999999992E-3</v>
      </c>
    </row>
    <row r="2854" spans="1:5" ht="15">
      <c r="A2854" s="98">
        <v>2148</v>
      </c>
      <c r="B2854">
        <v>15.38</v>
      </c>
      <c r="C2854">
        <v>13.7</v>
      </c>
      <c r="D2854" t="s">
        <v>218</v>
      </c>
      <c r="E2854" s="97">
        <v>-3.27E-2</v>
      </c>
    </row>
    <row r="2855" spans="1:5" ht="15">
      <c r="A2855" s="98">
        <v>2147</v>
      </c>
      <c r="B2855">
        <v>15.82</v>
      </c>
      <c r="C2855">
        <v>13.43</v>
      </c>
      <c r="D2855" t="s">
        <v>218</v>
      </c>
      <c r="E2855" s="97">
        <v>4.6199999999999998E-2</v>
      </c>
    </row>
    <row r="2856" spans="1:5" ht="15">
      <c r="A2856" s="98">
        <v>2146</v>
      </c>
      <c r="B2856">
        <v>14.06</v>
      </c>
      <c r="C2856">
        <v>13.11</v>
      </c>
      <c r="D2856" t="s">
        <v>218</v>
      </c>
      <c r="E2856" s="97">
        <v>6.3399999999999998E-2</v>
      </c>
    </row>
    <row r="2857" spans="1:5" ht="15">
      <c r="A2857" s="98">
        <v>2145</v>
      </c>
      <c r="B2857">
        <v>14.56</v>
      </c>
      <c r="C2857">
        <v>13.53</v>
      </c>
      <c r="D2857" t="s">
        <v>218</v>
      </c>
      <c r="E2857" s="97">
        <v>-2.69E-2</v>
      </c>
    </row>
    <row r="2858" spans="1:5" ht="15">
      <c r="A2858" s="98">
        <v>2144</v>
      </c>
      <c r="B2858">
        <v>15.11</v>
      </c>
      <c r="C2858">
        <v>14.03</v>
      </c>
      <c r="D2858" t="s">
        <v>218</v>
      </c>
      <c r="E2858" s="97">
        <v>-7.3000000000000001E-3</v>
      </c>
    </row>
    <row r="2859" spans="1:5" ht="15">
      <c r="A2859" s="98">
        <v>2143</v>
      </c>
      <c r="B2859">
        <v>15.8</v>
      </c>
      <c r="C2859">
        <v>14.31</v>
      </c>
      <c r="D2859" t="s">
        <v>218</v>
      </c>
      <c r="E2859" s="97">
        <v>0.12839999999999999</v>
      </c>
    </row>
    <row r="2860" spans="1:5" ht="15">
      <c r="A2860" s="98">
        <v>2142</v>
      </c>
      <c r="B2860">
        <v>16.23</v>
      </c>
      <c r="C2860">
        <v>14.16</v>
      </c>
      <c r="D2860" t="s">
        <v>218</v>
      </c>
      <c r="E2860" s="97">
        <v>6.9699999999999998E-2</v>
      </c>
    </row>
    <row r="2861" spans="1:5" ht="15">
      <c r="A2861" s="98">
        <v>2141</v>
      </c>
      <c r="B2861">
        <v>17.7</v>
      </c>
      <c r="C2861">
        <v>15.4</v>
      </c>
      <c r="D2861" t="s">
        <v>218</v>
      </c>
      <c r="E2861" s="97">
        <v>4.2099999999999999E-2</v>
      </c>
    </row>
    <row r="2862" spans="1:5" ht="15">
      <c r="A2862" s="98">
        <v>2140</v>
      </c>
      <c r="B2862">
        <v>16.87</v>
      </c>
      <c r="C2862">
        <v>15.67</v>
      </c>
      <c r="D2862" t="s">
        <v>218</v>
      </c>
      <c r="E2862" s="97">
        <v>-7.85E-2</v>
      </c>
    </row>
    <row r="2863" spans="1:5" ht="15">
      <c r="A2863" s="98">
        <v>2139</v>
      </c>
      <c r="B2863">
        <v>16.21</v>
      </c>
      <c r="C2863">
        <v>14.45</v>
      </c>
      <c r="D2863" t="s">
        <v>218</v>
      </c>
      <c r="E2863" s="97">
        <v>1.5900000000000001E-2</v>
      </c>
    </row>
    <row r="2864" spans="1:5" ht="15">
      <c r="A2864" s="98">
        <v>2138</v>
      </c>
      <c r="B2864">
        <v>14.13</v>
      </c>
      <c r="C2864">
        <v>13.3</v>
      </c>
      <c r="D2864" t="s">
        <v>218</v>
      </c>
      <c r="E2864" s="97">
        <v>6.8199999999999997E-2</v>
      </c>
    </row>
    <row r="2865" spans="1:5" ht="15">
      <c r="A2865" s="98">
        <v>2137</v>
      </c>
      <c r="B2865">
        <v>14.02</v>
      </c>
      <c r="C2865">
        <v>13.25</v>
      </c>
      <c r="D2865" t="s">
        <v>218</v>
      </c>
      <c r="E2865" s="97">
        <v>6.7299999999999999E-2</v>
      </c>
    </row>
    <row r="2866" spans="1:5" ht="15">
      <c r="A2866" s="98">
        <v>2136</v>
      </c>
      <c r="B2866">
        <v>13.73</v>
      </c>
      <c r="C2866">
        <v>13.07</v>
      </c>
      <c r="D2866" t="s">
        <v>218</v>
      </c>
      <c r="E2866" s="97">
        <v>-3.39E-2</v>
      </c>
    </row>
    <row r="2867" spans="1:5" ht="15">
      <c r="A2867" s="98">
        <v>2135</v>
      </c>
      <c r="B2867">
        <v>13.45</v>
      </c>
      <c r="C2867">
        <v>12.75</v>
      </c>
      <c r="D2867" t="s">
        <v>218</v>
      </c>
      <c r="E2867" s="97">
        <v>-7.4899999999999994E-2</v>
      </c>
    </row>
    <row r="2868" spans="1:5" ht="15">
      <c r="A2868" s="98">
        <v>2134</v>
      </c>
      <c r="B2868">
        <v>13.3</v>
      </c>
      <c r="C2868">
        <v>12.53</v>
      </c>
      <c r="D2868" t="s">
        <v>218</v>
      </c>
      <c r="E2868" s="97">
        <v>2.0799999999999999E-2</v>
      </c>
    </row>
    <row r="2869" spans="1:5" ht="15">
      <c r="A2869" s="98">
        <v>2133</v>
      </c>
      <c r="B2869">
        <v>13.11</v>
      </c>
      <c r="C2869">
        <v>12.58</v>
      </c>
      <c r="D2869" t="s">
        <v>218</v>
      </c>
      <c r="E2869" s="97">
        <v>3.1899999999999998E-2</v>
      </c>
    </row>
    <row r="2870" spans="1:5" ht="15">
      <c r="A2870" s="98">
        <v>2132</v>
      </c>
      <c r="B2870">
        <v>12.38</v>
      </c>
      <c r="C2870">
        <v>11.65</v>
      </c>
      <c r="D2870" t="s">
        <v>218</v>
      </c>
      <c r="E2870" s="97">
        <v>-9.1999999999999998E-3</v>
      </c>
    </row>
    <row r="2871" spans="1:5" ht="15">
      <c r="A2871" s="98">
        <v>2131</v>
      </c>
      <c r="B2871">
        <v>12.43</v>
      </c>
      <c r="C2871">
        <v>12.06</v>
      </c>
      <c r="D2871" t="s">
        <v>218</v>
      </c>
      <c r="E2871" s="97">
        <v>-9.1000000000000004E-3</v>
      </c>
    </row>
    <row r="2872" spans="1:5" ht="15">
      <c r="A2872" s="98">
        <v>2130</v>
      </c>
      <c r="B2872">
        <v>13.45</v>
      </c>
      <c r="C2872">
        <v>12.67</v>
      </c>
      <c r="D2872" t="s">
        <v>218</v>
      </c>
      <c r="E2872" s="97">
        <v>5.45E-2</v>
      </c>
    </row>
    <row r="2873" spans="1:5" ht="15">
      <c r="A2873" s="98">
        <v>2129</v>
      </c>
      <c r="B2873">
        <v>13.34</v>
      </c>
      <c r="C2873">
        <v>12.17</v>
      </c>
      <c r="D2873" t="s">
        <v>218</v>
      </c>
      <c r="E2873" s="97">
        <v>7.51E-2</v>
      </c>
    </row>
    <row r="2874" spans="1:5" ht="15">
      <c r="A2874" s="98">
        <v>2128</v>
      </c>
      <c r="B2874">
        <v>12.43</v>
      </c>
      <c r="C2874">
        <v>11.8</v>
      </c>
      <c r="D2874" t="s">
        <v>218</v>
      </c>
      <c r="E2874" s="97">
        <v>-1.6199999999999999E-2</v>
      </c>
    </row>
    <row r="2875" spans="1:5" ht="15">
      <c r="A2875" s="98">
        <v>2127</v>
      </c>
      <c r="B2875">
        <v>12.49</v>
      </c>
      <c r="C2875">
        <v>11.52</v>
      </c>
      <c r="D2875" t="s">
        <v>218</v>
      </c>
      <c r="E2875" s="97">
        <v>-5.0799999999999998E-2</v>
      </c>
    </row>
    <row r="2876" spans="1:5" ht="15">
      <c r="A2876" s="98">
        <v>2126</v>
      </c>
      <c r="B2876">
        <v>13</v>
      </c>
      <c r="C2876">
        <v>12.21</v>
      </c>
      <c r="D2876" t="s">
        <v>218</v>
      </c>
      <c r="E2876" s="97">
        <v>3.7600000000000001E-2</v>
      </c>
    </row>
    <row r="2877" spans="1:5" ht="15">
      <c r="A2877" s="98">
        <v>2125</v>
      </c>
      <c r="B2877">
        <v>12.43</v>
      </c>
      <c r="C2877">
        <v>11.47</v>
      </c>
      <c r="D2877" t="s">
        <v>218</v>
      </c>
      <c r="E2877" s="97">
        <v>3.5999999999999997E-2</v>
      </c>
    </row>
    <row r="2878" spans="1:5" ht="15">
      <c r="A2878" s="98">
        <v>2124</v>
      </c>
      <c r="B2878">
        <v>12.83</v>
      </c>
      <c r="C2878">
        <v>12.05</v>
      </c>
      <c r="D2878" t="s">
        <v>218</v>
      </c>
      <c r="E2878" s="97">
        <v>-1.23E-2</v>
      </c>
    </row>
    <row r="2879" spans="1:5" ht="15">
      <c r="A2879" s="98">
        <v>2123</v>
      </c>
      <c r="B2879">
        <v>13.07</v>
      </c>
      <c r="C2879">
        <v>12.06</v>
      </c>
      <c r="D2879" t="s">
        <v>218</v>
      </c>
      <c r="E2879" s="97">
        <v>3.0800000000000001E-2</v>
      </c>
    </row>
    <row r="2880" spans="1:5" ht="15">
      <c r="A2880" s="98">
        <v>2122</v>
      </c>
      <c r="B2880">
        <v>12.4</v>
      </c>
      <c r="C2880">
        <v>11.9</v>
      </c>
      <c r="D2880" t="s">
        <v>218</v>
      </c>
      <c r="E2880" s="97">
        <v>8.8999999999999999E-3</v>
      </c>
    </row>
    <row r="2881" spans="1:5" ht="15">
      <c r="A2881" s="98">
        <v>2121</v>
      </c>
      <c r="B2881">
        <v>12.12</v>
      </c>
      <c r="C2881">
        <v>11.31</v>
      </c>
      <c r="D2881" t="s">
        <v>218</v>
      </c>
      <c r="E2881" s="97">
        <v>-2.69E-2</v>
      </c>
    </row>
    <row r="2882" spans="1:5" ht="15">
      <c r="A2882" s="98">
        <v>2120</v>
      </c>
      <c r="B2882">
        <v>12.02</v>
      </c>
      <c r="C2882">
        <v>11.52</v>
      </c>
      <c r="D2882" t="s">
        <v>218</v>
      </c>
      <c r="E2882" s="97">
        <v>6.8599999999999994E-2</v>
      </c>
    </row>
    <row r="2883" spans="1:5" ht="15">
      <c r="A2883" s="98">
        <v>2119</v>
      </c>
      <c r="B2883">
        <v>11.96</v>
      </c>
      <c r="C2883">
        <v>11.05</v>
      </c>
      <c r="D2883" t="s">
        <v>218</v>
      </c>
      <c r="E2883" s="97">
        <v>-5.3600000000000002E-2</v>
      </c>
    </row>
    <row r="2884" spans="1:5" ht="15">
      <c r="A2884" s="98">
        <v>2118</v>
      </c>
      <c r="B2884">
        <v>11.36</v>
      </c>
      <c r="C2884">
        <v>11.04</v>
      </c>
      <c r="D2884" t="s">
        <v>218</v>
      </c>
      <c r="E2884" s="97">
        <v>2.23E-2</v>
      </c>
    </row>
    <row r="2885" spans="1:5" ht="15">
      <c r="A2885" s="98">
        <v>2117</v>
      </c>
      <c r="B2885">
        <v>11.64</v>
      </c>
      <c r="C2885">
        <v>10.78</v>
      </c>
      <c r="D2885" t="s">
        <v>218</v>
      </c>
      <c r="E2885" s="97">
        <v>0.16969999999999999</v>
      </c>
    </row>
    <row r="2886" spans="1:5" ht="15">
      <c r="A2886" s="98">
        <v>2116</v>
      </c>
      <c r="B2886">
        <v>12.53</v>
      </c>
      <c r="C2886">
        <v>11.31</v>
      </c>
      <c r="D2886" t="s">
        <v>218</v>
      </c>
      <c r="E2886" s="97">
        <v>-3.0599999999999999E-2</v>
      </c>
    </row>
    <row r="2887" spans="1:5" ht="15">
      <c r="A2887" s="98">
        <v>2115</v>
      </c>
      <c r="B2887">
        <v>11.67</v>
      </c>
      <c r="C2887">
        <v>11.01</v>
      </c>
      <c r="D2887" t="s">
        <v>218</v>
      </c>
      <c r="E2887" s="97">
        <v>1.0800000000000001E-2</v>
      </c>
    </row>
    <row r="2888" spans="1:5" ht="15">
      <c r="A2888" s="98">
        <v>2114</v>
      </c>
      <c r="B2888">
        <v>11.31</v>
      </c>
      <c r="C2888">
        <v>10.81</v>
      </c>
      <c r="D2888" t="s">
        <v>218</v>
      </c>
      <c r="E2888" s="97">
        <v>3.8999999999999998E-3</v>
      </c>
    </row>
    <row r="2889" spans="1:5" ht="15">
      <c r="A2889" s="98">
        <v>2113</v>
      </c>
      <c r="B2889">
        <v>12.13</v>
      </c>
      <c r="C2889">
        <v>10.96</v>
      </c>
      <c r="D2889" t="s">
        <v>218</v>
      </c>
      <c r="E2889" s="97">
        <v>7.46E-2</v>
      </c>
    </row>
    <row r="2890" spans="1:5" ht="15">
      <c r="A2890" s="98">
        <v>2112</v>
      </c>
      <c r="B2890">
        <v>12.32</v>
      </c>
      <c r="C2890">
        <v>11.95</v>
      </c>
      <c r="D2890" t="s">
        <v>218</v>
      </c>
      <c r="E2890" s="97">
        <v>3.6799999999999999E-2</v>
      </c>
    </row>
    <row r="2891" spans="1:5" ht="15">
      <c r="A2891" s="98">
        <v>2111</v>
      </c>
      <c r="B2891">
        <v>12.78</v>
      </c>
      <c r="C2891">
        <v>12.38</v>
      </c>
      <c r="D2891" t="s">
        <v>218</v>
      </c>
      <c r="E2891" s="97">
        <v>-6.8900000000000003E-2</v>
      </c>
    </row>
    <row r="2892" spans="1:5" ht="15">
      <c r="A2892" s="98">
        <v>2110</v>
      </c>
      <c r="B2892">
        <v>12.31</v>
      </c>
      <c r="C2892">
        <v>11.55</v>
      </c>
      <c r="D2892" t="s">
        <v>218</v>
      </c>
      <c r="E2892" s="97">
        <v>-2.3400000000000001E-2</v>
      </c>
    </row>
    <row r="2893" spans="1:5" ht="15">
      <c r="A2893" s="98">
        <v>2109</v>
      </c>
      <c r="B2893">
        <v>11.78</v>
      </c>
      <c r="C2893">
        <v>11.44</v>
      </c>
      <c r="D2893" t="s">
        <v>218</v>
      </c>
      <c r="E2893" s="97">
        <v>4.2099999999999999E-2</v>
      </c>
    </row>
    <row r="2894" spans="1:5" ht="15">
      <c r="A2894" s="98">
        <v>2108</v>
      </c>
      <c r="B2894">
        <v>12.1</v>
      </c>
      <c r="C2894">
        <v>11.5</v>
      </c>
      <c r="D2894" t="s">
        <v>218</v>
      </c>
      <c r="E2894" s="97">
        <v>8.6999999999999994E-2</v>
      </c>
    </row>
    <row r="2895" spans="1:5" ht="15">
      <c r="A2895" s="98">
        <v>2107</v>
      </c>
      <c r="B2895">
        <v>11.92</v>
      </c>
      <c r="C2895">
        <v>11.38</v>
      </c>
      <c r="D2895" t="s">
        <v>218</v>
      </c>
      <c r="E2895" s="97">
        <v>-4.3200000000000002E-2</v>
      </c>
    </row>
    <row r="2896" spans="1:5" ht="15">
      <c r="A2896" s="98">
        <v>2106</v>
      </c>
      <c r="B2896">
        <v>12.41</v>
      </c>
      <c r="C2896">
        <v>11.53</v>
      </c>
      <c r="D2896" t="s">
        <v>218</v>
      </c>
      <c r="E2896" s="97">
        <v>-3.5999999999999997E-2</v>
      </c>
    </row>
    <row r="2897" spans="1:5" ht="15">
      <c r="A2897" s="98">
        <v>2105</v>
      </c>
      <c r="B2897">
        <v>12.33</v>
      </c>
      <c r="C2897">
        <v>11.54</v>
      </c>
      <c r="D2897" t="s">
        <v>218</v>
      </c>
      <c r="E2897" s="97">
        <v>-8.3000000000000001E-3</v>
      </c>
    </row>
    <row r="2898" spans="1:5" ht="15">
      <c r="A2898" s="98">
        <v>2104</v>
      </c>
      <c r="B2898">
        <v>13.92</v>
      </c>
      <c r="C2898">
        <v>12.48</v>
      </c>
      <c r="D2898" t="s">
        <v>218</v>
      </c>
      <c r="E2898" s="97">
        <v>-6.6100000000000006E-2</v>
      </c>
    </row>
    <row r="2899" spans="1:5" ht="15">
      <c r="A2899" s="98">
        <v>2103</v>
      </c>
      <c r="B2899">
        <v>12.29</v>
      </c>
      <c r="C2899">
        <v>11.09</v>
      </c>
      <c r="D2899" t="s">
        <v>218</v>
      </c>
      <c r="E2899" s="97">
        <v>-7.5399999999999995E-2</v>
      </c>
    </row>
    <row r="2900" spans="1:5" ht="15">
      <c r="A2900" s="98">
        <v>2102</v>
      </c>
      <c r="B2900">
        <v>11.41</v>
      </c>
      <c r="C2900">
        <v>10.53</v>
      </c>
      <c r="D2900" t="s">
        <v>218</v>
      </c>
      <c r="E2900" s="97">
        <v>3.9399999999999998E-2</v>
      </c>
    </row>
    <row r="2901" spans="1:5" ht="15">
      <c r="A2901" s="98">
        <v>2101</v>
      </c>
      <c r="B2901">
        <v>11.37</v>
      </c>
      <c r="C2901">
        <v>10.85</v>
      </c>
      <c r="D2901" t="s">
        <v>218</v>
      </c>
      <c r="E2901" s="97">
        <v>5.74E-2</v>
      </c>
    </row>
    <row r="2902" spans="1:5" ht="15">
      <c r="A2902" s="98">
        <v>2100</v>
      </c>
      <c r="B2902">
        <v>11.44</v>
      </c>
      <c r="C2902">
        <v>10.8</v>
      </c>
      <c r="D2902" t="s">
        <v>218</v>
      </c>
      <c r="E2902" s="97">
        <v>-7.0599999999999996E-2</v>
      </c>
    </row>
    <row r="2903" spans="1:5" ht="15">
      <c r="A2903" s="98">
        <v>2099</v>
      </c>
      <c r="B2903">
        <v>11.13</v>
      </c>
      <c r="C2903">
        <v>10.5</v>
      </c>
      <c r="D2903" t="s">
        <v>218</v>
      </c>
      <c r="E2903" s="97">
        <v>-2.75E-2</v>
      </c>
    </row>
    <row r="2904" spans="1:5" ht="15">
      <c r="A2904" s="98">
        <v>2098</v>
      </c>
      <c r="B2904">
        <v>10.9</v>
      </c>
      <c r="C2904">
        <v>10.130000000000001</v>
      </c>
      <c r="D2904" t="s">
        <v>218</v>
      </c>
      <c r="E2904" s="97">
        <v>0.1174</v>
      </c>
    </row>
    <row r="2905" spans="1:5" ht="15">
      <c r="A2905" s="98">
        <v>2097</v>
      </c>
      <c r="B2905">
        <v>11.09</v>
      </c>
      <c r="C2905">
        <v>10.77</v>
      </c>
      <c r="D2905" t="s">
        <v>218</v>
      </c>
      <c r="E2905" s="97">
        <v>6.0000000000000001E-3</v>
      </c>
    </row>
    <row r="2906" spans="1:5" ht="15">
      <c r="A2906" s="98">
        <v>2096</v>
      </c>
      <c r="B2906">
        <v>10.79</v>
      </c>
      <c r="C2906">
        <v>10.36</v>
      </c>
      <c r="D2906" t="s">
        <v>218</v>
      </c>
      <c r="E2906" s="97">
        <v>5.0000000000000001E-4</v>
      </c>
    </row>
    <row r="2907" spans="1:5" ht="15">
      <c r="A2907" s="98">
        <v>2095</v>
      </c>
      <c r="B2907">
        <v>10.94</v>
      </c>
      <c r="C2907">
        <v>9.8800000000000008</v>
      </c>
      <c r="D2907" t="s">
        <v>218</v>
      </c>
      <c r="E2907" s="97">
        <v>-8.4400000000000003E-2</v>
      </c>
    </row>
    <row r="2908" spans="1:5" ht="15">
      <c r="A2908" s="98">
        <v>2094</v>
      </c>
      <c r="B2908">
        <v>11.21</v>
      </c>
      <c r="C2908">
        <v>10.23</v>
      </c>
      <c r="D2908" t="s">
        <v>218</v>
      </c>
      <c r="E2908" s="97">
        <v>-8.8999999999999996E-2</v>
      </c>
    </row>
    <row r="2909" spans="1:5" ht="15">
      <c r="A2909" s="98">
        <v>2093</v>
      </c>
      <c r="B2909">
        <v>11.05</v>
      </c>
      <c r="C2909">
        <v>10.51</v>
      </c>
      <c r="D2909" t="s">
        <v>218</v>
      </c>
      <c r="E2909" s="97">
        <v>8.6300000000000002E-2</v>
      </c>
    </row>
    <row r="2910" spans="1:5" ht="15">
      <c r="A2910" s="98">
        <v>2092</v>
      </c>
      <c r="B2910">
        <v>11.28</v>
      </c>
      <c r="C2910">
        <v>10.7</v>
      </c>
      <c r="D2910" t="s">
        <v>218</v>
      </c>
      <c r="E2910" s="97">
        <v>5.6800000000000003E-2</v>
      </c>
    </row>
    <row r="2911" spans="1:5" ht="15">
      <c r="A2911" s="98">
        <v>2091</v>
      </c>
      <c r="B2911">
        <v>11.25</v>
      </c>
      <c r="C2911">
        <v>10.92</v>
      </c>
      <c r="D2911" t="s">
        <v>218</v>
      </c>
      <c r="E2911" s="97">
        <v>8.6999999999999994E-3</v>
      </c>
    </row>
    <row r="2912" spans="1:5" ht="15">
      <c r="A2912" s="98">
        <v>2090</v>
      </c>
      <c r="B2912">
        <v>11.03</v>
      </c>
      <c r="C2912">
        <v>10.34</v>
      </c>
      <c r="D2912" t="s">
        <v>218</v>
      </c>
      <c r="E2912" s="97">
        <v>2.4199999999999999E-2</v>
      </c>
    </row>
    <row r="2913" spans="1:5" ht="15">
      <c r="A2913" s="98">
        <v>2089</v>
      </c>
      <c r="B2913">
        <v>10.58</v>
      </c>
      <c r="C2913">
        <v>10.27</v>
      </c>
      <c r="D2913" t="s">
        <v>218</v>
      </c>
      <c r="E2913" s="97">
        <v>2.58E-2</v>
      </c>
    </row>
    <row r="2914" spans="1:5" ht="15">
      <c r="A2914" s="98">
        <v>2088</v>
      </c>
      <c r="B2914">
        <v>11.73</v>
      </c>
      <c r="C2914">
        <v>10.24</v>
      </c>
      <c r="D2914" t="s">
        <v>218</v>
      </c>
      <c r="E2914" s="97">
        <v>8.0299999999999996E-2</v>
      </c>
    </row>
    <row r="2915" spans="1:5" ht="15">
      <c r="A2915" s="98">
        <v>2087</v>
      </c>
      <c r="B2915">
        <v>12.23</v>
      </c>
      <c r="C2915">
        <v>11.36</v>
      </c>
      <c r="D2915" t="s">
        <v>218</v>
      </c>
      <c r="E2915" s="97">
        <v>-5.1299999999999998E-2</v>
      </c>
    </row>
    <row r="2916" spans="1:5" ht="15">
      <c r="A2916" s="98">
        <v>2086</v>
      </c>
      <c r="B2916">
        <v>12.03</v>
      </c>
      <c r="C2916">
        <v>11.69</v>
      </c>
      <c r="D2916" t="s">
        <v>218</v>
      </c>
      <c r="E2916" s="97">
        <v>4.6699999999999998E-2</v>
      </c>
    </row>
    <row r="2917" spans="1:5" ht="15">
      <c r="A2917" s="98">
        <v>2085</v>
      </c>
      <c r="B2917">
        <v>12.01</v>
      </c>
      <c r="C2917">
        <v>11.62</v>
      </c>
      <c r="D2917" t="s">
        <v>218</v>
      </c>
      <c r="E2917" s="97">
        <v>1.77E-2</v>
      </c>
    </row>
    <row r="2918" spans="1:5" ht="15">
      <c r="A2918" s="98">
        <v>2084</v>
      </c>
      <c r="B2918">
        <v>12.57</v>
      </c>
      <c r="C2918">
        <v>11.99</v>
      </c>
      <c r="D2918" t="s">
        <v>218</v>
      </c>
      <c r="E2918" s="97">
        <v>-8.6300000000000002E-2</v>
      </c>
    </row>
    <row r="2919" spans="1:5" ht="15">
      <c r="A2919" s="98">
        <v>2083</v>
      </c>
      <c r="B2919">
        <v>12.92</v>
      </c>
      <c r="C2919">
        <v>11.82</v>
      </c>
      <c r="D2919" t="s">
        <v>218</v>
      </c>
      <c r="E2919" s="97">
        <v>2.06E-2</v>
      </c>
    </row>
    <row r="2920" spans="1:5" ht="15">
      <c r="A2920" s="98">
        <v>2082</v>
      </c>
      <c r="B2920">
        <v>13.29</v>
      </c>
      <c r="C2920">
        <v>12.56</v>
      </c>
      <c r="D2920" t="s">
        <v>218</v>
      </c>
      <c r="E2920" s="97">
        <v>-4.3299999999999998E-2</v>
      </c>
    </row>
    <row r="2921" spans="1:5" ht="15">
      <c r="A2921" s="98">
        <v>2081</v>
      </c>
      <c r="B2921">
        <v>12.78</v>
      </c>
      <c r="C2921">
        <v>12.24</v>
      </c>
      <c r="D2921" t="s">
        <v>218</v>
      </c>
      <c r="E2921" s="97">
        <v>0.11600000000000001</v>
      </c>
    </row>
    <row r="2922" spans="1:5" ht="15">
      <c r="A2922" s="98">
        <v>2080</v>
      </c>
      <c r="B2922">
        <v>12.56</v>
      </c>
      <c r="C2922">
        <v>11.51</v>
      </c>
      <c r="D2922" t="s">
        <v>218</v>
      </c>
      <c r="E2922" s="97">
        <v>-6.5699999999999995E-2</v>
      </c>
    </row>
    <row r="2923" spans="1:5" ht="15">
      <c r="A2923" s="98">
        <v>2079</v>
      </c>
      <c r="B2923">
        <v>12.94</v>
      </c>
      <c r="C2923">
        <v>11.88</v>
      </c>
      <c r="D2923" t="s">
        <v>218</v>
      </c>
      <c r="E2923" s="97">
        <v>-7.1000000000000004E-3</v>
      </c>
    </row>
    <row r="2924" spans="1:5" ht="15">
      <c r="A2924" s="98">
        <v>2078</v>
      </c>
      <c r="B2924">
        <v>12.98</v>
      </c>
      <c r="C2924">
        <v>12.18</v>
      </c>
      <c r="D2924" t="s">
        <v>218</v>
      </c>
      <c r="E2924" s="97">
        <v>2.5100000000000001E-2</v>
      </c>
    </row>
    <row r="2925" spans="1:5" ht="15">
      <c r="A2925" s="98">
        <v>2077</v>
      </c>
      <c r="B2925">
        <v>12.99</v>
      </c>
      <c r="C2925">
        <v>12.08</v>
      </c>
      <c r="D2925" t="s">
        <v>218</v>
      </c>
      <c r="E2925" s="97">
        <v>-3.2899999999999999E-2</v>
      </c>
    </row>
    <row r="2926" spans="1:5" ht="15">
      <c r="A2926" s="98">
        <v>2076</v>
      </c>
      <c r="B2926">
        <v>13.89</v>
      </c>
      <c r="C2926">
        <v>12.28</v>
      </c>
      <c r="D2926" t="s">
        <v>218</v>
      </c>
      <c r="E2926" s="97">
        <v>-2.0799999999999999E-2</v>
      </c>
    </row>
    <row r="2927" spans="1:5" ht="15">
      <c r="A2927" s="98">
        <v>2075</v>
      </c>
      <c r="B2927">
        <v>13.76</v>
      </c>
      <c r="C2927">
        <v>12.78</v>
      </c>
      <c r="D2927" t="s">
        <v>218</v>
      </c>
      <c r="E2927" s="97">
        <v>5.4300000000000001E-2</v>
      </c>
    </row>
    <row r="2928" spans="1:5" ht="15">
      <c r="A2928" s="98">
        <v>2074</v>
      </c>
      <c r="B2928">
        <v>13.88</v>
      </c>
      <c r="C2928">
        <v>13.01</v>
      </c>
      <c r="D2928" t="s">
        <v>218</v>
      </c>
      <c r="E2928" s="97">
        <v>2.3E-2</v>
      </c>
    </row>
    <row r="2929" spans="1:5" ht="15">
      <c r="A2929" s="98">
        <v>2073</v>
      </c>
      <c r="B2929">
        <v>13.85</v>
      </c>
      <c r="C2929">
        <v>12.61</v>
      </c>
      <c r="D2929" t="s">
        <v>218</v>
      </c>
      <c r="E2929" s="97">
        <v>7.6399999999999996E-2</v>
      </c>
    </row>
    <row r="2930" spans="1:5" ht="15">
      <c r="A2930" s="98">
        <v>2072</v>
      </c>
      <c r="B2930">
        <v>13.89</v>
      </c>
      <c r="C2930">
        <v>13.2</v>
      </c>
      <c r="D2930" t="s">
        <v>218</v>
      </c>
      <c r="E2930" s="97">
        <v>-1.6899999999999998E-2</v>
      </c>
    </row>
    <row r="2931" spans="1:5" ht="15">
      <c r="A2931" s="98">
        <v>2071</v>
      </c>
      <c r="B2931">
        <v>14.05</v>
      </c>
      <c r="C2931">
        <v>13.3</v>
      </c>
      <c r="D2931" t="s">
        <v>218</v>
      </c>
      <c r="E2931" s="97">
        <v>-2.3699999999999999E-2</v>
      </c>
    </row>
    <row r="2932" spans="1:5" ht="15">
      <c r="A2932" s="98">
        <v>2070</v>
      </c>
      <c r="B2932">
        <v>14.18</v>
      </c>
      <c r="C2932">
        <v>13</v>
      </c>
      <c r="D2932" t="s">
        <v>218</v>
      </c>
      <c r="E2932" s="97">
        <v>-1.89E-2</v>
      </c>
    </row>
    <row r="2933" spans="1:5" ht="15">
      <c r="A2933" s="98">
        <v>2069</v>
      </c>
      <c r="B2933">
        <v>14.12</v>
      </c>
      <c r="C2933">
        <v>13.66</v>
      </c>
      <c r="D2933" t="s">
        <v>218</v>
      </c>
      <c r="E2933" s="97">
        <v>0.04</v>
      </c>
    </row>
    <row r="2934" spans="1:5" ht="15">
      <c r="A2934" s="98">
        <v>2068</v>
      </c>
      <c r="B2934">
        <v>14.2</v>
      </c>
      <c r="C2934">
        <v>13.65</v>
      </c>
      <c r="D2934" t="s">
        <v>218</v>
      </c>
      <c r="E2934" s="97">
        <v>-2.0899999999999998E-2</v>
      </c>
    </row>
    <row r="2935" spans="1:5" ht="15">
      <c r="A2935" s="98">
        <v>2067</v>
      </c>
      <c r="B2935">
        <v>14.41</v>
      </c>
      <c r="C2935">
        <v>13.38</v>
      </c>
      <c r="D2935" t="s">
        <v>218</v>
      </c>
      <c r="E2935" s="97">
        <v>-1.6799999999999999E-2</v>
      </c>
    </row>
    <row r="2936" spans="1:5" ht="15">
      <c r="A2936" s="98">
        <v>2066</v>
      </c>
      <c r="B2936">
        <v>14.18</v>
      </c>
      <c r="C2936">
        <v>13.47</v>
      </c>
      <c r="D2936" t="s">
        <v>218</v>
      </c>
      <c r="E2936" s="97">
        <v>1.6500000000000001E-2</v>
      </c>
    </row>
    <row r="2937" spans="1:5" ht="15">
      <c r="A2937" s="98">
        <v>2065</v>
      </c>
      <c r="B2937">
        <v>13.63</v>
      </c>
      <c r="C2937">
        <v>12.56</v>
      </c>
      <c r="D2937" t="s">
        <v>218</v>
      </c>
      <c r="E2937" s="97">
        <v>-4.07E-2</v>
      </c>
    </row>
    <row r="2938" spans="1:5" ht="15">
      <c r="A2938" s="98">
        <v>2064</v>
      </c>
      <c r="B2938">
        <v>13.37</v>
      </c>
      <c r="C2938">
        <v>12.31</v>
      </c>
      <c r="D2938" t="s">
        <v>218</v>
      </c>
      <c r="E2938" s="97">
        <v>2.7699999999999999E-2</v>
      </c>
    </row>
    <row r="2939" spans="1:5" ht="15">
      <c r="A2939" s="98">
        <v>2063</v>
      </c>
      <c r="B2939">
        <v>13.72</v>
      </c>
      <c r="C2939">
        <v>13.03</v>
      </c>
      <c r="D2939" t="s">
        <v>218</v>
      </c>
      <c r="E2939" s="97">
        <v>-4.0599999999999997E-2</v>
      </c>
    </row>
    <row r="2940" spans="1:5" ht="15">
      <c r="A2940" s="98">
        <v>2062</v>
      </c>
      <c r="B2940">
        <v>14.18</v>
      </c>
      <c r="C2940">
        <v>12.9</v>
      </c>
      <c r="D2940" t="s">
        <v>218</v>
      </c>
      <c r="E2940" s="97">
        <v>-1.34E-2</v>
      </c>
    </row>
    <row r="2941" spans="1:5" ht="15">
      <c r="A2941" s="98">
        <v>2061</v>
      </c>
      <c r="B2941">
        <v>13.2</v>
      </c>
      <c r="C2941">
        <v>12.44</v>
      </c>
      <c r="D2941" t="s">
        <v>218</v>
      </c>
      <c r="E2941" s="97">
        <v>-6.6E-3</v>
      </c>
    </row>
    <row r="2942" spans="1:5" ht="15">
      <c r="A2942" s="98">
        <v>2060</v>
      </c>
      <c r="B2942">
        <v>12.94</v>
      </c>
      <c r="C2942">
        <v>12.37</v>
      </c>
      <c r="D2942" t="s">
        <v>218</v>
      </c>
      <c r="E2942" s="97">
        <v>-1.26E-2</v>
      </c>
    </row>
    <row r="2943" spans="1:5" ht="15">
      <c r="A2943" s="98">
        <v>2059</v>
      </c>
      <c r="B2943">
        <v>12.65</v>
      </c>
      <c r="C2943">
        <v>11.96</v>
      </c>
      <c r="D2943" t="s">
        <v>218</v>
      </c>
      <c r="E2943" s="97">
        <v>2.9600000000000001E-2</v>
      </c>
    </row>
    <row r="2944" spans="1:5" ht="15">
      <c r="A2944" s="98">
        <v>2058</v>
      </c>
      <c r="B2944">
        <v>11.89</v>
      </c>
      <c r="C2944">
        <v>11.45</v>
      </c>
      <c r="D2944" t="s">
        <v>218</v>
      </c>
      <c r="E2944" s="97">
        <v>-3.8399999999999997E-2</v>
      </c>
    </row>
    <row r="2945" spans="1:5" ht="15">
      <c r="A2945" s="98">
        <v>2057</v>
      </c>
      <c r="B2945">
        <v>12.48</v>
      </c>
      <c r="C2945">
        <v>11.75</v>
      </c>
      <c r="D2945" t="s">
        <v>218</v>
      </c>
      <c r="E2945" s="97">
        <v>5.0000000000000001E-3</v>
      </c>
    </row>
    <row r="2946" spans="1:5" ht="15">
      <c r="A2946" s="98">
        <v>2056</v>
      </c>
      <c r="B2946">
        <v>13.26</v>
      </c>
      <c r="C2946">
        <v>12.67</v>
      </c>
      <c r="D2946" t="s">
        <v>218</v>
      </c>
      <c r="E2946" s="97">
        <v>-1.77E-2</v>
      </c>
    </row>
    <row r="2947" spans="1:5" ht="15">
      <c r="A2947" s="98">
        <v>2055</v>
      </c>
      <c r="B2947">
        <v>13.17</v>
      </c>
      <c r="C2947">
        <v>12.28</v>
      </c>
      <c r="D2947" t="s">
        <v>218</v>
      </c>
      <c r="E2947" s="97">
        <v>-9.7999999999999997E-3</v>
      </c>
    </row>
    <row r="2948" spans="1:5" ht="15">
      <c r="A2948" s="98">
        <v>2054</v>
      </c>
      <c r="B2948">
        <v>11.93</v>
      </c>
      <c r="C2948">
        <v>11.07</v>
      </c>
      <c r="D2948" t="s">
        <v>218</v>
      </c>
      <c r="E2948" s="97">
        <v>2.7099999999999999E-2</v>
      </c>
    </row>
    <row r="2949" spans="1:5" ht="15">
      <c r="A2949" s="98">
        <v>2053</v>
      </c>
      <c r="B2949">
        <v>12.46</v>
      </c>
      <c r="C2949">
        <v>12.04</v>
      </c>
      <c r="D2949" t="s">
        <v>218</v>
      </c>
      <c r="E2949" s="97">
        <v>-7.5499999999999998E-2</v>
      </c>
    </row>
    <row r="2950" spans="1:5" ht="15">
      <c r="A2950" s="98">
        <v>2052</v>
      </c>
      <c r="B2950">
        <v>12.96</v>
      </c>
      <c r="C2950">
        <v>11.83</v>
      </c>
      <c r="D2950" t="s">
        <v>218</v>
      </c>
      <c r="E2950" s="97">
        <v>4.7000000000000002E-3</v>
      </c>
    </row>
    <row r="2951" spans="1:5" ht="15">
      <c r="A2951" s="98">
        <v>2051</v>
      </c>
      <c r="B2951">
        <v>13.91</v>
      </c>
      <c r="C2951">
        <v>12.96</v>
      </c>
      <c r="D2951" t="s">
        <v>218</v>
      </c>
      <c r="E2951" s="97">
        <v>-8.8000000000000005E-3</v>
      </c>
    </row>
    <row r="2952" spans="1:5" ht="15">
      <c r="A2952" s="98">
        <v>2050</v>
      </c>
      <c r="B2952">
        <v>14.39</v>
      </c>
      <c r="C2952">
        <v>13.31</v>
      </c>
      <c r="D2952" t="s">
        <v>218</v>
      </c>
      <c r="E2952" s="97">
        <v>-7.3000000000000001E-3</v>
      </c>
    </row>
    <row r="2953" spans="1:5" ht="15">
      <c r="A2953" s="98">
        <v>2049</v>
      </c>
      <c r="B2953">
        <v>13.88</v>
      </c>
      <c r="C2953">
        <v>12.75</v>
      </c>
      <c r="D2953" t="s">
        <v>218</v>
      </c>
      <c r="E2953" s="97">
        <v>-4.4600000000000001E-2</v>
      </c>
    </row>
    <row r="2954" spans="1:5" ht="15">
      <c r="A2954" s="98">
        <v>2048</v>
      </c>
      <c r="B2954">
        <v>13.47</v>
      </c>
      <c r="C2954">
        <v>12.64</v>
      </c>
      <c r="D2954" t="s">
        <v>218</v>
      </c>
      <c r="E2954" s="97">
        <v>-3.95E-2</v>
      </c>
    </row>
    <row r="2955" spans="1:5" ht="15">
      <c r="A2955" s="98">
        <v>2047</v>
      </c>
      <c r="B2955">
        <v>13.46</v>
      </c>
      <c r="C2955">
        <v>12.51</v>
      </c>
      <c r="D2955" t="s">
        <v>218</v>
      </c>
      <c r="E2955" s="97">
        <v>5.0299999999999997E-2</v>
      </c>
    </row>
    <row r="2956" spans="1:5" ht="15">
      <c r="A2956" s="98">
        <v>2046</v>
      </c>
      <c r="B2956">
        <v>12.98</v>
      </c>
      <c r="C2956">
        <v>12.37</v>
      </c>
      <c r="D2956" t="s">
        <v>218</v>
      </c>
      <c r="E2956" s="97">
        <v>-7.2499999999999995E-2</v>
      </c>
    </row>
    <row r="2957" spans="1:5" ht="15">
      <c r="A2957" s="98">
        <v>2045</v>
      </c>
      <c r="B2957">
        <v>13.23</v>
      </c>
      <c r="C2957">
        <v>12.15</v>
      </c>
      <c r="D2957" t="s">
        <v>218</v>
      </c>
      <c r="E2957" s="97">
        <v>9.2100000000000001E-2</v>
      </c>
    </row>
    <row r="2958" spans="1:5" ht="15">
      <c r="A2958" s="98">
        <v>2044</v>
      </c>
      <c r="B2958">
        <v>12.44</v>
      </c>
      <c r="C2958">
        <v>11.92</v>
      </c>
      <c r="D2958" t="s">
        <v>218</v>
      </c>
      <c r="E2958" s="97">
        <v>2.76E-2</v>
      </c>
    </row>
    <row r="2959" spans="1:5" ht="15">
      <c r="A2959" s="98">
        <v>2043</v>
      </c>
      <c r="B2959">
        <v>12.62</v>
      </c>
      <c r="C2959">
        <v>11.98</v>
      </c>
      <c r="D2959" t="s">
        <v>218</v>
      </c>
      <c r="E2959" s="97">
        <v>4.41E-2</v>
      </c>
    </row>
    <row r="2960" spans="1:5" ht="15">
      <c r="A2960" s="98">
        <v>2042</v>
      </c>
      <c r="B2960">
        <v>13.21</v>
      </c>
      <c r="C2960">
        <v>12.11</v>
      </c>
      <c r="D2960" t="s">
        <v>218</v>
      </c>
      <c r="E2960" s="97">
        <v>-3.56E-2</v>
      </c>
    </row>
    <row r="2961" spans="1:5" ht="15">
      <c r="A2961" s="98">
        <v>2041</v>
      </c>
      <c r="B2961">
        <v>14.58</v>
      </c>
      <c r="C2961">
        <v>12.97</v>
      </c>
      <c r="D2961" t="s">
        <v>218</v>
      </c>
      <c r="E2961" s="97">
        <v>-7.3000000000000001E-3</v>
      </c>
    </row>
    <row r="2962" spans="1:5" ht="15">
      <c r="A2962" s="98">
        <v>2040</v>
      </c>
      <c r="B2962">
        <v>15.63</v>
      </c>
      <c r="C2962">
        <v>14.04</v>
      </c>
      <c r="D2962" t="s">
        <v>218</v>
      </c>
      <c r="E2962" s="97">
        <v>-6.3600000000000004E-2</v>
      </c>
    </row>
    <row r="2963" spans="1:5" ht="15">
      <c r="A2963" s="98">
        <v>2039</v>
      </c>
      <c r="B2963">
        <v>14.82</v>
      </c>
      <c r="C2963">
        <v>14.3</v>
      </c>
      <c r="D2963" t="s">
        <v>218</v>
      </c>
      <c r="E2963" s="97">
        <v>-7.3700000000000002E-2</v>
      </c>
    </row>
    <row r="2964" spans="1:5" ht="15">
      <c r="A2964" s="98">
        <v>2038</v>
      </c>
      <c r="B2964">
        <v>15.61</v>
      </c>
      <c r="C2964">
        <v>14.87</v>
      </c>
      <c r="D2964" t="s">
        <v>218</v>
      </c>
      <c r="E2964" s="97">
        <v>-3.7600000000000001E-2</v>
      </c>
    </row>
    <row r="2965" spans="1:5" ht="15">
      <c r="A2965" s="98">
        <v>2037</v>
      </c>
      <c r="B2965">
        <v>15.7</v>
      </c>
      <c r="C2965">
        <v>15.06</v>
      </c>
      <c r="D2965" t="s">
        <v>218</v>
      </c>
      <c r="E2965" s="97">
        <v>2.5100000000000001E-2</v>
      </c>
    </row>
    <row r="2966" spans="1:5" ht="15">
      <c r="A2966" s="98">
        <v>2036</v>
      </c>
      <c r="B2966">
        <v>16.27</v>
      </c>
      <c r="C2966">
        <v>15.04</v>
      </c>
      <c r="D2966" t="s">
        <v>218</v>
      </c>
      <c r="E2966" s="97">
        <v>2.3300000000000001E-2</v>
      </c>
    </row>
    <row r="2967" spans="1:5" ht="15">
      <c r="A2967" s="98">
        <v>2035</v>
      </c>
      <c r="B2967">
        <v>17.190000000000001</v>
      </c>
      <c r="C2967">
        <v>15.98</v>
      </c>
      <c r="D2967" t="s">
        <v>218</v>
      </c>
      <c r="E2967" s="97">
        <v>0.17760000000000001</v>
      </c>
    </row>
    <row r="2968" spans="1:5" ht="15">
      <c r="A2968" s="98">
        <v>2034</v>
      </c>
      <c r="B2968">
        <v>16.03</v>
      </c>
      <c r="C2968">
        <v>14.83</v>
      </c>
      <c r="D2968" t="s">
        <v>218</v>
      </c>
      <c r="E2968" s="97">
        <v>1.4E-3</v>
      </c>
    </row>
    <row r="2969" spans="1:5" ht="15">
      <c r="A2969" s="98">
        <v>2033</v>
      </c>
      <c r="B2969">
        <v>15.3</v>
      </c>
      <c r="C2969">
        <v>14.58</v>
      </c>
      <c r="D2969" t="s">
        <v>218</v>
      </c>
      <c r="E2969" s="97">
        <v>-9.1700000000000004E-2</v>
      </c>
    </row>
    <row r="2970" spans="1:5" ht="15">
      <c r="A2970" s="98">
        <v>2032</v>
      </c>
      <c r="B2970">
        <v>15.4</v>
      </c>
      <c r="C2970">
        <v>14.79</v>
      </c>
      <c r="D2970" t="s">
        <v>218</v>
      </c>
      <c r="E2970" s="97">
        <v>-4.6399999999999997E-2</v>
      </c>
    </row>
    <row r="2971" spans="1:5" ht="15">
      <c r="A2971" s="98">
        <v>2031</v>
      </c>
      <c r="B2971">
        <v>15.86</v>
      </c>
      <c r="C2971">
        <v>13.47</v>
      </c>
      <c r="D2971" t="s">
        <v>218</v>
      </c>
      <c r="E2971" s="97">
        <v>0.15179999999999999</v>
      </c>
    </row>
    <row r="2972" spans="1:5" ht="15">
      <c r="A2972" s="98">
        <v>2030</v>
      </c>
      <c r="B2972">
        <v>16.190000000000001</v>
      </c>
      <c r="C2972">
        <v>13.98</v>
      </c>
      <c r="D2972" t="s">
        <v>218</v>
      </c>
      <c r="E2972" s="97">
        <v>6.1999999999999998E-3</v>
      </c>
    </row>
    <row r="2973" spans="1:5" ht="15">
      <c r="A2973" s="98">
        <v>2029</v>
      </c>
      <c r="B2973">
        <v>16.27</v>
      </c>
      <c r="C2973">
        <v>15.26</v>
      </c>
      <c r="D2973" t="s">
        <v>218</v>
      </c>
      <c r="E2973" s="97">
        <v>-6.6E-3</v>
      </c>
    </row>
    <row r="2974" spans="1:5" ht="15">
      <c r="A2974" s="98">
        <v>2028</v>
      </c>
      <c r="B2974">
        <v>16.440000000000001</v>
      </c>
      <c r="C2974">
        <v>14.61</v>
      </c>
      <c r="D2974" t="s">
        <v>218</v>
      </c>
      <c r="E2974" s="97">
        <v>-3.3399999999999999E-2</v>
      </c>
    </row>
    <row r="2975" spans="1:5" ht="15">
      <c r="A2975" s="98">
        <v>2027</v>
      </c>
      <c r="B2975">
        <v>15.3</v>
      </c>
      <c r="C2975">
        <v>14.2</v>
      </c>
      <c r="D2975" t="s">
        <v>218</v>
      </c>
      <c r="E2975" s="97">
        <v>-7.3300000000000004E-2</v>
      </c>
    </row>
    <row r="2976" spans="1:5" ht="15">
      <c r="A2976" s="98">
        <v>2026</v>
      </c>
      <c r="B2976">
        <v>14.88</v>
      </c>
      <c r="C2976">
        <v>13.72</v>
      </c>
      <c r="D2976" t="s">
        <v>218</v>
      </c>
      <c r="E2976" s="97">
        <v>4.8399999999999999E-2</v>
      </c>
    </row>
    <row r="2977" spans="1:5" ht="15">
      <c r="A2977" s="98">
        <v>2025</v>
      </c>
      <c r="B2977">
        <v>16.3</v>
      </c>
      <c r="C2977">
        <v>14.57</v>
      </c>
      <c r="D2977" t="s">
        <v>218</v>
      </c>
      <c r="E2977" s="97">
        <v>1.21E-2</v>
      </c>
    </row>
    <row r="2978" spans="1:5" ht="15">
      <c r="A2978" s="98">
        <v>2024</v>
      </c>
      <c r="B2978">
        <v>15.61</v>
      </c>
      <c r="C2978">
        <v>14.11</v>
      </c>
      <c r="D2978" t="s">
        <v>218</v>
      </c>
      <c r="E2978" s="97">
        <v>-5.1200000000000002E-2</v>
      </c>
    </row>
    <row r="2979" spans="1:5" ht="15">
      <c r="A2979" s="98">
        <v>2023</v>
      </c>
      <c r="B2979">
        <v>15.39</v>
      </c>
      <c r="C2979">
        <v>13.93</v>
      </c>
      <c r="D2979" t="s">
        <v>218</v>
      </c>
      <c r="E2979" s="97">
        <v>3.3000000000000002E-2</v>
      </c>
    </row>
    <row r="2980" spans="1:5" ht="15">
      <c r="A2980" s="98">
        <v>2022</v>
      </c>
      <c r="B2980">
        <v>15.66</v>
      </c>
      <c r="C2980">
        <v>14.65</v>
      </c>
      <c r="D2980" t="s">
        <v>218</v>
      </c>
      <c r="E2980" s="97">
        <v>-3.73E-2</v>
      </c>
    </row>
    <row r="2981" spans="1:5" ht="15">
      <c r="A2981" s="98">
        <v>2021</v>
      </c>
      <c r="B2981">
        <v>14.99</v>
      </c>
      <c r="C2981">
        <v>13.38</v>
      </c>
      <c r="D2981" t="s">
        <v>218</v>
      </c>
      <c r="E2981" s="97">
        <v>4.3400000000000001E-2</v>
      </c>
    </row>
    <row r="2982" spans="1:5" ht="15">
      <c r="A2982" s="98">
        <v>2020</v>
      </c>
      <c r="B2982">
        <v>13.23</v>
      </c>
      <c r="C2982">
        <v>12.5</v>
      </c>
      <c r="D2982" t="s">
        <v>218</v>
      </c>
      <c r="E2982" s="97">
        <v>1.0699999999999999E-2</v>
      </c>
    </row>
    <row r="2983" spans="1:5" ht="15">
      <c r="A2983" s="98">
        <v>2019</v>
      </c>
      <c r="B2983">
        <v>13.62</v>
      </c>
      <c r="C2983">
        <v>12.69</v>
      </c>
      <c r="D2983" t="s">
        <v>218</v>
      </c>
      <c r="E2983" s="97">
        <v>1.04E-2</v>
      </c>
    </row>
    <row r="2984" spans="1:5" ht="15">
      <c r="A2984" s="98">
        <v>2018</v>
      </c>
      <c r="B2984">
        <v>13.65</v>
      </c>
      <c r="C2984">
        <v>12.76</v>
      </c>
      <c r="D2984" t="s">
        <v>218</v>
      </c>
      <c r="E2984" s="97">
        <v>1.37E-2</v>
      </c>
    </row>
    <row r="2985" spans="1:5" ht="15">
      <c r="A2985" s="98">
        <v>2017</v>
      </c>
      <c r="B2985">
        <v>13.61</v>
      </c>
      <c r="C2985">
        <v>13.04</v>
      </c>
      <c r="D2985" t="s">
        <v>218</v>
      </c>
      <c r="E2985" s="97">
        <v>-5.0000000000000001E-3</v>
      </c>
    </row>
    <row r="2986" spans="1:5" ht="15">
      <c r="A2986" s="98">
        <v>2016</v>
      </c>
      <c r="B2986">
        <v>13.36</v>
      </c>
      <c r="C2986">
        <v>12.42</v>
      </c>
      <c r="D2986" t="s">
        <v>218</v>
      </c>
      <c r="E2986" s="97">
        <v>7.2900000000000006E-2</v>
      </c>
    </row>
    <row r="2987" spans="1:5" ht="15">
      <c r="A2987" s="98">
        <v>2015</v>
      </c>
      <c r="B2987">
        <v>13.17</v>
      </c>
      <c r="C2987">
        <v>11.73</v>
      </c>
      <c r="D2987" t="s">
        <v>218</v>
      </c>
      <c r="E2987" s="97">
        <v>-4.1700000000000001E-2</v>
      </c>
    </row>
    <row r="2988" spans="1:5" ht="15">
      <c r="A2988" s="98">
        <v>2014</v>
      </c>
      <c r="B2988">
        <v>11.96</v>
      </c>
      <c r="C2988">
        <v>11.63</v>
      </c>
      <c r="D2988" t="s">
        <v>218</v>
      </c>
      <c r="E2988" s="97">
        <v>-6.0299999999999999E-2</v>
      </c>
    </row>
    <row r="2989" spans="1:5" ht="15">
      <c r="A2989" s="98">
        <v>2013</v>
      </c>
      <c r="B2989">
        <v>12.34</v>
      </c>
      <c r="C2989">
        <v>11.77</v>
      </c>
      <c r="D2989" t="s">
        <v>218</v>
      </c>
      <c r="E2989" s="97">
        <v>-4.58E-2</v>
      </c>
    </row>
    <row r="2990" spans="1:5" ht="15">
      <c r="A2990" s="98">
        <v>2012</v>
      </c>
      <c r="B2990">
        <v>12.69</v>
      </c>
      <c r="C2990">
        <v>11.7</v>
      </c>
      <c r="D2990" t="s">
        <v>218</v>
      </c>
      <c r="E2990" s="97">
        <v>0.11210000000000001</v>
      </c>
    </row>
    <row r="2991" spans="1:5" ht="15">
      <c r="A2991" s="98">
        <v>2011</v>
      </c>
      <c r="B2991">
        <v>12.68</v>
      </c>
      <c r="C2991">
        <v>12.17</v>
      </c>
      <c r="D2991" t="s">
        <v>218</v>
      </c>
      <c r="E2991" s="97">
        <v>-8.8000000000000005E-3</v>
      </c>
    </row>
    <row r="2992" spans="1:5" ht="15">
      <c r="A2992" s="98">
        <v>2010</v>
      </c>
      <c r="B2992">
        <v>12.2</v>
      </c>
      <c r="C2992">
        <v>11.25</v>
      </c>
      <c r="D2992" t="s">
        <v>218</v>
      </c>
      <c r="E2992" s="97">
        <v>-3.1399999999999997E-2</v>
      </c>
    </row>
    <row r="2993" spans="1:5" ht="15">
      <c r="A2993" s="98">
        <v>2009</v>
      </c>
      <c r="B2993">
        <v>11.67</v>
      </c>
      <c r="C2993">
        <v>10.96</v>
      </c>
      <c r="D2993" t="s">
        <v>218</v>
      </c>
      <c r="E2993" s="97">
        <v>-1.46E-2</v>
      </c>
    </row>
    <row r="2994" spans="1:5" ht="15">
      <c r="A2994" s="98">
        <v>2008</v>
      </c>
      <c r="B2994">
        <v>11.38</v>
      </c>
      <c r="C2994">
        <v>10.71</v>
      </c>
      <c r="D2994" t="s">
        <v>218</v>
      </c>
      <c r="E2994" s="97">
        <v>5.3E-3</v>
      </c>
    </row>
    <row r="2995" spans="1:5" ht="15">
      <c r="A2995" s="98">
        <v>2007</v>
      </c>
      <c r="B2995">
        <v>11.1</v>
      </c>
      <c r="C2995">
        <v>10.5</v>
      </c>
      <c r="D2995" t="s">
        <v>218</v>
      </c>
      <c r="E2995" s="97">
        <v>-4.9399999999999999E-2</v>
      </c>
    </row>
    <row r="2996" spans="1:5" ht="15">
      <c r="A2996" s="98">
        <v>2006</v>
      </c>
      <c r="B2996">
        <v>11.03</v>
      </c>
      <c r="C2996">
        <v>10.67</v>
      </c>
      <c r="D2996" t="s">
        <v>218</v>
      </c>
      <c r="E2996" s="97">
        <v>4.8300000000000003E-2</v>
      </c>
    </row>
    <row r="2997" spans="1:5" ht="15">
      <c r="A2997" s="98">
        <v>2005</v>
      </c>
      <c r="B2997">
        <v>11.24</v>
      </c>
      <c r="C2997">
        <v>10.88</v>
      </c>
      <c r="D2997" t="s">
        <v>218</v>
      </c>
      <c r="E2997" s="97">
        <v>-3.0499999999999999E-2</v>
      </c>
    </row>
    <row r="2998" spans="1:5" ht="15">
      <c r="A2998" s="98">
        <v>2004</v>
      </c>
      <c r="B2998">
        <v>11.99</v>
      </c>
      <c r="C2998">
        <v>11.33</v>
      </c>
      <c r="D2998" t="s">
        <v>218</v>
      </c>
      <c r="E2998" s="97">
        <v>-0.04</v>
      </c>
    </row>
    <row r="2999" spans="1:5" ht="15">
      <c r="A2999" s="98">
        <v>2003</v>
      </c>
      <c r="B2999">
        <v>11.96</v>
      </c>
      <c r="C2999">
        <v>11.61</v>
      </c>
      <c r="D2999" t="s">
        <v>218</v>
      </c>
      <c r="E2999" s="97">
        <v>-1.4999999999999999E-2</v>
      </c>
    </row>
    <row r="3000" spans="1:5" ht="15">
      <c r="A3000" s="98">
        <v>2002</v>
      </c>
      <c r="B3000">
        <v>12.13</v>
      </c>
      <c r="C3000">
        <v>11.55</v>
      </c>
      <c r="D3000" t="s">
        <v>218</v>
      </c>
      <c r="E3000" s="97">
        <v>-4.9399999999999999E-2</v>
      </c>
    </row>
    <row r="3001" spans="1:5" ht="15">
      <c r="A3001" s="98">
        <v>2001</v>
      </c>
      <c r="B3001">
        <v>12.23</v>
      </c>
      <c r="C3001">
        <v>11.14</v>
      </c>
      <c r="D3001" t="s">
        <v>218</v>
      </c>
      <c r="E3001" s="97">
        <v>4.1799999999999997E-2</v>
      </c>
    </row>
    <row r="3002" spans="1:5" ht="15">
      <c r="A3002" s="98">
        <v>2000</v>
      </c>
      <c r="B3002">
        <v>11.23</v>
      </c>
      <c r="C3002">
        <v>10.94</v>
      </c>
      <c r="D3002" t="s">
        <v>218</v>
      </c>
      <c r="E3002" s="97">
        <v>-1.7000000000000001E-2</v>
      </c>
    </row>
    <row r="3003" spans="1:5" ht="15">
      <c r="A3003" s="98">
        <v>1999</v>
      </c>
      <c r="B3003">
        <v>11.68</v>
      </c>
      <c r="C3003">
        <v>11.4</v>
      </c>
      <c r="D3003" t="s">
        <v>218</v>
      </c>
      <c r="E3003" s="97">
        <v>-1.2500000000000001E-2</v>
      </c>
    </row>
    <row r="3004" spans="1:5" ht="15">
      <c r="A3004" s="98">
        <v>1998</v>
      </c>
      <c r="B3004">
        <v>11.59</v>
      </c>
      <c r="C3004">
        <v>10.96</v>
      </c>
      <c r="D3004" t="s">
        <v>218</v>
      </c>
      <c r="E3004" s="97">
        <v>9.0700000000000003E-2</v>
      </c>
    </row>
    <row r="3005" spans="1:5" ht="15">
      <c r="A3005" s="98">
        <v>1997</v>
      </c>
      <c r="B3005">
        <v>12.44</v>
      </c>
      <c r="C3005">
        <v>11.45</v>
      </c>
      <c r="D3005" t="s">
        <v>218</v>
      </c>
      <c r="E3005" s="97">
        <v>-9.2999999999999992E-3</v>
      </c>
    </row>
    <row r="3006" spans="1:5" ht="15">
      <c r="A3006" s="98">
        <v>1996</v>
      </c>
      <c r="B3006">
        <v>12.41</v>
      </c>
      <c r="C3006">
        <v>11.73</v>
      </c>
      <c r="D3006" t="s">
        <v>218</v>
      </c>
      <c r="E3006" s="97">
        <v>0.03</v>
      </c>
    </row>
    <row r="3007" spans="1:5" ht="15">
      <c r="A3007" s="98">
        <v>1995</v>
      </c>
      <c r="B3007">
        <v>12.2</v>
      </c>
      <c r="C3007">
        <v>11.56</v>
      </c>
      <c r="D3007" t="s">
        <v>218</v>
      </c>
      <c r="E3007" s="97">
        <v>-4.3999999999999997E-2</v>
      </c>
    </row>
    <row r="3008" spans="1:5" ht="15">
      <c r="A3008" s="98">
        <v>1994</v>
      </c>
      <c r="B3008">
        <v>11.81</v>
      </c>
      <c r="C3008">
        <v>10.83</v>
      </c>
      <c r="D3008" t="s">
        <v>218</v>
      </c>
      <c r="E3008" s="97">
        <v>-6.5600000000000006E-2</v>
      </c>
    </row>
    <row r="3009" spans="1:5" ht="15">
      <c r="A3009" s="98">
        <v>1993</v>
      </c>
      <c r="B3009">
        <v>11.42</v>
      </c>
      <c r="C3009">
        <v>10.57</v>
      </c>
      <c r="D3009" t="s">
        <v>218</v>
      </c>
      <c r="E3009" s="97">
        <v>8.1000000000000003E-2</v>
      </c>
    </row>
    <row r="3010" spans="1:5" ht="15">
      <c r="A3010" s="98">
        <v>1992</v>
      </c>
      <c r="B3010">
        <v>10.79</v>
      </c>
      <c r="C3010">
        <v>10.39</v>
      </c>
      <c r="D3010" t="s">
        <v>218</v>
      </c>
      <c r="E3010" s="97">
        <v>-5.3199999999999997E-2</v>
      </c>
    </row>
    <row r="3011" spans="1:5" ht="15">
      <c r="A3011" s="98">
        <v>1991</v>
      </c>
      <c r="B3011">
        <v>11.11</v>
      </c>
      <c r="C3011">
        <v>10.37</v>
      </c>
      <c r="D3011" t="s">
        <v>218</v>
      </c>
      <c r="E3011" s="97">
        <v>-2.7799999999999998E-2</v>
      </c>
    </row>
    <row r="3012" spans="1:5" ht="15">
      <c r="A3012" s="98">
        <v>1990</v>
      </c>
      <c r="B3012">
        <v>10.75</v>
      </c>
      <c r="C3012">
        <v>10.15</v>
      </c>
      <c r="D3012" t="s">
        <v>218</v>
      </c>
      <c r="E3012" s="97">
        <v>7.9200000000000007E-2</v>
      </c>
    </row>
    <row r="3013" spans="1:5" ht="15">
      <c r="A3013" s="98">
        <v>1989</v>
      </c>
      <c r="B3013">
        <v>11.38</v>
      </c>
      <c r="C3013">
        <v>10.65</v>
      </c>
      <c r="D3013" t="s">
        <v>218</v>
      </c>
      <c r="E3013" s="97">
        <v>8.8000000000000005E-3</v>
      </c>
    </row>
    <row r="3014" spans="1:5" ht="15">
      <c r="A3014" s="98">
        <v>1988</v>
      </c>
      <c r="B3014">
        <v>11.45</v>
      </c>
      <c r="C3014">
        <v>11</v>
      </c>
      <c r="D3014" t="s">
        <v>218</v>
      </c>
      <c r="E3014" s="97">
        <v>2.3199999999999998E-2</v>
      </c>
    </row>
    <row r="3015" spans="1:5" ht="15">
      <c r="A3015" s="98">
        <v>1987</v>
      </c>
      <c r="B3015">
        <v>11.07</v>
      </c>
      <c r="C3015">
        <v>10.34</v>
      </c>
      <c r="D3015" t="s">
        <v>218</v>
      </c>
      <c r="E3015" s="97">
        <v>-3.8899999999999997E-2</v>
      </c>
    </row>
    <row r="3016" spans="1:5" ht="15">
      <c r="A3016" s="98">
        <v>1986</v>
      </c>
      <c r="B3016">
        <v>10.89</v>
      </c>
      <c r="C3016">
        <v>10.28</v>
      </c>
      <c r="D3016" t="s">
        <v>218</v>
      </c>
      <c r="E3016" s="97">
        <v>2.8999999999999998E-3</v>
      </c>
    </row>
    <row r="3017" spans="1:5" ht="15">
      <c r="A3017" s="98">
        <v>1985</v>
      </c>
      <c r="B3017">
        <v>10.48</v>
      </c>
      <c r="C3017">
        <v>10.24</v>
      </c>
      <c r="D3017" t="s">
        <v>218</v>
      </c>
      <c r="E3017" s="97">
        <v>-1.3899999999999999E-2</v>
      </c>
    </row>
    <row r="3018" spans="1:5" ht="15">
      <c r="A3018" s="98">
        <v>1984</v>
      </c>
      <c r="B3018">
        <v>11.65</v>
      </c>
      <c r="C3018">
        <v>10.83</v>
      </c>
      <c r="D3018" t="s">
        <v>218</v>
      </c>
      <c r="E3018" s="97">
        <v>-2.4299999999999999E-2</v>
      </c>
    </row>
    <row r="3019" spans="1:5" ht="15">
      <c r="A3019" s="98">
        <v>1983</v>
      </c>
      <c r="B3019">
        <v>11.64</v>
      </c>
      <c r="C3019">
        <v>11.26</v>
      </c>
      <c r="D3019" t="s">
        <v>218</v>
      </c>
      <c r="E3019" s="97">
        <v>-1.9199999999999998E-2</v>
      </c>
    </row>
    <row r="3020" spans="1:5" ht="15">
      <c r="A3020" s="98">
        <v>1982</v>
      </c>
      <c r="B3020">
        <v>11.67</v>
      </c>
      <c r="C3020">
        <v>11.14</v>
      </c>
      <c r="D3020" t="s">
        <v>218</v>
      </c>
      <c r="E3020" s="97">
        <v>-3.7699999999999997E-2</v>
      </c>
    </row>
    <row r="3021" spans="1:5" ht="15">
      <c r="A3021" s="98">
        <v>1981</v>
      </c>
      <c r="B3021">
        <v>12.07</v>
      </c>
      <c r="C3021">
        <v>11.55</v>
      </c>
      <c r="D3021" t="s">
        <v>218</v>
      </c>
      <c r="E3021" s="97">
        <v>3.3999999999999998E-3</v>
      </c>
    </row>
    <row r="3022" spans="1:5" ht="15">
      <c r="A3022" s="98">
        <v>1980</v>
      </c>
      <c r="B3022">
        <v>12.51</v>
      </c>
      <c r="C3022">
        <v>10.99</v>
      </c>
      <c r="D3022" t="s">
        <v>218</v>
      </c>
      <c r="E3022" s="97">
        <v>-9.8100000000000007E-2</v>
      </c>
    </row>
    <row r="3023" spans="1:5" ht="15">
      <c r="A3023" s="98">
        <v>1979</v>
      </c>
      <c r="B3023">
        <v>11.71</v>
      </c>
      <c r="C3023">
        <v>10.97</v>
      </c>
      <c r="D3023" t="s">
        <v>218</v>
      </c>
      <c r="E3023" s="97">
        <v>6.9599999999999995E-2</v>
      </c>
    </row>
    <row r="3024" spans="1:5" ht="15">
      <c r="A3024" s="98">
        <v>1978</v>
      </c>
      <c r="B3024">
        <v>11.84</v>
      </c>
      <c r="C3024">
        <v>11.31</v>
      </c>
      <c r="D3024" t="s">
        <v>218</v>
      </c>
      <c r="E3024" s="97">
        <v>-4.1200000000000001E-2</v>
      </c>
    </row>
    <row r="3025" spans="1:5" ht="15">
      <c r="A3025" s="98">
        <v>1977</v>
      </c>
      <c r="B3025">
        <v>11.5</v>
      </c>
      <c r="C3025">
        <v>10.81</v>
      </c>
      <c r="D3025" t="s">
        <v>218</v>
      </c>
      <c r="E3025" s="97">
        <v>-1.7500000000000002E-2</v>
      </c>
    </row>
    <row r="3026" spans="1:5" ht="15">
      <c r="A3026" s="98">
        <v>1976</v>
      </c>
      <c r="B3026">
        <v>11.35</v>
      </c>
      <c r="C3026">
        <v>10.98</v>
      </c>
      <c r="D3026" t="s">
        <v>218</v>
      </c>
      <c r="E3026" s="97">
        <v>1.15E-2</v>
      </c>
    </row>
    <row r="3027" spans="1:5" ht="15">
      <c r="A3027" s="98">
        <v>1975</v>
      </c>
      <c r="B3027">
        <v>11.39</v>
      </c>
      <c r="C3027">
        <v>10.84</v>
      </c>
      <c r="D3027" t="s">
        <v>218</v>
      </c>
      <c r="E3027" s="97">
        <v>-5.57E-2</v>
      </c>
    </row>
    <row r="3028" spans="1:5" ht="15">
      <c r="A3028" s="98">
        <v>1974</v>
      </c>
      <c r="B3028">
        <v>11.16</v>
      </c>
      <c r="C3028">
        <v>10.83</v>
      </c>
      <c r="D3028" t="s">
        <v>218</v>
      </c>
      <c r="E3028" s="97">
        <v>-6.7999999999999996E-3</v>
      </c>
    </row>
    <row r="3029" spans="1:5" ht="15">
      <c r="A3029" s="98">
        <v>1973</v>
      </c>
      <c r="B3029">
        <v>11.38</v>
      </c>
      <c r="C3029">
        <v>10.94</v>
      </c>
      <c r="D3029" t="s">
        <v>218</v>
      </c>
      <c r="E3029" s="97">
        <v>-4.9500000000000002E-2</v>
      </c>
    </row>
    <row r="3030" spans="1:5" ht="15">
      <c r="A3030" s="98">
        <v>1972</v>
      </c>
      <c r="B3030">
        <v>11.61</v>
      </c>
      <c r="C3030">
        <v>11.11</v>
      </c>
      <c r="D3030" t="s">
        <v>218</v>
      </c>
      <c r="E3030" s="97">
        <v>-3.7199999999999997E-2</v>
      </c>
    </row>
    <row r="3031" spans="1:5" ht="15">
      <c r="A3031" s="98">
        <v>1971</v>
      </c>
      <c r="B3031">
        <v>12.46</v>
      </c>
      <c r="C3031">
        <v>11.87</v>
      </c>
      <c r="D3031" t="s">
        <v>218</v>
      </c>
      <c r="E3031" s="97">
        <v>3.0000000000000001E-3</v>
      </c>
    </row>
    <row r="3032" spans="1:5" ht="15">
      <c r="A3032" s="98">
        <v>1970</v>
      </c>
      <c r="B3032">
        <v>12.7</v>
      </c>
      <c r="C3032">
        <v>12.2</v>
      </c>
      <c r="D3032" t="s">
        <v>218</v>
      </c>
      <c r="E3032" s="97">
        <v>5.7500000000000002E-2</v>
      </c>
    </row>
    <row r="3033" spans="1:5" ht="15">
      <c r="A3033" s="98">
        <v>1969</v>
      </c>
      <c r="B3033">
        <v>12.34</v>
      </c>
      <c r="C3033">
        <v>11.65</v>
      </c>
      <c r="D3033" t="s">
        <v>218</v>
      </c>
      <c r="E3033" s="97">
        <v>0.1133</v>
      </c>
    </row>
    <row r="3034" spans="1:5" ht="15">
      <c r="A3034" s="98">
        <v>1968</v>
      </c>
      <c r="B3034">
        <v>14.56</v>
      </c>
      <c r="C3034">
        <v>11.89</v>
      </c>
      <c r="D3034" t="s">
        <v>218</v>
      </c>
      <c r="E3034" s="97">
        <v>-3.5299999999999998E-2</v>
      </c>
    </row>
    <row r="3035" spans="1:5" ht="15">
      <c r="A3035" s="98">
        <v>1967</v>
      </c>
      <c r="B3035">
        <v>14.48</v>
      </c>
      <c r="C3035">
        <v>13.58</v>
      </c>
      <c r="D3035" t="s">
        <v>218</v>
      </c>
      <c r="E3035" s="97">
        <v>-4.8099999999999997E-2</v>
      </c>
    </row>
    <row r="3036" spans="1:5" ht="15">
      <c r="A3036" s="98">
        <v>1966</v>
      </c>
      <c r="B3036">
        <v>13.83</v>
      </c>
      <c r="C3036">
        <v>13.14</v>
      </c>
      <c r="D3036" t="s">
        <v>218</v>
      </c>
      <c r="E3036" s="97">
        <v>-3.2800000000000003E-2</v>
      </c>
    </row>
    <row r="3037" spans="1:5" ht="15">
      <c r="A3037" s="98">
        <v>1965</v>
      </c>
      <c r="B3037">
        <v>13.38</v>
      </c>
      <c r="C3037">
        <v>12.62</v>
      </c>
      <c r="D3037" t="s">
        <v>218</v>
      </c>
      <c r="E3037" s="97">
        <v>-7.7999999999999996E-3</v>
      </c>
    </row>
    <row r="3038" spans="1:5" ht="15">
      <c r="A3038" s="98">
        <v>1964</v>
      </c>
      <c r="B3038">
        <v>12.91</v>
      </c>
      <c r="C3038">
        <v>12.19</v>
      </c>
      <c r="D3038" t="s">
        <v>218</v>
      </c>
      <c r="E3038" s="97">
        <v>-5.45E-2</v>
      </c>
    </row>
    <row r="3039" spans="1:5" ht="15">
      <c r="A3039" s="98">
        <v>1963</v>
      </c>
      <c r="B3039">
        <v>12.33</v>
      </c>
      <c r="C3039">
        <v>11.72</v>
      </c>
      <c r="D3039" t="s">
        <v>218</v>
      </c>
      <c r="E3039" s="97">
        <v>-2.4E-2</v>
      </c>
    </row>
    <row r="3040" spans="1:5" ht="15">
      <c r="A3040" s="98">
        <v>1962</v>
      </c>
      <c r="B3040">
        <v>12.46</v>
      </c>
      <c r="C3040">
        <v>12.07</v>
      </c>
      <c r="D3040" t="s">
        <v>218</v>
      </c>
      <c r="E3040" s="97">
        <v>-3.7000000000000002E-3</v>
      </c>
    </row>
    <row r="3041" spans="1:5" ht="15">
      <c r="A3041" s="98">
        <v>1961</v>
      </c>
      <c r="B3041">
        <v>13.06</v>
      </c>
      <c r="C3041">
        <v>12.45</v>
      </c>
      <c r="D3041" t="s">
        <v>218</v>
      </c>
      <c r="E3041" s="97">
        <v>6.6900000000000001E-2</v>
      </c>
    </row>
    <row r="3042" spans="1:5" ht="15">
      <c r="A3042" s="98">
        <v>1960</v>
      </c>
      <c r="B3042">
        <v>13.03</v>
      </c>
      <c r="C3042">
        <v>12.34</v>
      </c>
      <c r="D3042" t="s">
        <v>218</v>
      </c>
      <c r="E3042" s="97">
        <v>-6.88E-2</v>
      </c>
    </row>
    <row r="3043" spans="1:5" ht="15">
      <c r="A3043" s="98">
        <v>1959</v>
      </c>
      <c r="B3043">
        <v>13.47</v>
      </c>
      <c r="C3043">
        <v>12.48</v>
      </c>
      <c r="D3043" t="s">
        <v>218</v>
      </c>
      <c r="E3043" s="97">
        <v>1.1000000000000001E-3</v>
      </c>
    </row>
    <row r="3044" spans="1:5" ht="15">
      <c r="A3044" s="98">
        <v>1958</v>
      </c>
      <c r="B3044">
        <v>13.7</v>
      </c>
      <c r="C3044">
        <v>12.64</v>
      </c>
      <c r="D3044" t="s">
        <v>218</v>
      </c>
      <c r="E3044" s="97">
        <v>0.1197</v>
      </c>
    </row>
    <row r="3045" spans="1:5" ht="15">
      <c r="A3045" s="98">
        <v>1957</v>
      </c>
      <c r="B3045">
        <v>13.43</v>
      </c>
      <c r="C3045">
        <v>12.99</v>
      </c>
      <c r="D3045" t="s">
        <v>218</v>
      </c>
      <c r="E3045" s="97">
        <v>-3.2000000000000002E-3</v>
      </c>
    </row>
    <row r="3046" spans="1:5" ht="15">
      <c r="A3046" s="98">
        <v>1956</v>
      </c>
      <c r="B3046">
        <v>13.67</v>
      </c>
      <c r="C3046">
        <v>12.97</v>
      </c>
      <c r="D3046" t="s">
        <v>218</v>
      </c>
      <c r="E3046" s="97">
        <v>-9.2700000000000005E-2</v>
      </c>
    </row>
    <row r="3047" spans="1:5" ht="15">
      <c r="A3047" s="98">
        <v>1955</v>
      </c>
      <c r="B3047">
        <v>13.61</v>
      </c>
      <c r="C3047">
        <v>12.76</v>
      </c>
      <c r="D3047" t="s">
        <v>218</v>
      </c>
      <c r="E3047" s="97">
        <v>-8.3000000000000001E-3</v>
      </c>
    </row>
    <row r="3048" spans="1:5" ht="15">
      <c r="A3048" s="98">
        <v>1954</v>
      </c>
      <c r="B3048">
        <v>13.15</v>
      </c>
      <c r="C3048">
        <v>12.27</v>
      </c>
      <c r="D3048" t="s">
        <v>218</v>
      </c>
      <c r="E3048" s="97">
        <v>5.1799999999999999E-2</v>
      </c>
    </row>
    <row r="3049" spans="1:5" ht="15">
      <c r="A3049" s="98">
        <v>1953</v>
      </c>
      <c r="B3049">
        <v>13.73</v>
      </c>
      <c r="C3049">
        <v>12.69</v>
      </c>
      <c r="D3049" t="s">
        <v>218</v>
      </c>
      <c r="E3049" s="97">
        <v>4.4400000000000002E-2</v>
      </c>
    </row>
    <row r="3050" spans="1:5" ht="15">
      <c r="A3050" s="98">
        <v>1952</v>
      </c>
      <c r="B3050">
        <v>13.7</v>
      </c>
      <c r="C3050">
        <v>13.05</v>
      </c>
      <c r="D3050" t="s">
        <v>218</v>
      </c>
      <c r="E3050" s="97">
        <v>2.01E-2</v>
      </c>
    </row>
    <row r="3051" spans="1:5" ht="15">
      <c r="A3051" s="98">
        <v>1951</v>
      </c>
      <c r="B3051">
        <v>13.15</v>
      </c>
      <c r="C3051">
        <v>12.01</v>
      </c>
      <c r="D3051" t="s">
        <v>218</v>
      </c>
      <c r="E3051" s="97">
        <v>5.1000000000000004E-3</v>
      </c>
    </row>
    <row r="3052" spans="1:5" ht="15">
      <c r="A3052" s="98">
        <v>1950</v>
      </c>
      <c r="B3052">
        <v>12.95</v>
      </c>
      <c r="C3052">
        <v>12.21</v>
      </c>
      <c r="D3052" t="s">
        <v>218</v>
      </c>
      <c r="E3052" s="97">
        <v>-3.5299999999999998E-2</v>
      </c>
    </row>
    <row r="3053" spans="1:5" ht="15">
      <c r="A3053" s="98">
        <v>1949</v>
      </c>
      <c r="B3053">
        <v>12.29</v>
      </c>
      <c r="C3053">
        <v>11.13</v>
      </c>
      <c r="D3053" t="s">
        <v>218</v>
      </c>
      <c r="E3053" s="97">
        <v>1.2200000000000001E-2</v>
      </c>
    </row>
    <row r="3054" spans="1:5" ht="15">
      <c r="A3054" s="98">
        <v>1948</v>
      </c>
      <c r="B3054">
        <v>12.21</v>
      </c>
      <c r="C3054">
        <v>11.52</v>
      </c>
      <c r="D3054" t="s">
        <v>218</v>
      </c>
      <c r="E3054" s="97">
        <v>-6.0900000000000003E-2</v>
      </c>
    </row>
    <row r="3055" spans="1:5" ht="15">
      <c r="A3055" s="98">
        <v>1947</v>
      </c>
      <c r="B3055">
        <v>12.64</v>
      </c>
      <c r="C3055">
        <v>12.28</v>
      </c>
      <c r="D3055" t="s">
        <v>218</v>
      </c>
      <c r="E3055" s="97">
        <v>-3.5700000000000003E-2</v>
      </c>
    </row>
    <row r="3056" spans="1:5" ht="15">
      <c r="A3056" s="98">
        <v>1946</v>
      </c>
      <c r="B3056">
        <v>12.3</v>
      </c>
      <c r="C3056">
        <v>11.68</v>
      </c>
      <c r="D3056" t="s">
        <v>218</v>
      </c>
      <c r="E3056" s="97">
        <v>-1.54E-2</v>
      </c>
    </row>
    <row r="3057" spans="1:5" ht="15">
      <c r="A3057" s="98">
        <v>1945</v>
      </c>
      <c r="B3057">
        <v>11.97</v>
      </c>
      <c r="C3057">
        <v>11.58</v>
      </c>
      <c r="D3057" t="s">
        <v>218</v>
      </c>
      <c r="E3057" s="97">
        <v>-5.1400000000000001E-2</v>
      </c>
    </row>
    <row r="3058" spans="1:5" ht="15">
      <c r="A3058" s="98">
        <v>1944</v>
      </c>
      <c r="B3058">
        <v>12.06</v>
      </c>
      <c r="C3058">
        <v>11.42</v>
      </c>
      <c r="D3058" t="s">
        <v>218</v>
      </c>
      <c r="E3058" s="97">
        <v>-0.11509999999999999</v>
      </c>
    </row>
    <row r="3059" spans="1:5" ht="15">
      <c r="A3059" s="98">
        <v>1943</v>
      </c>
      <c r="B3059">
        <v>11.83</v>
      </c>
      <c r="C3059">
        <v>11.4</v>
      </c>
      <c r="D3059" t="s">
        <v>218</v>
      </c>
      <c r="E3059" s="97">
        <v>-2.47E-2</v>
      </c>
    </row>
    <row r="3060" spans="1:5" ht="15">
      <c r="A3060" s="98">
        <v>1942</v>
      </c>
      <c r="B3060">
        <v>12.36</v>
      </c>
      <c r="C3060">
        <v>11.71</v>
      </c>
      <c r="D3060" t="s">
        <v>218</v>
      </c>
      <c r="E3060" s="97">
        <v>7.8399999999999997E-2</v>
      </c>
    </row>
    <row r="3061" spans="1:5" ht="15">
      <c r="A3061" s="98">
        <v>1941</v>
      </c>
      <c r="B3061">
        <v>12.07</v>
      </c>
      <c r="C3061">
        <v>11.52</v>
      </c>
      <c r="D3061" t="s">
        <v>218</v>
      </c>
      <c r="E3061" s="97">
        <v>4.3499999999999997E-2</v>
      </c>
    </row>
    <row r="3062" spans="1:5" ht="15">
      <c r="A3062" s="98">
        <v>1940</v>
      </c>
      <c r="B3062">
        <v>11.95</v>
      </c>
      <c r="C3062">
        <v>11.56</v>
      </c>
      <c r="D3062" t="s">
        <v>218</v>
      </c>
      <c r="E3062" s="97">
        <v>-6.9199999999999998E-2</v>
      </c>
    </row>
    <row r="3063" spans="1:5" ht="15">
      <c r="A3063" s="98">
        <v>1939</v>
      </c>
      <c r="B3063">
        <v>12.1</v>
      </c>
      <c r="C3063">
        <v>11.36</v>
      </c>
      <c r="D3063" t="s">
        <v>218</v>
      </c>
      <c r="E3063" s="97">
        <v>0.31159999999999999</v>
      </c>
    </row>
    <row r="3064" spans="1:5" ht="15">
      <c r="A3064" s="98">
        <v>1938</v>
      </c>
      <c r="B3064">
        <v>12.91</v>
      </c>
      <c r="C3064">
        <v>12.22</v>
      </c>
      <c r="D3064" t="s">
        <v>218</v>
      </c>
      <c r="E3064" s="97">
        <v>2.7400000000000001E-2</v>
      </c>
    </row>
    <row r="3065" spans="1:5" ht="15">
      <c r="A3065" s="98">
        <v>1937</v>
      </c>
      <c r="B3065">
        <v>13.34</v>
      </c>
      <c r="C3065">
        <v>12.64</v>
      </c>
      <c r="D3065" t="s">
        <v>218</v>
      </c>
      <c r="E3065" s="97">
        <v>8.3199999999999996E-2</v>
      </c>
    </row>
    <row r="3066" spans="1:5" ht="15">
      <c r="A3066" s="98">
        <v>1936</v>
      </c>
      <c r="B3066">
        <v>13.34</v>
      </c>
      <c r="C3066">
        <v>12.26</v>
      </c>
      <c r="D3066" t="s">
        <v>218</v>
      </c>
      <c r="E3066" s="97">
        <v>8.5800000000000001E-2</v>
      </c>
    </row>
    <row r="3067" spans="1:5" ht="15">
      <c r="A3067" s="98">
        <v>1935</v>
      </c>
      <c r="B3067">
        <v>12.69</v>
      </c>
      <c r="C3067">
        <v>12.01</v>
      </c>
      <c r="D3067" t="s">
        <v>218</v>
      </c>
      <c r="E3067" s="97">
        <v>1.9300000000000001E-2</v>
      </c>
    </row>
    <row r="3068" spans="1:5" ht="15">
      <c r="A3068" s="98">
        <v>1934</v>
      </c>
      <c r="B3068">
        <v>12.6</v>
      </c>
      <c r="C3068">
        <v>11.79</v>
      </c>
      <c r="D3068" t="s">
        <v>218</v>
      </c>
      <c r="E3068" s="97">
        <v>3.73E-2</v>
      </c>
    </row>
    <row r="3069" spans="1:5" ht="15">
      <c r="A3069" s="98">
        <v>1933</v>
      </c>
      <c r="B3069">
        <v>11.75</v>
      </c>
      <c r="C3069">
        <v>10.89</v>
      </c>
      <c r="D3069" t="s">
        <v>218</v>
      </c>
      <c r="E3069" s="97">
        <v>-1.9300000000000001E-2</v>
      </c>
    </row>
    <row r="3070" spans="1:5" ht="15">
      <c r="A3070" s="98">
        <v>1932</v>
      </c>
      <c r="B3070">
        <v>11.72</v>
      </c>
      <c r="C3070">
        <v>10.53</v>
      </c>
      <c r="D3070" t="s">
        <v>218</v>
      </c>
      <c r="E3070" s="97">
        <v>0.1033</v>
      </c>
    </row>
    <row r="3071" spans="1:5" ht="15">
      <c r="A3071" s="98">
        <v>1931</v>
      </c>
      <c r="B3071">
        <v>11.54</v>
      </c>
      <c r="C3071">
        <v>10.98</v>
      </c>
      <c r="D3071" t="s">
        <v>218</v>
      </c>
      <c r="E3071" s="97">
        <v>4.6800000000000001E-2</v>
      </c>
    </row>
    <row r="3072" spans="1:5" ht="15">
      <c r="A3072" s="98">
        <v>1930</v>
      </c>
      <c r="B3072">
        <v>12.05</v>
      </c>
      <c r="C3072">
        <v>10.57</v>
      </c>
      <c r="D3072" t="s">
        <v>218</v>
      </c>
      <c r="E3072" s="97">
        <v>7.0000000000000007E-2</v>
      </c>
    </row>
    <row r="3073" spans="1:5" ht="15">
      <c r="A3073" s="98">
        <v>1929</v>
      </c>
      <c r="B3073">
        <v>12.2</v>
      </c>
      <c r="C3073">
        <v>11.53</v>
      </c>
      <c r="D3073" t="s">
        <v>218</v>
      </c>
      <c r="E3073" s="97">
        <v>4.3099999999999999E-2</v>
      </c>
    </row>
    <row r="3074" spans="1:5" ht="15">
      <c r="A3074" s="98">
        <v>1928</v>
      </c>
      <c r="B3074">
        <v>12.21</v>
      </c>
      <c r="C3074">
        <v>10.79</v>
      </c>
      <c r="D3074" t="s">
        <v>218</v>
      </c>
      <c r="E3074" s="97">
        <v>-0.1134</v>
      </c>
    </row>
    <row r="3075" spans="1:5" ht="15">
      <c r="A3075" s="98">
        <v>1927</v>
      </c>
      <c r="B3075">
        <v>11.89</v>
      </c>
      <c r="C3075">
        <v>11.17</v>
      </c>
      <c r="D3075" t="s">
        <v>218</v>
      </c>
      <c r="E3075" s="97">
        <v>-9.4000000000000004E-3</v>
      </c>
    </row>
    <row r="3076" spans="1:5" ht="15">
      <c r="A3076" s="98">
        <v>1926</v>
      </c>
      <c r="B3076">
        <v>11.79</v>
      </c>
      <c r="C3076">
        <v>11.11</v>
      </c>
      <c r="D3076" t="s">
        <v>218</v>
      </c>
      <c r="E3076" s="97">
        <v>-8.0299999999999996E-2</v>
      </c>
    </row>
    <row r="3077" spans="1:5" ht="15">
      <c r="A3077" s="98">
        <v>1925</v>
      </c>
      <c r="B3077">
        <v>11.57</v>
      </c>
      <c r="C3077">
        <v>11.11</v>
      </c>
      <c r="D3077" t="s">
        <v>218</v>
      </c>
      <c r="E3077" s="97">
        <v>6.6900000000000001E-2</v>
      </c>
    </row>
    <row r="3078" spans="1:5" ht="15">
      <c r="A3078" s="98">
        <v>1924</v>
      </c>
      <c r="B3078">
        <v>11.48</v>
      </c>
      <c r="C3078">
        <v>11.09</v>
      </c>
      <c r="D3078" t="s">
        <v>218</v>
      </c>
      <c r="E3078" s="97">
        <v>-4.07E-2</v>
      </c>
    </row>
    <row r="3079" spans="1:5" ht="15">
      <c r="A3079" s="98">
        <v>1923</v>
      </c>
      <c r="B3079">
        <v>11.72</v>
      </c>
      <c r="C3079">
        <v>11.41</v>
      </c>
      <c r="D3079" t="s">
        <v>218</v>
      </c>
      <c r="E3079" s="97">
        <v>0.10680000000000001</v>
      </c>
    </row>
    <row r="3080" spans="1:5" ht="15">
      <c r="A3080" s="98">
        <v>1922</v>
      </c>
      <c r="B3080">
        <v>11.9</v>
      </c>
      <c r="C3080">
        <v>11.38</v>
      </c>
      <c r="D3080" t="s">
        <v>218</v>
      </c>
      <c r="E3080" s="97">
        <v>3.0099999999999998E-2</v>
      </c>
    </row>
    <row r="3081" spans="1:5" ht="15">
      <c r="A3081" s="98">
        <v>1921</v>
      </c>
      <c r="B3081">
        <v>11.57</v>
      </c>
      <c r="C3081">
        <v>10.79</v>
      </c>
      <c r="D3081" t="s">
        <v>218</v>
      </c>
      <c r="E3081" s="97">
        <v>2.1000000000000001E-2</v>
      </c>
    </row>
    <row r="3082" spans="1:5" ht="15">
      <c r="A3082" s="98">
        <v>1920</v>
      </c>
      <c r="B3082">
        <v>11.73</v>
      </c>
      <c r="C3082">
        <v>10.7</v>
      </c>
      <c r="D3082" t="s">
        <v>218</v>
      </c>
      <c r="E3082" s="97">
        <v>2.8999999999999998E-3</v>
      </c>
    </row>
    <row r="3083" spans="1:5" ht="15">
      <c r="A3083" s="98">
        <v>1919</v>
      </c>
      <c r="B3083">
        <v>11.65</v>
      </c>
      <c r="C3083">
        <v>11.27</v>
      </c>
      <c r="D3083" t="s">
        <v>218</v>
      </c>
      <c r="E3083" s="97">
        <v>-6.3E-3</v>
      </c>
    </row>
    <row r="3084" spans="1:5" ht="15">
      <c r="A3084" s="98">
        <v>1918</v>
      </c>
      <c r="B3084">
        <v>11.62</v>
      </c>
      <c r="C3084">
        <v>11.03</v>
      </c>
      <c r="D3084" t="s">
        <v>218</v>
      </c>
      <c r="E3084" s="97">
        <v>-5.5199999999999999E-2</v>
      </c>
    </row>
    <row r="3085" spans="1:5" ht="15">
      <c r="A3085" s="98">
        <v>1917</v>
      </c>
      <c r="B3085">
        <v>11.8</v>
      </c>
      <c r="C3085">
        <v>11.09</v>
      </c>
      <c r="D3085" t="s">
        <v>218</v>
      </c>
      <c r="E3085" s="97">
        <v>-2.5499999999999998E-2</v>
      </c>
    </row>
    <row r="3086" spans="1:5" ht="15">
      <c r="A3086" s="98">
        <v>1916</v>
      </c>
      <c r="B3086">
        <v>11.36</v>
      </c>
      <c r="C3086">
        <v>11.06</v>
      </c>
      <c r="D3086" t="s">
        <v>218</v>
      </c>
      <c r="E3086" s="97">
        <v>6.2399999999999997E-2</v>
      </c>
    </row>
    <row r="3087" spans="1:5" ht="15">
      <c r="A3087" s="98">
        <v>1915</v>
      </c>
      <c r="B3087">
        <v>11.74</v>
      </c>
      <c r="C3087">
        <v>11.25</v>
      </c>
      <c r="D3087" t="s">
        <v>218</v>
      </c>
      <c r="E3087" s="97">
        <v>-4.02E-2</v>
      </c>
    </row>
    <row r="3088" spans="1:5" ht="15">
      <c r="A3088" s="98">
        <v>1914</v>
      </c>
      <c r="B3088">
        <v>12.31</v>
      </c>
      <c r="C3088">
        <v>11.2</v>
      </c>
      <c r="D3088" t="s">
        <v>218</v>
      </c>
      <c r="E3088" s="97">
        <v>0.10059999999999999</v>
      </c>
    </row>
    <row r="3089" spans="1:5" ht="15">
      <c r="A3089" s="98">
        <v>1913</v>
      </c>
      <c r="B3089">
        <v>12.49</v>
      </c>
      <c r="C3089">
        <v>12.04</v>
      </c>
      <c r="D3089" t="s">
        <v>218</v>
      </c>
      <c r="E3089" s="97">
        <v>-0.01</v>
      </c>
    </row>
    <row r="3090" spans="1:5" ht="15">
      <c r="A3090" s="98">
        <v>1912</v>
      </c>
      <c r="B3090">
        <v>13.06</v>
      </c>
      <c r="C3090">
        <v>12.06</v>
      </c>
      <c r="D3090" t="s">
        <v>218</v>
      </c>
      <c r="E3090" s="97">
        <v>-2.29E-2</v>
      </c>
    </row>
    <row r="3091" spans="1:5" ht="15">
      <c r="A3091" s="98">
        <v>1911</v>
      </c>
      <c r="B3091">
        <v>13.09</v>
      </c>
      <c r="C3091">
        <v>12.66</v>
      </c>
      <c r="D3091" t="s">
        <v>218</v>
      </c>
      <c r="E3091" s="97">
        <v>-4.9000000000000002E-2</v>
      </c>
    </row>
    <row r="3092" spans="1:5" ht="15">
      <c r="A3092" s="98">
        <v>1910</v>
      </c>
      <c r="B3092">
        <v>13</v>
      </c>
      <c r="C3092">
        <v>12.28</v>
      </c>
      <c r="D3092" t="s">
        <v>218</v>
      </c>
      <c r="E3092" s="97">
        <v>-4.7199999999999999E-2</v>
      </c>
    </row>
    <row r="3093" spans="1:5" ht="15">
      <c r="A3093" s="98">
        <v>1909</v>
      </c>
      <c r="B3093">
        <v>13.02</v>
      </c>
      <c r="C3093">
        <v>12.27</v>
      </c>
      <c r="D3093" t="s">
        <v>218</v>
      </c>
      <c r="E3093" s="97">
        <v>3.1399999999999997E-2</v>
      </c>
    </row>
    <row r="3094" spans="1:5" ht="15">
      <c r="A3094" s="98">
        <v>1908</v>
      </c>
      <c r="B3094">
        <v>12.55</v>
      </c>
      <c r="C3094">
        <v>11.31</v>
      </c>
      <c r="D3094" t="s">
        <v>218</v>
      </c>
      <c r="E3094" s="97">
        <v>-4.3900000000000002E-2</v>
      </c>
    </row>
    <row r="3095" spans="1:5" ht="15">
      <c r="A3095" s="98">
        <v>1907</v>
      </c>
      <c r="B3095">
        <v>11.8</v>
      </c>
      <c r="C3095">
        <v>11.23</v>
      </c>
      <c r="D3095" t="s">
        <v>218</v>
      </c>
      <c r="E3095" s="97">
        <v>-4.1200000000000001E-2</v>
      </c>
    </row>
    <row r="3096" spans="1:5" ht="15">
      <c r="A3096" s="98">
        <v>1906</v>
      </c>
      <c r="B3096">
        <v>11.67</v>
      </c>
      <c r="C3096">
        <v>11.02</v>
      </c>
      <c r="D3096" t="s">
        <v>218</v>
      </c>
      <c r="E3096" s="97">
        <v>-4.9099999999999998E-2</v>
      </c>
    </row>
    <row r="3097" spans="1:5" ht="15">
      <c r="A3097" s="98">
        <v>1905</v>
      </c>
      <c r="B3097">
        <v>11.98</v>
      </c>
      <c r="C3097">
        <v>11.19</v>
      </c>
      <c r="D3097" t="s">
        <v>218</v>
      </c>
      <c r="E3097" s="97">
        <v>6.3200000000000006E-2</v>
      </c>
    </row>
    <row r="3098" spans="1:5" ht="15">
      <c r="A3098" s="98">
        <v>1904</v>
      </c>
      <c r="B3098">
        <v>12.42</v>
      </c>
      <c r="C3098">
        <v>11.67</v>
      </c>
      <c r="D3098" t="s">
        <v>218</v>
      </c>
      <c r="E3098" s="97">
        <v>6.2700000000000006E-2</v>
      </c>
    </row>
    <row r="3099" spans="1:5" ht="15">
      <c r="A3099" s="98">
        <v>1903</v>
      </c>
      <c r="B3099">
        <v>12.19</v>
      </c>
      <c r="C3099">
        <v>11.59</v>
      </c>
      <c r="D3099" t="s">
        <v>218</v>
      </c>
      <c r="E3099" s="97">
        <v>-7.6E-3</v>
      </c>
    </row>
    <row r="3100" spans="1:5" ht="15">
      <c r="A3100" s="98">
        <v>1902</v>
      </c>
      <c r="B3100">
        <v>11.79</v>
      </c>
      <c r="C3100">
        <v>11.34</v>
      </c>
      <c r="D3100" t="s">
        <v>218</v>
      </c>
      <c r="E3100" s="97">
        <v>-4.6199999999999998E-2</v>
      </c>
    </row>
    <row r="3101" spans="1:5" ht="15">
      <c r="A3101" s="98">
        <v>1901</v>
      </c>
      <c r="B3101">
        <v>12.52</v>
      </c>
      <c r="C3101">
        <v>11.55</v>
      </c>
      <c r="D3101" t="s">
        <v>218</v>
      </c>
      <c r="E3101" s="97">
        <v>4.3799999999999999E-2</v>
      </c>
    </row>
    <row r="3102" spans="1:5" ht="15">
      <c r="A3102" s="98">
        <v>1900</v>
      </c>
      <c r="B3102">
        <v>12.13</v>
      </c>
      <c r="C3102">
        <v>11.42</v>
      </c>
      <c r="D3102" t="s">
        <v>218</v>
      </c>
      <c r="E3102" s="97">
        <v>-1.3100000000000001E-2</v>
      </c>
    </row>
    <row r="3103" spans="1:5" ht="15">
      <c r="A3103" s="98">
        <v>1899</v>
      </c>
      <c r="B3103">
        <v>12.59</v>
      </c>
      <c r="C3103">
        <v>11.75</v>
      </c>
      <c r="D3103" t="s">
        <v>218</v>
      </c>
      <c r="E3103" s="97">
        <v>8.3699999999999997E-2</v>
      </c>
    </row>
    <row r="3104" spans="1:5" ht="15">
      <c r="A3104" s="98">
        <v>1898</v>
      </c>
      <c r="B3104">
        <v>12.27</v>
      </c>
      <c r="C3104">
        <v>11.93</v>
      </c>
      <c r="D3104" t="s">
        <v>218</v>
      </c>
      <c r="E3104" s="97">
        <v>-4.2999999999999997E-2</v>
      </c>
    </row>
    <row r="3105" spans="1:5" ht="15">
      <c r="A3105" s="98">
        <v>1897</v>
      </c>
      <c r="B3105">
        <v>12.45</v>
      </c>
      <c r="C3105">
        <v>11.95</v>
      </c>
      <c r="D3105" t="s">
        <v>218</v>
      </c>
      <c r="E3105" s="97">
        <v>-0.08</v>
      </c>
    </row>
    <row r="3106" spans="1:5" ht="15">
      <c r="A3106" s="98">
        <v>1896</v>
      </c>
      <c r="B3106">
        <v>12.16</v>
      </c>
      <c r="C3106">
        <v>11.71</v>
      </c>
      <c r="D3106" t="s">
        <v>218</v>
      </c>
      <c r="E3106" s="97">
        <v>3.27E-2</v>
      </c>
    </row>
    <row r="3107" spans="1:5" ht="15">
      <c r="A3107" s="98">
        <v>1895</v>
      </c>
      <c r="B3107">
        <v>11.62</v>
      </c>
      <c r="C3107">
        <v>11.18</v>
      </c>
      <c r="D3107" t="s">
        <v>218</v>
      </c>
      <c r="E3107" s="97">
        <v>3.4299999999999997E-2</v>
      </c>
    </row>
    <row r="3108" spans="1:5" ht="15">
      <c r="A3108" s="98">
        <v>1894</v>
      </c>
      <c r="B3108">
        <v>12.06</v>
      </c>
      <c r="C3108">
        <v>11.81</v>
      </c>
      <c r="D3108" t="s">
        <v>218</v>
      </c>
      <c r="E3108" s="97">
        <v>3.9300000000000002E-2</v>
      </c>
    </row>
    <row r="3109" spans="1:5" ht="15">
      <c r="A3109" s="98">
        <v>1893</v>
      </c>
      <c r="B3109">
        <v>12.15</v>
      </c>
      <c r="C3109">
        <v>11.88</v>
      </c>
      <c r="D3109" t="s">
        <v>218</v>
      </c>
      <c r="E3109" s="97">
        <v>7.6700000000000004E-2</v>
      </c>
    </row>
    <row r="3110" spans="1:5" ht="15">
      <c r="A3110" s="98">
        <v>1892</v>
      </c>
      <c r="B3110">
        <v>12.32</v>
      </c>
      <c r="C3110">
        <v>11.78</v>
      </c>
      <c r="D3110" t="s">
        <v>218</v>
      </c>
      <c r="E3110" s="97">
        <v>6.1800000000000001E-2</v>
      </c>
    </row>
    <row r="3111" spans="1:5" ht="15">
      <c r="A3111" s="98">
        <v>1891</v>
      </c>
      <c r="B3111">
        <v>12.92</v>
      </c>
      <c r="C3111">
        <v>11.99</v>
      </c>
      <c r="D3111" t="s">
        <v>218</v>
      </c>
      <c r="E3111" s="97">
        <v>8.5000000000000006E-3</v>
      </c>
    </row>
    <row r="3112" spans="1:5" ht="15">
      <c r="A3112" s="98">
        <v>1890</v>
      </c>
      <c r="B3112">
        <v>14.26</v>
      </c>
      <c r="C3112">
        <v>12.71</v>
      </c>
      <c r="D3112" t="s">
        <v>218</v>
      </c>
      <c r="E3112" s="97">
        <v>-1.5699999999999999E-2</v>
      </c>
    </row>
    <row r="3113" spans="1:5" ht="15">
      <c r="A3113" s="98">
        <v>1889</v>
      </c>
      <c r="B3113">
        <v>15.13</v>
      </c>
      <c r="C3113">
        <v>13.44</v>
      </c>
      <c r="D3113" t="s">
        <v>218</v>
      </c>
      <c r="E3113" s="97">
        <v>-4.7500000000000001E-2</v>
      </c>
    </row>
    <row r="3114" spans="1:5" ht="15">
      <c r="A3114" s="98">
        <v>1888</v>
      </c>
      <c r="B3114">
        <v>13.61</v>
      </c>
      <c r="C3114">
        <v>12.98</v>
      </c>
      <c r="D3114" t="s">
        <v>218</v>
      </c>
      <c r="E3114" s="97">
        <v>-4.1700000000000001E-2</v>
      </c>
    </row>
    <row r="3115" spans="1:5" ht="15">
      <c r="A3115" s="98">
        <v>1887</v>
      </c>
      <c r="B3115">
        <v>16.260000000000002</v>
      </c>
      <c r="C3115">
        <v>13.39</v>
      </c>
      <c r="D3115" t="s">
        <v>218</v>
      </c>
      <c r="E3115" s="97">
        <v>-1.5100000000000001E-2</v>
      </c>
    </row>
    <row r="3116" spans="1:5" ht="15">
      <c r="A3116" s="98">
        <v>1886</v>
      </c>
      <c r="B3116">
        <v>17.09</v>
      </c>
      <c r="C3116">
        <v>14.96</v>
      </c>
      <c r="D3116" t="s">
        <v>218</v>
      </c>
      <c r="E3116" s="97">
        <v>2.5600000000000001E-2</v>
      </c>
    </row>
    <row r="3117" spans="1:5" ht="15">
      <c r="A3117" s="98">
        <v>1885</v>
      </c>
      <c r="B3117">
        <v>18.010000000000002</v>
      </c>
      <c r="C3117">
        <v>15.9</v>
      </c>
      <c r="D3117" t="s">
        <v>218</v>
      </c>
      <c r="E3117" s="97">
        <v>3.2500000000000001E-2</v>
      </c>
    </row>
    <row r="3118" spans="1:5" ht="15">
      <c r="A3118" s="98">
        <v>1884</v>
      </c>
      <c r="B3118">
        <v>19.62</v>
      </c>
      <c r="C3118">
        <v>16.73</v>
      </c>
      <c r="D3118" t="s">
        <v>218</v>
      </c>
      <c r="E3118" s="97">
        <v>3.3000000000000002E-2</v>
      </c>
    </row>
    <row r="3119" spans="1:5" ht="15">
      <c r="A3119" s="98">
        <v>1883</v>
      </c>
      <c r="B3119">
        <v>18.260000000000002</v>
      </c>
      <c r="C3119">
        <v>15.36</v>
      </c>
      <c r="D3119" t="s">
        <v>218</v>
      </c>
      <c r="E3119" s="97">
        <v>-0.10730000000000001</v>
      </c>
    </row>
    <row r="3120" spans="1:5" ht="15">
      <c r="A3120" s="98">
        <v>1882</v>
      </c>
      <c r="B3120">
        <v>19.87</v>
      </c>
      <c r="C3120">
        <v>17.13</v>
      </c>
      <c r="D3120" t="s">
        <v>218</v>
      </c>
      <c r="E3120" s="97">
        <v>-2.8199999999999999E-2</v>
      </c>
    </row>
    <row r="3121" spans="1:5" ht="15">
      <c r="A3121" s="98">
        <v>1881</v>
      </c>
      <c r="B3121">
        <v>16.670000000000002</v>
      </c>
      <c r="C3121">
        <v>15.31</v>
      </c>
      <c r="D3121" t="s">
        <v>218</v>
      </c>
      <c r="E3121" s="97">
        <v>-3.5799999999999998E-2</v>
      </c>
    </row>
    <row r="3122" spans="1:5" ht="15">
      <c r="A3122" s="98">
        <v>1880</v>
      </c>
      <c r="B3122">
        <v>15.04</v>
      </c>
      <c r="C3122">
        <v>14.26</v>
      </c>
      <c r="D3122" t="s">
        <v>218</v>
      </c>
      <c r="E3122" s="97">
        <v>1.5800000000000002E-2</v>
      </c>
    </row>
    <row r="3123" spans="1:5" ht="15">
      <c r="A3123" s="98">
        <v>1879</v>
      </c>
      <c r="B3123">
        <v>18.72</v>
      </c>
      <c r="C3123">
        <v>15.39</v>
      </c>
      <c r="D3123" t="s">
        <v>218</v>
      </c>
      <c r="E3123" s="97">
        <v>-1.34E-2</v>
      </c>
    </row>
    <row r="3124" spans="1:5" ht="15">
      <c r="A3124" s="98">
        <v>1878</v>
      </c>
      <c r="B3124">
        <v>18.09</v>
      </c>
      <c r="C3124">
        <v>16.41</v>
      </c>
      <c r="D3124" t="s">
        <v>218</v>
      </c>
      <c r="E3124" s="97">
        <v>7.7899999999999997E-2</v>
      </c>
    </row>
    <row r="3125" spans="1:5" ht="15">
      <c r="A3125" s="98">
        <v>1877</v>
      </c>
      <c r="B3125">
        <v>16.559999999999999</v>
      </c>
      <c r="C3125">
        <v>14.48</v>
      </c>
      <c r="D3125" t="s">
        <v>218</v>
      </c>
      <c r="E3125" s="97">
        <v>3.6200000000000003E-2</v>
      </c>
    </row>
    <row r="3126" spans="1:5" ht="15">
      <c r="A3126" s="98">
        <v>1876</v>
      </c>
      <c r="B3126">
        <v>14.97</v>
      </c>
      <c r="C3126">
        <v>13.92</v>
      </c>
      <c r="D3126" t="s">
        <v>218</v>
      </c>
      <c r="E3126" s="97">
        <v>0</v>
      </c>
    </row>
    <row r="3127" spans="1:5" ht="15">
      <c r="A3127" s="98">
        <v>1875</v>
      </c>
      <c r="B3127">
        <v>17.14</v>
      </c>
      <c r="C3127">
        <v>14.97</v>
      </c>
      <c r="D3127" t="s">
        <v>218</v>
      </c>
      <c r="E3127" s="97">
        <v>3.9199999999999999E-2</v>
      </c>
    </row>
    <row r="3128" spans="1:5" ht="15">
      <c r="A3128" s="98">
        <v>1874</v>
      </c>
      <c r="B3128">
        <v>18.559999999999999</v>
      </c>
      <c r="C3128">
        <v>16.649999999999999</v>
      </c>
      <c r="D3128" t="s">
        <v>218</v>
      </c>
      <c r="E3128" s="97">
        <v>1.2699999999999999E-2</v>
      </c>
    </row>
    <row r="3129" spans="1:5" ht="15">
      <c r="A3129" s="98">
        <v>1873</v>
      </c>
      <c r="B3129">
        <v>17.86</v>
      </c>
      <c r="C3129">
        <v>16.07</v>
      </c>
      <c r="D3129" t="s">
        <v>218</v>
      </c>
      <c r="E3129" s="97">
        <v>-3.5299999999999998E-2</v>
      </c>
    </row>
    <row r="3130" spans="1:5" ht="15">
      <c r="A3130" s="98">
        <v>1872</v>
      </c>
      <c r="B3130">
        <v>20.75</v>
      </c>
      <c r="C3130">
        <v>17.88</v>
      </c>
      <c r="D3130" t="s">
        <v>218</v>
      </c>
      <c r="E3130" s="97">
        <v>4.1399999999999999E-2</v>
      </c>
    </row>
    <row r="3131" spans="1:5" ht="15">
      <c r="A3131" s="98">
        <v>1871</v>
      </c>
      <c r="B3131">
        <v>18.45</v>
      </c>
      <c r="C3131">
        <v>17.07</v>
      </c>
      <c r="D3131" t="s">
        <v>218</v>
      </c>
      <c r="E3131" s="97">
        <v>-8.4199999999999997E-2</v>
      </c>
    </row>
    <row r="3132" spans="1:5" ht="15">
      <c r="A3132" s="98">
        <v>1870</v>
      </c>
      <c r="B3132">
        <v>21.25</v>
      </c>
      <c r="C3132">
        <v>17.89</v>
      </c>
      <c r="D3132" t="s">
        <v>218</v>
      </c>
      <c r="E3132" s="97">
        <v>-9.7000000000000003E-3</v>
      </c>
    </row>
    <row r="3133" spans="1:5" ht="15">
      <c r="A3133" s="98">
        <v>1869</v>
      </c>
      <c r="B3133">
        <v>23.81</v>
      </c>
      <c r="C3133">
        <v>20.27</v>
      </c>
      <c r="D3133" t="s">
        <v>218</v>
      </c>
      <c r="E3133" s="97">
        <v>-4.6399999999999997E-2</v>
      </c>
    </row>
    <row r="3134" spans="1:5" ht="15">
      <c r="A3134" s="98">
        <v>1868</v>
      </c>
      <c r="B3134">
        <v>23.49</v>
      </c>
      <c r="C3134">
        <v>21.45</v>
      </c>
      <c r="D3134" t="s">
        <v>218</v>
      </c>
      <c r="E3134" s="97">
        <v>-5.3E-3</v>
      </c>
    </row>
    <row r="3135" spans="1:5" ht="15">
      <c r="A3135" s="98">
        <v>1867</v>
      </c>
      <c r="B3135">
        <v>21.14</v>
      </c>
      <c r="C3135">
        <v>15.65</v>
      </c>
      <c r="D3135" t="s">
        <v>218</v>
      </c>
      <c r="E3135" s="97">
        <v>2.8000000000000001E-2</v>
      </c>
    </row>
    <row r="3136" spans="1:5" ht="15">
      <c r="A3136" s="98">
        <v>1866</v>
      </c>
      <c r="B3136">
        <v>18.13</v>
      </c>
      <c r="C3136">
        <v>16.52</v>
      </c>
      <c r="D3136" t="s">
        <v>218</v>
      </c>
      <c r="E3136" s="97">
        <v>7.4800000000000005E-2</v>
      </c>
    </row>
    <row r="3137" spans="1:5" ht="15">
      <c r="A3137" s="98">
        <v>1865</v>
      </c>
      <c r="B3137">
        <v>18.100000000000001</v>
      </c>
      <c r="C3137">
        <v>15.73</v>
      </c>
      <c r="D3137" t="s">
        <v>218</v>
      </c>
      <c r="E3137" s="97">
        <v>1.5E-3</v>
      </c>
    </row>
    <row r="3138" spans="1:5" ht="15">
      <c r="A3138" s="98">
        <v>1864</v>
      </c>
      <c r="B3138">
        <v>17.649999999999999</v>
      </c>
      <c r="C3138">
        <v>16.39</v>
      </c>
      <c r="D3138" t="s">
        <v>218</v>
      </c>
      <c r="E3138" s="97">
        <v>-6.8400000000000002E-2</v>
      </c>
    </row>
    <row r="3139" spans="1:5" ht="15">
      <c r="A3139" s="98">
        <v>1863</v>
      </c>
      <c r="B3139">
        <v>16.72</v>
      </c>
      <c r="C3139">
        <v>14.88</v>
      </c>
      <c r="D3139" t="s">
        <v>218</v>
      </c>
      <c r="E3139" s="97">
        <v>3.4200000000000001E-2</v>
      </c>
    </row>
    <row r="3140" spans="1:5" ht="15">
      <c r="A3140" s="98">
        <v>1862</v>
      </c>
      <c r="B3140">
        <v>16.66</v>
      </c>
      <c r="C3140">
        <v>15.56</v>
      </c>
      <c r="D3140" t="s">
        <v>218</v>
      </c>
      <c r="E3140" s="97">
        <v>2.8400000000000002E-2</v>
      </c>
    </row>
    <row r="3141" spans="1:5" ht="15">
      <c r="A3141" s="98">
        <v>1861</v>
      </c>
      <c r="B3141">
        <v>16.579999999999998</v>
      </c>
      <c r="C3141">
        <v>14.94</v>
      </c>
      <c r="D3141" t="s">
        <v>218</v>
      </c>
      <c r="E3141" s="97">
        <v>-2.2100000000000002E-2</v>
      </c>
    </row>
    <row r="3142" spans="1:5" ht="15">
      <c r="A3142" s="98">
        <v>1860</v>
      </c>
      <c r="B3142">
        <v>16.61</v>
      </c>
      <c r="C3142">
        <v>15.49</v>
      </c>
      <c r="D3142" t="s">
        <v>218</v>
      </c>
      <c r="E3142" s="97">
        <v>-1.12E-2</v>
      </c>
    </row>
    <row r="3143" spans="1:5" ht="15">
      <c r="A3143" s="98">
        <v>1859</v>
      </c>
      <c r="B3143">
        <v>16.55</v>
      </c>
      <c r="C3143">
        <v>15.27</v>
      </c>
      <c r="D3143" t="s">
        <v>218</v>
      </c>
      <c r="E3143" s="97">
        <v>-1.9199999999999998E-2</v>
      </c>
    </row>
    <row r="3144" spans="1:5" ht="15">
      <c r="A3144" s="98">
        <v>1858</v>
      </c>
      <c r="B3144">
        <v>17</v>
      </c>
      <c r="C3144">
        <v>15.78</v>
      </c>
      <c r="D3144" t="s">
        <v>218</v>
      </c>
      <c r="E3144" s="97">
        <v>-7.6799999999999993E-2</v>
      </c>
    </row>
    <row r="3145" spans="1:5" ht="15">
      <c r="A3145" s="98">
        <v>1857</v>
      </c>
      <c r="B3145">
        <v>15.3</v>
      </c>
      <c r="C3145">
        <v>12.93</v>
      </c>
      <c r="D3145" t="s">
        <v>218</v>
      </c>
      <c r="E3145" s="97">
        <v>-2.2700000000000001E-2</v>
      </c>
    </row>
    <row r="3146" spans="1:5" ht="15">
      <c r="A3146" s="98">
        <v>1856</v>
      </c>
      <c r="B3146">
        <v>13.47</v>
      </c>
      <c r="C3146">
        <v>12.74</v>
      </c>
      <c r="D3146" t="s">
        <v>218</v>
      </c>
      <c r="E3146" s="97">
        <v>3.0599999999999999E-2</v>
      </c>
    </row>
    <row r="3147" spans="1:5" ht="15">
      <c r="A3147" s="98">
        <v>1855</v>
      </c>
      <c r="B3147">
        <v>13.51</v>
      </c>
      <c r="C3147">
        <v>12.77</v>
      </c>
      <c r="D3147" t="s">
        <v>218</v>
      </c>
      <c r="E3147" s="97">
        <v>-1.9199999999999998E-2</v>
      </c>
    </row>
    <row r="3148" spans="1:5" ht="15">
      <c r="A3148" s="98">
        <v>1854</v>
      </c>
      <c r="B3148">
        <v>14.77</v>
      </c>
      <c r="C3148">
        <v>13.86</v>
      </c>
      <c r="D3148" t="s">
        <v>218</v>
      </c>
      <c r="E3148" s="97">
        <v>-1.44E-2</v>
      </c>
    </row>
    <row r="3149" spans="1:5" ht="15">
      <c r="A3149" s="98">
        <v>1853</v>
      </c>
      <c r="B3149">
        <v>14.04</v>
      </c>
      <c r="C3149">
        <v>13.25</v>
      </c>
      <c r="D3149" t="s">
        <v>218</v>
      </c>
      <c r="E3149" s="97">
        <v>-3.7000000000000002E-3</v>
      </c>
    </row>
    <row r="3150" spans="1:5" ht="15">
      <c r="A3150" s="98">
        <v>1852</v>
      </c>
      <c r="B3150">
        <v>14.45</v>
      </c>
      <c r="C3150">
        <v>13.43</v>
      </c>
      <c r="D3150" t="s">
        <v>218</v>
      </c>
      <c r="E3150" s="97">
        <v>-1.6899999999999998E-2</v>
      </c>
    </row>
    <row r="3151" spans="1:5" ht="15">
      <c r="A3151" s="98">
        <v>1851</v>
      </c>
      <c r="B3151">
        <v>14.5</v>
      </c>
      <c r="C3151">
        <v>13.67</v>
      </c>
      <c r="D3151" t="s">
        <v>218</v>
      </c>
      <c r="E3151" s="97">
        <v>3.9699999999999999E-2</v>
      </c>
    </row>
    <row r="3152" spans="1:5" ht="15">
      <c r="A3152" s="98">
        <v>1850</v>
      </c>
      <c r="B3152">
        <v>14.68</v>
      </c>
      <c r="C3152">
        <v>13.1</v>
      </c>
      <c r="D3152" t="s">
        <v>218</v>
      </c>
      <c r="E3152" s="97">
        <v>-7.2499999999999995E-2</v>
      </c>
    </row>
    <row r="3153" spans="1:5" ht="15">
      <c r="A3153" s="98">
        <v>1849</v>
      </c>
      <c r="B3153">
        <v>14.85</v>
      </c>
      <c r="C3153">
        <v>13.26</v>
      </c>
      <c r="D3153" t="s">
        <v>218</v>
      </c>
      <c r="E3153" s="97">
        <v>6.4000000000000001E-2</v>
      </c>
    </row>
    <row r="3154" spans="1:5" ht="15">
      <c r="A3154" s="98">
        <v>1848</v>
      </c>
      <c r="B3154">
        <v>17.829999999999998</v>
      </c>
      <c r="C3154">
        <v>15.17</v>
      </c>
      <c r="D3154" t="s">
        <v>218</v>
      </c>
      <c r="E3154" s="97">
        <v>1.1999999999999999E-3</v>
      </c>
    </row>
    <row r="3155" spans="1:5" ht="15">
      <c r="A3155" s="98">
        <v>1847</v>
      </c>
      <c r="B3155">
        <v>18.79</v>
      </c>
      <c r="C3155">
        <v>17.28</v>
      </c>
      <c r="D3155" t="s">
        <v>218</v>
      </c>
      <c r="E3155" s="97">
        <v>-5.0200000000000002E-2</v>
      </c>
    </row>
    <row r="3156" spans="1:5" ht="15">
      <c r="A3156" s="98">
        <v>1846</v>
      </c>
      <c r="B3156">
        <v>18.760000000000002</v>
      </c>
      <c r="C3156">
        <v>17.75</v>
      </c>
      <c r="D3156" t="s">
        <v>218</v>
      </c>
      <c r="E3156" s="97">
        <v>6.08E-2</v>
      </c>
    </row>
    <row r="3157" spans="1:5" ht="15">
      <c r="A3157" s="98">
        <v>1845</v>
      </c>
      <c r="B3157">
        <v>19.579999999999998</v>
      </c>
      <c r="C3157">
        <v>17.66</v>
      </c>
      <c r="D3157" t="s">
        <v>218</v>
      </c>
      <c r="E3157" s="97">
        <v>-7.4700000000000003E-2</v>
      </c>
    </row>
    <row r="3158" spans="1:5" ht="15">
      <c r="A3158" s="98">
        <v>1844</v>
      </c>
      <c r="B3158">
        <v>17.62</v>
      </c>
      <c r="C3158">
        <v>14.47</v>
      </c>
      <c r="D3158" t="s">
        <v>218</v>
      </c>
      <c r="E3158" s="97">
        <v>-5.2600000000000001E-2</v>
      </c>
    </row>
    <row r="3159" spans="1:5" ht="15">
      <c r="A3159" s="98">
        <v>1843</v>
      </c>
      <c r="B3159">
        <v>16.37</v>
      </c>
      <c r="C3159">
        <v>14.87</v>
      </c>
      <c r="D3159" t="s">
        <v>218</v>
      </c>
      <c r="E3159" s="97">
        <v>-3.8300000000000001E-2</v>
      </c>
    </row>
    <row r="3160" spans="1:5" ht="15">
      <c r="A3160" s="98">
        <v>1842</v>
      </c>
      <c r="B3160">
        <v>17.559999999999999</v>
      </c>
      <c r="C3160">
        <v>16.23</v>
      </c>
      <c r="D3160" t="s">
        <v>218</v>
      </c>
      <c r="E3160" s="97">
        <v>1.17E-2</v>
      </c>
    </row>
    <row r="3161" spans="1:5" ht="15">
      <c r="A3161" s="98">
        <v>1841</v>
      </c>
      <c r="B3161">
        <v>17.079999999999998</v>
      </c>
      <c r="C3161">
        <v>14.89</v>
      </c>
      <c r="D3161" t="s">
        <v>218</v>
      </c>
      <c r="E3161" s="97">
        <v>0.1095</v>
      </c>
    </row>
    <row r="3162" spans="1:5" ht="15">
      <c r="A3162" s="98">
        <v>1840</v>
      </c>
      <c r="B3162">
        <v>15.68</v>
      </c>
      <c r="C3162">
        <v>14.31</v>
      </c>
      <c r="D3162" t="s">
        <v>218</v>
      </c>
      <c r="E3162" s="97">
        <v>5.0500000000000003E-2</v>
      </c>
    </row>
    <row r="3163" spans="1:5" ht="15">
      <c r="A3163" s="98">
        <v>1839</v>
      </c>
      <c r="B3163">
        <v>15.21</v>
      </c>
      <c r="C3163">
        <v>14.09</v>
      </c>
      <c r="D3163" t="s">
        <v>218</v>
      </c>
      <c r="E3163" s="97">
        <v>1.1999999999999999E-3</v>
      </c>
    </row>
    <row r="3164" spans="1:5" ht="15">
      <c r="A3164" s="98">
        <v>1838</v>
      </c>
      <c r="B3164">
        <v>15.39</v>
      </c>
      <c r="C3164">
        <v>14.07</v>
      </c>
      <c r="D3164" t="s">
        <v>218</v>
      </c>
      <c r="E3164" s="97">
        <v>-5.7799999999999997E-2</v>
      </c>
    </row>
    <row r="3165" spans="1:5" ht="15">
      <c r="A3165" s="98">
        <v>1837</v>
      </c>
      <c r="B3165">
        <v>14.75</v>
      </c>
      <c r="C3165">
        <v>14.06</v>
      </c>
      <c r="D3165" t="s">
        <v>218</v>
      </c>
      <c r="E3165" s="97">
        <v>-2.7300000000000001E-2</v>
      </c>
    </row>
    <row r="3166" spans="1:5" ht="15">
      <c r="A3166" s="98">
        <v>1836</v>
      </c>
      <c r="B3166">
        <v>15.13</v>
      </c>
      <c r="C3166">
        <v>14.86</v>
      </c>
      <c r="D3166" t="s">
        <v>218</v>
      </c>
      <c r="E3166" s="97">
        <v>8.0000000000000002E-3</v>
      </c>
    </row>
    <row r="3167" spans="1:5" ht="15">
      <c r="A3167" s="98">
        <v>1835</v>
      </c>
      <c r="B3167">
        <v>16.149999999999999</v>
      </c>
      <c r="C3167">
        <v>15.03</v>
      </c>
      <c r="D3167" t="s">
        <v>218</v>
      </c>
      <c r="E3167" s="97">
        <v>-8.2199999999999995E-2</v>
      </c>
    </row>
    <row r="3168" spans="1:5" ht="15">
      <c r="A3168" s="98">
        <v>1834</v>
      </c>
      <c r="B3168">
        <v>14.93</v>
      </c>
      <c r="C3168">
        <v>13.92</v>
      </c>
      <c r="D3168" t="s">
        <v>218</v>
      </c>
      <c r="E3168" s="97">
        <v>-3.3300000000000003E-2</v>
      </c>
    </row>
    <row r="3169" spans="1:5" ht="15">
      <c r="A3169" s="98">
        <v>1833</v>
      </c>
      <c r="B3169">
        <v>15.19</v>
      </c>
      <c r="C3169">
        <v>14.2</v>
      </c>
      <c r="D3169" t="s">
        <v>218</v>
      </c>
      <c r="E3169" s="97">
        <v>-7.7399999999999997E-2</v>
      </c>
    </row>
    <row r="3170" spans="1:5" ht="15">
      <c r="A3170" s="98">
        <v>1832</v>
      </c>
      <c r="B3170">
        <v>14.91</v>
      </c>
      <c r="C3170">
        <v>13.65</v>
      </c>
      <c r="D3170" t="s">
        <v>218</v>
      </c>
      <c r="E3170" s="97">
        <v>6.8999999999999999E-3</v>
      </c>
    </row>
    <row r="3171" spans="1:5" ht="15">
      <c r="A3171" s="98">
        <v>1831</v>
      </c>
      <c r="B3171">
        <v>15.53</v>
      </c>
      <c r="C3171">
        <v>14.97</v>
      </c>
      <c r="D3171" t="s">
        <v>218</v>
      </c>
      <c r="E3171" s="97">
        <v>5.8500000000000003E-2</v>
      </c>
    </row>
    <row r="3172" spans="1:5" ht="15">
      <c r="A3172" s="98">
        <v>1830</v>
      </c>
      <c r="B3172">
        <v>15.55</v>
      </c>
      <c r="C3172">
        <v>14.86</v>
      </c>
      <c r="D3172" t="s">
        <v>218</v>
      </c>
      <c r="E3172" s="97">
        <v>-0.1212</v>
      </c>
    </row>
    <row r="3173" spans="1:5" ht="15">
      <c r="A3173" s="98">
        <v>1829</v>
      </c>
      <c r="B3173">
        <v>15.41</v>
      </c>
      <c r="C3173">
        <v>14.07</v>
      </c>
      <c r="D3173" t="s">
        <v>218</v>
      </c>
      <c r="E3173" s="97">
        <v>-1.8700000000000001E-2</v>
      </c>
    </row>
    <row r="3174" spans="1:5" ht="15">
      <c r="A3174" s="98">
        <v>1828</v>
      </c>
      <c r="B3174">
        <v>15.73</v>
      </c>
      <c r="C3174">
        <v>14.45</v>
      </c>
      <c r="D3174" t="s">
        <v>218</v>
      </c>
      <c r="E3174" s="97">
        <v>0.1125</v>
      </c>
    </row>
    <row r="3175" spans="1:5" ht="15">
      <c r="A3175" s="98">
        <v>1827</v>
      </c>
      <c r="B3175">
        <v>14.85</v>
      </c>
      <c r="C3175">
        <v>14.3</v>
      </c>
      <c r="D3175" t="s">
        <v>218</v>
      </c>
      <c r="E3175" s="97">
        <v>8.9700000000000002E-2</v>
      </c>
    </row>
    <row r="3176" spans="1:5" ht="15">
      <c r="A3176" s="98">
        <v>1826</v>
      </c>
      <c r="B3176">
        <v>14.43</v>
      </c>
      <c r="C3176">
        <v>13.41</v>
      </c>
      <c r="D3176" t="s">
        <v>218</v>
      </c>
      <c r="E3176" s="97">
        <v>-1.8200000000000001E-2</v>
      </c>
    </row>
    <row r="3177" spans="1:5" ht="15">
      <c r="A3177" s="98">
        <v>1825</v>
      </c>
      <c r="B3177">
        <v>13.72</v>
      </c>
      <c r="C3177">
        <v>13.15</v>
      </c>
      <c r="D3177" t="s">
        <v>218</v>
      </c>
      <c r="E3177" s="97">
        <v>2.06E-2</v>
      </c>
    </row>
    <row r="3178" spans="1:5" ht="15">
      <c r="A3178" s="98">
        <v>1824</v>
      </c>
      <c r="B3178">
        <v>12.95</v>
      </c>
      <c r="C3178">
        <v>12.11</v>
      </c>
      <c r="D3178" t="s">
        <v>218</v>
      </c>
      <c r="E3178" s="97">
        <v>5.7000000000000002E-2</v>
      </c>
    </row>
    <row r="3179" spans="1:5" ht="15">
      <c r="A3179" s="98">
        <v>1823</v>
      </c>
      <c r="B3179">
        <v>12.72</v>
      </c>
      <c r="C3179">
        <v>12.21</v>
      </c>
      <c r="D3179" t="s">
        <v>218</v>
      </c>
      <c r="E3179" s="97">
        <v>-6.8900000000000003E-2</v>
      </c>
    </row>
    <row r="3180" spans="1:5" ht="15">
      <c r="A3180" s="98">
        <v>1822</v>
      </c>
      <c r="B3180">
        <v>12.52</v>
      </c>
      <c r="C3180">
        <v>11.57</v>
      </c>
      <c r="D3180" t="s">
        <v>218</v>
      </c>
      <c r="E3180" s="97">
        <v>-4.6300000000000001E-2</v>
      </c>
    </row>
    <row r="3181" spans="1:5" ht="15">
      <c r="A3181" s="98">
        <v>1821</v>
      </c>
      <c r="B3181">
        <v>12.62</v>
      </c>
      <c r="C3181">
        <v>12.21</v>
      </c>
      <c r="D3181" t="s">
        <v>218</v>
      </c>
      <c r="E3181" s="97">
        <v>-7.2800000000000004E-2</v>
      </c>
    </row>
    <row r="3182" spans="1:5" ht="15">
      <c r="A3182" s="98">
        <v>1820</v>
      </c>
      <c r="B3182">
        <v>12.42</v>
      </c>
      <c r="C3182">
        <v>11.93</v>
      </c>
      <c r="D3182" t="s">
        <v>218</v>
      </c>
      <c r="E3182" s="97">
        <v>2.8500000000000001E-2</v>
      </c>
    </row>
    <row r="3183" spans="1:5" ht="15">
      <c r="A3183" s="98">
        <v>1819</v>
      </c>
      <c r="B3183">
        <v>12.73</v>
      </c>
      <c r="C3183">
        <v>12.16</v>
      </c>
      <c r="D3183" t="s">
        <v>218</v>
      </c>
      <c r="E3183" s="97">
        <v>3.1300000000000001E-2</v>
      </c>
    </row>
    <row r="3184" spans="1:5" ht="15">
      <c r="A3184" s="98">
        <v>1818</v>
      </c>
      <c r="B3184">
        <v>12.58</v>
      </c>
      <c r="C3184">
        <v>12.21</v>
      </c>
      <c r="D3184" t="s">
        <v>218</v>
      </c>
      <c r="E3184" s="97">
        <v>3.9600000000000003E-2</v>
      </c>
    </row>
    <row r="3185" spans="1:5" ht="15">
      <c r="A3185" s="98">
        <v>1817</v>
      </c>
      <c r="B3185">
        <v>12.47</v>
      </c>
      <c r="C3185">
        <v>12.08</v>
      </c>
      <c r="D3185" t="s">
        <v>218</v>
      </c>
      <c r="E3185" s="97">
        <v>-4.3E-3</v>
      </c>
    </row>
    <row r="3186" spans="1:5" ht="15">
      <c r="A3186" s="98">
        <v>1816</v>
      </c>
      <c r="B3186">
        <v>12.92</v>
      </c>
      <c r="C3186">
        <v>12.07</v>
      </c>
      <c r="D3186" t="s">
        <v>218</v>
      </c>
      <c r="E3186" s="97">
        <v>4.7300000000000002E-2</v>
      </c>
    </row>
    <row r="3187" spans="1:5" ht="15">
      <c r="A3187" s="98">
        <v>1815</v>
      </c>
      <c r="B3187">
        <v>12.83</v>
      </c>
      <c r="C3187">
        <v>12.21</v>
      </c>
      <c r="D3187" t="s">
        <v>218</v>
      </c>
      <c r="E3187" s="97">
        <v>-3.5499999999999997E-2</v>
      </c>
    </row>
    <row r="3188" spans="1:5" ht="15">
      <c r="A3188" s="98">
        <v>1814</v>
      </c>
      <c r="B3188">
        <v>12.35</v>
      </c>
      <c r="C3188">
        <v>12.1</v>
      </c>
      <c r="D3188" t="s">
        <v>218</v>
      </c>
      <c r="E3188" s="97">
        <v>7.4800000000000005E-2</v>
      </c>
    </row>
    <row r="3189" spans="1:5" ht="15">
      <c r="A3189" s="98">
        <v>1813</v>
      </c>
      <c r="B3189">
        <v>12.33</v>
      </c>
      <c r="C3189">
        <v>12.07</v>
      </c>
      <c r="D3189" t="s">
        <v>218</v>
      </c>
      <c r="E3189" s="97">
        <v>-9.1399999999999995E-2</v>
      </c>
    </row>
    <row r="3190" spans="1:5" ht="15">
      <c r="A3190" s="98">
        <v>1812</v>
      </c>
      <c r="B3190">
        <v>12.33</v>
      </c>
      <c r="C3190">
        <v>11.91</v>
      </c>
      <c r="D3190" t="s">
        <v>218</v>
      </c>
      <c r="E3190" s="97">
        <v>0.1835</v>
      </c>
    </row>
    <row r="3191" spans="1:5" ht="15">
      <c r="A3191" s="98">
        <v>1811</v>
      </c>
      <c r="B3191">
        <v>12.86</v>
      </c>
      <c r="C3191">
        <v>12.43</v>
      </c>
      <c r="D3191" t="s">
        <v>218</v>
      </c>
      <c r="E3191" s="97">
        <v>5.4800000000000001E-2</v>
      </c>
    </row>
    <row r="3192" spans="1:5" ht="15">
      <c r="A3192" s="98">
        <v>1810</v>
      </c>
      <c r="B3192">
        <v>13.88</v>
      </c>
      <c r="C3192">
        <v>13.06</v>
      </c>
      <c r="D3192" t="s">
        <v>218</v>
      </c>
      <c r="E3192" s="97">
        <v>7.0000000000000001E-3</v>
      </c>
    </row>
    <row r="3193" spans="1:5" ht="15">
      <c r="A3193" s="98">
        <v>1809</v>
      </c>
      <c r="B3193">
        <v>14.49</v>
      </c>
      <c r="C3193">
        <v>13.67</v>
      </c>
      <c r="D3193" t="s">
        <v>218</v>
      </c>
      <c r="E3193" s="97">
        <v>-6.8400000000000002E-2</v>
      </c>
    </row>
    <row r="3194" spans="1:5" ht="15">
      <c r="A3194" s="98">
        <v>1808</v>
      </c>
      <c r="B3194">
        <v>13.8</v>
      </c>
      <c r="C3194">
        <v>13.05</v>
      </c>
      <c r="D3194" t="s">
        <v>218</v>
      </c>
      <c r="E3194" s="97">
        <v>-4.5400000000000003E-2</v>
      </c>
    </row>
    <row r="3195" spans="1:5" ht="15">
      <c r="A3195" s="98">
        <v>1807</v>
      </c>
      <c r="B3195">
        <v>13.95</v>
      </c>
      <c r="C3195">
        <v>12.75</v>
      </c>
      <c r="D3195" t="s">
        <v>218</v>
      </c>
      <c r="E3195" s="97">
        <v>-1.1299999999999999E-2</v>
      </c>
    </row>
    <row r="3196" spans="1:5" ht="15">
      <c r="A3196" s="98">
        <v>1806</v>
      </c>
      <c r="B3196">
        <v>13.14</v>
      </c>
      <c r="C3196">
        <v>11.55</v>
      </c>
      <c r="D3196" t="s">
        <v>218</v>
      </c>
      <c r="E3196" s="97">
        <v>-2.3099999999999999E-2</v>
      </c>
    </row>
    <row r="3197" spans="1:5" ht="15">
      <c r="A3197" s="98">
        <v>1805</v>
      </c>
      <c r="B3197">
        <v>11.56</v>
      </c>
      <c r="C3197">
        <v>10.99</v>
      </c>
      <c r="D3197" t="s">
        <v>218</v>
      </c>
      <c r="E3197" s="97">
        <v>-9.4999999999999998E-3</v>
      </c>
    </row>
    <row r="3198" spans="1:5" ht="15">
      <c r="A3198" s="98">
        <v>1804</v>
      </c>
      <c r="B3198">
        <v>12.02</v>
      </c>
      <c r="C3198">
        <v>10.74</v>
      </c>
      <c r="D3198" t="s">
        <v>218</v>
      </c>
      <c r="E3198" s="97">
        <v>7.0199999999999999E-2</v>
      </c>
    </row>
    <row r="3199" spans="1:5" ht="15">
      <c r="A3199" s="98">
        <v>1803</v>
      </c>
      <c r="B3199">
        <v>12.54</v>
      </c>
      <c r="C3199">
        <v>11.4</v>
      </c>
      <c r="D3199" t="s">
        <v>218</v>
      </c>
      <c r="E3199" s="97">
        <v>4.1700000000000001E-2</v>
      </c>
    </row>
    <row r="3200" spans="1:5" ht="15">
      <c r="A3200" s="98">
        <v>1802</v>
      </c>
      <c r="B3200">
        <v>12.41</v>
      </c>
      <c r="C3200">
        <v>11.58</v>
      </c>
      <c r="D3200" t="s">
        <v>218</v>
      </c>
      <c r="E3200" s="97">
        <v>-6.54E-2</v>
      </c>
    </row>
    <row r="3201" spans="1:5" ht="15">
      <c r="A3201" s="98">
        <v>1801</v>
      </c>
      <c r="B3201">
        <v>12.69</v>
      </c>
      <c r="C3201">
        <v>11.86</v>
      </c>
      <c r="D3201" t="s">
        <v>218</v>
      </c>
      <c r="E3201" s="97">
        <v>1.6799999999999999E-2</v>
      </c>
    </row>
    <row r="3202" spans="1:5" ht="15">
      <c r="A3202" s="98">
        <v>1800</v>
      </c>
      <c r="B3202">
        <v>11.75</v>
      </c>
      <c r="C3202">
        <v>11.34</v>
      </c>
      <c r="D3202" t="s">
        <v>218</v>
      </c>
      <c r="E3202" s="97">
        <v>3.9199999999999999E-2</v>
      </c>
    </row>
    <row r="3203" spans="1:5" ht="15">
      <c r="A3203" s="98">
        <v>1799</v>
      </c>
      <c r="B3203">
        <v>12.6</v>
      </c>
      <c r="C3203">
        <v>11.28</v>
      </c>
      <c r="D3203" t="s">
        <v>218</v>
      </c>
      <c r="E3203" s="97">
        <v>4.2900000000000001E-2</v>
      </c>
    </row>
    <row r="3204" spans="1:5" ht="15">
      <c r="A3204" s="98">
        <v>1798</v>
      </c>
      <c r="B3204">
        <v>13.28</v>
      </c>
      <c r="C3204">
        <v>12.47</v>
      </c>
      <c r="D3204" t="s">
        <v>218</v>
      </c>
      <c r="E3204" s="97">
        <v>0.1162</v>
      </c>
    </row>
    <row r="3205" spans="1:5" ht="15">
      <c r="A3205" s="98">
        <v>1797</v>
      </c>
      <c r="B3205">
        <v>13.41</v>
      </c>
      <c r="C3205">
        <v>11.93</v>
      </c>
      <c r="D3205" t="s">
        <v>218</v>
      </c>
      <c r="E3205" s="97">
        <v>9.1300000000000006E-2</v>
      </c>
    </row>
    <row r="3206" spans="1:5" ht="15">
      <c r="A3206" s="98">
        <v>1796</v>
      </c>
      <c r="B3206">
        <v>12.23</v>
      </c>
      <c r="C3206">
        <v>11.51</v>
      </c>
      <c r="D3206" t="s">
        <v>218</v>
      </c>
      <c r="E3206" s="97">
        <v>-5.8099999999999999E-2</v>
      </c>
    </row>
    <row r="3207" spans="1:5" ht="15">
      <c r="A3207" s="98">
        <v>1795</v>
      </c>
      <c r="B3207">
        <v>11.9</v>
      </c>
      <c r="C3207">
        <v>11.42</v>
      </c>
      <c r="D3207" t="s">
        <v>218</v>
      </c>
      <c r="E3207" s="97">
        <v>7.0000000000000001E-3</v>
      </c>
    </row>
    <row r="3208" spans="1:5" ht="15">
      <c r="A3208" s="98">
        <v>1794</v>
      </c>
      <c r="B3208">
        <v>12.06</v>
      </c>
      <c r="C3208">
        <v>11.59</v>
      </c>
      <c r="D3208" t="s">
        <v>218</v>
      </c>
      <c r="E3208" s="97">
        <v>-2.5100000000000001E-2</v>
      </c>
    </row>
    <row r="3209" spans="1:5" ht="15">
      <c r="A3209" s="98">
        <v>1793</v>
      </c>
      <c r="B3209">
        <v>12.1</v>
      </c>
      <c r="C3209">
        <v>11.72</v>
      </c>
      <c r="D3209" t="s">
        <v>218</v>
      </c>
      <c r="E3209" s="97">
        <v>-5.0000000000000001E-3</v>
      </c>
    </row>
    <row r="3210" spans="1:5" ht="15">
      <c r="A3210" s="98">
        <v>1792</v>
      </c>
      <c r="B3210">
        <v>12.72</v>
      </c>
      <c r="C3210">
        <v>12.11</v>
      </c>
      <c r="D3210" t="s">
        <v>218</v>
      </c>
      <c r="E3210" s="97">
        <v>2.6599999999999999E-2</v>
      </c>
    </row>
    <row r="3211" spans="1:5" ht="15">
      <c r="A3211" s="98">
        <v>1791</v>
      </c>
      <c r="B3211">
        <v>12.91</v>
      </c>
      <c r="C3211">
        <v>11.97</v>
      </c>
      <c r="D3211" t="s">
        <v>218</v>
      </c>
      <c r="E3211" s="97">
        <v>-9.7000000000000003E-3</v>
      </c>
    </row>
    <row r="3212" spans="1:5" ht="15">
      <c r="A3212" s="98">
        <v>1790</v>
      </c>
      <c r="B3212">
        <v>12.64</v>
      </c>
      <c r="C3212">
        <v>11.62</v>
      </c>
      <c r="D3212" t="s">
        <v>218</v>
      </c>
      <c r="E3212" s="97">
        <v>-1.41E-2</v>
      </c>
    </row>
    <row r="3213" spans="1:5" ht="15">
      <c r="A3213" s="98">
        <v>1789</v>
      </c>
      <c r="B3213">
        <v>12.06</v>
      </c>
      <c r="C3213">
        <v>11.65</v>
      </c>
      <c r="D3213" t="s">
        <v>218</v>
      </c>
      <c r="E3213" s="97">
        <v>-9.4999999999999998E-3</v>
      </c>
    </row>
    <row r="3214" spans="1:5" ht="15">
      <c r="A3214" s="98">
        <v>1788</v>
      </c>
      <c r="B3214">
        <v>12.17</v>
      </c>
      <c r="C3214">
        <v>11.55</v>
      </c>
      <c r="D3214" t="s">
        <v>218</v>
      </c>
      <c r="E3214" s="97">
        <v>1.09E-2</v>
      </c>
    </row>
    <row r="3215" spans="1:5" ht="15">
      <c r="A3215" s="98">
        <v>1787</v>
      </c>
      <c r="B3215">
        <v>12.09</v>
      </c>
      <c r="C3215">
        <v>11.58</v>
      </c>
      <c r="D3215" t="s">
        <v>218</v>
      </c>
      <c r="E3215" s="97">
        <v>1.34E-2</v>
      </c>
    </row>
    <row r="3216" spans="1:5" ht="15">
      <c r="A3216" s="98">
        <v>1786</v>
      </c>
      <c r="B3216">
        <v>11.89</v>
      </c>
      <c r="C3216">
        <v>11.47</v>
      </c>
      <c r="D3216" t="s">
        <v>218</v>
      </c>
      <c r="E3216" s="97">
        <v>-1.6299999999999999E-2</v>
      </c>
    </row>
    <row r="3217" spans="1:5" ht="15">
      <c r="A3217" s="98">
        <v>1785</v>
      </c>
      <c r="B3217">
        <v>12.03</v>
      </c>
      <c r="C3217">
        <v>11.31</v>
      </c>
      <c r="D3217" t="s">
        <v>218</v>
      </c>
      <c r="E3217" s="97">
        <v>-2.4400000000000002E-2</v>
      </c>
    </row>
    <row r="3218" spans="1:5" ht="15">
      <c r="A3218" s="98">
        <v>1784</v>
      </c>
      <c r="B3218">
        <v>11.51</v>
      </c>
      <c r="C3218">
        <v>11.09</v>
      </c>
      <c r="D3218" t="s">
        <v>218</v>
      </c>
      <c r="E3218" s="97">
        <v>-1.8E-3</v>
      </c>
    </row>
    <row r="3219" spans="1:5" ht="15">
      <c r="A3219" s="98">
        <v>1783</v>
      </c>
      <c r="B3219">
        <v>11.35</v>
      </c>
      <c r="C3219">
        <v>10.75</v>
      </c>
      <c r="D3219" t="s">
        <v>218</v>
      </c>
      <c r="E3219" s="97">
        <v>1.8E-3</v>
      </c>
    </row>
    <row r="3220" spans="1:5" ht="15">
      <c r="A3220" s="98">
        <v>1782</v>
      </c>
      <c r="B3220">
        <v>11.2</v>
      </c>
      <c r="C3220">
        <v>10.91</v>
      </c>
      <c r="D3220" t="s">
        <v>218</v>
      </c>
      <c r="E3220" s="97">
        <v>-3.0999999999999999E-3</v>
      </c>
    </row>
    <row r="3221" spans="1:5" ht="15">
      <c r="A3221" s="98">
        <v>1781</v>
      </c>
      <c r="B3221">
        <v>12.03</v>
      </c>
      <c r="C3221">
        <v>11.35</v>
      </c>
      <c r="D3221" t="s">
        <v>218</v>
      </c>
      <c r="E3221" s="97">
        <v>2.7699999999999999E-2</v>
      </c>
    </row>
    <row r="3222" spans="1:5" ht="15">
      <c r="A3222" s="98">
        <v>1780</v>
      </c>
      <c r="B3222">
        <v>11.83</v>
      </c>
      <c r="C3222">
        <v>11.33</v>
      </c>
      <c r="D3222" t="s">
        <v>218</v>
      </c>
      <c r="E3222" s="97">
        <v>2.1299999999999999E-2</v>
      </c>
    </row>
    <row r="3223" spans="1:5" ht="15">
      <c r="A3223" s="98">
        <v>1779</v>
      </c>
      <c r="B3223">
        <v>11.57</v>
      </c>
      <c r="C3223">
        <v>10.78</v>
      </c>
      <c r="D3223" t="s">
        <v>218</v>
      </c>
      <c r="E3223" s="97">
        <v>-7.2300000000000003E-2</v>
      </c>
    </row>
    <row r="3224" spans="1:5" ht="15">
      <c r="A3224" s="98">
        <v>1778</v>
      </c>
      <c r="B3224">
        <v>11.23</v>
      </c>
      <c r="C3224">
        <v>10.44</v>
      </c>
      <c r="D3224" t="s">
        <v>218</v>
      </c>
      <c r="E3224" s="97">
        <v>4.0000000000000002E-4</v>
      </c>
    </row>
    <row r="3225" spans="1:5" ht="15">
      <c r="A3225" s="98">
        <v>1777</v>
      </c>
      <c r="B3225">
        <v>11.25</v>
      </c>
      <c r="C3225">
        <v>10.62</v>
      </c>
      <c r="D3225" t="s">
        <v>218</v>
      </c>
      <c r="E3225" s="97">
        <v>-5.5999999999999999E-3</v>
      </c>
    </row>
    <row r="3226" spans="1:5" ht="15">
      <c r="A3226" s="98">
        <v>1776</v>
      </c>
      <c r="B3226">
        <v>11.27</v>
      </c>
      <c r="C3226">
        <v>10.78</v>
      </c>
      <c r="D3226" t="s">
        <v>218</v>
      </c>
      <c r="E3226" s="97">
        <v>-6.2600000000000003E-2</v>
      </c>
    </row>
    <row r="3227" spans="1:5" ht="15">
      <c r="A3227" s="98">
        <v>1775</v>
      </c>
      <c r="B3227">
        <v>10.88</v>
      </c>
      <c r="C3227">
        <v>10.6</v>
      </c>
      <c r="D3227" t="s">
        <v>218</v>
      </c>
      <c r="E3227" s="97">
        <v>-1.38E-2</v>
      </c>
    </row>
    <row r="3228" spans="1:5" ht="15">
      <c r="A3228" s="98">
        <v>1774</v>
      </c>
      <c r="B3228">
        <v>10.96</v>
      </c>
      <c r="C3228">
        <v>10.47</v>
      </c>
      <c r="D3228" t="s">
        <v>218</v>
      </c>
      <c r="E3228" s="97">
        <v>2.93E-2</v>
      </c>
    </row>
    <row r="3229" spans="1:5" ht="15">
      <c r="A3229" s="98">
        <v>1773</v>
      </c>
      <c r="B3229">
        <v>10.99</v>
      </c>
      <c r="C3229">
        <v>10.53</v>
      </c>
      <c r="D3229" t="s">
        <v>218</v>
      </c>
      <c r="E3229" s="97">
        <v>-4.7699999999999999E-2</v>
      </c>
    </row>
    <row r="3230" spans="1:5" ht="15">
      <c r="A3230" s="98">
        <v>1772</v>
      </c>
      <c r="B3230">
        <v>11.43</v>
      </c>
      <c r="C3230">
        <v>10.92</v>
      </c>
      <c r="D3230" t="s">
        <v>218</v>
      </c>
      <c r="E3230" s="97">
        <v>-3.7699999999999997E-2</v>
      </c>
    </row>
    <row r="3231" spans="1:5" ht="15">
      <c r="A3231" s="98">
        <v>1771</v>
      </c>
      <c r="B3231">
        <v>11.39</v>
      </c>
      <c r="C3231">
        <v>10.99</v>
      </c>
      <c r="D3231" t="s">
        <v>218</v>
      </c>
      <c r="E3231" s="97">
        <v>-4.2500000000000003E-2</v>
      </c>
    </row>
    <row r="3232" spans="1:5" ht="15">
      <c r="A3232" s="98">
        <v>1770</v>
      </c>
      <c r="B3232">
        <v>11.68</v>
      </c>
      <c r="C3232">
        <v>10.89</v>
      </c>
      <c r="D3232" t="s">
        <v>218</v>
      </c>
      <c r="E3232" s="97">
        <v>-6.2E-2</v>
      </c>
    </row>
    <row r="3233" spans="1:5" ht="15">
      <c r="A3233" s="98">
        <v>1769</v>
      </c>
      <c r="B3233">
        <v>11.76</v>
      </c>
      <c r="C3233">
        <v>11.41</v>
      </c>
      <c r="D3233" t="s">
        <v>218</v>
      </c>
      <c r="E3233" s="97">
        <v>4.0800000000000003E-2</v>
      </c>
    </row>
    <row r="3234" spans="1:5" ht="15">
      <c r="A3234" s="98">
        <v>1768</v>
      </c>
      <c r="B3234">
        <v>11.43</v>
      </c>
      <c r="C3234">
        <v>10.34</v>
      </c>
      <c r="D3234" t="s">
        <v>218</v>
      </c>
      <c r="E3234" s="97">
        <v>6.3E-2</v>
      </c>
    </row>
    <row r="3235" spans="1:5" ht="15">
      <c r="A3235" s="98">
        <v>1767</v>
      </c>
      <c r="B3235">
        <v>11.41</v>
      </c>
      <c r="C3235">
        <v>10.99</v>
      </c>
      <c r="D3235" t="s">
        <v>218</v>
      </c>
      <c r="E3235" s="97">
        <v>1.3899999999999999E-2</v>
      </c>
    </row>
    <row r="3236" spans="1:5" ht="15">
      <c r="A3236" s="98">
        <v>1766</v>
      </c>
      <c r="B3236">
        <v>11.19</v>
      </c>
      <c r="C3236">
        <v>10.87</v>
      </c>
      <c r="D3236" t="s">
        <v>218</v>
      </c>
      <c r="E3236" s="97">
        <v>-0.113</v>
      </c>
    </row>
    <row r="3237" spans="1:5" ht="15">
      <c r="A3237" s="98">
        <v>1765</v>
      </c>
      <c r="B3237">
        <v>11.49</v>
      </c>
      <c r="C3237">
        <v>10.7</v>
      </c>
      <c r="D3237" t="s">
        <v>218</v>
      </c>
      <c r="E3237" s="97">
        <v>0.1169</v>
      </c>
    </row>
    <row r="3238" spans="1:5" ht="15">
      <c r="A3238" s="98">
        <v>1764</v>
      </c>
      <c r="B3238">
        <v>11.07</v>
      </c>
      <c r="C3238">
        <v>10.57</v>
      </c>
      <c r="D3238" t="s">
        <v>218</v>
      </c>
      <c r="E3238" s="97">
        <v>1.0500000000000001E-2</v>
      </c>
    </row>
    <row r="3239" spans="1:5" ht="15">
      <c r="A3239" s="98">
        <v>1763</v>
      </c>
      <c r="B3239">
        <v>11.12</v>
      </c>
      <c r="C3239">
        <v>10.77</v>
      </c>
      <c r="D3239" t="s">
        <v>218</v>
      </c>
      <c r="E3239" s="97">
        <v>-5.5800000000000002E-2</v>
      </c>
    </row>
    <row r="3240" spans="1:5" ht="15">
      <c r="A3240" s="98">
        <v>1762</v>
      </c>
      <c r="B3240">
        <v>11.26</v>
      </c>
      <c r="C3240">
        <v>10.69</v>
      </c>
      <c r="D3240" t="s">
        <v>218</v>
      </c>
      <c r="E3240" s="97">
        <v>-2.0500000000000001E-2</v>
      </c>
    </row>
    <row r="3241" spans="1:5" ht="15">
      <c r="A3241" s="98">
        <v>1761</v>
      </c>
      <c r="B3241">
        <v>11.31</v>
      </c>
      <c r="C3241">
        <v>10.14</v>
      </c>
      <c r="D3241" t="s">
        <v>218</v>
      </c>
      <c r="E3241" s="97">
        <v>4.2799999999999998E-2</v>
      </c>
    </row>
    <row r="3242" spans="1:5" ht="15">
      <c r="A3242" s="98">
        <v>1760</v>
      </c>
      <c r="B3242">
        <v>10.61</v>
      </c>
      <c r="C3242">
        <v>10.130000000000001</v>
      </c>
      <c r="D3242" t="s">
        <v>218</v>
      </c>
      <c r="E3242" s="97">
        <v>-7.1099999999999997E-2</v>
      </c>
    </row>
    <row r="3243" spans="1:5" ht="15">
      <c r="A3243" s="98">
        <v>1759</v>
      </c>
      <c r="B3243">
        <v>10.35</v>
      </c>
      <c r="C3243">
        <v>10.039999999999999</v>
      </c>
      <c r="D3243" t="s">
        <v>218</v>
      </c>
      <c r="E3243" s="97">
        <v>-6.5500000000000003E-2</v>
      </c>
    </row>
    <row r="3244" spans="1:5" ht="15">
      <c r="A3244" s="98">
        <v>1758</v>
      </c>
      <c r="B3244">
        <v>10.48</v>
      </c>
      <c r="C3244">
        <v>10.050000000000001</v>
      </c>
      <c r="D3244" t="s">
        <v>218</v>
      </c>
      <c r="E3244" s="97">
        <v>0.16819999999999999</v>
      </c>
    </row>
    <row r="3245" spans="1:5" ht="15">
      <c r="A3245" s="98">
        <v>1757</v>
      </c>
      <c r="B3245">
        <v>10.48</v>
      </c>
      <c r="C3245">
        <v>9.91</v>
      </c>
      <c r="D3245" t="s">
        <v>218</v>
      </c>
      <c r="E3245" s="97">
        <v>-1.9099999999999999E-2</v>
      </c>
    </row>
    <row r="3246" spans="1:5" ht="15">
      <c r="A3246" s="98">
        <v>1756</v>
      </c>
      <c r="B3246">
        <v>10.06</v>
      </c>
      <c r="C3246">
        <v>9.84</v>
      </c>
      <c r="D3246" t="s">
        <v>218</v>
      </c>
      <c r="E3246" s="97">
        <v>4.3299999999999998E-2</v>
      </c>
    </row>
    <row r="3247" spans="1:5" ht="15">
      <c r="A3247" s="98">
        <v>1755</v>
      </c>
      <c r="B3247">
        <v>10.15</v>
      </c>
      <c r="C3247">
        <v>9.81</v>
      </c>
      <c r="D3247" t="s">
        <v>218</v>
      </c>
      <c r="E3247" s="97">
        <v>6.8000000000000005E-2</v>
      </c>
    </row>
    <row r="3248" spans="1:5" ht="15">
      <c r="A3248" s="98">
        <v>1754</v>
      </c>
      <c r="B3248">
        <v>10.86</v>
      </c>
      <c r="C3248">
        <v>10.56</v>
      </c>
      <c r="D3248" t="s">
        <v>218</v>
      </c>
      <c r="E3248" s="97">
        <v>5.21E-2</v>
      </c>
    </row>
    <row r="3249" spans="1:5" ht="15">
      <c r="A3249" s="98">
        <v>1753</v>
      </c>
      <c r="B3249">
        <v>12.33</v>
      </c>
      <c r="C3249">
        <v>11.14</v>
      </c>
      <c r="D3249" t="s">
        <v>218</v>
      </c>
      <c r="E3249" s="97">
        <v>-5.0200000000000002E-2</v>
      </c>
    </row>
    <row r="3250" spans="1:5" ht="15">
      <c r="A3250" s="98">
        <v>1752</v>
      </c>
      <c r="B3250">
        <v>12.55</v>
      </c>
      <c r="C3250">
        <v>11.56</v>
      </c>
      <c r="D3250" t="s">
        <v>218</v>
      </c>
      <c r="E3250" s="97">
        <v>5.8299999999999998E-2</v>
      </c>
    </row>
    <row r="3251" spans="1:5" ht="15">
      <c r="A3251" s="98">
        <v>1751</v>
      </c>
      <c r="B3251">
        <v>11.43</v>
      </c>
      <c r="C3251">
        <v>10.67</v>
      </c>
      <c r="D3251" t="s">
        <v>218</v>
      </c>
      <c r="E3251" s="97">
        <v>4.9099999999999998E-2</v>
      </c>
    </row>
    <row r="3252" spans="1:5" ht="15">
      <c r="A3252" s="98">
        <v>1750</v>
      </c>
      <c r="B3252">
        <v>11.3</v>
      </c>
      <c r="C3252">
        <v>10.58</v>
      </c>
      <c r="D3252" t="s">
        <v>218</v>
      </c>
      <c r="E3252" s="97">
        <v>-0.11559999999999999</v>
      </c>
    </row>
    <row r="3253" spans="1:5" ht="15">
      <c r="A3253" s="98">
        <v>1749</v>
      </c>
      <c r="B3253">
        <v>12.28</v>
      </c>
      <c r="C3253">
        <v>10.96</v>
      </c>
      <c r="D3253" t="s">
        <v>218</v>
      </c>
      <c r="E3253" s="97">
        <v>1.0800000000000001E-2</v>
      </c>
    </row>
    <row r="3254" spans="1:5" ht="15">
      <c r="A3254" s="98">
        <v>1748</v>
      </c>
      <c r="B3254">
        <v>12.01</v>
      </c>
      <c r="C3254">
        <v>10.98</v>
      </c>
      <c r="D3254" t="s">
        <v>218</v>
      </c>
      <c r="E3254" s="97">
        <v>3.2000000000000002E-3</v>
      </c>
    </row>
    <row r="3255" spans="1:5" ht="15">
      <c r="A3255" s="98">
        <v>1747</v>
      </c>
      <c r="B3255">
        <v>11.59</v>
      </c>
      <c r="C3255">
        <v>10.85</v>
      </c>
      <c r="D3255" t="s">
        <v>218</v>
      </c>
      <c r="E3255" s="97">
        <v>-0.1004</v>
      </c>
    </row>
    <row r="3256" spans="1:5" ht="15">
      <c r="A3256" s="98">
        <v>1746</v>
      </c>
      <c r="B3256">
        <v>11.55</v>
      </c>
      <c r="C3256">
        <v>11.19</v>
      </c>
      <c r="D3256" t="s">
        <v>218</v>
      </c>
      <c r="E3256" s="97">
        <v>1.09E-2</v>
      </c>
    </row>
    <row r="3257" spans="1:5" ht="15">
      <c r="A3257" s="98">
        <v>1745</v>
      </c>
      <c r="B3257">
        <v>12.68</v>
      </c>
      <c r="C3257">
        <v>11.17</v>
      </c>
      <c r="D3257" t="s">
        <v>218</v>
      </c>
      <c r="E3257" s="97">
        <v>-7.3200000000000001E-2</v>
      </c>
    </row>
    <row r="3258" spans="1:5" ht="15">
      <c r="A3258" s="98">
        <v>1744</v>
      </c>
      <c r="B3258">
        <v>12.67</v>
      </c>
      <c r="C3258">
        <v>11.91</v>
      </c>
      <c r="D3258" t="s">
        <v>218</v>
      </c>
      <c r="E3258" s="97">
        <v>7.8600000000000003E-2</v>
      </c>
    </row>
    <row r="3259" spans="1:5" ht="15">
      <c r="A3259" s="98">
        <v>1743</v>
      </c>
      <c r="B3259">
        <v>11.93</v>
      </c>
      <c r="C3259">
        <v>10.71</v>
      </c>
      <c r="D3259" t="s">
        <v>218</v>
      </c>
      <c r="E3259" s="97">
        <v>-5.4000000000000003E-3</v>
      </c>
    </row>
    <row r="3260" spans="1:5" ht="15">
      <c r="A3260" s="98">
        <v>1742</v>
      </c>
      <c r="B3260">
        <v>11.39</v>
      </c>
      <c r="C3260">
        <v>10.35</v>
      </c>
      <c r="D3260" t="s">
        <v>218</v>
      </c>
      <c r="E3260" s="97">
        <v>2.64E-2</v>
      </c>
    </row>
    <row r="3261" spans="1:5" ht="15">
      <c r="A3261" s="98">
        <v>1741</v>
      </c>
      <c r="B3261">
        <v>10.58</v>
      </c>
      <c r="C3261">
        <v>10.15</v>
      </c>
      <c r="D3261" t="s">
        <v>218</v>
      </c>
      <c r="E3261" s="97">
        <v>3.5799999999999998E-2</v>
      </c>
    </row>
    <row r="3262" spans="1:5" ht="15">
      <c r="A3262" s="98">
        <v>1740</v>
      </c>
      <c r="B3262">
        <v>10.75</v>
      </c>
      <c r="C3262">
        <v>9.64</v>
      </c>
      <c r="D3262" t="s">
        <v>218</v>
      </c>
      <c r="E3262" s="97">
        <v>-6.1699999999999998E-2</v>
      </c>
    </row>
    <row r="3263" spans="1:5" ht="15">
      <c r="A3263" s="98">
        <v>1739</v>
      </c>
      <c r="B3263">
        <v>10.07</v>
      </c>
      <c r="C3263">
        <v>9.39</v>
      </c>
      <c r="D3263" t="s">
        <v>218</v>
      </c>
      <c r="E3263" s="97">
        <v>4.0899999999999999E-2</v>
      </c>
    </row>
    <row r="3264" spans="1:5" ht="15">
      <c r="A3264" s="98">
        <v>1738</v>
      </c>
      <c r="B3264">
        <v>10.91</v>
      </c>
      <c r="C3264">
        <v>10.46</v>
      </c>
      <c r="D3264" t="s">
        <v>218</v>
      </c>
      <c r="E3264" s="97">
        <v>-2.9499999999999998E-2</v>
      </c>
    </row>
    <row r="3265" spans="1:5" ht="15">
      <c r="A3265" s="98">
        <v>1737</v>
      </c>
      <c r="B3265">
        <v>11.31</v>
      </c>
      <c r="C3265">
        <v>10.27</v>
      </c>
      <c r="D3265" t="s">
        <v>218</v>
      </c>
      <c r="E3265" s="97">
        <v>0.1056</v>
      </c>
    </row>
    <row r="3266" spans="1:5" ht="15">
      <c r="A3266" s="98">
        <v>1736</v>
      </c>
      <c r="B3266">
        <v>10.33</v>
      </c>
      <c r="C3266">
        <v>10.029999999999999</v>
      </c>
      <c r="D3266" t="s">
        <v>218</v>
      </c>
      <c r="E3266" s="97">
        <v>-9.5999999999999992E-3</v>
      </c>
    </row>
    <row r="3267" spans="1:5" ht="15">
      <c r="A3267" s="98">
        <v>1735</v>
      </c>
      <c r="B3267">
        <v>10.89</v>
      </c>
      <c r="C3267">
        <v>10.130000000000001</v>
      </c>
      <c r="D3267" t="s">
        <v>218</v>
      </c>
      <c r="E3267" s="97">
        <v>-4.2099999999999999E-2</v>
      </c>
    </row>
    <row r="3268" spans="1:5" ht="15">
      <c r="A3268" s="98">
        <v>1734</v>
      </c>
      <c r="B3268">
        <v>11.46</v>
      </c>
      <c r="C3268">
        <v>10.59</v>
      </c>
      <c r="D3268" t="s">
        <v>218</v>
      </c>
      <c r="E3268" s="97">
        <v>-2.46E-2</v>
      </c>
    </row>
    <row r="3269" spans="1:5" ht="15">
      <c r="A3269" s="98">
        <v>1733</v>
      </c>
      <c r="B3269">
        <v>12.03</v>
      </c>
      <c r="C3269">
        <v>11.24</v>
      </c>
      <c r="D3269" t="s">
        <v>218</v>
      </c>
      <c r="E3269" s="97">
        <v>-7.7399999999999997E-2</v>
      </c>
    </row>
    <row r="3270" spans="1:5" ht="15">
      <c r="A3270" s="98">
        <v>1732</v>
      </c>
      <c r="B3270">
        <v>11.12</v>
      </c>
      <c r="C3270">
        <v>10.59</v>
      </c>
      <c r="D3270" t="s">
        <v>218</v>
      </c>
      <c r="E3270" s="97">
        <v>1.8599999999999998E-2</v>
      </c>
    </row>
    <row r="3271" spans="1:5" ht="15">
      <c r="A3271" s="98">
        <v>1731</v>
      </c>
      <c r="B3271">
        <v>11.06</v>
      </c>
      <c r="C3271">
        <v>10.73</v>
      </c>
      <c r="D3271" t="s">
        <v>218</v>
      </c>
      <c r="E3271" s="97">
        <v>4.8899999999999999E-2</v>
      </c>
    </row>
    <row r="3272" spans="1:5" ht="15">
      <c r="A3272" s="98">
        <v>1730</v>
      </c>
      <c r="B3272">
        <v>11.65</v>
      </c>
      <c r="C3272">
        <v>10.71</v>
      </c>
      <c r="D3272" t="s">
        <v>218</v>
      </c>
      <c r="E3272" s="97">
        <v>0.06</v>
      </c>
    </row>
    <row r="3273" spans="1:5" ht="15">
      <c r="A3273" s="98">
        <v>1729</v>
      </c>
      <c r="B3273">
        <v>12.75</v>
      </c>
      <c r="C3273">
        <v>11.53</v>
      </c>
      <c r="D3273" t="s">
        <v>218</v>
      </c>
      <c r="E3273" s="97">
        <v>3.0099999999999998E-2</v>
      </c>
    </row>
    <row r="3274" spans="1:5" ht="15">
      <c r="A3274" s="98">
        <v>1728</v>
      </c>
      <c r="B3274">
        <v>12.42</v>
      </c>
      <c r="C3274">
        <v>11.28</v>
      </c>
      <c r="D3274" t="s">
        <v>218</v>
      </c>
      <c r="E3274" s="97">
        <v>1.5900000000000001E-2</v>
      </c>
    </row>
    <row r="3275" spans="1:5" ht="15">
      <c r="A3275" s="98">
        <v>1727</v>
      </c>
      <c r="B3275">
        <v>12.25</v>
      </c>
      <c r="C3275">
        <v>11.68</v>
      </c>
      <c r="D3275" t="s">
        <v>218</v>
      </c>
      <c r="E3275" s="97">
        <v>3.5900000000000001E-2</v>
      </c>
    </row>
    <row r="3276" spans="1:5" ht="15">
      <c r="A3276" s="98">
        <v>1726</v>
      </c>
      <c r="B3276">
        <v>12.83</v>
      </c>
      <c r="C3276">
        <v>11.78</v>
      </c>
      <c r="D3276" t="s">
        <v>218</v>
      </c>
      <c r="E3276" s="97">
        <v>-1.0500000000000001E-2</v>
      </c>
    </row>
    <row r="3277" spans="1:5" ht="15">
      <c r="A3277" s="98">
        <v>1725</v>
      </c>
      <c r="B3277">
        <v>12.47</v>
      </c>
      <c r="C3277">
        <v>11.69</v>
      </c>
      <c r="D3277" t="s">
        <v>218</v>
      </c>
      <c r="E3277" s="97">
        <v>-1.4800000000000001E-2</v>
      </c>
    </row>
    <row r="3278" spans="1:5" ht="15">
      <c r="A3278" s="98">
        <v>1724</v>
      </c>
      <c r="B3278">
        <v>12.5</v>
      </c>
      <c r="C3278">
        <v>11.43</v>
      </c>
      <c r="D3278" t="s">
        <v>218</v>
      </c>
      <c r="E3278" s="97">
        <v>2.75E-2</v>
      </c>
    </row>
    <row r="3279" spans="1:5" ht="15">
      <c r="A3279" s="98">
        <v>1723</v>
      </c>
      <c r="B3279">
        <v>11.48</v>
      </c>
      <c r="C3279">
        <v>10.5</v>
      </c>
      <c r="D3279" t="s">
        <v>218</v>
      </c>
      <c r="E3279" s="97">
        <v>-7.1900000000000006E-2</v>
      </c>
    </row>
    <row r="3280" spans="1:5" ht="15">
      <c r="A3280" s="98">
        <v>1722</v>
      </c>
      <c r="B3280">
        <v>10.93</v>
      </c>
      <c r="C3280">
        <v>10.14</v>
      </c>
      <c r="D3280" t="s">
        <v>218</v>
      </c>
      <c r="E3280" s="97">
        <v>-3.8199999999999998E-2</v>
      </c>
    </row>
    <row r="3281" spans="1:5" ht="15">
      <c r="A3281" s="98">
        <v>1721</v>
      </c>
      <c r="B3281">
        <v>10.89</v>
      </c>
      <c r="C3281">
        <v>10.4</v>
      </c>
      <c r="D3281" t="s">
        <v>218</v>
      </c>
      <c r="E3281" s="97">
        <v>-7.51E-2</v>
      </c>
    </row>
    <row r="3282" spans="1:5" ht="15">
      <c r="A3282" s="98">
        <v>1720</v>
      </c>
      <c r="B3282">
        <v>10.9</v>
      </c>
      <c r="C3282">
        <v>10.35</v>
      </c>
      <c r="D3282" t="s">
        <v>218</v>
      </c>
      <c r="E3282" s="97">
        <v>7.3899999999999993E-2</v>
      </c>
    </row>
    <row r="3283" spans="1:5" ht="15">
      <c r="A3283" s="98">
        <v>1719</v>
      </c>
      <c r="B3283">
        <v>11.04</v>
      </c>
      <c r="C3283">
        <v>10.45</v>
      </c>
      <c r="D3283" t="s">
        <v>218</v>
      </c>
      <c r="E3283" s="97">
        <v>9.7600000000000006E-2</v>
      </c>
    </row>
    <row r="3284" spans="1:5" ht="15">
      <c r="A3284" s="98">
        <v>1718</v>
      </c>
      <c r="B3284">
        <v>11.03</v>
      </c>
      <c r="C3284">
        <v>10.24</v>
      </c>
      <c r="D3284" t="s">
        <v>218</v>
      </c>
      <c r="E3284" s="97">
        <v>-1.66E-2</v>
      </c>
    </row>
    <row r="3285" spans="1:5" ht="15">
      <c r="A3285" s="98">
        <v>1717</v>
      </c>
      <c r="B3285">
        <v>11.08</v>
      </c>
      <c r="C3285">
        <v>10.62</v>
      </c>
      <c r="D3285" t="s">
        <v>218</v>
      </c>
      <c r="E3285" s="97">
        <v>1.8599999999999998E-2</v>
      </c>
    </row>
    <row r="3286" spans="1:5" ht="15">
      <c r="A3286" s="98">
        <v>1716</v>
      </c>
      <c r="B3286">
        <v>10.94</v>
      </c>
      <c r="C3286">
        <v>10.220000000000001</v>
      </c>
      <c r="D3286" t="s">
        <v>218</v>
      </c>
      <c r="E3286" s="97">
        <v>-3.39E-2</v>
      </c>
    </row>
    <row r="3287" spans="1:5" ht="15">
      <c r="A3287" s="98">
        <v>1715</v>
      </c>
      <c r="B3287">
        <v>10.41</v>
      </c>
      <c r="C3287">
        <v>9.8699999999999992</v>
      </c>
      <c r="D3287" t="s">
        <v>218</v>
      </c>
      <c r="E3287" s="97">
        <v>-0.12640000000000001</v>
      </c>
    </row>
    <row r="3288" spans="1:5" ht="15">
      <c r="A3288" s="98">
        <v>1714</v>
      </c>
      <c r="B3288">
        <v>11.38</v>
      </c>
      <c r="C3288">
        <v>9.9499999999999993</v>
      </c>
      <c r="D3288" t="s">
        <v>218</v>
      </c>
      <c r="E3288" s="97">
        <v>3.1600000000000003E-2</v>
      </c>
    </row>
    <row r="3289" spans="1:5" ht="15">
      <c r="A3289" s="98">
        <v>1713</v>
      </c>
      <c r="B3289">
        <v>11.6</v>
      </c>
      <c r="C3289">
        <v>10.92</v>
      </c>
      <c r="D3289" t="s">
        <v>218</v>
      </c>
      <c r="E3289" s="97">
        <v>3.9199999999999999E-2</v>
      </c>
    </row>
    <row r="3290" spans="1:5" ht="15">
      <c r="A3290" s="98">
        <v>1712</v>
      </c>
      <c r="B3290">
        <v>11.6</v>
      </c>
      <c r="C3290">
        <v>10.92</v>
      </c>
      <c r="D3290" t="s">
        <v>218</v>
      </c>
      <c r="E3290" s="97">
        <v>-2.93E-2</v>
      </c>
    </row>
    <row r="3291" spans="1:5" ht="15">
      <c r="A3291" s="98">
        <v>1711</v>
      </c>
      <c r="B3291">
        <v>11.49</v>
      </c>
      <c r="C3291">
        <v>10.95</v>
      </c>
      <c r="D3291" t="s">
        <v>218</v>
      </c>
      <c r="E3291" s="97">
        <v>-9.5399999999999999E-2</v>
      </c>
    </row>
    <row r="3292" spans="1:5" ht="15">
      <c r="A3292" s="98">
        <v>1710</v>
      </c>
      <c r="B3292">
        <v>11.26</v>
      </c>
      <c r="C3292">
        <v>10.27</v>
      </c>
      <c r="D3292" t="s">
        <v>218</v>
      </c>
      <c r="E3292" s="97">
        <v>0.14829999999999999</v>
      </c>
    </row>
    <row r="3293" spans="1:5" ht="15">
      <c r="A3293" s="98">
        <v>1709</v>
      </c>
      <c r="B3293">
        <v>10.43</v>
      </c>
      <c r="C3293">
        <v>10.14</v>
      </c>
      <c r="D3293" t="s">
        <v>218</v>
      </c>
      <c r="E3293" s="97">
        <v>6.88E-2</v>
      </c>
    </row>
    <row r="3294" spans="1:5" ht="15">
      <c r="A3294" s="98">
        <v>1708</v>
      </c>
      <c r="B3294">
        <v>10.36</v>
      </c>
      <c r="C3294">
        <v>9.9600000000000009</v>
      </c>
      <c r="D3294" t="s">
        <v>218</v>
      </c>
      <c r="E3294" s="97">
        <v>3.5000000000000003E-2</v>
      </c>
    </row>
    <row r="3295" spans="1:5" ht="15">
      <c r="A3295" s="98">
        <v>1707</v>
      </c>
      <c r="B3295">
        <v>10.7</v>
      </c>
      <c r="C3295">
        <v>10.44</v>
      </c>
      <c r="D3295" t="s">
        <v>218</v>
      </c>
      <c r="E3295" s="97">
        <v>5.7700000000000001E-2</v>
      </c>
    </row>
    <row r="3296" spans="1:5" ht="15">
      <c r="A3296" s="98">
        <v>1706</v>
      </c>
      <c r="B3296">
        <v>10.88</v>
      </c>
      <c r="C3296">
        <v>10.44</v>
      </c>
      <c r="D3296" t="s">
        <v>218</v>
      </c>
      <c r="E3296" s="97">
        <v>7.9899999999999999E-2</v>
      </c>
    </row>
    <row r="3297" spans="1:5" ht="15">
      <c r="A3297" s="98">
        <v>1705</v>
      </c>
      <c r="B3297">
        <v>10.56</v>
      </c>
      <c r="C3297">
        <v>10.24</v>
      </c>
      <c r="D3297" t="s">
        <v>218</v>
      </c>
      <c r="E3297" s="97">
        <v>-2.3699999999999999E-2</v>
      </c>
    </row>
    <row r="3298" spans="1:5" ht="15">
      <c r="A3298" s="98">
        <v>1704</v>
      </c>
      <c r="B3298">
        <v>10.91</v>
      </c>
      <c r="C3298">
        <v>10.4</v>
      </c>
      <c r="D3298" t="s">
        <v>218</v>
      </c>
      <c r="E3298" s="97">
        <v>-1.4200000000000001E-2</v>
      </c>
    </row>
    <row r="3299" spans="1:5" ht="15">
      <c r="A3299" s="98">
        <v>1703</v>
      </c>
      <c r="B3299">
        <v>11.56</v>
      </c>
      <c r="C3299">
        <v>10.25</v>
      </c>
      <c r="D3299" t="s">
        <v>218</v>
      </c>
      <c r="E3299" s="97">
        <v>2.92E-2</v>
      </c>
    </row>
    <row r="3300" spans="1:5" ht="15">
      <c r="A3300" s="98">
        <v>1702</v>
      </c>
      <c r="B3300">
        <v>11.88</v>
      </c>
      <c r="C3300">
        <v>11.3</v>
      </c>
      <c r="D3300" t="s">
        <v>218</v>
      </c>
      <c r="E3300" s="97">
        <v>3.2099999999999997E-2</v>
      </c>
    </row>
    <row r="3301" spans="1:5" ht="15">
      <c r="A3301" s="98">
        <v>1701</v>
      </c>
      <c r="B3301">
        <v>11.42</v>
      </c>
      <c r="C3301">
        <v>10.33</v>
      </c>
      <c r="D3301" t="s">
        <v>218</v>
      </c>
      <c r="E3301" s="97">
        <v>5.6500000000000002E-2</v>
      </c>
    </row>
    <row r="3302" spans="1:5" ht="15">
      <c r="A3302" s="98">
        <v>1700</v>
      </c>
      <c r="B3302">
        <v>10.26</v>
      </c>
      <c r="C3302">
        <v>9.6999999999999993</v>
      </c>
      <c r="D3302" t="s">
        <v>218</v>
      </c>
      <c r="E3302" s="97">
        <v>-0.10150000000000001</v>
      </c>
    </row>
    <row r="3303" spans="1:5" ht="15">
      <c r="A3303" s="98">
        <v>1699</v>
      </c>
      <c r="B3303">
        <v>10.32</v>
      </c>
      <c r="C3303">
        <v>10.050000000000001</v>
      </c>
      <c r="D3303" t="s">
        <v>218</v>
      </c>
      <c r="E3303" s="97">
        <v>-9.5999999999999992E-3</v>
      </c>
    </row>
    <row r="3304" spans="1:5" ht="15">
      <c r="A3304" s="98">
        <v>1698</v>
      </c>
      <c r="B3304">
        <v>10.44</v>
      </c>
      <c r="C3304">
        <v>9.98</v>
      </c>
      <c r="D3304" t="s">
        <v>218</v>
      </c>
      <c r="E3304" s="97">
        <v>2.1999999999999999E-2</v>
      </c>
    </row>
    <row r="3305" spans="1:5" ht="15">
      <c r="A3305" s="98">
        <v>1697</v>
      </c>
      <c r="B3305">
        <v>10.72</v>
      </c>
      <c r="C3305">
        <v>10.14</v>
      </c>
      <c r="D3305" t="s">
        <v>218</v>
      </c>
      <c r="E3305" s="97">
        <v>3.2300000000000002E-2</v>
      </c>
    </row>
    <row r="3306" spans="1:5" ht="15">
      <c r="A3306" s="98">
        <v>1696</v>
      </c>
      <c r="B3306">
        <v>10.53</v>
      </c>
      <c r="C3306">
        <v>10.17</v>
      </c>
      <c r="D3306" t="s">
        <v>218</v>
      </c>
      <c r="E3306" s="97">
        <v>2.7799999999999998E-2</v>
      </c>
    </row>
    <row r="3307" spans="1:5" ht="15">
      <c r="A3307" s="98">
        <v>1695</v>
      </c>
      <c r="B3307">
        <v>10.52</v>
      </c>
      <c r="C3307">
        <v>10.01</v>
      </c>
      <c r="D3307" t="s">
        <v>218</v>
      </c>
      <c r="E3307" s="97">
        <v>1.2500000000000001E-2</v>
      </c>
    </row>
    <row r="3308" spans="1:5" ht="15">
      <c r="A3308" s="98">
        <v>1694</v>
      </c>
      <c r="B3308">
        <v>10.7</v>
      </c>
      <c r="C3308">
        <v>10.36</v>
      </c>
      <c r="D3308" t="s">
        <v>218</v>
      </c>
      <c r="E3308" s="97">
        <v>0.02</v>
      </c>
    </row>
    <row r="3309" spans="1:5" ht="15">
      <c r="A3309" s="98">
        <v>1693</v>
      </c>
      <c r="B3309">
        <v>11.44</v>
      </c>
      <c r="C3309">
        <v>10.52</v>
      </c>
      <c r="D3309" t="s">
        <v>218</v>
      </c>
      <c r="E3309" s="97">
        <v>-3.5099999999999999E-2</v>
      </c>
    </row>
    <row r="3310" spans="1:5" ht="15">
      <c r="A3310" s="98">
        <v>1692</v>
      </c>
      <c r="B3310">
        <v>19.010000000000002</v>
      </c>
      <c r="C3310">
        <v>12.1</v>
      </c>
      <c r="D3310" t="s">
        <v>218</v>
      </c>
      <c r="E3310" s="97">
        <v>9.3399999999999997E-2</v>
      </c>
    </row>
    <row r="3311" spans="1:5" ht="15">
      <c r="A3311" s="98">
        <v>1691</v>
      </c>
      <c r="B3311">
        <v>17.29</v>
      </c>
      <c r="C3311">
        <v>14.5</v>
      </c>
      <c r="D3311" t="s">
        <v>218</v>
      </c>
      <c r="E3311" s="97">
        <v>1.4200000000000001E-2</v>
      </c>
    </row>
    <row r="3312" spans="1:5" ht="15">
      <c r="A3312" s="98">
        <v>1690</v>
      </c>
      <c r="B3312">
        <v>19.399999999999999</v>
      </c>
      <c r="C3312">
        <v>15.36</v>
      </c>
      <c r="D3312" t="s">
        <v>218</v>
      </c>
      <c r="E3312" s="97">
        <v>-3.3E-3</v>
      </c>
    </row>
    <row r="3313" spans="1:5" ht="15">
      <c r="A3313" s="98">
        <v>1689</v>
      </c>
      <c r="B3313">
        <v>18.63</v>
      </c>
      <c r="C3313">
        <v>16.04</v>
      </c>
      <c r="D3313" t="s">
        <v>218</v>
      </c>
      <c r="E3313" s="97">
        <v>-1.4500000000000001E-2</v>
      </c>
    </row>
    <row r="3314" spans="1:5" ht="15">
      <c r="A3314" s="98">
        <v>1688</v>
      </c>
      <c r="B3314">
        <v>20.41</v>
      </c>
      <c r="C3314">
        <v>18.13</v>
      </c>
      <c r="D3314" t="s">
        <v>218</v>
      </c>
      <c r="E3314" s="97">
        <v>1.03E-2</v>
      </c>
    </row>
    <row r="3315" spans="1:5" ht="15">
      <c r="A3315" s="98">
        <v>1687</v>
      </c>
      <c r="B3315">
        <v>18.34</v>
      </c>
      <c r="C3315">
        <v>15.76</v>
      </c>
      <c r="D3315" t="s">
        <v>218</v>
      </c>
      <c r="E3315" s="97">
        <v>-3.3E-3</v>
      </c>
    </row>
    <row r="3316" spans="1:5" ht="15">
      <c r="A3316" s="98">
        <v>1686</v>
      </c>
      <c r="B3316">
        <v>16.27</v>
      </c>
      <c r="C3316">
        <v>14.52</v>
      </c>
      <c r="D3316" t="s">
        <v>218</v>
      </c>
      <c r="E3316" s="97">
        <v>-4.9399999999999999E-2</v>
      </c>
    </row>
    <row r="3317" spans="1:5" ht="15">
      <c r="A3317" s="98">
        <v>1685</v>
      </c>
      <c r="B3317">
        <v>14.7</v>
      </c>
      <c r="C3317">
        <v>13.48</v>
      </c>
      <c r="D3317" t="s">
        <v>218</v>
      </c>
      <c r="E3317" s="97">
        <v>-6.59E-2</v>
      </c>
    </row>
    <row r="3318" spans="1:5" ht="15">
      <c r="A3318" s="98">
        <v>1684</v>
      </c>
      <c r="B3318">
        <v>14.62</v>
      </c>
      <c r="C3318">
        <v>13.67</v>
      </c>
      <c r="D3318" t="s">
        <v>218</v>
      </c>
      <c r="E3318" s="97">
        <v>4.8899999999999999E-2</v>
      </c>
    </row>
    <row r="3319" spans="1:5" ht="15">
      <c r="A3319" s="98">
        <v>1683</v>
      </c>
      <c r="B3319">
        <v>14.96</v>
      </c>
      <c r="C3319">
        <v>13.76</v>
      </c>
      <c r="D3319" t="s">
        <v>218</v>
      </c>
      <c r="E3319" s="97">
        <v>0.13059999999999999</v>
      </c>
    </row>
    <row r="3320" spans="1:5" ht="15">
      <c r="A3320" s="98">
        <v>1682</v>
      </c>
      <c r="B3320">
        <v>18.420000000000002</v>
      </c>
      <c r="C3320">
        <v>14.6</v>
      </c>
      <c r="D3320" t="s">
        <v>218</v>
      </c>
      <c r="E3320" s="97">
        <v>4.1000000000000002E-2</v>
      </c>
    </row>
    <row r="3321" spans="1:5" ht="15">
      <c r="A3321" s="98">
        <v>1681</v>
      </c>
      <c r="B3321">
        <v>21.25</v>
      </c>
      <c r="C3321">
        <v>16.75</v>
      </c>
      <c r="D3321" t="s">
        <v>218</v>
      </c>
      <c r="E3321" s="97">
        <v>-4.8000000000000001E-2</v>
      </c>
    </row>
    <row r="3322" spans="1:5" ht="15">
      <c r="A3322" s="98">
        <v>1680</v>
      </c>
      <c r="B3322">
        <v>16.91</v>
      </c>
      <c r="C3322">
        <v>15.27</v>
      </c>
      <c r="D3322" t="s">
        <v>218</v>
      </c>
      <c r="E3322" s="97">
        <v>4.7399999999999998E-2</v>
      </c>
    </row>
    <row r="3323" spans="1:5" ht="15">
      <c r="A3323" s="98">
        <v>1679</v>
      </c>
      <c r="B3323">
        <v>17.71</v>
      </c>
      <c r="C3323">
        <v>15.29</v>
      </c>
      <c r="D3323" t="s">
        <v>218</v>
      </c>
      <c r="E3323" s="97">
        <v>2.12E-2</v>
      </c>
    </row>
    <row r="3324" spans="1:5" ht="15">
      <c r="A3324" s="98">
        <v>1678</v>
      </c>
      <c r="B3324">
        <v>15.82</v>
      </c>
      <c r="C3324">
        <v>14.58</v>
      </c>
      <c r="D3324" t="s">
        <v>218</v>
      </c>
      <c r="E3324" s="97">
        <v>5.9999999999999995E-4</v>
      </c>
    </row>
    <row r="3325" spans="1:5" ht="15">
      <c r="A3325" s="98">
        <v>1677</v>
      </c>
      <c r="B3325">
        <v>15.16</v>
      </c>
      <c r="C3325">
        <v>13.25</v>
      </c>
      <c r="D3325" t="s">
        <v>218</v>
      </c>
      <c r="E3325" s="97">
        <v>-2.9899999999999999E-2</v>
      </c>
    </row>
    <row r="3326" spans="1:5" ht="15">
      <c r="A3326" s="98">
        <v>1676</v>
      </c>
      <c r="B3326">
        <v>13.67</v>
      </c>
      <c r="C3326">
        <v>11.21</v>
      </c>
      <c r="D3326" t="s">
        <v>218</v>
      </c>
      <c r="E3326" s="97">
        <v>-1.9599999999999999E-2</v>
      </c>
    </row>
    <row r="3327" spans="1:5" ht="15">
      <c r="A3327" s="98">
        <v>1675</v>
      </c>
      <c r="B3327">
        <v>12.95</v>
      </c>
      <c r="C3327">
        <v>12.04</v>
      </c>
      <c r="D3327" t="s">
        <v>218</v>
      </c>
      <c r="E3327" s="97">
        <v>-5.1999999999999998E-3</v>
      </c>
    </row>
    <row r="3328" spans="1:5" ht="15">
      <c r="A3328" s="98">
        <v>1674</v>
      </c>
      <c r="B3328">
        <v>13.18</v>
      </c>
      <c r="C3328">
        <v>12.46</v>
      </c>
      <c r="D3328" t="s">
        <v>218</v>
      </c>
      <c r="E3328" s="97">
        <v>6.8999999999999999E-3</v>
      </c>
    </row>
    <row r="3329" spans="1:5" ht="15">
      <c r="A3329" s="98">
        <v>1673</v>
      </c>
      <c r="B3329">
        <v>14.7</v>
      </c>
      <c r="C3329">
        <v>12.91</v>
      </c>
      <c r="D3329" t="s">
        <v>218</v>
      </c>
      <c r="E3329" s="97">
        <v>1.7600000000000001E-2</v>
      </c>
    </row>
    <row r="3330" spans="1:5" ht="15">
      <c r="A3330" s="98">
        <v>1672</v>
      </c>
      <c r="B3330">
        <v>13.9</v>
      </c>
      <c r="C3330">
        <v>13.35</v>
      </c>
      <c r="D3330" t="s">
        <v>218</v>
      </c>
      <c r="E3330" s="97">
        <v>-2.46E-2</v>
      </c>
    </row>
    <row r="3331" spans="1:5" ht="15">
      <c r="A3331" s="98">
        <v>1671</v>
      </c>
      <c r="B3331">
        <v>15.51</v>
      </c>
      <c r="C3331">
        <v>14.22</v>
      </c>
      <c r="D3331" t="s">
        <v>218</v>
      </c>
      <c r="E3331" s="97">
        <v>-0.03</v>
      </c>
    </row>
    <row r="3332" spans="1:5" ht="15">
      <c r="A3332" s="98">
        <v>1670</v>
      </c>
      <c r="B3332">
        <v>16.05</v>
      </c>
      <c r="C3332">
        <v>14.34</v>
      </c>
      <c r="D3332" t="s">
        <v>218</v>
      </c>
      <c r="E3332" s="97">
        <v>2.2000000000000001E-3</v>
      </c>
    </row>
    <row r="3333" spans="1:5" ht="15">
      <c r="A3333" s="98">
        <v>1669</v>
      </c>
      <c r="B3333">
        <v>15.82</v>
      </c>
      <c r="C3333">
        <v>14.14</v>
      </c>
      <c r="D3333" t="s">
        <v>218</v>
      </c>
      <c r="E3333" s="97">
        <v>5.5999999999999999E-3</v>
      </c>
    </row>
    <row r="3334" spans="1:5" ht="15">
      <c r="A3334" s="98">
        <v>1668</v>
      </c>
      <c r="B3334">
        <v>15.46</v>
      </c>
      <c r="C3334">
        <v>14.4</v>
      </c>
      <c r="D3334" t="s">
        <v>218</v>
      </c>
      <c r="E3334" s="97">
        <v>-3.61E-2</v>
      </c>
    </row>
    <row r="3335" spans="1:5" ht="15">
      <c r="A3335" s="98">
        <v>1667</v>
      </c>
      <c r="B3335">
        <v>14.06</v>
      </c>
      <c r="C3335">
        <v>12.81</v>
      </c>
      <c r="D3335" t="s">
        <v>218</v>
      </c>
      <c r="E3335" s="97">
        <v>-3.3399999999999999E-2</v>
      </c>
    </row>
    <row r="3336" spans="1:5" ht="15">
      <c r="A3336" s="98">
        <v>1666</v>
      </c>
      <c r="B3336">
        <v>13.91</v>
      </c>
      <c r="C3336">
        <v>13.2</v>
      </c>
      <c r="D3336" t="s">
        <v>218</v>
      </c>
      <c r="E3336" s="97">
        <v>5.0000000000000001E-4</v>
      </c>
    </row>
    <row r="3337" spans="1:5" ht="15">
      <c r="A3337" s="98">
        <v>1665</v>
      </c>
      <c r="B3337">
        <v>13.66</v>
      </c>
      <c r="C3337">
        <v>12.69</v>
      </c>
      <c r="D3337" t="s">
        <v>218</v>
      </c>
      <c r="E3337" s="97">
        <v>2.0799999999999999E-2</v>
      </c>
    </row>
    <row r="3338" spans="1:5" ht="15">
      <c r="A3338" s="98">
        <v>1664</v>
      </c>
      <c r="B3338">
        <v>13.56</v>
      </c>
      <c r="C3338">
        <v>12.89</v>
      </c>
      <c r="D3338" t="s">
        <v>218</v>
      </c>
      <c r="E3338" s="97">
        <v>-1.26E-2</v>
      </c>
    </row>
    <row r="3339" spans="1:5" ht="15">
      <c r="A3339" s="98">
        <v>1663</v>
      </c>
      <c r="B3339">
        <v>13.33</v>
      </c>
      <c r="C3339">
        <v>12.56</v>
      </c>
      <c r="D3339" t="s">
        <v>218</v>
      </c>
      <c r="E3339" s="97">
        <v>2.1999999999999999E-2</v>
      </c>
    </row>
    <row r="3340" spans="1:5" ht="15">
      <c r="A3340" s="98">
        <v>1662</v>
      </c>
      <c r="B3340">
        <v>14.08</v>
      </c>
      <c r="C3340">
        <v>12.72</v>
      </c>
      <c r="D3340" t="s">
        <v>218</v>
      </c>
      <c r="E3340" s="97">
        <v>-6.8500000000000005E-2</v>
      </c>
    </row>
    <row r="3341" spans="1:5" ht="15">
      <c r="A3341" s="98">
        <v>1661</v>
      </c>
      <c r="B3341">
        <v>14.15</v>
      </c>
      <c r="C3341">
        <v>12.58</v>
      </c>
      <c r="D3341" t="s">
        <v>218</v>
      </c>
      <c r="E3341" s="97">
        <v>-5.0000000000000001E-4</v>
      </c>
    </row>
    <row r="3342" spans="1:5" ht="15">
      <c r="A3342" s="98">
        <v>1660</v>
      </c>
      <c r="B3342">
        <v>13</v>
      </c>
      <c r="C3342">
        <v>12.13</v>
      </c>
      <c r="D3342" t="s">
        <v>218</v>
      </c>
      <c r="E3342" s="97">
        <v>-2.6800000000000001E-2</v>
      </c>
    </row>
    <row r="3343" spans="1:5" ht="15">
      <c r="A3343" s="98">
        <v>1659</v>
      </c>
      <c r="B3343">
        <v>12.1</v>
      </c>
      <c r="C3343">
        <v>11.46</v>
      </c>
      <c r="D3343" t="s">
        <v>218</v>
      </c>
      <c r="E3343" s="97">
        <v>-9.1999999999999998E-3</v>
      </c>
    </row>
    <row r="3344" spans="1:5" ht="15">
      <c r="A3344" s="98">
        <v>1658</v>
      </c>
      <c r="B3344">
        <v>12.17</v>
      </c>
      <c r="C3344">
        <v>11.5</v>
      </c>
      <c r="D3344" t="s">
        <v>218</v>
      </c>
      <c r="E3344" s="97">
        <v>-4.7999999999999996E-3</v>
      </c>
    </row>
    <row r="3345" spans="1:5" ht="15">
      <c r="A3345" s="98">
        <v>1657</v>
      </c>
      <c r="B3345">
        <v>12.57</v>
      </c>
      <c r="C3345">
        <v>11.95</v>
      </c>
      <c r="D3345" t="s">
        <v>218</v>
      </c>
      <c r="E3345" s="97">
        <v>6.3299999999999995E-2</v>
      </c>
    </row>
    <row r="3346" spans="1:5" ht="15">
      <c r="A3346" s="98">
        <v>1656</v>
      </c>
      <c r="B3346">
        <v>13.27</v>
      </c>
      <c r="C3346">
        <v>12.41</v>
      </c>
      <c r="D3346" t="s">
        <v>218</v>
      </c>
      <c r="E3346" s="97">
        <v>-3.5999999999999999E-3</v>
      </c>
    </row>
    <row r="3347" spans="1:5" ht="15">
      <c r="A3347" s="98">
        <v>1655</v>
      </c>
      <c r="B3347">
        <v>12.67</v>
      </c>
      <c r="C3347">
        <v>11.97</v>
      </c>
      <c r="D3347" t="s">
        <v>218</v>
      </c>
      <c r="E3347" s="97">
        <v>1.44E-2</v>
      </c>
    </row>
    <row r="3348" spans="1:5" ht="15">
      <c r="A3348" s="98">
        <v>1654</v>
      </c>
      <c r="B3348">
        <v>13.08</v>
      </c>
      <c r="C3348">
        <v>12.48</v>
      </c>
      <c r="D3348" t="s">
        <v>218</v>
      </c>
      <c r="E3348" s="97">
        <v>-2.6599999999999999E-2</v>
      </c>
    </row>
    <row r="3349" spans="1:5" ht="15">
      <c r="A3349" s="98">
        <v>1653</v>
      </c>
      <c r="B3349">
        <v>13.89</v>
      </c>
      <c r="C3349">
        <v>13.04</v>
      </c>
      <c r="D3349" t="s">
        <v>218</v>
      </c>
      <c r="E3349" s="97">
        <v>5.1700000000000003E-2</v>
      </c>
    </row>
    <row r="3350" spans="1:5" ht="15">
      <c r="A3350" s="98">
        <v>1652</v>
      </c>
      <c r="B3350">
        <v>13.23</v>
      </c>
      <c r="C3350">
        <v>12.58</v>
      </c>
      <c r="D3350" t="s">
        <v>218</v>
      </c>
      <c r="E3350" s="97">
        <v>0</v>
      </c>
    </row>
    <row r="3351" spans="1:5" ht="15">
      <c r="A3351" s="98">
        <v>1651</v>
      </c>
      <c r="B3351">
        <v>13.67</v>
      </c>
      <c r="C3351">
        <v>12.67</v>
      </c>
      <c r="D3351" t="s">
        <v>218</v>
      </c>
      <c r="E3351" s="97">
        <v>-3.61E-2</v>
      </c>
    </row>
    <row r="3352" spans="1:5" ht="15">
      <c r="A3352" s="98">
        <v>1650</v>
      </c>
      <c r="B3352">
        <v>13.26</v>
      </c>
      <c r="C3352">
        <v>12.41</v>
      </c>
      <c r="D3352" t="s">
        <v>218</v>
      </c>
      <c r="E3352" s="97">
        <v>-5.1000000000000004E-3</v>
      </c>
    </row>
    <row r="3353" spans="1:5" ht="15">
      <c r="A3353" s="98">
        <v>1649</v>
      </c>
      <c r="B3353">
        <v>14.31</v>
      </c>
      <c r="C3353">
        <v>12.78</v>
      </c>
      <c r="D3353" t="s">
        <v>218</v>
      </c>
      <c r="E3353" s="97">
        <v>1.54E-2</v>
      </c>
    </row>
    <row r="3354" spans="1:5" ht="15">
      <c r="A3354" s="98">
        <v>1648</v>
      </c>
      <c r="B3354">
        <v>14.6</v>
      </c>
      <c r="C3354">
        <v>13.48</v>
      </c>
      <c r="D3354" t="s">
        <v>218</v>
      </c>
      <c r="E3354" s="97">
        <v>6.7000000000000002E-3</v>
      </c>
    </row>
    <row r="3355" spans="1:5" ht="15">
      <c r="A3355" s="98">
        <v>1647</v>
      </c>
      <c r="B3355">
        <v>13.52</v>
      </c>
      <c r="C3355">
        <v>12.55</v>
      </c>
      <c r="D3355" t="s">
        <v>218</v>
      </c>
      <c r="E3355" s="97">
        <v>-3.5400000000000001E-2</v>
      </c>
    </row>
    <row r="3356" spans="1:5" ht="15">
      <c r="A3356" s="98">
        <v>1646</v>
      </c>
      <c r="B3356">
        <v>13.36</v>
      </c>
      <c r="C3356">
        <v>12.89</v>
      </c>
      <c r="D3356" t="s">
        <v>218</v>
      </c>
      <c r="E3356" s="97">
        <v>0</v>
      </c>
    </row>
    <row r="3357" spans="1:5" ht="15">
      <c r="A3357" s="98">
        <v>1645</v>
      </c>
      <c r="B3357">
        <v>13.36</v>
      </c>
      <c r="C3357">
        <v>12.59</v>
      </c>
      <c r="D3357" t="s">
        <v>218</v>
      </c>
      <c r="E3357" s="97">
        <v>-4.0000000000000001E-3</v>
      </c>
    </row>
    <row r="3358" spans="1:5" ht="15">
      <c r="A3358" s="98">
        <v>1644</v>
      </c>
      <c r="B3358">
        <v>13.37</v>
      </c>
      <c r="C3358">
        <v>13.11</v>
      </c>
      <c r="D3358" t="s">
        <v>218</v>
      </c>
      <c r="E3358" s="97">
        <v>-1.0800000000000001E-2</v>
      </c>
    </row>
    <row r="3359" spans="1:5" ht="15">
      <c r="A3359" s="98">
        <v>1643</v>
      </c>
      <c r="B3359">
        <v>13.69</v>
      </c>
      <c r="C3359">
        <v>13.16</v>
      </c>
      <c r="D3359" t="s">
        <v>218</v>
      </c>
      <c r="E3359" s="97">
        <v>5.7799999999999997E-2</v>
      </c>
    </row>
    <row r="3360" spans="1:5" ht="15">
      <c r="A3360" s="98">
        <v>1642</v>
      </c>
      <c r="B3360">
        <v>13.5</v>
      </c>
      <c r="C3360">
        <v>12.54</v>
      </c>
      <c r="D3360" t="s">
        <v>218</v>
      </c>
      <c r="E3360" s="97">
        <v>-8.2100000000000006E-2</v>
      </c>
    </row>
    <row r="3361" spans="1:5" ht="15">
      <c r="A3361" s="98">
        <v>1641</v>
      </c>
      <c r="B3361">
        <v>13.85</v>
      </c>
      <c r="C3361">
        <v>12.89</v>
      </c>
      <c r="D3361" t="s">
        <v>218</v>
      </c>
      <c r="E3361" s="97">
        <v>-1.04E-2</v>
      </c>
    </row>
    <row r="3362" spans="1:5" ht="15">
      <c r="A3362" s="98">
        <v>1640</v>
      </c>
      <c r="B3362">
        <v>13.47</v>
      </c>
      <c r="C3362">
        <v>12.63</v>
      </c>
      <c r="D3362" t="s">
        <v>218</v>
      </c>
      <c r="E3362" s="97">
        <v>6.7100000000000007E-2</v>
      </c>
    </row>
    <row r="3363" spans="1:5" ht="15">
      <c r="A3363" s="98">
        <v>1639</v>
      </c>
      <c r="B3363">
        <v>14.43</v>
      </c>
      <c r="C3363">
        <v>13.01</v>
      </c>
      <c r="D3363" t="s">
        <v>218</v>
      </c>
      <c r="E3363" s="97">
        <v>1.4800000000000001E-2</v>
      </c>
    </row>
    <row r="3364" spans="1:5" ht="15">
      <c r="A3364" s="98">
        <v>1638</v>
      </c>
      <c r="B3364">
        <v>14.3</v>
      </c>
      <c r="C3364">
        <v>13.27</v>
      </c>
      <c r="D3364" t="s">
        <v>218</v>
      </c>
      <c r="E3364" s="97">
        <v>-8.0999999999999996E-3</v>
      </c>
    </row>
    <row r="3365" spans="1:5" ht="15">
      <c r="A3365" s="98">
        <v>1637</v>
      </c>
      <c r="B3365">
        <v>14.18</v>
      </c>
      <c r="C3365">
        <v>13.47</v>
      </c>
      <c r="D3365" t="s">
        <v>218</v>
      </c>
      <c r="E3365" s="97">
        <v>-2.9100000000000001E-2</v>
      </c>
    </row>
    <row r="3366" spans="1:5" ht="15">
      <c r="A3366" s="98">
        <v>1636</v>
      </c>
      <c r="B3366">
        <v>13.82</v>
      </c>
      <c r="C3366">
        <v>13.25</v>
      </c>
      <c r="D3366" t="s">
        <v>218</v>
      </c>
      <c r="E3366" s="97">
        <v>-6.93E-2</v>
      </c>
    </row>
    <row r="3367" spans="1:5" ht="15">
      <c r="A3367" s="98">
        <v>1635</v>
      </c>
      <c r="B3367">
        <v>13.22</v>
      </c>
      <c r="C3367">
        <v>12.69</v>
      </c>
      <c r="D3367" t="s">
        <v>218</v>
      </c>
      <c r="E3367" s="97">
        <v>-2.9000000000000001E-2</v>
      </c>
    </row>
    <row r="3368" spans="1:5" ht="15">
      <c r="A3368" s="98">
        <v>1634</v>
      </c>
      <c r="B3368">
        <v>13.3</v>
      </c>
      <c r="C3368">
        <v>12.7</v>
      </c>
      <c r="D3368" t="s">
        <v>218</v>
      </c>
      <c r="E3368" s="97">
        <v>4.8999999999999998E-3</v>
      </c>
    </row>
    <row r="3369" spans="1:5" ht="15">
      <c r="A3369" s="98">
        <v>1633</v>
      </c>
      <c r="B3369">
        <v>13.38</v>
      </c>
      <c r="C3369">
        <v>12.08</v>
      </c>
      <c r="D3369" t="s">
        <v>218</v>
      </c>
      <c r="E3369" s="97">
        <v>1.55E-2</v>
      </c>
    </row>
    <row r="3370" spans="1:5" ht="15">
      <c r="A3370" s="98">
        <v>1632</v>
      </c>
      <c r="B3370">
        <v>13.28</v>
      </c>
      <c r="C3370">
        <v>12.55</v>
      </c>
      <c r="D3370" t="s">
        <v>218</v>
      </c>
      <c r="E3370" s="97">
        <v>6.7400000000000002E-2</v>
      </c>
    </row>
    <row r="3371" spans="1:5" ht="15">
      <c r="A3371" s="98">
        <v>1631</v>
      </c>
      <c r="B3371">
        <v>14.36</v>
      </c>
      <c r="C3371">
        <v>12.92</v>
      </c>
      <c r="D3371" t="s">
        <v>218</v>
      </c>
      <c r="E3371" s="97">
        <v>-1.29E-2</v>
      </c>
    </row>
    <row r="3372" spans="1:5" ht="15">
      <c r="A3372" s="98">
        <v>1630</v>
      </c>
      <c r="B3372">
        <v>13.87</v>
      </c>
      <c r="C3372">
        <v>13.23</v>
      </c>
      <c r="D3372" t="s">
        <v>218</v>
      </c>
      <c r="E3372" s="97">
        <v>1.21E-2</v>
      </c>
    </row>
    <row r="3373" spans="1:5" ht="15">
      <c r="A3373" s="98">
        <v>1629</v>
      </c>
      <c r="B3373">
        <v>13.95</v>
      </c>
      <c r="C3373">
        <v>13.31</v>
      </c>
      <c r="D3373" t="s">
        <v>218</v>
      </c>
      <c r="E3373" s="97">
        <v>6.3E-3</v>
      </c>
    </row>
    <row r="3374" spans="1:5" ht="15">
      <c r="A3374" s="98">
        <v>1628</v>
      </c>
      <c r="B3374">
        <v>14.29</v>
      </c>
      <c r="C3374">
        <v>12.82</v>
      </c>
      <c r="D3374" t="s">
        <v>218</v>
      </c>
      <c r="E3374" s="97">
        <v>-8.6999999999999994E-3</v>
      </c>
    </row>
    <row r="3375" spans="1:5" ht="15">
      <c r="A3375" s="98">
        <v>1627</v>
      </c>
      <c r="B3375">
        <v>13.18</v>
      </c>
      <c r="C3375">
        <v>12.62</v>
      </c>
      <c r="D3375" t="s">
        <v>218</v>
      </c>
      <c r="E3375" s="97">
        <v>-3.7199999999999997E-2</v>
      </c>
    </row>
    <row r="3376" spans="1:5" ht="15">
      <c r="A3376" s="98">
        <v>1626</v>
      </c>
      <c r="B3376">
        <v>13.01</v>
      </c>
      <c r="C3376">
        <v>12.43</v>
      </c>
      <c r="D3376" t="s">
        <v>218</v>
      </c>
      <c r="E3376" s="97">
        <v>-8.8000000000000005E-3</v>
      </c>
    </row>
    <row r="3377" spans="1:5" ht="15">
      <c r="A3377" s="98">
        <v>1625</v>
      </c>
      <c r="B3377">
        <v>13.54</v>
      </c>
      <c r="C3377">
        <v>13.21</v>
      </c>
      <c r="D3377" t="s">
        <v>218</v>
      </c>
      <c r="E3377" s="97">
        <v>-2.9100000000000001E-2</v>
      </c>
    </row>
    <row r="3378" spans="1:5" ht="15">
      <c r="A3378" s="98">
        <v>1624</v>
      </c>
      <c r="B3378">
        <v>14.17</v>
      </c>
      <c r="C3378">
        <v>13.54</v>
      </c>
      <c r="D3378" t="s">
        <v>218</v>
      </c>
      <c r="E3378" s="97">
        <v>8.0999999999999996E-3</v>
      </c>
    </row>
    <row r="3379" spans="1:5" ht="15">
      <c r="A3379" s="98">
        <v>1623</v>
      </c>
      <c r="B3379">
        <v>15.06</v>
      </c>
      <c r="C3379">
        <v>14.06</v>
      </c>
      <c r="D3379" t="s">
        <v>218</v>
      </c>
      <c r="E3379" s="97">
        <v>-2.7699999999999999E-2</v>
      </c>
    </row>
    <row r="3380" spans="1:5" ht="15">
      <c r="A3380" s="98">
        <v>1622</v>
      </c>
      <c r="B3380">
        <v>17.09</v>
      </c>
      <c r="C3380">
        <v>14.89</v>
      </c>
      <c r="D3380" t="s">
        <v>218</v>
      </c>
      <c r="E3380" s="97">
        <v>1.29E-2</v>
      </c>
    </row>
    <row r="3381" spans="1:5" ht="15">
      <c r="A3381" s="98">
        <v>1621</v>
      </c>
      <c r="B3381">
        <v>16.78</v>
      </c>
      <c r="C3381">
        <v>14.73</v>
      </c>
      <c r="D3381" t="s">
        <v>218</v>
      </c>
      <c r="E3381" s="97">
        <v>-2.47E-2</v>
      </c>
    </row>
    <row r="3382" spans="1:5" ht="15">
      <c r="A3382" s="98">
        <v>1620</v>
      </c>
      <c r="B3382">
        <v>15.47</v>
      </c>
      <c r="C3382">
        <v>14.24</v>
      </c>
      <c r="D3382" t="s">
        <v>218</v>
      </c>
      <c r="E3382" s="97">
        <v>1.4999999999999999E-2</v>
      </c>
    </row>
    <row r="3383" spans="1:5" ht="15">
      <c r="A3383" s="98">
        <v>1619</v>
      </c>
      <c r="B3383">
        <v>16.7</v>
      </c>
      <c r="C3383">
        <v>14.77</v>
      </c>
      <c r="D3383" t="s">
        <v>218</v>
      </c>
      <c r="E3383" s="97">
        <v>5.7299999999999997E-2</v>
      </c>
    </row>
    <row r="3384" spans="1:5" ht="15">
      <c r="A3384" s="98">
        <v>1618</v>
      </c>
      <c r="B3384">
        <v>16.100000000000001</v>
      </c>
      <c r="C3384">
        <v>14.67</v>
      </c>
      <c r="D3384" t="s">
        <v>218</v>
      </c>
      <c r="E3384" s="97">
        <v>-3.9399999999999998E-2</v>
      </c>
    </row>
    <row r="3385" spans="1:5" ht="15">
      <c r="A3385" s="98">
        <v>1617</v>
      </c>
      <c r="B3385">
        <v>14.82</v>
      </c>
      <c r="C3385">
        <v>13.59</v>
      </c>
      <c r="D3385" t="s">
        <v>218</v>
      </c>
      <c r="E3385" s="97">
        <v>-5.45E-2</v>
      </c>
    </row>
    <row r="3386" spans="1:5" ht="15">
      <c r="A3386" s="98">
        <v>1616</v>
      </c>
      <c r="B3386">
        <v>13.97</v>
      </c>
      <c r="C3386">
        <v>12.58</v>
      </c>
      <c r="D3386" t="s">
        <v>218</v>
      </c>
      <c r="E3386" s="97">
        <v>1.2999999999999999E-3</v>
      </c>
    </row>
    <row r="3387" spans="1:5" ht="15">
      <c r="A3387" s="98">
        <v>1615</v>
      </c>
      <c r="B3387">
        <v>14.51</v>
      </c>
      <c r="C3387">
        <v>13.35</v>
      </c>
      <c r="D3387" t="s">
        <v>218</v>
      </c>
      <c r="E3387" s="97">
        <v>-3.4700000000000002E-2</v>
      </c>
    </row>
    <row r="3388" spans="1:5" ht="15">
      <c r="A3388" s="98">
        <v>1614</v>
      </c>
      <c r="B3388">
        <v>13.8</v>
      </c>
      <c r="C3388">
        <v>12.79</v>
      </c>
      <c r="D3388" t="s">
        <v>218</v>
      </c>
      <c r="E3388" s="97">
        <v>-4.4999999999999997E-3</v>
      </c>
    </row>
    <row r="3389" spans="1:5" ht="15">
      <c r="A3389" s="98">
        <v>1613</v>
      </c>
      <c r="B3389">
        <v>14.76</v>
      </c>
      <c r="C3389">
        <v>12.75</v>
      </c>
      <c r="D3389" t="s">
        <v>218</v>
      </c>
      <c r="E3389" s="97">
        <v>1.0699999999999999E-2</v>
      </c>
    </row>
    <row r="3390" spans="1:5" ht="15">
      <c r="A3390" s="98">
        <v>1612</v>
      </c>
      <c r="B3390">
        <v>15.56</v>
      </c>
      <c r="C3390">
        <v>14.17</v>
      </c>
      <c r="D3390" t="s">
        <v>218</v>
      </c>
      <c r="E3390" s="97">
        <v>-5.9900000000000002E-2</v>
      </c>
    </row>
    <row r="3391" spans="1:5" ht="15">
      <c r="A3391" s="98">
        <v>1611</v>
      </c>
      <c r="B3391">
        <v>16.579999999999998</v>
      </c>
      <c r="C3391">
        <v>14.31</v>
      </c>
      <c r="D3391" t="s">
        <v>218</v>
      </c>
      <c r="E3391" s="97">
        <v>-5.0000000000000001E-3</v>
      </c>
    </row>
    <row r="3392" spans="1:5" ht="15">
      <c r="A3392" s="98">
        <v>1610</v>
      </c>
      <c r="B3392">
        <v>17.239999999999998</v>
      </c>
      <c r="C3392">
        <v>15.41</v>
      </c>
      <c r="D3392" t="s">
        <v>218</v>
      </c>
      <c r="E3392" s="97">
        <v>2.1999999999999999E-2</v>
      </c>
    </row>
    <row r="3393" spans="1:5" ht="15">
      <c r="A3393" s="98">
        <v>1609</v>
      </c>
      <c r="B3393">
        <v>18.89</v>
      </c>
      <c r="C3393">
        <v>16.21</v>
      </c>
      <c r="D3393" t="s">
        <v>218</v>
      </c>
      <c r="E3393" s="97">
        <v>6.1800000000000001E-2</v>
      </c>
    </row>
    <row r="3394" spans="1:5" ht="15">
      <c r="A3394" s="98">
        <v>1608</v>
      </c>
      <c r="B3394">
        <v>18.98</v>
      </c>
      <c r="C3394">
        <v>15.44</v>
      </c>
      <c r="D3394" t="s">
        <v>218</v>
      </c>
      <c r="E3394" s="97">
        <v>-8.0000000000000004E-4</v>
      </c>
    </row>
    <row r="3395" spans="1:5" ht="15">
      <c r="A3395" s="98">
        <v>1607</v>
      </c>
      <c r="B3395">
        <v>15.71</v>
      </c>
      <c r="C3395">
        <v>14.98</v>
      </c>
      <c r="D3395" t="s">
        <v>218</v>
      </c>
      <c r="E3395" s="97">
        <v>-1.4800000000000001E-2</v>
      </c>
    </row>
    <row r="3396" spans="1:5" ht="15">
      <c r="A3396" s="98">
        <v>1606</v>
      </c>
      <c r="B3396">
        <v>17.13</v>
      </c>
      <c r="C3396">
        <v>14.62</v>
      </c>
      <c r="D3396" t="s">
        <v>218</v>
      </c>
      <c r="E3396" s="97">
        <v>-2.0899999999999998E-2</v>
      </c>
    </row>
    <row r="3397" spans="1:5" ht="15">
      <c r="A3397" s="98">
        <v>1605</v>
      </c>
      <c r="B3397">
        <v>16.48</v>
      </c>
      <c r="C3397">
        <v>15.31</v>
      </c>
      <c r="D3397" t="s">
        <v>218</v>
      </c>
      <c r="E3397" s="97">
        <v>-4.5699999999999998E-2</v>
      </c>
    </row>
    <row r="3398" spans="1:5" ht="15">
      <c r="A3398" s="98">
        <v>1604</v>
      </c>
      <c r="B3398">
        <v>15.3</v>
      </c>
      <c r="C3398">
        <v>14.85</v>
      </c>
      <c r="D3398" t="s">
        <v>218</v>
      </c>
      <c r="E3398" s="97">
        <v>-6.1600000000000002E-2</v>
      </c>
    </row>
    <row r="3399" spans="1:5" ht="15">
      <c r="A3399" s="98">
        <v>1603</v>
      </c>
      <c r="B3399">
        <v>15.95</v>
      </c>
      <c r="C3399">
        <v>15.17</v>
      </c>
      <c r="D3399" t="s">
        <v>218</v>
      </c>
      <c r="E3399" s="97">
        <v>-7.0599999999999996E-2</v>
      </c>
    </row>
    <row r="3400" spans="1:5" ht="15">
      <c r="A3400" s="98">
        <v>1602</v>
      </c>
      <c r="B3400">
        <v>15.59</v>
      </c>
      <c r="C3400">
        <v>14.67</v>
      </c>
      <c r="D3400" t="s">
        <v>218</v>
      </c>
      <c r="E3400" s="97">
        <v>3.2500000000000001E-2</v>
      </c>
    </row>
    <row r="3401" spans="1:5" ht="15">
      <c r="A3401" s="98">
        <v>1601</v>
      </c>
      <c r="B3401">
        <v>15.69</v>
      </c>
      <c r="C3401">
        <v>15.03</v>
      </c>
      <c r="D3401" t="s">
        <v>218</v>
      </c>
      <c r="E3401" s="97">
        <v>2.5899999999999999E-2</v>
      </c>
    </row>
    <row r="3402" spans="1:5" ht="15">
      <c r="A3402" s="98">
        <v>1600</v>
      </c>
      <c r="B3402">
        <v>17.68</v>
      </c>
      <c r="C3402">
        <v>15.83</v>
      </c>
      <c r="D3402" t="s">
        <v>218</v>
      </c>
      <c r="E3402" s="97">
        <v>2.4299999999999999E-2</v>
      </c>
    </row>
    <row r="3403" spans="1:5" ht="15">
      <c r="A3403" s="98">
        <v>1599</v>
      </c>
      <c r="B3403">
        <v>17.91</v>
      </c>
      <c r="C3403">
        <v>16.64</v>
      </c>
      <c r="D3403" t="s">
        <v>218</v>
      </c>
      <c r="E3403" s="97">
        <v>-0.1053</v>
      </c>
    </row>
    <row r="3404" spans="1:5" ht="15">
      <c r="A3404" s="98">
        <v>1598</v>
      </c>
      <c r="B3404">
        <v>16.39</v>
      </c>
      <c r="C3404">
        <v>14.93</v>
      </c>
      <c r="D3404" t="s">
        <v>218</v>
      </c>
      <c r="E3404" s="97">
        <v>-2.7199999999999998E-2</v>
      </c>
    </row>
    <row r="3405" spans="1:5" ht="15">
      <c r="A3405" s="98">
        <v>1597</v>
      </c>
      <c r="B3405">
        <v>15.51</v>
      </c>
      <c r="C3405">
        <v>14.79</v>
      </c>
      <c r="D3405" t="s">
        <v>218</v>
      </c>
      <c r="E3405" s="97">
        <v>0.10979999999999999</v>
      </c>
    </row>
    <row r="3406" spans="1:5" ht="15">
      <c r="A3406" s="98">
        <v>1596</v>
      </c>
      <c r="B3406">
        <v>15.83</v>
      </c>
      <c r="C3406">
        <v>15.27</v>
      </c>
      <c r="D3406" t="s">
        <v>218</v>
      </c>
      <c r="E3406" s="97">
        <v>0.1012</v>
      </c>
    </row>
    <row r="3407" spans="1:5" ht="15">
      <c r="A3407" s="98">
        <v>1595</v>
      </c>
      <c r="B3407">
        <v>15.78</v>
      </c>
      <c r="C3407">
        <v>15.31</v>
      </c>
      <c r="D3407" t="s">
        <v>218</v>
      </c>
      <c r="E3407" s="97">
        <v>-1.2200000000000001E-2</v>
      </c>
    </row>
    <row r="3408" spans="1:5" ht="15">
      <c r="A3408" s="98">
        <v>1594</v>
      </c>
      <c r="B3408">
        <v>17.059999999999999</v>
      </c>
      <c r="C3408">
        <v>15.95</v>
      </c>
      <c r="D3408" t="s">
        <v>218</v>
      </c>
      <c r="E3408" s="97">
        <v>4.0000000000000002E-4</v>
      </c>
    </row>
    <row r="3409" spans="1:5" ht="15">
      <c r="A3409" s="98">
        <v>1593</v>
      </c>
      <c r="B3409">
        <v>15.62</v>
      </c>
      <c r="C3409">
        <v>15.06</v>
      </c>
      <c r="D3409" t="s">
        <v>218</v>
      </c>
      <c r="E3409" s="97">
        <v>-2.8899999999999999E-2</v>
      </c>
    </row>
    <row r="3410" spans="1:5" ht="15">
      <c r="A3410" s="98">
        <v>1592</v>
      </c>
      <c r="B3410">
        <v>18.53</v>
      </c>
      <c r="C3410">
        <v>15.36</v>
      </c>
      <c r="D3410" t="s">
        <v>218</v>
      </c>
      <c r="E3410" s="97">
        <v>6.8500000000000005E-2</v>
      </c>
    </row>
    <row r="3411" spans="1:5" ht="15">
      <c r="A3411" s="98">
        <v>1591</v>
      </c>
      <c r="B3411">
        <v>17.09</v>
      </c>
      <c r="C3411">
        <v>16.39</v>
      </c>
      <c r="D3411" t="s">
        <v>218</v>
      </c>
      <c r="E3411" s="97">
        <v>-7.7799999999999994E-2</v>
      </c>
    </row>
    <row r="3412" spans="1:5" ht="15">
      <c r="A3412" s="98">
        <v>1590</v>
      </c>
      <c r="B3412">
        <v>19.09</v>
      </c>
      <c r="C3412">
        <v>17.48</v>
      </c>
      <c r="D3412" t="s">
        <v>218</v>
      </c>
      <c r="E3412" s="97">
        <v>5.8799999999999998E-2</v>
      </c>
    </row>
    <row r="3413" spans="1:5" ht="15">
      <c r="A3413" s="98">
        <v>1589</v>
      </c>
      <c r="B3413">
        <v>19.46</v>
      </c>
      <c r="C3413">
        <v>17.38</v>
      </c>
      <c r="D3413" t="s">
        <v>218</v>
      </c>
      <c r="E3413" s="97">
        <v>-4.3299999999999998E-2</v>
      </c>
    </row>
    <row r="3414" spans="1:5" ht="15">
      <c r="A3414" s="98">
        <v>1588</v>
      </c>
      <c r="B3414">
        <v>23.36</v>
      </c>
      <c r="C3414">
        <v>19.3</v>
      </c>
      <c r="D3414" t="s">
        <v>218</v>
      </c>
      <c r="E3414" s="97">
        <v>3.4500000000000003E-2</v>
      </c>
    </row>
    <row r="3415" spans="1:5" ht="15">
      <c r="A3415" s="98">
        <v>1587</v>
      </c>
      <c r="B3415">
        <v>24.17</v>
      </c>
      <c r="C3415">
        <v>19.600000000000001</v>
      </c>
      <c r="D3415" t="s">
        <v>218</v>
      </c>
      <c r="E3415" s="97">
        <v>-9.7799999999999998E-2</v>
      </c>
    </row>
    <row r="3416" spans="1:5" ht="15">
      <c r="A3416" s="98">
        <v>1586</v>
      </c>
      <c r="B3416">
        <v>23.64</v>
      </c>
      <c r="C3416">
        <v>20.86</v>
      </c>
      <c r="D3416" t="s">
        <v>218</v>
      </c>
      <c r="E3416" s="97">
        <v>-0.1356</v>
      </c>
    </row>
    <row r="3417" spans="1:5" ht="15">
      <c r="A3417" s="98">
        <v>1585</v>
      </c>
      <c r="B3417">
        <v>23.93</v>
      </c>
      <c r="C3417">
        <v>19.68</v>
      </c>
      <c r="D3417" t="s">
        <v>218</v>
      </c>
      <c r="E3417" s="97">
        <v>0.1391</v>
      </c>
    </row>
    <row r="3418" spans="1:5" ht="15">
      <c r="A3418" s="98">
        <v>1584</v>
      </c>
      <c r="B3418">
        <v>26.22</v>
      </c>
      <c r="C3418">
        <v>23.26</v>
      </c>
      <c r="D3418" t="s">
        <v>218</v>
      </c>
      <c r="E3418" s="97">
        <v>1.4500000000000001E-2</v>
      </c>
    </row>
    <row r="3419" spans="1:5" ht="15">
      <c r="A3419" s="98">
        <v>1583</v>
      </c>
      <c r="B3419">
        <v>23</v>
      </c>
      <c r="C3419">
        <v>21.2</v>
      </c>
      <c r="D3419" t="s">
        <v>218</v>
      </c>
      <c r="E3419" s="97">
        <v>6.3500000000000001E-2</v>
      </c>
    </row>
    <row r="3420" spans="1:5" ht="15">
      <c r="A3420" s="98">
        <v>1582</v>
      </c>
      <c r="B3420">
        <v>25.55</v>
      </c>
      <c r="C3420">
        <v>21.09</v>
      </c>
      <c r="D3420" t="s">
        <v>218</v>
      </c>
      <c r="E3420" s="97">
        <v>4.8500000000000001E-2</v>
      </c>
    </row>
    <row r="3421" spans="1:5" ht="15">
      <c r="A3421" s="98">
        <v>1581</v>
      </c>
      <c r="B3421">
        <v>26.47</v>
      </c>
      <c r="C3421">
        <v>22.44</v>
      </c>
      <c r="D3421" t="s">
        <v>218</v>
      </c>
      <c r="E3421" s="97">
        <v>6.5600000000000006E-2</v>
      </c>
    </row>
    <row r="3422" spans="1:5" ht="15">
      <c r="A3422" s="98">
        <v>1580</v>
      </c>
      <c r="B3422">
        <v>23.74</v>
      </c>
      <c r="C3422">
        <v>20.79</v>
      </c>
      <c r="D3422" t="s">
        <v>218</v>
      </c>
      <c r="E3422" s="97">
        <v>-0.1017</v>
      </c>
    </row>
    <row r="3423" spans="1:5" ht="15">
      <c r="A3423" s="98">
        <v>1579</v>
      </c>
      <c r="B3423">
        <v>22.95</v>
      </c>
      <c r="C3423">
        <v>19.329999999999998</v>
      </c>
      <c r="D3423" t="s">
        <v>218</v>
      </c>
      <c r="E3423" s="97">
        <v>-4.4400000000000002E-2</v>
      </c>
    </row>
    <row r="3424" spans="1:5" ht="15">
      <c r="A3424" s="98">
        <v>1578</v>
      </c>
      <c r="B3424">
        <v>26.9</v>
      </c>
      <c r="C3424">
        <v>23.84</v>
      </c>
      <c r="D3424" t="s">
        <v>218</v>
      </c>
      <c r="E3424" s="97">
        <v>4.7600000000000003E-2</v>
      </c>
    </row>
    <row r="3425" spans="1:5" ht="15">
      <c r="A3425" s="98">
        <v>1577</v>
      </c>
      <c r="B3425">
        <v>29.84</v>
      </c>
      <c r="C3425">
        <v>26.91</v>
      </c>
      <c r="D3425" t="s">
        <v>218</v>
      </c>
      <c r="E3425" s="97">
        <v>0.12859999999999999</v>
      </c>
    </row>
    <row r="3426" spans="1:5" ht="15">
      <c r="A3426" s="98">
        <v>1576</v>
      </c>
      <c r="B3426">
        <v>28.02</v>
      </c>
      <c r="C3426">
        <v>25.48</v>
      </c>
      <c r="D3426" t="s">
        <v>218</v>
      </c>
      <c r="E3426" s="97">
        <v>-3.3E-3</v>
      </c>
    </row>
    <row r="3427" spans="1:5" ht="15">
      <c r="A3427" s="98">
        <v>1575</v>
      </c>
      <c r="B3427">
        <v>28.29</v>
      </c>
      <c r="C3427">
        <v>25.31</v>
      </c>
      <c r="D3427" t="s">
        <v>218</v>
      </c>
      <c r="E3427" s="97">
        <v>-5.3400000000000003E-2</v>
      </c>
    </row>
    <row r="3428" spans="1:5" ht="15">
      <c r="A3428" s="98">
        <v>1574</v>
      </c>
      <c r="B3428">
        <v>31.76</v>
      </c>
      <c r="C3428">
        <v>26.16</v>
      </c>
      <c r="D3428" t="s">
        <v>218</v>
      </c>
      <c r="E3428" s="97">
        <v>5.6800000000000003E-2</v>
      </c>
    </row>
    <row r="3429" spans="1:5" ht="15">
      <c r="A3429" s="98">
        <v>1573</v>
      </c>
      <c r="B3429">
        <v>37.5</v>
      </c>
      <c r="C3429">
        <v>30.44</v>
      </c>
      <c r="D3429" t="s">
        <v>218</v>
      </c>
      <c r="E3429" s="97">
        <v>-3.0599999999999999E-2</v>
      </c>
    </row>
    <row r="3430" spans="1:5" ht="15">
      <c r="A3430" s="98">
        <v>1572</v>
      </c>
      <c r="B3430">
        <v>31.46</v>
      </c>
      <c r="C3430">
        <v>25.23</v>
      </c>
      <c r="D3430" t="s">
        <v>218</v>
      </c>
      <c r="E3430" s="97">
        <v>1.35E-2</v>
      </c>
    </row>
    <row r="3431" spans="1:5" ht="15">
      <c r="A3431" s="98">
        <v>1571</v>
      </c>
      <c r="B3431">
        <v>29.95</v>
      </c>
      <c r="C3431">
        <v>25.8</v>
      </c>
      <c r="D3431" t="s">
        <v>218</v>
      </c>
      <c r="E3431" s="97">
        <v>5.2299999999999999E-2</v>
      </c>
    </row>
    <row r="3432" spans="1:5" ht="15">
      <c r="A3432" s="98">
        <v>1570</v>
      </c>
      <c r="B3432">
        <v>26.72</v>
      </c>
      <c r="C3432">
        <v>24.77</v>
      </c>
      <c r="D3432" t="s">
        <v>218</v>
      </c>
      <c r="E3432" s="97">
        <v>4.7199999999999999E-2</v>
      </c>
    </row>
    <row r="3433" spans="1:5" ht="15">
      <c r="A3433" s="98">
        <v>1569</v>
      </c>
      <c r="B3433">
        <v>24.44</v>
      </c>
      <c r="C3433">
        <v>22.87</v>
      </c>
      <c r="D3433" t="s">
        <v>218</v>
      </c>
      <c r="E3433" s="97">
        <v>3.5799999999999998E-2</v>
      </c>
    </row>
    <row r="3434" spans="1:5" ht="15">
      <c r="A3434" s="98">
        <v>1568</v>
      </c>
      <c r="B3434">
        <v>23.61</v>
      </c>
      <c r="C3434">
        <v>22.05</v>
      </c>
      <c r="D3434" t="s">
        <v>218</v>
      </c>
      <c r="E3434" s="97">
        <v>-9.7000000000000003E-3</v>
      </c>
    </row>
    <row r="3435" spans="1:5" ht="15">
      <c r="A3435" s="98">
        <v>1567</v>
      </c>
      <c r="B3435">
        <v>23.03</v>
      </c>
      <c r="C3435">
        <v>20.440000000000001</v>
      </c>
      <c r="D3435" t="s">
        <v>218</v>
      </c>
      <c r="E3435" s="97">
        <v>-5.4899999999999997E-2</v>
      </c>
    </row>
    <row r="3436" spans="1:5" ht="15">
      <c r="A3436" s="98">
        <v>1566</v>
      </c>
      <c r="B3436">
        <v>22.83</v>
      </c>
      <c r="C3436">
        <v>21.96</v>
      </c>
      <c r="D3436" t="s">
        <v>218</v>
      </c>
      <c r="E3436" s="97">
        <v>2.64E-2</v>
      </c>
    </row>
    <row r="3437" spans="1:5" ht="15">
      <c r="A3437" s="98">
        <v>1565</v>
      </c>
      <c r="B3437">
        <v>26.57</v>
      </c>
      <c r="C3437">
        <v>23.72</v>
      </c>
      <c r="D3437" t="s">
        <v>218</v>
      </c>
      <c r="E3437" s="97">
        <v>7.6999999999999999E-2</v>
      </c>
    </row>
    <row r="3438" spans="1:5" ht="15">
      <c r="A3438" s="98">
        <v>1564</v>
      </c>
      <c r="B3438">
        <v>26.02</v>
      </c>
      <c r="C3438">
        <v>23.44</v>
      </c>
      <c r="D3438" t="s">
        <v>218</v>
      </c>
      <c r="E3438" s="97">
        <v>-7.0300000000000001E-2</v>
      </c>
    </row>
    <row r="3439" spans="1:5" ht="15">
      <c r="A3439" s="98">
        <v>1563</v>
      </c>
      <c r="B3439">
        <v>25.58</v>
      </c>
      <c r="C3439">
        <v>23.69</v>
      </c>
      <c r="D3439" t="s">
        <v>218</v>
      </c>
      <c r="E3439" s="97">
        <v>-8.48E-2</v>
      </c>
    </row>
    <row r="3440" spans="1:5" ht="15">
      <c r="A3440" s="98">
        <v>1562</v>
      </c>
      <c r="B3440">
        <v>24.07</v>
      </c>
      <c r="C3440">
        <v>22.47</v>
      </c>
      <c r="D3440" t="s">
        <v>218</v>
      </c>
      <c r="E3440" s="97">
        <v>6.83E-2</v>
      </c>
    </row>
    <row r="3441" spans="1:5" ht="15">
      <c r="A3441" s="98">
        <v>1561</v>
      </c>
      <c r="B3441">
        <v>24.81</v>
      </c>
      <c r="C3441">
        <v>21.71</v>
      </c>
      <c r="D3441" t="s">
        <v>218</v>
      </c>
      <c r="E3441" s="97">
        <v>7.5800000000000006E-2</v>
      </c>
    </row>
    <row r="3442" spans="1:5" ht="15">
      <c r="A3442" s="98">
        <v>1560</v>
      </c>
      <c r="B3442">
        <v>25.45</v>
      </c>
      <c r="C3442">
        <v>23.8</v>
      </c>
      <c r="D3442" t="s">
        <v>218</v>
      </c>
      <c r="E3442" s="97">
        <v>-4.3700000000000003E-2</v>
      </c>
    </row>
    <row r="3443" spans="1:5" ht="15">
      <c r="A3443" s="98">
        <v>1559</v>
      </c>
      <c r="B3443">
        <v>25.14</v>
      </c>
      <c r="C3443">
        <v>23.66</v>
      </c>
      <c r="D3443" t="s">
        <v>218</v>
      </c>
      <c r="E3443" s="97">
        <v>-6.7599999999999993E-2</v>
      </c>
    </row>
    <row r="3444" spans="1:5" ht="15">
      <c r="A3444" s="98">
        <v>1558</v>
      </c>
      <c r="B3444">
        <v>26.97</v>
      </c>
      <c r="C3444">
        <v>25.6</v>
      </c>
      <c r="D3444" t="s">
        <v>218</v>
      </c>
      <c r="E3444" s="97">
        <v>-2.0199999999999999E-2</v>
      </c>
    </row>
    <row r="3445" spans="1:5" ht="15">
      <c r="A3445" s="98">
        <v>1557</v>
      </c>
      <c r="B3445">
        <v>28.82</v>
      </c>
      <c r="C3445">
        <v>26.56</v>
      </c>
      <c r="D3445" t="s">
        <v>218</v>
      </c>
      <c r="E3445" s="97">
        <v>0.13070000000000001</v>
      </c>
    </row>
    <row r="3446" spans="1:5" ht="15">
      <c r="A3446" s="98">
        <v>1556</v>
      </c>
      <c r="B3446">
        <v>27.21</v>
      </c>
      <c r="C3446">
        <v>25.19</v>
      </c>
      <c r="D3446" t="s">
        <v>218</v>
      </c>
      <c r="E3446" s="97">
        <v>0.1192</v>
      </c>
    </row>
    <row r="3447" spans="1:5" ht="15">
      <c r="A3447" s="98">
        <v>1555</v>
      </c>
      <c r="B3447">
        <v>26.21</v>
      </c>
      <c r="C3447">
        <v>24.57</v>
      </c>
      <c r="D3447" t="s">
        <v>218</v>
      </c>
      <c r="E3447" s="97">
        <v>-8.7800000000000003E-2</v>
      </c>
    </row>
    <row r="3448" spans="1:5" ht="15">
      <c r="A3448" s="98">
        <v>1554</v>
      </c>
      <c r="B3448">
        <v>25.32</v>
      </c>
      <c r="C3448">
        <v>23.83</v>
      </c>
      <c r="D3448" t="s">
        <v>218</v>
      </c>
      <c r="E3448" s="97">
        <v>-2.6800000000000001E-2</v>
      </c>
    </row>
    <row r="3449" spans="1:5" ht="15">
      <c r="A3449" s="98">
        <v>1553</v>
      </c>
      <c r="B3449">
        <v>26.48</v>
      </c>
      <c r="C3449">
        <v>24.68</v>
      </c>
      <c r="D3449" t="s">
        <v>218</v>
      </c>
      <c r="E3449" s="97">
        <v>-7.3999999999999996E-2</v>
      </c>
    </row>
    <row r="3450" spans="1:5" ht="15">
      <c r="A3450" s="98">
        <v>1552</v>
      </c>
      <c r="B3450">
        <v>27.08</v>
      </c>
      <c r="C3450">
        <v>25.8</v>
      </c>
      <c r="D3450" t="s">
        <v>218</v>
      </c>
      <c r="E3450" s="97">
        <v>-5.3100000000000001E-2</v>
      </c>
    </row>
    <row r="3451" spans="1:5" ht="15">
      <c r="A3451" s="98">
        <v>1551</v>
      </c>
      <c r="B3451">
        <v>26.23</v>
      </c>
      <c r="C3451">
        <v>20.27</v>
      </c>
      <c r="D3451" t="s">
        <v>218</v>
      </c>
      <c r="E3451" s="97">
        <v>-2.06E-2</v>
      </c>
    </row>
    <row r="3452" spans="1:5" ht="15">
      <c r="A3452" s="98">
        <v>1550</v>
      </c>
      <c r="B3452">
        <v>20.57</v>
      </c>
      <c r="C3452">
        <v>19.170000000000002</v>
      </c>
      <c r="D3452" t="s">
        <v>218</v>
      </c>
      <c r="E3452" s="97">
        <v>3.3599999999999998E-2</v>
      </c>
    </row>
    <row r="3453" spans="1:5" ht="15">
      <c r="A3453" s="98">
        <v>1549</v>
      </c>
      <c r="B3453">
        <v>20.82</v>
      </c>
      <c r="C3453">
        <v>19.55</v>
      </c>
      <c r="D3453" t="s">
        <v>218</v>
      </c>
      <c r="E3453" s="97">
        <v>2.0500000000000001E-2</v>
      </c>
    </row>
    <row r="3454" spans="1:5" ht="15">
      <c r="A3454" s="98">
        <v>1548</v>
      </c>
      <c r="B3454">
        <v>19.809999999999999</v>
      </c>
      <c r="C3454">
        <v>18.37</v>
      </c>
      <c r="D3454" t="s">
        <v>218</v>
      </c>
      <c r="E3454" s="97">
        <v>-7.6200000000000004E-2</v>
      </c>
    </row>
    <row r="3455" spans="1:5" ht="15">
      <c r="A3455" s="98">
        <v>1547</v>
      </c>
      <c r="B3455">
        <v>19.62</v>
      </c>
      <c r="C3455">
        <v>18.32</v>
      </c>
      <c r="D3455" t="s">
        <v>218</v>
      </c>
      <c r="E3455" s="97">
        <v>-5.4000000000000003E-3</v>
      </c>
    </row>
    <row r="3456" spans="1:5" ht="15">
      <c r="A3456" s="98">
        <v>1546</v>
      </c>
      <c r="B3456">
        <v>20.46</v>
      </c>
      <c r="C3456">
        <v>18.440000000000001</v>
      </c>
      <c r="D3456" t="s">
        <v>218</v>
      </c>
      <c r="E3456" s="97">
        <v>0.1221</v>
      </c>
    </row>
    <row r="3457" spans="1:5" ht="15">
      <c r="A3457" s="98">
        <v>1545</v>
      </c>
      <c r="B3457">
        <v>18.18</v>
      </c>
      <c r="C3457">
        <v>17.3</v>
      </c>
      <c r="D3457" t="s">
        <v>218</v>
      </c>
      <c r="E3457" s="97">
        <v>-1.4500000000000001E-2</v>
      </c>
    </row>
    <row r="3458" spans="1:5" ht="15">
      <c r="A3458" s="98">
        <v>1544</v>
      </c>
      <c r="B3458">
        <v>17.47</v>
      </c>
      <c r="C3458">
        <v>16.95</v>
      </c>
      <c r="D3458" t="s">
        <v>218</v>
      </c>
      <c r="E3458" s="97">
        <v>2.5700000000000001E-2</v>
      </c>
    </row>
    <row r="3459" spans="1:5" ht="15">
      <c r="A3459" s="98">
        <v>1543</v>
      </c>
      <c r="B3459">
        <v>18.22</v>
      </c>
      <c r="C3459">
        <v>16.91</v>
      </c>
      <c r="D3459" t="s">
        <v>218</v>
      </c>
      <c r="E3459" s="97">
        <v>-5.9900000000000002E-2</v>
      </c>
    </row>
    <row r="3460" spans="1:5" ht="15">
      <c r="A3460" s="98">
        <v>1542</v>
      </c>
      <c r="B3460">
        <v>18.440000000000001</v>
      </c>
      <c r="C3460">
        <v>17.11</v>
      </c>
      <c r="D3460" t="s">
        <v>218</v>
      </c>
      <c r="E3460" s="97">
        <v>-1.6000000000000001E-3</v>
      </c>
    </row>
    <row r="3461" spans="1:5" ht="15">
      <c r="A3461" s="98">
        <v>1541</v>
      </c>
      <c r="B3461">
        <v>18.89</v>
      </c>
      <c r="C3461">
        <v>17.600000000000001</v>
      </c>
      <c r="D3461" t="s">
        <v>218</v>
      </c>
      <c r="E3461" s="97">
        <v>5.8500000000000003E-2</v>
      </c>
    </row>
    <row r="3462" spans="1:5" ht="15">
      <c r="A3462" s="98">
        <v>1540</v>
      </c>
      <c r="B3462">
        <v>18.989999999999998</v>
      </c>
      <c r="C3462">
        <v>18.309999999999999</v>
      </c>
      <c r="D3462" t="s">
        <v>218</v>
      </c>
      <c r="E3462" s="97">
        <v>7.4000000000000003E-3</v>
      </c>
    </row>
    <row r="3463" spans="1:5" ht="15">
      <c r="A3463" s="98">
        <v>1539</v>
      </c>
      <c r="B3463">
        <v>18.649999999999999</v>
      </c>
      <c r="C3463">
        <v>18.260000000000002</v>
      </c>
      <c r="D3463" t="s">
        <v>218</v>
      </c>
      <c r="E3463" s="97">
        <v>7.7600000000000002E-2</v>
      </c>
    </row>
    <row r="3464" spans="1:5" ht="15">
      <c r="A3464" s="98">
        <v>1538</v>
      </c>
      <c r="B3464">
        <v>17.559999999999999</v>
      </c>
      <c r="C3464">
        <v>16.440000000000001</v>
      </c>
      <c r="D3464" t="s">
        <v>218</v>
      </c>
      <c r="E3464" s="97">
        <v>-6.7599999999999993E-2</v>
      </c>
    </row>
    <row r="3465" spans="1:5" ht="15">
      <c r="A3465" s="98">
        <v>1537</v>
      </c>
      <c r="B3465">
        <v>17.829999999999998</v>
      </c>
      <c r="C3465">
        <v>17.32</v>
      </c>
      <c r="D3465" t="s">
        <v>218</v>
      </c>
      <c r="E3465" s="97">
        <v>5.8000000000000003E-2</v>
      </c>
    </row>
    <row r="3466" spans="1:5" ht="15">
      <c r="A3466" s="98">
        <v>1536</v>
      </c>
      <c r="B3466">
        <v>17.28</v>
      </c>
      <c r="C3466">
        <v>16.09</v>
      </c>
      <c r="D3466" t="s">
        <v>218</v>
      </c>
      <c r="E3466" s="97">
        <v>-2.1399999999999999E-2</v>
      </c>
    </row>
    <row r="3467" spans="1:5" ht="15">
      <c r="A3467" s="98">
        <v>1535</v>
      </c>
      <c r="B3467">
        <v>17.350000000000001</v>
      </c>
      <c r="C3467">
        <v>16.39</v>
      </c>
      <c r="D3467" t="s">
        <v>218</v>
      </c>
      <c r="E3467" s="97">
        <v>-4.8000000000000001E-2</v>
      </c>
    </row>
    <row r="3468" spans="1:5" ht="15">
      <c r="A3468" s="98">
        <v>1534</v>
      </c>
      <c r="B3468">
        <v>19.73</v>
      </c>
      <c r="C3468">
        <v>16.079999999999998</v>
      </c>
      <c r="D3468" t="s">
        <v>218</v>
      </c>
      <c r="E3468" s="97">
        <v>-1.41E-2</v>
      </c>
    </row>
    <row r="3469" spans="1:5" ht="15">
      <c r="A3469" s="98">
        <v>1533</v>
      </c>
      <c r="B3469">
        <v>18.739999999999998</v>
      </c>
      <c r="C3469">
        <v>17.489999999999998</v>
      </c>
      <c r="D3469" t="s">
        <v>218</v>
      </c>
      <c r="E3469" s="97">
        <v>-6.0100000000000001E-2</v>
      </c>
    </row>
    <row r="3470" spans="1:5" ht="15">
      <c r="A3470" s="98">
        <v>1532</v>
      </c>
      <c r="B3470">
        <v>20.010000000000002</v>
      </c>
      <c r="C3470">
        <v>17.95</v>
      </c>
      <c r="D3470" t="s">
        <v>218</v>
      </c>
      <c r="E3470" s="97">
        <v>-4.5499999999999999E-2</v>
      </c>
    </row>
    <row r="3471" spans="1:5" ht="15">
      <c r="A3471" s="98">
        <v>1531</v>
      </c>
      <c r="B3471">
        <v>20.75</v>
      </c>
      <c r="C3471">
        <v>19.73</v>
      </c>
      <c r="D3471" t="s">
        <v>218</v>
      </c>
      <c r="E3471" s="97">
        <v>0.1105</v>
      </c>
    </row>
    <row r="3472" spans="1:5" ht="15">
      <c r="A3472" s="98">
        <v>1530</v>
      </c>
      <c r="B3472">
        <v>20.11</v>
      </c>
      <c r="C3472">
        <v>18.28</v>
      </c>
      <c r="D3472" t="s">
        <v>218</v>
      </c>
      <c r="E3472" s="97">
        <v>2.2100000000000002E-2</v>
      </c>
    </row>
    <row r="3473" spans="1:5" ht="15">
      <c r="A3473" s="98">
        <v>1529</v>
      </c>
      <c r="B3473">
        <v>19.559999999999999</v>
      </c>
      <c r="C3473">
        <v>17.73</v>
      </c>
      <c r="D3473" t="s">
        <v>218</v>
      </c>
      <c r="E3473" s="97">
        <v>4.0000000000000002E-4</v>
      </c>
    </row>
    <row r="3474" spans="1:5" ht="15">
      <c r="A3474" s="98">
        <v>1528</v>
      </c>
      <c r="B3474">
        <v>22.96</v>
      </c>
      <c r="C3474">
        <v>19.02</v>
      </c>
      <c r="D3474" t="s">
        <v>218</v>
      </c>
      <c r="E3474" s="97">
        <v>-4.36E-2</v>
      </c>
    </row>
    <row r="3475" spans="1:5" ht="15">
      <c r="A3475" s="98">
        <v>1527</v>
      </c>
      <c r="B3475">
        <v>23.94</v>
      </c>
      <c r="C3475">
        <v>21.38</v>
      </c>
      <c r="D3475" t="s">
        <v>218</v>
      </c>
      <c r="E3475" s="97">
        <v>0.15609999999999999</v>
      </c>
    </row>
    <row r="3476" spans="1:5" ht="15">
      <c r="A3476" s="98">
        <v>1526</v>
      </c>
      <c r="B3476">
        <v>21.43</v>
      </c>
      <c r="C3476">
        <v>20.13</v>
      </c>
      <c r="D3476" t="s">
        <v>218</v>
      </c>
      <c r="E3476" s="97">
        <v>-4.2799999999999998E-2</v>
      </c>
    </row>
    <row r="3477" spans="1:5" ht="15">
      <c r="A3477" s="98">
        <v>1525</v>
      </c>
      <c r="B3477">
        <v>24.15</v>
      </c>
      <c r="C3477">
        <v>20.59</v>
      </c>
      <c r="D3477" t="s">
        <v>218</v>
      </c>
      <c r="E3477" s="97">
        <v>1.4E-3</v>
      </c>
    </row>
    <row r="3478" spans="1:5" ht="15">
      <c r="A3478" s="98">
        <v>1524</v>
      </c>
      <c r="B3478">
        <v>22.4</v>
      </c>
      <c r="C3478">
        <v>20.04</v>
      </c>
      <c r="D3478" t="s">
        <v>218</v>
      </c>
      <c r="E3478" s="97">
        <v>1.0200000000000001E-2</v>
      </c>
    </row>
    <row r="3479" spans="1:5" ht="15">
      <c r="A3479" s="98">
        <v>1523</v>
      </c>
      <c r="B3479">
        <v>20.97</v>
      </c>
      <c r="C3479">
        <v>19.48</v>
      </c>
      <c r="D3479" t="s">
        <v>218</v>
      </c>
      <c r="E3479" s="97">
        <v>9.3600000000000003E-2</v>
      </c>
    </row>
    <row r="3480" spans="1:5" ht="15">
      <c r="A3480" s="98">
        <v>1522</v>
      </c>
      <c r="B3480">
        <v>20.239999999999998</v>
      </c>
      <c r="C3480">
        <v>19.54</v>
      </c>
      <c r="D3480" t="s">
        <v>218</v>
      </c>
      <c r="E3480" s="97">
        <v>-9.4399999999999998E-2</v>
      </c>
    </row>
    <row r="3481" spans="1:5" ht="15">
      <c r="A3481" s="98">
        <v>1521</v>
      </c>
      <c r="B3481">
        <v>21.15</v>
      </c>
      <c r="C3481">
        <v>20.309999999999999</v>
      </c>
      <c r="D3481" t="s">
        <v>218</v>
      </c>
      <c r="E3481" s="97">
        <v>-4.9500000000000002E-2</v>
      </c>
    </row>
    <row r="3482" spans="1:5" ht="15">
      <c r="A3482" s="98">
        <v>1520</v>
      </c>
      <c r="B3482">
        <v>22.09</v>
      </c>
      <c r="C3482">
        <v>18.3</v>
      </c>
      <c r="D3482" t="s">
        <v>218</v>
      </c>
      <c r="E3482" s="97">
        <v>1.5100000000000001E-2</v>
      </c>
    </row>
    <row r="3483" spans="1:5" ht="15">
      <c r="A3483" s="98">
        <v>1519</v>
      </c>
      <c r="B3483">
        <v>24.15</v>
      </c>
      <c r="C3483">
        <v>17.38</v>
      </c>
      <c r="D3483" t="s">
        <v>218</v>
      </c>
      <c r="E3483" s="97">
        <v>3.6400000000000002E-2</v>
      </c>
    </row>
    <row r="3484" spans="1:5" ht="15">
      <c r="A3484" s="98">
        <v>1518</v>
      </c>
      <c r="B3484">
        <v>25.17</v>
      </c>
      <c r="C3484">
        <v>22.56</v>
      </c>
      <c r="D3484" t="s">
        <v>218</v>
      </c>
      <c r="E3484" s="97">
        <v>-5.0000000000000001E-4</v>
      </c>
    </row>
    <row r="3485" spans="1:5" ht="15">
      <c r="A3485" s="98">
        <v>1517</v>
      </c>
      <c r="B3485">
        <v>25.46</v>
      </c>
      <c r="C3485">
        <v>23.61</v>
      </c>
      <c r="D3485" t="s">
        <v>218</v>
      </c>
      <c r="E3485" s="97">
        <v>-0.15579999999999999</v>
      </c>
    </row>
    <row r="3486" spans="1:5" ht="15">
      <c r="A3486" s="98">
        <v>1516</v>
      </c>
      <c r="B3486">
        <v>23.74</v>
      </c>
      <c r="C3486">
        <v>21.24</v>
      </c>
      <c r="D3486" t="s">
        <v>218</v>
      </c>
      <c r="E3486" s="97">
        <v>-2.5700000000000001E-2</v>
      </c>
    </row>
    <row r="3487" spans="1:5" ht="15">
      <c r="A3487" s="98">
        <v>1515</v>
      </c>
      <c r="B3487">
        <v>26.85</v>
      </c>
      <c r="C3487">
        <v>22.75</v>
      </c>
      <c r="D3487" t="s">
        <v>218</v>
      </c>
      <c r="E3487" s="97">
        <v>-2.2200000000000001E-2</v>
      </c>
    </row>
    <row r="3488" spans="1:5" ht="15">
      <c r="A3488" s="98">
        <v>1514</v>
      </c>
      <c r="B3488">
        <v>29.15</v>
      </c>
      <c r="C3488">
        <v>25.32</v>
      </c>
      <c r="D3488" t="s">
        <v>218</v>
      </c>
      <c r="E3488" s="97">
        <v>0.1157</v>
      </c>
    </row>
    <row r="3489" spans="1:5" ht="15">
      <c r="A3489" s="98">
        <v>1513</v>
      </c>
      <c r="B3489">
        <v>28.84</v>
      </c>
      <c r="C3489">
        <v>26.21</v>
      </c>
      <c r="D3489" t="s">
        <v>218</v>
      </c>
      <c r="E3489" s="97">
        <v>-1.7500000000000002E-2</v>
      </c>
    </row>
    <row r="3490" spans="1:5" ht="15">
      <c r="A3490" s="98">
        <v>1512</v>
      </c>
      <c r="B3490">
        <v>31.09</v>
      </c>
      <c r="C3490">
        <v>24.47</v>
      </c>
      <c r="D3490" t="s">
        <v>218</v>
      </c>
      <c r="E3490" s="97">
        <v>-4.7999999999999996E-3</v>
      </c>
    </row>
    <row r="3491" spans="1:5" ht="15">
      <c r="A3491" s="98">
        <v>1511</v>
      </c>
      <c r="B3491">
        <v>27.5</v>
      </c>
      <c r="C3491">
        <v>23.82</v>
      </c>
      <c r="D3491" t="s">
        <v>218</v>
      </c>
      <c r="E3491" s="97">
        <v>7.2300000000000003E-2</v>
      </c>
    </row>
    <row r="3492" spans="1:5" ht="15">
      <c r="A3492" s="98">
        <v>1510</v>
      </c>
      <c r="B3492">
        <v>27.03</v>
      </c>
      <c r="C3492">
        <v>23.07</v>
      </c>
      <c r="D3492" t="s">
        <v>218</v>
      </c>
      <c r="E3492" s="97">
        <v>5.1999999999999998E-3</v>
      </c>
    </row>
    <row r="3493" spans="1:5" ht="15">
      <c r="A3493" s="98">
        <v>1509</v>
      </c>
      <c r="B3493">
        <v>29.31</v>
      </c>
      <c r="C3493">
        <v>25.98</v>
      </c>
      <c r="D3493" t="s">
        <v>218</v>
      </c>
      <c r="E3493" s="97">
        <v>-4.3E-3</v>
      </c>
    </row>
    <row r="3494" spans="1:5" ht="15">
      <c r="A3494" s="98">
        <v>1508</v>
      </c>
      <c r="B3494">
        <v>28.12</v>
      </c>
      <c r="C3494">
        <v>25.12</v>
      </c>
      <c r="D3494" t="s">
        <v>218</v>
      </c>
      <c r="E3494" s="97">
        <v>9.2299999999999993E-2</v>
      </c>
    </row>
    <row r="3495" spans="1:5" ht="15">
      <c r="A3495" s="98">
        <v>1507</v>
      </c>
      <c r="B3495">
        <v>27.18</v>
      </c>
      <c r="C3495">
        <v>25.74</v>
      </c>
      <c r="D3495" t="s">
        <v>218</v>
      </c>
      <c r="E3495" s="97">
        <v>-5.8400000000000001E-2</v>
      </c>
    </row>
    <row r="3496" spans="1:5" ht="15">
      <c r="A3496" s="98">
        <v>1506</v>
      </c>
      <c r="B3496">
        <v>27.35</v>
      </c>
      <c r="C3496">
        <v>23.62</v>
      </c>
      <c r="D3496" t="s">
        <v>218</v>
      </c>
      <c r="E3496" s="97">
        <v>-1.0200000000000001E-2</v>
      </c>
    </row>
    <row r="3497" spans="1:5" ht="15">
      <c r="A3497" s="98">
        <v>1505</v>
      </c>
      <c r="B3497">
        <v>27.77</v>
      </c>
      <c r="C3497">
        <v>24.55</v>
      </c>
      <c r="D3497" t="s">
        <v>218</v>
      </c>
      <c r="E3497" s="97">
        <v>-4.7100000000000003E-2</v>
      </c>
    </row>
    <row r="3498" spans="1:5" ht="15">
      <c r="A3498" s="98">
        <v>1504</v>
      </c>
      <c r="B3498">
        <v>26.42</v>
      </c>
      <c r="C3498">
        <v>25.35</v>
      </c>
      <c r="D3498" t="s">
        <v>218</v>
      </c>
      <c r="E3498" s="97">
        <v>0.1138</v>
      </c>
    </row>
    <row r="3499" spans="1:5" ht="15">
      <c r="A3499" s="98">
        <v>1503</v>
      </c>
      <c r="B3499">
        <v>28.95</v>
      </c>
      <c r="C3499">
        <v>25.84</v>
      </c>
      <c r="D3499" t="s">
        <v>218</v>
      </c>
      <c r="E3499" s="97">
        <v>-2.5600000000000001E-2</v>
      </c>
    </row>
    <row r="3500" spans="1:5" ht="15">
      <c r="A3500" s="98">
        <v>1502</v>
      </c>
      <c r="B3500">
        <v>28.24</v>
      </c>
      <c r="C3500">
        <v>26.23</v>
      </c>
      <c r="D3500" t="s">
        <v>218</v>
      </c>
      <c r="E3500" s="97">
        <v>-5.4000000000000003E-3</v>
      </c>
    </row>
    <row r="3501" spans="1:5" ht="15">
      <c r="A3501" s="98">
        <v>1501</v>
      </c>
      <c r="B3501">
        <v>25.14</v>
      </c>
      <c r="C3501">
        <v>23.55</v>
      </c>
      <c r="D3501" t="s">
        <v>218</v>
      </c>
      <c r="E3501" s="97">
        <v>-4.4699999999999997E-2</v>
      </c>
    </row>
    <row r="3502" spans="1:5" ht="15">
      <c r="A3502" s="98">
        <v>1500</v>
      </c>
      <c r="B3502">
        <v>24.61</v>
      </c>
      <c r="C3502">
        <v>23.35</v>
      </c>
      <c r="D3502" t="s">
        <v>218</v>
      </c>
      <c r="E3502" s="97">
        <v>6.1699999999999998E-2</v>
      </c>
    </row>
    <row r="3503" spans="1:5" ht="15">
      <c r="A3503" s="98">
        <v>1499</v>
      </c>
      <c r="B3503">
        <v>23.39</v>
      </c>
      <c r="C3503">
        <v>22</v>
      </c>
      <c r="D3503" t="s">
        <v>218</v>
      </c>
      <c r="E3503" s="97">
        <v>1.12E-2</v>
      </c>
    </row>
    <row r="3504" spans="1:5" ht="15">
      <c r="A3504" s="98">
        <v>1498</v>
      </c>
      <c r="B3504">
        <v>24.49</v>
      </c>
      <c r="C3504">
        <v>23.4</v>
      </c>
      <c r="D3504" t="s">
        <v>218</v>
      </c>
      <c r="E3504" s="97">
        <v>1.37E-2</v>
      </c>
    </row>
    <row r="3505" spans="1:5" ht="15">
      <c r="A3505" s="98">
        <v>1497</v>
      </c>
      <c r="B3505">
        <v>24.59</v>
      </c>
      <c r="C3505">
        <v>23.32</v>
      </c>
      <c r="D3505" t="s">
        <v>218</v>
      </c>
      <c r="E3505" s="97">
        <v>-2.8E-3</v>
      </c>
    </row>
    <row r="3506" spans="1:5" ht="15">
      <c r="A3506" s="98">
        <v>1496</v>
      </c>
      <c r="B3506">
        <v>23.03</v>
      </c>
      <c r="C3506">
        <v>21.87</v>
      </c>
      <c r="D3506" t="s">
        <v>218</v>
      </c>
      <c r="E3506" s="97">
        <v>7.6E-3</v>
      </c>
    </row>
    <row r="3507" spans="1:5" ht="15">
      <c r="A3507" s="98">
        <v>1495</v>
      </c>
      <c r="B3507">
        <v>22.75</v>
      </c>
      <c r="C3507">
        <v>20.87</v>
      </c>
      <c r="D3507" t="s">
        <v>218</v>
      </c>
      <c r="E3507" s="97">
        <v>2.4799999999999999E-2</v>
      </c>
    </row>
    <row r="3508" spans="1:5" ht="15">
      <c r="A3508" s="98">
        <v>1494</v>
      </c>
      <c r="B3508">
        <v>21.01</v>
      </c>
      <c r="C3508">
        <v>20.29</v>
      </c>
      <c r="D3508" t="s">
        <v>218</v>
      </c>
      <c r="E3508" s="97">
        <v>6.5199999999999994E-2</v>
      </c>
    </row>
    <row r="3509" spans="1:5" ht="15">
      <c r="A3509" s="98">
        <v>1493</v>
      </c>
      <c r="B3509">
        <v>21.46</v>
      </c>
      <c r="C3509">
        <v>20.36</v>
      </c>
      <c r="D3509" t="s">
        <v>218</v>
      </c>
      <c r="E3509" s="97">
        <v>-0.1125</v>
      </c>
    </row>
    <row r="3510" spans="1:5" ht="15">
      <c r="A3510" s="98">
        <v>1492</v>
      </c>
      <c r="B3510">
        <v>23.7</v>
      </c>
      <c r="C3510">
        <v>19.77</v>
      </c>
      <c r="D3510" t="s">
        <v>218</v>
      </c>
      <c r="E3510" s="97">
        <v>-2.07E-2</v>
      </c>
    </row>
    <row r="3511" spans="1:5" ht="15">
      <c r="A3511" s="98">
        <v>1491</v>
      </c>
      <c r="B3511">
        <v>24.22</v>
      </c>
      <c r="C3511">
        <v>20.49</v>
      </c>
      <c r="D3511" t="s">
        <v>218</v>
      </c>
      <c r="E3511" s="97">
        <v>-8.0600000000000005E-2</v>
      </c>
    </row>
    <row r="3512" spans="1:5" ht="15">
      <c r="A3512" s="98">
        <v>1490</v>
      </c>
      <c r="B3512">
        <v>24.04</v>
      </c>
      <c r="C3512">
        <v>22.41</v>
      </c>
      <c r="D3512" t="s">
        <v>218</v>
      </c>
      <c r="E3512" s="97">
        <v>2.5899999999999999E-2</v>
      </c>
    </row>
    <row r="3513" spans="1:5" ht="15">
      <c r="A3513" s="98">
        <v>1489</v>
      </c>
      <c r="B3513">
        <v>23.53</v>
      </c>
      <c r="C3513">
        <v>22.26</v>
      </c>
      <c r="D3513" t="s">
        <v>218</v>
      </c>
      <c r="E3513" s="97">
        <v>5.5500000000000001E-2</v>
      </c>
    </row>
    <row r="3514" spans="1:5" ht="15">
      <c r="A3514" s="98">
        <v>1488</v>
      </c>
      <c r="B3514">
        <v>24.86</v>
      </c>
      <c r="C3514">
        <v>23.42</v>
      </c>
      <c r="D3514" t="s">
        <v>218</v>
      </c>
      <c r="E3514" s="97">
        <v>0.1022</v>
      </c>
    </row>
    <row r="3515" spans="1:5" ht="15">
      <c r="A3515" s="98">
        <v>1487</v>
      </c>
      <c r="B3515">
        <v>24.6</v>
      </c>
      <c r="C3515">
        <v>22.41</v>
      </c>
      <c r="D3515" t="s">
        <v>218</v>
      </c>
      <c r="E3515" s="97">
        <v>-3.5200000000000002E-2</v>
      </c>
    </row>
    <row r="3516" spans="1:5" ht="15">
      <c r="A3516" s="98">
        <v>1486</v>
      </c>
      <c r="B3516">
        <v>22.68</v>
      </c>
      <c r="C3516">
        <v>21.3</v>
      </c>
      <c r="D3516" t="s">
        <v>218</v>
      </c>
      <c r="E3516" s="97">
        <v>5.11E-2</v>
      </c>
    </row>
    <row r="3517" spans="1:5" ht="15">
      <c r="A3517" s="98">
        <v>1485</v>
      </c>
      <c r="B3517">
        <v>21.67</v>
      </c>
      <c r="C3517">
        <v>20.58</v>
      </c>
      <c r="D3517" t="s">
        <v>218</v>
      </c>
      <c r="E3517" s="97">
        <v>4.5499999999999999E-2</v>
      </c>
    </row>
    <row r="3518" spans="1:5" ht="15">
      <c r="A3518" s="98">
        <v>1484</v>
      </c>
      <c r="B3518">
        <v>19.82</v>
      </c>
      <c r="C3518">
        <v>18.28</v>
      </c>
      <c r="D3518" t="s">
        <v>218</v>
      </c>
      <c r="E3518" s="97">
        <v>-3.2899999999999999E-2</v>
      </c>
    </row>
    <row r="3519" spans="1:5" ht="15">
      <c r="A3519" s="98">
        <v>1483</v>
      </c>
      <c r="B3519">
        <v>19.420000000000002</v>
      </c>
      <c r="C3519">
        <v>18.48</v>
      </c>
      <c r="D3519" t="s">
        <v>218</v>
      </c>
      <c r="E3519" s="97">
        <v>-5.7299999999999997E-2</v>
      </c>
    </row>
    <row r="3520" spans="1:5" ht="15">
      <c r="A3520" s="98">
        <v>1482</v>
      </c>
      <c r="B3520">
        <v>19.47</v>
      </c>
      <c r="C3520">
        <v>18.600000000000001</v>
      </c>
      <c r="D3520" t="s">
        <v>218</v>
      </c>
      <c r="E3520" s="97">
        <v>1.11E-2</v>
      </c>
    </row>
    <row r="3521" spans="1:5" ht="15">
      <c r="A3521" s="98">
        <v>1481</v>
      </c>
      <c r="B3521">
        <v>20.51</v>
      </c>
      <c r="C3521">
        <v>19.149999999999999</v>
      </c>
      <c r="D3521" t="s">
        <v>218</v>
      </c>
      <c r="E3521" s="97">
        <v>-8.8400000000000006E-2</v>
      </c>
    </row>
    <row r="3522" spans="1:5" ht="15">
      <c r="A3522" s="98">
        <v>1480</v>
      </c>
      <c r="B3522">
        <v>21.05</v>
      </c>
      <c r="C3522">
        <v>19.440000000000001</v>
      </c>
      <c r="D3522" t="s">
        <v>218</v>
      </c>
      <c r="E3522" s="97">
        <v>5.0299999999999997E-2</v>
      </c>
    </row>
    <row r="3523" spans="1:5" ht="15">
      <c r="A3523" s="98">
        <v>1479</v>
      </c>
      <c r="B3523">
        <v>22.75</v>
      </c>
      <c r="C3523">
        <v>21.79</v>
      </c>
      <c r="D3523" t="s">
        <v>218</v>
      </c>
      <c r="E3523" s="97">
        <v>-1.9E-2</v>
      </c>
    </row>
    <row r="3524" spans="1:5" ht="15">
      <c r="A3524" s="98">
        <v>1478</v>
      </c>
      <c r="B3524">
        <v>24.05</v>
      </c>
      <c r="C3524">
        <v>22.4</v>
      </c>
      <c r="D3524" t="s">
        <v>218</v>
      </c>
      <c r="E3524" s="97">
        <v>-8.5000000000000006E-3</v>
      </c>
    </row>
    <row r="3525" spans="1:5" ht="15">
      <c r="A3525" s="98">
        <v>1477</v>
      </c>
      <c r="B3525">
        <v>23.27</v>
      </c>
      <c r="C3525">
        <v>22.11</v>
      </c>
      <c r="D3525" t="s">
        <v>218</v>
      </c>
      <c r="E3525" s="97">
        <v>-1.9400000000000001E-2</v>
      </c>
    </row>
    <row r="3526" spans="1:5" ht="15">
      <c r="A3526" s="98">
        <v>1476</v>
      </c>
      <c r="B3526">
        <v>24.3</v>
      </c>
      <c r="C3526">
        <v>23.25</v>
      </c>
      <c r="D3526" t="s">
        <v>218</v>
      </c>
      <c r="E3526" s="97">
        <v>3.7999999999999999E-2</v>
      </c>
    </row>
    <row r="3527" spans="1:5" ht="15">
      <c r="A3527" s="98">
        <v>1475</v>
      </c>
      <c r="B3527">
        <v>24.88</v>
      </c>
      <c r="C3527">
        <v>23.3</v>
      </c>
      <c r="D3527" t="s">
        <v>218</v>
      </c>
      <c r="E3527" s="97">
        <v>9.7000000000000003E-3</v>
      </c>
    </row>
    <row r="3528" spans="1:5" ht="15">
      <c r="A3528" s="98">
        <v>1474</v>
      </c>
      <c r="B3528">
        <v>25.6</v>
      </c>
      <c r="C3528">
        <v>22.63</v>
      </c>
      <c r="D3528" t="s">
        <v>218</v>
      </c>
      <c r="E3528" s="97">
        <v>-5.8299999999999998E-2</v>
      </c>
    </row>
    <row r="3529" spans="1:5" ht="15">
      <c r="A3529" s="98">
        <v>1473</v>
      </c>
      <c r="B3529">
        <v>25.95</v>
      </c>
      <c r="C3529">
        <v>23.9</v>
      </c>
      <c r="D3529" t="s">
        <v>218</v>
      </c>
      <c r="E3529" s="97">
        <v>-6.8999999999999999E-3</v>
      </c>
    </row>
    <row r="3530" spans="1:5" ht="15">
      <c r="A3530" s="98">
        <v>1472</v>
      </c>
      <c r="B3530">
        <v>24.61</v>
      </c>
      <c r="C3530">
        <v>22.62</v>
      </c>
      <c r="D3530" t="s">
        <v>218</v>
      </c>
      <c r="E3530" s="97">
        <v>2.5999999999999999E-3</v>
      </c>
    </row>
    <row r="3531" spans="1:5" ht="15">
      <c r="A3531" s="98">
        <v>1471</v>
      </c>
      <c r="B3531">
        <v>24.41</v>
      </c>
      <c r="C3531">
        <v>23.22</v>
      </c>
      <c r="D3531" t="s">
        <v>218</v>
      </c>
      <c r="E3531" s="97">
        <v>4.5699999999999998E-2</v>
      </c>
    </row>
    <row r="3532" spans="1:5" ht="15">
      <c r="A3532" s="98">
        <v>1470</v>
      </c>
      <c r="B3532">
        <v>23.93</v>
      </c>
      <c r="C3532">
        <v>22.65</v>
      </c>
      <c r="D3532" t="s">
        <v>218</v>
      </c>
      <c r="E3532" s="97">
        <v>-5.0000000000000001E-3</v>
      </c>
    </row>
    <row r="3533" spans="1:5" ht="15">
      <c r="A3533" s="98">
        <v>1469</v>
      </c>
      <c r="B3533">
        <v>24.59</v>
      </c>
      <c r="C3533">
        <v>22.97</v>
      </c>
      <c r="D3533" t="s">
        <v>218</v>
      </c>
      <c r="E3533" s="97">
        <v>4.0300000000000002E-2</v>
      </c>
    </row>
    <row r="3534" spans="1:5" ht="15">
      <c r="A3534" s="98">
        <v>1468</v>
      </c>
      <c r="B3534">
        <v>24.38</v>
      </c>
      <c r="C3534">
        <v>22.85</v>
      </c>
      <c r="D3534" t="s">
        <v>218</v>
      </c>
      <c r="E3534" s="97">
        <v>-0.1182</v>
      </c>
    </row>
    <row r="3535" spans="1:5" ht="15">
      <c r="A3535" s="98">
        <v>1467</v>
      </c>
      <c r="B3535">
        <v>28.51</v>
      </c>
      <c r="C3535">
        <v>23.87</v>
      </c>
      <c r="D3535" t="s">
        <v>218</v>
      </c>
      <c r="E3535" s="97">
        <v>-2.5000000000000001E-3</v>
      </c>
    </row>
    <row r="3536" spans="1:5" ht="15">
      <c r="A3536" s="98">
        <v>1466</v>
      </c>
      <c r="B3536">
        <v>29.3</v>
      </c>
      <c r="C3536">
        <v>26.27</v>
      </c>
      <c r="D3536" t="s">
        <v>218</v>
      </c>
      <c r="E3536" s="97">
        <v>2.8000000000000001E-2</v>
      </c>
    </row>
    <row r="3537" spans="1:5" ht="15">
      <c r="A3537" s="98">
        <v>1465</v>
      </c>
      <c r="B3537">
        <v>37.57</v>
      </c>
      <c r="C3537">
        <v>29.71</v>
      </c>
      <c r="D3537" t="s">
        <v>218</v>
      </c>
      <c r="E3537" s="97">
        <v>9.06E-2</v>
      </c>
    </row>
    <row r="3538" spans="1:5" ht="15">
      <c r="A3538" s="98">
        <v>1464</v>
      </c>
      <c r="B3538">
        <v>34.42</v>
      </c>
      <c r="C3538">
        <v>28.47</v>
      </c>
      <c r="D3538" t="s">
        <v>218</v>
      </c>
      <c r="E3538" s="97">
        <v>-9.9099999999999994E-2</v>
      </c>
    </row>
    <row r="3539" spans="1:5" ht="15">
      <c r="A3539" s="98">
        <v>1463</v>
      </c>
      <c r="B3539">
        <v>28.48</v>
      </c>
      <c r="C3539">
        <v>27.03</v>
      </c>
      <c r="D3539" t="s">
        <v>218</v>
      </c>
      <c r="E3539" s="97">
        <v>5.0000000000000001E-3</v>
      </c>
    </row>
    <row r="3540" spans="1:5" ht="15">
      <c r="A3540" s="98">
        <v>1462</v>
      </c>
      <c r="B3540">
        <v>29.76</v>
      </c>
      <c r="C3540">
        <v>25.93</v>
      </c>
      <c r="D3540" t="s">
        <v>218</v>
      </c>
      <c r="E3540" s="97">
        <v>-0.1002</v>
      </c>
    </row>
    <row r="3541" spans="1:5" ht="15">
      <c r="A3541" s="98">
        <v>1461</v>
      </c>
      <c r="B3541">
        <v>30.26</v>
      </c>
      <c r="C3541">
        <v>27.57</v>
      </c>
      <c r="D3541" t="s">
        <v>218</v>
      </c>
      <c r="E3541" s="97">
        <v>-5.7799999999999997E-2</v>
      </c>
    </row>
    <row r="3542" spans="1:5" ht="15">
      <c r="A3542" s="98">
        <v>1460</v>
      </c>
      <c r="B3542">
        <v>27.96</v>
      </c>
      <c r="C3542">
        <v>26.55</v>
      </c>
      <c r="D3542" t="s">
        <v>218</v>
      </c>
      <c r="E3542" s="97">
        <v>-1.95E-2</v>
      </c>
    </row>
    <row r="3543" spans="1:5" ht="15">
      <c r="A3543" s="98">
        <v>1459</v>
      </c>
      <c r="B3543">
        <v>28.34</v>
      </c>
      <c r="C3543">
        <v>24.74</v>
      </c>
      <c r="D3543" t="s">
        <v>218</v>
      </c>
      <c r="E3543" s="97">
        <v>0.1036</v>
      </c>
    </row>
    <row r="3544" spans="1:5" ht="15">
      <c r="A3544" s="98">
        <v>1458</v>
      </c>
      <c r="B3544">
        <v>28.81</v>
      </c>
      <c r="C3544">
        <v>25.45</v>
      </c>
      <c r="D3544" t="s">
        <v>218</v>
      </c>
      <c r="E3544" s="97">
        <v>3.5000000000000001E-3</v>
      </c>
    </row>
    <row r="3545" spans="1:5" ht="15">
      <c r="A3545" s="98">
        <v>1457</v>
      </c>
      <c r="B3545">
        <v>25.75</v>
      </c>
      <c r="C3545">
        <v>24.02</v>
      </c>
      <c r="D3545" t="s">
        <v>218</v>
      </c>
      <c r="E3545" s="97">
        <v>0.1366</v>
      </c>
    </row>
    <row r="3546" spans="1:5" ht="15">
      <c r="A3546" s="98">
        <v>1456</v>
      </c>
      <c r="B3546">
        <v>26.03</v>
      </c>
      <c r="C3546">
        <v>24.85</v>
      </c>
      <c r="D3546" t="s">
        <v>218</v>
      </c>
      <c r="E3546" s="97">
        <v>0.1071</v>
      </c>
    </row>
    <row r="3547" spans="1:5" ht="15">
      <c r="A3547" s="98">
        <v>1455</v>
      </c>
      <c r="B3547">
        <v>28.49</v>
      </c>
      <c r="C3547">
        <v>27.2</v>
      </c>
      <c r="D3547" t="s">
        <v>218</v>
      </c>
      <c r="E3547" s="97">
        <v>6.7999999999999996E-3</v>
      </c>
    </row>
    <row r="3548" spans="1:5" ht="15">
      <c r="A3548" s="98">
        <v>1454</v>
      </c>
      <c r="B3548">
        <v>29.31</v>
      </c>
      <c r="C3548">
        <v>27.04</v>
      </c>
      <c r="D3548" t="s">
        <v>218</v>
      </c>
      <c r="E3548" s="97">
        <v>-0.13100000000000001</v>
      </c>
    </row>
    <row r="3549" spans="1:5" ht="15">
      <c r="A3549" s="98">
        <v>1453</v>
      </c>
      <c r="B3549">
        <v>29.7</v>
      </c>
      <c r="C3549">
        <v>26.78</v>
      </c>
      <c r="D3549" t="s">
        <v>218</v>
      </c>
      <c r="E3549" s="97">
        <v>6.8900000000000003E-2</v>
      </c>
    </row>
    <row r="3550" spans="1:5" ht="15">
      <c r="A3550" s="98">
        <v>1452</v>
      </c>
      <c r="B3550">
        <v>28.89</v>
      </c>
      <c r="C3550">
        <v>27.22</v>
      </c>
      <c r="D3550" t="s">
        <v>218</v>
      </c>
      <c r="E3550" s="97">
        <v>-0.1101</v>
      </c>
    </row>
    <row r="3551" spans="1:5" ht="15">
      <c r="A3551" s="98">
        <v>1451</v>
      </c>
      <c r="B3551">
        <v>29.57</v>
      </c>
      <c r="C3551">
        <v>27.32</v>
      </c>
      <c r="D3551" t="s">
        <v>218</v>
      </c>
      <c r="E3551" s="97">
        <v>1.35E-2</v>
      </c>
    </row>
    <row r="3552" spans="1:5" ht="15">
      <c r="A3552" s="98">
        <v>1450</v>
      </c>
      <c r="B3552">
        <v>27.17</v>
      </c>
      <c r="C3552">
        <v>25.25</v>
      </c>
      <c r="D3552" t="s">
        <v>218</v>
      </c>
      <c r="E3552" s="97">
        <v>-1.89E-2</v>
      </c>
    </row>
    <row r="3553" spans="1:5" ht="15">
      <c r="A3553" s="98">
        <v>1449</v>
      </c>
      <c r="B3553">
        <v>26.06</v>
      </c>
      <c r="C3553">
        <v>24.57</v>
      </c>
      <c r="D3553" t="s">
        <v>218</v>
      </c>
      <c r="E3553" s="97">
        <v>-1.89E-2</v>
      </c>
    </row>
    <row r="3554" spans="1:5" ht="15">
      <c r="A3554" s="98">
        <v>1448</v>
      </c>
      <c r="B3554">
        <v>25.64</v>
      </c>
      <c r="C3554">
        <v>23.98</v>
      </c>
      <c r="D3554" t="s">
        <v>218</v>
      </c>
      <c r="E3554" s="97">
        <v>-4.0800000000000003E-2</v>
      </c>
    </row>
    <row r="3555" spans="1:5" ht="15">
      <c r="A3555" s="98">
        <v>1447</v>
      </c>
      <c r="B3555">
        <v>25.67</v>
      </c>
      <c r="C3555">
        <v>24.45</v>
      </c>
      <c r="D3555" t="s">
        <v>218</v>
      </c>
      <c r="E3555" s="97">
        <v>1.6500000000000001E-2</v>
      </c>
    </row>
    <row r="3556" spans="1:5" ht="15">
      <c r="A3556" s="98">
        <v>1446</v>
      </c>
      <c r="B3556">
        <v>26.59</v>
      </c>
      <c r="C3556">
        <v>24.73</v>
      </c>
      <c r="D3556" t="s">
        <v>218</v>
      </c>
      <c r="E3556" s="97">
        <v>-1.29E-2</v>
      </c>
    </row>
    <row r="3557" spans="1:5" ht="15">
      <c r="A3557" s="98">
        <v>1445</v>
      </c>
      <c r="B3557">
        <v>26.95</v>
      </c>
      <c r="C3557">
        <v>24.21</v>
      </c>
      <c r="D3557" t="s">
        <v>218</v>
      </c>
      <c r="E3557" s="97">
        <v>-0.05</v>
      </c>
    </row>
    <row r="3558" spans="1:5" ht="15">
      <c r="A3558" s="98">
        <v>1444</v>
      </c>
      <c r="B3558">
        <v>25.45</v>
      </c>
      <c r="C3558">
        <v>23.74</v>
      </c>
      <c r="D3558" t="s">
        <v>218</v>
      </c>
      <c r="E3558" s="97">
        <v>-1.8E-3</v>
      </c>
    </row>
    <row r="3559" spans="1:5" ht="15">
      <c r="A3559" s="98">
        <v>1443</v>
      </c>
      <c r="B3559">
        <v>25.93</v>
      </c>
      <c r="C3559">
        <v>23.62</v>
      </c>
      <c r="D3559" t="s">
        <v>218</v>
      </c>
      <c r="E3559" s="97">
        <v>0.1052</v>
      </c>
    </row>
    <row r="3560" spans="1:5" ht="15">
      <c r="A3560" s="98">
        <v>1442</v>
      </c>
      <c r="B3560">
        <v>25.07</v>
      </c>
      <c r="C3560">
        <v>22.69</v>
      </c>
      <c r="D3560" t="s">
        <v>218</v>
      </c>
      <c r="E3560" s="97">
        <v>-1.7899999999999999E-2</v>
      </c>
    </row>
    <row r="3561" spans="1:5" ht="15">
      <c r="A3561" s="98">
        <v>1441</v>
      </c>
      <c r="B3561">
        <v>23.45</v>
      </c>
      <c r="C3561">
        <v>21.64</v>
      </c>
      <c r="D3561" t="s">
        <v>218</v>
      </c>
      <c r="E3561" s="97">
        <v>6.7400000000000002E-2</v>
      </c>
    </row>
    <row r="3562" spans="1:5" ht="15">
      <c r="A3562" s="98">
        <v>1440</v>
      </c>
      <c r="B3562">
        <v>23.01</v>
      </c>
      <c r="C3562">
        <v>21.83</v>
      </c>
      <c r="D3562" t="s">
        <v>218</v>
      </c>
      <c r="E3562" s="97">
        <v>3.1300000000000001E-2</v>
      </c>
    </row>
    <row r="3563" spans="1:5" ht="15">
      <c r="A3563" s="98">
        <v>1439</v>
      </c>
      <c r="B3563">
        <v>23.79</v>
      </c>
      <c r="C3563">
        <v>22.69</v>
      </c>
      <c r="D3563" t="s">
        <v>218</v>
      </c>
      <c r="E3563" s="97">
        <v>-7.7200000000000005E-2</v>
      </c>
    </row>
    <row r="3564" spans="1:5" ht="15">
      <c r="A3564" s="98">
        <v>1438</v>
      </c>
      <c r="B3564">
        <v>26.91</v>
      </c>
      <c r="C3564">
        <v>23.54</v>
      </c>
      <c r="D3564" t="s">
        <v>218</v>
      </c>
      <c r="E3564" s="97">
        <v>2.81E-2</v>
      </c>
    </row>
    <row r="3565" spans="1:5" ht="15">
      <c r="A3565" s="98">
        <v>1437</v>
      </c>
      <c r="B3565">
        <v>28.13</v>
      </c>
      <c r="C3565">
        <v>26.27</v>
      </c>
      <c r="D3565" t="s">
        <v>218</v>
      </c>
      <c r="E3565" s="97">
        <v>3.32E-2</v>
      </c>
    </row>
    <row r="3566" spans="1:5" ht="15">
      <c r="A3566" s="98">
        <v>1436</v>
      </c>
      <c r="B3566">
        <v>27.42</v>
      </c>
      <c r="C3566">
        <v>25.51</v>
      </c>
      <c r="D3566" t="s">
        <v>218</v>
      </c>
      <c r="E3566" s="97">
        <v>3.8399999999999997E-2</v>
      </c>
    </row>
    <row r="3567" spans="1:5" ht="15">
      <c r="A3567" s="98">
        <v>1435</v>
      </c>
      <c r="B3567">
        <v>25.77</v>
      </c>
      <c r="C3567">
        <v>23.3</v>
      </c>
      <c r="D3567" t="s">
        <v>218</v>
      </c>
      <c r="E3567" s="97">
        <v>3.9E-2</v>
      </c>
    </row>
    <row r="3568" spans="1:5" ht="15">
      <c r="A3568" s="98">
        <v>1434</v>
      </c>
      <c r="B3568">
        <v>27.9</v>
      </c>
      <c r="C3568">
        <v>25.04</v>
      </c>
      <c r="D3568" t="s">
        <v>218</v>
      </c>
      <c r="E3568" s="97">
        <v>-4.2599999999999999E-2</v>
      </c>
    </row>
    <row r="3569" spans="1:5" ht="15">
      <c r="A3569" s="98">
        <v>1433</v>
      </c>
      <c r="B3569">
        <v>29.29</v>
      </c>
      <c r="C3569">
        <v>22.29</v>
      </c>
      <c r="D3569" t="s">
        <v>218</v>
      </c>
      <c r="E3569" s="97">
        <v>-3.4000000000000002E-2</v>
      </c>
    </row>
    <row r="3570" spans="1:5" ht="15">
      <c r="A3570" s="98">
        <v>1432</v>
      </c>
      <c r="B3570">
        <v>29.73</v>
      </c>
      <c r="C3570">
        <v>27.92</v>
      </c>
      <c r="D3570" t="s">
        <v>218</v>
      </c>
      <c r="E3570" s="97">
        <v>1.6199999999999999E-2</v>
      </c>
    </row>
    <row r="3571" spans="1:5" ht="15">
      <c r="A3571" s="98">
        <v>1431</v>
      </c>
      <c r="B3571">
        <v>28.64</v>
      </c>
      <c r="C3571">
        <v>26.35</v>
      </c>
      <c r="D3571" t="s">
        <v>218</v>
      </c>
      <c r="E3571" s="97">
        <v>0.1173</v>
      </c>
    </row>
    <row r="3572" spans="1:5" ht="15">
      <c r="A3572" s="98">
        <v>1430</v>
      </c>
      <c r="B3572">
        <v>27.25</v>
      </c>
      <c r="C3572">
        <v>24.9</v>
      </c>
      <c r="D3572" t="s">
        <v>218</v>
      </c>
      <c r="E3572" s="97">
        <v>-0.1447</v>
      </c>
    </row>
    <row r="3573" spans="1:5" ht="15">
      <c r="A3573" s="98">
        <v>1429</v>
      </c>
      <c r="B3573">
        <v>29.62</v>
      </c>
      <c r="C3573">
        <v>25.65</v>
      </c>
      <c r="D3573" t="s">
        <v>218</v>
      </c>
      <c r="E3573" s="97">
        <v>6.9800000000000001E-2</v>
      </c>
    </row>
    <row r="3574" spans="1:5" ht="15">
      <c r="A3574" s="98">
        <v>1428</v>
      </c>
      <c r="B3574">
        <v>32.89</v>
      </c>
      <c r="C3574">
        <v>26.02</v>
      </c>
      <c r="D3574" t="s">
        <v>218</v>
      </c>
      <c r="E3574" s="97">
        <v>-6.2199999999999998E-2</v>
      </c>
    </row>
    <row r="3575" spans="1:5" ht="15">
      <c r="A3575" s="98">
        <v>1427</v>
      </c>
      <c r="B3575">
        <v>35.6</v>
      </c>
      <c r="C3575">
        <v>31.1</v>
      </c>
      <c r="D3575" t="s">
        <v>218</v>
      </c>
      <c r="E3575" s="97">
        <v>-7.3000000000000001E-3</v>
      </c>
    </row>
    <row r="3576" spans="1:5" ht="15">
      <c r="A3576" s="98">
        <v>1426</v>
      </c>
      <c r="B3576">
        <v>32.24</v>
      </c>
      <c r="C3576">
        <v>25.58</v>
      </c>
      <c r="D3576" t="s">
        <v>218</v>
      </c>
      <c r="E3576" s="97">
        <v>0.1283</v>
      </c>
    </row>
    <row r="3577" spans="1:5" ht="15">
      <c r="A3577" s="98">
        <v>1425</v>
      </c>
      <c r="B3577">
        <v>29.95</v>
      </c>
      <c r="C3577">
        <v>25.16</v>
      </c>
      <c r="D3577" t="s">
        <v>218</v>
      </c>
      <c r="E3577" s="97">
        <v>2.92E-2</v>
      </c>
    </row>
    <row r="3578" spans="1:5" ht="15">
      <c r="A3578" s="98">
        <v>1424</v>
      </c>
      <c r="B3578">
        <v>29.84</v>
      </c>
      <c r="C3578">
        <v>25.8</v>
      </c>
      <c r="D3578" t="s">
        <v>218</v>
      </c>
      <c r="E3578" s="97">
        <v>1.1900000000000001E-2</v>
      </c>
    </row>
    <row r="3579" spans="1:5" ht="15">
      <c r="A3579" s="98">
        <v>1423</v>
      </c>
      <c r="B3579">
        <v>27.04</v>
      </c>
      <c r="C3579">
        <v>24.75</v>
      </c>
      <c r="D3579" t="s">
        <v>218</v>
      </c>
      <c r="E3579" s="97">
        <v>-6.4299999999999996E-2</v>
      </c>
    </row>
    <row r="3580" spans="1:5" ht="15">
      <c r="A3580" s="98">
        <v>1422</v>
      </c>
      <c r="B3580">
        <v>26.42</v>
      </c>
      <c r="C3580">
        <v>25.17</v>
      </c>
      <c r="D3580" t="s">
        <v>218</v>
      </c>
      <c r="E3580" s="97">
        <v>-6.7000000000000002E-3</v>
      </c>
    </row>
    <row r="3581" spans="1:5" ht="15">
      <c r="A3581" s="98">
        <v>1421</v>
      </c>
      <c r="B3581">
        <v>26.85</v>
      </c>
      <c r="C3581">
        <v>25.51</v>
      </c>
      <c r="D3581" t="s">
        <v>218</v>
      </c>
      <c r="E3581" s="97">
        <v>-1.7399999999999999E-2</v>
      </c>
    </row>
    <row r="3582" spans="1:5" ht="15">
      <c r="A3582" s="98">
        <v>1420</v>
      </c>
      <c r="B3582">
        <v>25.98</v>
      </c>
      <c r="C3582">
        <v>24.91</v>
      </c>
      <c r="D3582" t="s">
        <v>218</v>
      </c>
      <c r="E3582" s="97">
        <v>-5.8999999999999997E-2</v>
      </c>
    </row>
    <row r="3583" spans="1:5" ht="15">
      <c r="A3583" s="98">
        <v>1419</v>
      </c>
      <c r="B3583">
        <v>25.96</v>
      </c>
      <c r="C3583">
        <v>25.04</v>
      </c>
      <c r="D3583" t="s">
        <v>218</v>
      </c>
      <c r="E3583" s="97">
        <v>4.6800000000000001E-2</v>
      </c>
    </row>
    <row r="3584" spans="1:5" ht="15">
      <c r="A3584" s="98">
        <v>1418</v>
      </c>
      <c r="B3584">
        <v>26.77</v>
      </c>
      <c r="C3584">
        <v>25.35</v>
      </c>
      <c r="D3584" t="s">
        <v>218</v>
      </c>
      <c r="E3584" s="97">
        <v>7.5200000000000003E-2</v>
      </c>
    </row>
    <row r="3585" spans="1:5" ht="15">
      <c r="A3585" s="98">
        <v>1417</v>
      </c>
      <c r="B3585">
        <v>25.61</v>
      </c>
      <c r="C3585">
        <v>22.52</v>
      </c>
      <c r="D3585" t="s">
        <v>218</v>
      </c>
      <c r="E3585" s="97">
        <v>-6.0699999999999997E-2</v>
      </c>
    </row>
    <row r="3586" spans="1:5" ht="15">
      <c r="A3586" s="98">
        <v>1416</v>
      </c>
      <c r="B3586">
        <v>23.65</v>
      </c>
      <c r="C3586">
        <v>22.39</v>
      </c>
      <c r="D3586" t="s">
        <v>218</v>
      </c>
      <c r="E3586" s="97">
        <v>3.4099999999999998E-2</v>
      </c>
    </row>
    <row r="3587" spans="1:5" ht="15">
      <c r="A3587" s="98">
        <v>1415</v>
      </c>
      <c r="B3587">
        <v>24.15</v>
      </c>
      <c r="C3587">
        <v>23</v>
      </c>
      <c r="D3587" t="s">
        <v>218</v>
      </c>
      <c r="E3587" s="97">
        <v>-0.1087</v>
      </c>
    </row>
    <row r="3588" spans="1:5" ht="15">
      <c r="A3588" s="98">
        <v>1414</v>
      </c>
      <c r="B3588">
        <v>23.31</v>
      </c>
      <c r="C3588">
        <v>21.75</v>
      </c>
      <c r="D3588" t="s">
        <v>218</v>
      </c>
      <c r="E3588" s="97">
        <v>-1.4200000000000001E-2</v>
      </c>
    </row>
    <row r="3589" spans="1:5" ht="15">
      <c r="A3589" s="98">
        <v>1413</v>
      </c>
      <c r="B3589">
        <v>22.73</v>
      </c>
      <c r="C3589">
        <v>21.21</v>
      </c>
      <c r="D3589" t="s">
        <v>218</v>
      </c>
      <c r="E3589" s="97">
        <v>-0.1076</v>
      </c>
    </row>
    <row r="3590" spans="1:5" ht="15">
      <c r="A3590" s="98">
        <v>1412</v>
      </c>
      <c r="B3590">
        <v>23.16</v>
      </c>
      <c r="C3590">
        <v>22.36</v>
      </c>
      <c r="D3590" t="s">
        <v>218</v>
      </c>
      <c r="E3590" s="97">
        <v>2.86E-2</v>
      </c>
    </row>
    <row r="3591" spans="1:5" ht="15">
      <c r="A3591" s="98">
        <v>1411</v>
      </c>
      <c r="B3591">
        <v>23.57</v>
      </c>
      <c r="C3591">
        <v>22.36</v>
      </c>
      <c r="D3591" t="s">
        <v>218</v>
      </c>
      <c r="E3591" s="97">
        <v>3.9800000000000002E-2</v>
      </c>
    </row>
    <row r="3592" spans="1:5" ht="15">
      <c r="A3592" s="98">
        <v>1410</v>
      </c>
      <c r="B3592">
        <v>23.22</v>
      </c>
      <c r="C3592">
        <v>21.63</v>
      </c>
      <c r="D3592" t="s">
        <v>218</v>
      </c>
      <c r="E3592" s="97">
        <v>-1.52E-2</v>
      </c>
    </row>
    <row r="3593" spans="1:5" ht="15">
      <c r="A3593" s="98">
        <v>1409</v>
      </c>
      <c r="B3593">
        <v>23.59</v>
      </c>
      <c r="C3593">
        <v>22.65</v>
      </c>
      <c r="D3593" t="s">
        <v>218</v>
      </c>
      <c r="E3593" s="97">
        <v>-1.4200000000000001E-2</v>
      </c>
    </row>
    <row r="3594" spans="1:5" ht="15">
      <c r="A3594" s="98">
        <v>1408</v>
      </c>
      <c r="B3594">
        <v>24.35</v>
      </c>
      <c r="C3594">
        <v>23.46</v>
      </c>
      <c r="D3594" t="s">
        <v>218</v>
      </c>
      <c r="E3594" s="97">
        <v>4.2999999999999997E-2</v>
      </c>
    </row>
    <row r="3595" spans="1:5" ht="15">
      <c r="A3595" s="98">
        <v>1407</v>
      </c>
      <c r="B3595">
        <v>23.99</v>
      </c>
      <c r="C3595">
        <v>22.72</v>
      </c>
      <c r="D3595" t="s">
        <v>218</v>
      </c>
      <c r="E3595" s="97">
        <v>2.6599999999999999E-2</v>
      </c>
    </row>
    <row r="3596" spans="1:5" ht="15">
      <c r="A3596" s="98">
        <v>1406</v>
      </c>
      <c r="B3596">
        <v>22.09</v>
      </c>
      <c r="C3596">
        <v>20.5</v>
      </c>
      <c r="D3596" t="s">
        <v>218</v>
      </c>
      <c r="E3596" s="97">
        <v>3.8600000000000002E-2</v>
      </c>
    </row>
    <row r="3597" spans="1:5" ht="15">
      <c r="A3597" s="98">
        <v>1405</v>
      </c>
      <c r="B3597">
        <v>21.54</v>
      </c>
      <c r="C3597">
        <v>20.350000000000001</v>
      </c>
      <c r="D3597" t="s">
        <v>218</v>
      </c>
      <c r="E3597" s="97">
        <v>4.8999999999999998E-3</v>
      </c>
    </row>
    <row r="3598" spans="1:5" ht="15">
      <c r="A3598" s="98">
        <v>1404</v>
      </c>
      <c r="B3598">
        <v>20.37</v>
      </c>
      <c r="C3598">
        <v>19.21</v>
      </c>
      <c r="D3598" t="s">
        <v>218</v>
      </c>
      <c r="E3598" s="97">
        <v>7.3099999999999998E-2</v>
      </c>
    </row>
    <row r="3599" spans="1:5" ht="15">
      <c r="A3599" s="98">
        <v>1403</v>
      </c>
      <c r="B3599">
        <v>21.12</v>
      </c>
      <c r="C3599">
        <v>20.149999999999999</v>
      </c>
      <c r="D3599" t="s">
        <v>218</v>
      </c>
      <c r="E3599" s="97">
        <v>-1.6400000000000001E-2</v>
      </c>
    </row>
    <row r="3600" spans="1:5" ht="15">
      <c r="A3600" s="98">
        <v>1402</v>
      </c>
      <c r="B3600">
        <v>21.6</v>
      </c>
      <c r="C3600">
        <v>20.47</v>
      </c>
      <c r="D3600" t="s">
        <v>218</v>
      </c>
      <c r="E3600" s="97">
        <v>-7.0099999999999996E-2</v>
      </c>
    </row>
    <row r="3601" spans="1:5" ht="15">
      <c r="A3601" s="98">
        <v>1401</v>
      </c>
      <c r="B3601">
        <v>20.95</v>
      </c>
      <c r="C3601">
        <v>19.88</v>
      </c>
      <c r="D3601" t="s">
        <v>218</v>
      </c>
      <c r="E3601" s="97">
        <v>7.1199999999999999E-2</v>
      </c>
    </row>
    <row r="3602" spans="1:5" ht="15">
      <c r="A3602" s="98">
        <v>1400</v>
      </c>
      <c r="B3602">
        <v>20.77</v>
      </c>
      <c r="C3602">
        <v>19.21</v>
      </c>
      <c r="D3602" t="s">
        <v>218</v>
      </c>
      <c r="E3602" s="97">
        <v>1.17E-2</v>
      </c>
    </row>
    <row r="3603" spans="1:5" ht="15">
      <c r="A3603" s="98">
        <v>1399</v>
      </c>
      <c r="B3603">
        <v>20.36</v>
      </c>
      <c r="C3603">
        <v>19.28</v>
      </c>
      <c r="D3603" t="s">
        <v>218</v>
      </c>
      <c r="E3603" s="97">
        <v>7.4099999999999999E-2</v>
      </c>
    </row>
    <row r="3604" spans="1:5" ht="15">
      <c r="A3604" s="98">
        <v>1398</v>
      </c>
      <c r="B3604">
        <v>20.25</v>
      </c>
      <c r="C3604">
        <v>19.37</v>
      </c>
      <c r="D3604" t="s">
        <v>218</v>
      </c>
      <c r="E3604" s="97">
        <v>-1.5100000000000001E-2</v>
      </c>
    </row>
    <row r="3605" spans="1:5" ht="15">
      <c r="A3605" s="98">
        <v>1397</v>
      </c>
      <c r="B3605">
        <v>20.54</v>
      </c>
      <c r="C3605">
        <v>19.63</v>
      </c>
      <c r="D3605" t="s">
        <v>218</v>
      </c>
      <c r="E3605" s="97">
        <v>0.1426</v>
      </c>
    </row>
    <row r="3606" spans="1:5" ht="15">
      <c r="A3606" s="98">
        <v>1396</v>
      </c>
      <c r="B3606">
        <v>20.81</v>
      </c>
      <c r="C3606">
        <v>19.690000000000001</v>
      </c>
      <c r="D3606" t="s">
        <v>218</v>
      </c>
      <c r="E3606" s="97">
        <v>9.4700000000000006E-2</v>
      </c>
    </row>
    <row r="3607" spans="1:5" ht="15">
      <c r="A3607" s="98">
        <v>1395</v>
      </c>
      <c r="B3607">
        <v>20.83</v>
      </c>
      <c r="C3607">
        <v>18.87</v>
      </c>
      <c r="D3607" t="s">
        <v>218</v>
      </c>
      <c r="E3607" s="97">
        <v>-6.7500000000000004E-2</v>
      </c>
    </row>
    <row r="3608" spans="1:5" ht="15">
      <c r="A3608" s="98">
        <v>1394</v>
      </c>
      <c r="B3608">
        <v>19.11</v>
      </c>
      <c r="C3608">
        <v>17.97</v>
      </c>
      <c r="D3608" t="s">
        <v>218</v>
      </c>
      <c r="E3608" s="97">
        <v>-5.2299999999999999E-2</v>
      </c>
    </row>
    <row r="3609" spans="1:5" ht="15">
      <c r="A3609" s="98">
        <v>1393</v>
      </c>
      <c r="B3609">
        <v>19.29</v>
      </c>
      <c r="C3609">
        <v>18.68</v>
      </c>
      <c r="D3609" t="s">
        <v>218</v>
      </c>
      <c r="E3609" s="97">
        <v>-1.2E-2</v>
      </c>
    </row>
    <row r="3610" spans="1:5" ht="15">
      <c r="A3610" s="98">
        <v>1392</v>
      </c>
      <c r="B3610">
        <v>19.57</v>
      </c>
      <c r="C3610">
        <v>18.11</v>
      </c>
      <c r="D3610" t="s">
        <v>218</v>
      </c>
      <c r="E3610" s="97">
        <v>1.12E-2</v>
      </c>
    </row>
    <row r="3611" spans="1:5" ht="15">
      <c r="A3611" s="98">
        <v>1391</v>
      </c>
      <c r="B3611">
        <v>19.98</v>
      </c>
      <c r="C3611">
        <v>18.420000000000002</v>
      </c>
      <c r="D3611" t="s">
        <v>218</v>
      </c>
      <c r="E3611" s="97">
        <v>9.8599999999999993E-2</v>
      </c>
    </row>
    <row r="3612" spans="1:5" ht="15">
      <c r="A3612" s="98">
        <v>1390</v>
      </c>
      <c r="B3612">
        <v>19.920000000000002</v>
      </c>
      <c r="C3612">
        <v>18.62</v>
      </c>
      <c r="D3612" t="s">
        <v>218</v>
      </c>
      <c r="E3612" s="97">
        <v>-0.11260000000000001</v>
      </c>
    </row>
    <row r="3613" spans="1:5" ht="15">
      <c r="A3613" s="98">
        <v>1389</v>
      </c>
      <c r="B3613">
        <v>20.010000000000002</v>
      </c>
      <c r="C3613">
        <v>19.3</v>
      </c>
      <c r="D3613" t="s">
        <v>218</v>
      </c>
      <c r="E3613" s="97">
        <v>-5.4000000000000003E-3</v>
      </c>
    </row>
    <row r="3614" spans="1:5" ht="15">
      <c r="A3614" s="98">
        <v>1388</v>
      </c>
      <c r="B3614">
        <v>19.48</v>
      </c>
      <c r="C3614">
        <v>16.920000000000002</v>
      </c>
      <c r="D3614" t="s">
        <v>218</v>
      </c>
      <c r="E3614" s="97">
        <v>-1.83E-2</v>
      </c>
    </row>
    <row r="3615" spans="1:5" ht="15">
      <c r="A3615" s="98">
        <v>1387</v>
      </c>
      <c r="B3615">
        <v>18.63</v>
      </c>
      <c r="C3615">
        <v>17.760000000000002</v>
      </c>
      <c r="D3615" t="s">
        <v>218</v>
      </c>
      <c r="E3615" s="97">
        <v>0.1109</v>
      </c>
    </row>
    <row r="3616" spans="1:5" ht="15">
      <c r="A3616" s="98">
        <v>1386</v>
      </c>
      <c r="B3616">
        <v>17.98</v>
      </c>
      <c r="C3616">
        <v>16.739999999999998</v>
      </c>
      <c r="D3616" t="s">
        <v>218</v>
      </c>
      <c r="E3616" s="97">
        <v>-5.2299999999999999E-2</v>
      </c>
    </row>
    <row r="3617" spans="1:5" ht="15">
      <c r="A3617" s="98">
        <v>1385</v>
      </c>
      <c r="B3617">
        <v>17.84</v>
      </c>
      <c r="C3617">
        <v>16.25</v>
      </c>
      <c r="D3617" t="s">
        <v>218</v>
      </c>
      <c r="E3617" s="97">
        <v>-6.6400000000000001E-2</v>
      </c>
    </row>
    <row r="3618" spans="1:5" ht="15">
      <c r="A3618" s="98">
        <v>1384</v>
      </c>
      <c r="B3618">
        <v>17.920000000000002</v>
      </c>
      <c r="C3618">
        <v>16.3</v>
      </c>
      <c r="D3618" t="s">
        <v>218</v>
      </c>
      <c r="E3618" s="97">
        <v>-6.3100000000000003E-2</v>
      </c>
    </row>
    <row r="3619" spans="1:5" ht="15">
      <c r="A3619" s="98">
        <v>1383</v>
      </c>
      <c r="B3619">
        <v>17.89</v>
      </c>
      <c r="C3619">
        <v>15.82</v>
      </c>
      <c r="D3619" t="s">
        <v>218</v>
      </c>
      <c r="E3619" s="97">
        <v>-5.3E-3</v>
      </c>
    </row>
    <row r="3620" spans="1:5" ht="15">
      <c r="A3620" s="98">
        <v>1382</v>
      </c>
      <c r="B3620">
        <v>18.420000000000002</v>
      </c>
      <c r="C3620">
        <v>17.02</v>
      </c>
      <c r="D3620" t="s">
        <v>218</v>
      </c>
      <c r="E3620" s="97">
        <v>0.04</v>
      </c>
    </row>
    <row r="3621" spans="1:5" ht="15">
      <c r="A3621" s="98">
        <v>1381</v>
      </c>
      <c r="B3621">
        <v>18.89</v>
      </c>
      <c r="C3621">
        <v>17.010000000000002</v>
      </c>
      <c r="D3621" t="s">
        <v>218</v>
      </c>
      <c r="E3621" s="97">
        <v>-5.6399999999999999E-2</v>
      </c>
    </row>
    <row r="3622" spans="1:5" ht="15">
      <c r="A3622" s="98">
        <v>1380</v>
      </c>
      <c r="B3622">
        <v>19.11</v>
      </c>
      <c r="C3622">
        <v>17.82</v>
      </c>
      <c r="D3622" t="s">
        <v>218</v>
      </c>
      <c r="E3622" s="97">
        <v>8.1600000000000006E-2</v>
      </c>
    </row>
    <row r="3623" spans="1:5" ht="15">
      <c r="A3623" s="98">
        <v>1379</v>
      </c>
      <c r="B3623">
        <v>19.8</v>
      </c>
      <c r="C3623">
        <v>18.38</v>
      </c>
      <c r="D3623" t="s">
        <v>218</v>
      </c>
      <c r="E3623" s="97">
        <v>-1.7500000000000002E-2</v>
      </c>
    </row>
    <row r="3624" spans="1:5" ht="15">
      <c r="A3624" s="98">
        <v>1378</v>
      </c>
      <c r="B3624">
        <v>20.95</v>
      </c>
      <c r="C3624">
        <v>19.420000000000002</v>
      </c>
      <c r="D3624" t="s">
        <v>218</v>
      </c>
      <c r="E3624" s="97">
        <v>-5.0000000000000001E-3</v>
      </c>
    </row>
    <row r="3625" spans="1:5" ht="15">
      <c r="A3625" s="98">
        <v>1377</v>
      </c>
      <c r="B3625">
        <v>20.03</v>
      </c>
      <c r="C3625">
        <v>19.010000000000002</v>
      </c>
      <c r="D3625" t="s">
        <v>218</v>
      </c>
      <c r="E3625" s="97">
        <v>2.8E-3</v>
      </c>
    </row>
    <row r="3626" spans="1:5" ht="15">
      <c r="A3626" s="98">
        <v>1376</v>
      </c>
      <c r="B3626">
        <v>19.170000000000002</v>
      </c>
      <c r="C3626">
        <v>17.54</v>
      </c>
      <c r="D3626" t="s">
        <v>218</v>
      </c>
      <c r="E3626" s="97">
        <v>-9.1000000000000004E-3</v>
      </c>
    </row>
    <row r="3627" spans="1:5" ht="15">
      <c r="A3627" s="98">
        <v>1375</v>
      </c>
      <c r="B3627">
        <v>18.21</v>
      </c>
      <c r="C3627">
        <v>17.559999999999999</v>
      </c>
      <c r="D3627" t="s">
        <v>218</v>
      </c>
      <c r="E3627" s="97">
        <v>-2.01E-2</v>
      </c>
    </row>
    <row r="3628" spans="1:5" ht="15">
      <c r="A3628" s="98">
        <v>1374</v>
      </c>
      <c r="B3628">
        <v>20.45</v>
      </c>
      <c r="C3628">
        <v>17.829999999999998</v>
      </c>
      <c r="D3628" t="s">
        <v>218</v>
      </c>
      <c r="E3628" s="97">
        <v>-0.13550000000000001</v>
      </c>
    </row>
    <row r="3629" spans="1:5" ht="15">
      <c r="A3629" s="98">
        <v>1373</v>
      </c>
      <c r="B3629">
        <v>21</v>
      </c>
      <c r="C3629">
        <v>18.89</v>
      </c>
      <c r="D3629" t="s">
        <v>218</v>
      </c>
      <c r="E3629" s="97">
        <v>-2.2599999999999999E-2</v>
      </c>
    </row>
    <row r="3630" spans="1:5" ht="15">
      <c r="A3630" s="98">
        <v>1372</v>
      </c>
      <c r="B3630">
        <v>21.31</v>
      </c>
      <c r="C3630">
        <v>19.760000000000002</v>
      </c>
      <c r="D3630" t="s">
        <v>218</v>
      </c>
      <c r="E3630" s="97">
        <v>2.3599999999999999E-2</v>
      </c>
    </row>
    <row r="3631" spans="1:5" ht="15">
      <c r="A3631" s="98">
        <v>1371</v>
      </c>
      <c r="B3631">
        <v>20.59</v>
      </c>
      <c r="C3631">
        <v>18.62</v>
      </c>
      <c r="D3631" t="s">
        <v>218</v>
      </c>
      <c r="E3631" s="97">
        <v>2.29E-2</v>
      </c>
    </row>
    <row r="3632" spans="1:5" ht="15">
      <c r="A3632" s="98">
        <v>1370</v>
      </c>
      <c r="B3632">
        <v>23.79</v>
      </c>
      <c r="C3632">
        <v>18.63</v>
      </c>
      <c r="D3632" t="s">
        <v>218</v>
      </c>
      <c r="E3632" s="97">
        <v>5.9400000000000001E-2</v>
      </c>
    </row>
    <row r="3633" spans="1:5" ht="15">
      <c r="A3633" s="98">
        <v>1369</v>
      </c>
      <c r="B3633">
        <v>24.47</v>
      </c>
      <c r="C3633">
        <v>20.78</v>
      </c>
      <c r="D3633" t="s">
        <v>218</v>
      </c>
      <c r="E3633" s="97">
        <v>-5.0000000000000001E-3</v>
      </c>
    </row>
    <row r="3634" spans="1:5" ht="15">
      <c r="A3634" s="98">
        <v>1368</v>
      </c>
      <c r="B3634">
        <v>24.42</v>
      </c>
      <c r="C3634">
        <v>22.31</v>
      </c>
      <c r="D3634" t="s">
        <v>218</v>
      </c>
      <c r="E3634" s="97">
        <v>1.01E-2</v>
      </c>
    </row>
    <row r="3635" spans="1:5" ht="15">
      <c r="A3635" s="98">
        <v>1367</v>
      </c>
      <c r="B3635">
        <v>24.3</v>
      </c>
      <c r="C3635">
        <v>22.86</v>
      </c>
      <c r="D3635" t="s">
        <v>218</v>
      </c>
      <c r="E3635" s="97">
        <v>1.49E-2</v>
      </c>
    </row>
    <row r="3636" spans="1:5" ht="15">
      <c r="A3636" s="98">
        <v>1366</v>
      </c>
      <c r="B3636">
        <v>23.98</v>
      </c>
      <c r="C3636">
        <v>21.91</v>
      </c>
      <c r="D3636" t="s">
        <v>218</v>
      </c>
      <c r="E3636" s="97">
        <v>-0.1057</v>
      </c>
    </row>
    <row r="3637" spans="1:5" ht="15">
      <c r="A3637" s="98">
        <v>1365</v>
      </c>
      <c r="B3637">
        <v>23.14</v>
      </c>
      <c r="C3637">
        <v>21.04</v>
      </c>
      <c r="D3637" t="s">
        <v>218</v>
      </c>
      <c r="E3637" s="97">
        <v>-4.0000000000000002E-4</v>
      </c>
    </row>
    <row r="3638" spans="1:5" ht="15">
      <c r="A3638" s="98">
        <v>1364</v>
      </c>
      <c r="B3638">
        <v>22.84</v>
      </c>
      <c r="C3638">
        <v>20.73</v>
      </c>
      <c r="D3638" t="s">
        <v>218</v>
      </c>
      <c r="E3638" s="97">
        <v>-1.54E-2</v>
      </c>
    </row>
    <row r="3639" spans="1:5" ht="15">
      <c r="A3639" s="98">
        <v>1363</v>
      </c>
      <c r="B3639">
        <v>21.42</v>
      </c>
      <c r="C3639">
        <v>20.02</v>
      </c>
      <c r="D3639" t="s">
        <v>218</v>
      </c>
      <c r="E3639" s="97">
        <v>4.8399999999999999E-2</v>
      </c>
    </row>
    <row r="3640" spans="1:5" ht="15">
      <c r="A3640" s="98">
        <v>1362</v>
      </c>
      <c r="B3640">
        <v>22.86</v>
      </c>
      <c r="C3640">
        <v>21.26</v>
      </c>
      <c r="D3640" t="s">
        <v>218</v>
      </c>
      <c r="E3640" s="97">
        <v>-9.7100000000000006E-2</v>
      </c>
    </row>
    <row r="3641" spans="1:5" ht="15">
      <c r="A3641" s="98">
        <v>1361</v>
      </c>
      <c r="B3641">
        <v>22.61</v>
      </c>
      <c r="C3641">
        <v>20.91</v>
      </c>
      <c r="D3641" t="s">
        <v>218</v>
      </c>
      <c r="E3641" s="97">
        <v>1.9900000000000001E-2</v>
      </c>
    </row>
    <row r="3642" spans="1:5" ht="15">
      <c r="A3642" s="98">
        <v>1360</v>
      </c>
      <c r="B3642">
        <v>23.7</v>
      </c>
      <c r="C3642">
        <v>21.58</v>
      </c>
      <c r="D3642" t="s">
        <v>218</v>
      </c>
      <c r="E3642" s="97">
        <v>-4.5999999999999999E-2</v>
      </c>
    </row>
    <row r="3643" spans="1:5" ht="15">
      <c r="A3643" s="98">
        <v>1359</v>
      </c>
      <c r="B3643">
        <v>23.14</v>
      </c>
      <c r="C3643">
        <v>22.52</v>
      </c>
      <c r="D3643" t="s">
        <v>218</v>
      </c>
      <c r="E3643" s="97">
        <v>4.6300000000000001E-2</v>
      </c>
    </row>
    <row r="3644" spans="1:5" ht="15">
      <c r="A3644" s="98">
        <v>1358</v>
      </c>
      <c r="B3644">
        <v>23.48</v>
      </c>
      <c r="C3644">
        <v>21.68</v>
      </c>
      <c r="D3644" t="s">
        <v>218</v>
      </c>
      <c r="E3644" s="97">
        <v>0.13200000000000001</v>
      </c>
    </row>
    <row r="3645" spans="1:5" ht="15">
      <c r="A3645" s="98">
        <v>1357</v>
      </c>
      <c r="B3645">
        <v>22.42</v>
      </c>
      <c r="C3645">
        <v>20.34</v>
      </c>
      <c r="D3645" t="s">
        <v>218</v>
      </c>
      <c r="E3645" s="97">
        <v>-2.5000000000000001E-3</v>
      </c>
    </row>
    <row r="3646" spans="1:5" ht="15">
      <c r="A3646" s="98">
        <v>1356</v>
      </c>
      <c r="B3646">
        <v>23.99</v>
      </c>
      <c r="C3646">
        <v>22.15</v>
      </c>
      <c r="D3646" t="s">
        <v>218</v>
      </c>
      <c r="E3646" s="97">
        <v>-2.47E-2</v>
      </c>
    </row>
    <row r="3647" spans="1:5" ht="15">
      <c r="A3647" s="98">
        <v>1355</v>
      </c>
      <c r="B3647">
        <v>24.56</v>
      </c>
      <c r="C3647">
        <v>23.3</v>
      </c>
      <c r="D3647" t="s">
        <v>218</v>
      </c>
      <c r="E3647" s="97">
        <v>-0.08</v>
      </c>
    </row>
    <row r="3648" spans="1:5" ht="15">
      <c r="A3648" s="98">
        <v>1354</v>
      </c>
      <c r="B3648">
        <v>24.26</v>
      </c>
      <c r="C3648">
        <v>23.27</v>
      </c>
      <c r="D3648" t="s">
        <v>218</v>
      </c>
      <c r="E3648" s="97">
        <v>-6.9999999999999999E-4</v>
      </c>
    </row>
    <row r="3649" spans="1:5" ht="15">
      <c r="A3649" s="98">
        <v>1353</v>
      </c>
      <c r="B3649">
        <v>25.57</v>
      </c>
      <c r="C3649">
        <v>23.64</v>
      </c>
      <c r="D3649" t="s">
        <v>218</v>
      </c>
      <c r="E3649" s="97">
        <v>1.5599999999999999E-2</v>
      </c>
    </row>
    <row r="3650" spans="1:5" ht="15">
      <c r="A3650" s="98">
        <v>1352</v>
      </c>
      <c r="B3650">
        <v>25.96</v>
      </c>
      <c r="C3650">
        <v>22.7</v>
      </c>
      <c r="D3650" t="s">
        <v>218</v>
      </c>
      <c r="E3650" s="97">
        <v>7.3499999999999996E-2</v>
      </c>
    </row>
    <row r="3651" spans="1:5" ht="15">
      <c r="A3651" s="98">
        <v>1351</v>
      </c>
      <c r="B3651">
        <v>26.08</v>
      </c>
      <c r="C3651">
        <v>24.44</v>
      </c>
      <c r="D3651" t="s">
        <v>218</v>
      </c>
      <c r="E3651" s="97">
        <v>-4.2500000000000003E-2</v>
      </c>
    </row>
    <row r="3652" spans="1:5" ht="15">
      <c r="A3652" s="98">
        <v>1350</v>
      </c>
      <c r="B3652">
        <v>26.91</v>
      </c>
      <c r="C3652">
        <v>24.73</v>
      </c>
      <c r="D3652" t="s">
        <v>218</v>
      </c>
      <c r="E3652" s="97">
        <v>1.9900000000000001E-2</v>
      </c>
    </row>
    <row r="3653" spans="1:5" ht="15">
      <c r="A3653" s="98">
        <v>1349</v>
      </c>
      <c r="B3653">
        <v>26.05</v>
      </c>
      <c r="C3653">
        <v>23.02</v>
      </c>
      <c r="D3653" t="s">
        <v>218</v>
      </c>
      <c r="E3653" s="97">
        <v>-3.7600000000000001E-2</v>
      </c>
    </row>
    <row r="3654" spans="1:5" ht="15">
      <c r="A3654" s="98">
        <v>1348</v>
      </c>
      <c r="B3654">
        <v>25.39</v>
      </c>
      <c r="C3654">
        <v>22.59</v>
      </c>
      <c r="D3654" t="s">
        <v>218</v>
      </c>
      <c r="E3654" s="97">
        <v>4.9700000000000001E-2</v>
      </c>
    </row>
    <row r="3655" spans="1:5" ht="15">
      <c r="A3655" s="98">
        <v>1347</v>
      </c>
      <c r="B3655">
        <v>26.62</v>
      </c>
      <c r="C3655">
        <v>25.07</v>
      </c>
      <c r="D3655" t="s">
        <v>218</v>
      </c>
      <c r="E3655" s="97">
        <v>-7.5800000000000006E-2</v>
      </c>
    </row>
    <row r="3656" spans="1:5" ht="15">
      <c r="A3656" s="98">
        <v>1346</v>
      </c>
      <c r="B3656">
        <v>29.44</v>
      </c>
      <c r="C3656">
        <v>25.56</v>
      </c>
      <c r="D3656" t="s">
        <v>218</v>
      </c>
      <c r="E3656" s="97">
        <v>8.9300000000000004E-2</v>
      </c>
    </row>
    <row r="3657" spans="1:5" ht="15">
      <c r="A3657" s="98">
        <v>1345</v>
      </c>
      <c r="B3657">
        <v>29.3</v>
      </c>
      <c r="C3657">
        <v>26.9</v>
      </c>
      <c r="D3657" t="s">
        <v>218</v>
      </c>
      <c r="E3657" s="97">
        <v>-1.6799999999999999E-2</v>
      </c>
    </row>
    <row r="3658" spans="1:5" ht="15">
      <c r="A3658" s="98">
        <v>1344</v>
      </c>
      <c r="B3658">
        <v>30.81</v>
      </c>
      <c r="C3658">
        <v>27.01</v>
      </c>
      <c r="D3658" t="s">
        <v>218</v>
      </c>
      <c r="E3658" s="97">
        <v>6.0900000000000003E-2</v>
      </c>
    </row>
    <row r="3659" spans="1:5" ht="15">
      <c r="A3659" s="98">
        <v>1343</v>
      </c>
      <c r="B3659">
        <v>28.32</v>
      </c>
      <c r="C3659">
        <v>24.87</v>
      </c>
      <c r="D3659" t="s">
        <v>218</v>
      </c>
      <c r="E3659" s="97">
        <v>-3.6700000000000003E-2</v>
      </c>
    </row>
    <row r="3660" spans="1:5" ht="15">
      <c r="A3660" s="98">
        <v>1342</v>
      </c>
      <c r="B3660">
        <v>25.5</v>
      </c>
      <c r="C3660">
        <v>23.99</v>
      </c>
      <c r="D3660" t="s">
        <v>218</v>
      </c>
      <c r="E3660" s="97">
        <v>4.0000000000000002E-4</v>
      </c>
    </row>
    <row r="3661" spans="1:5" ht="15">
      <c r="A3661" s="98">
        <v>1341</v>
      </c>
      <c r="B3661">
        <v>25.19</v>
      </c>
      <c r="C3661">
        <v>23.78</v>
      </c>
      <c r="D3661" t="s">
        <v>218</v>
      </c>
      <c r="E3661" s="97">
        <v>2.7E-2</v>
      </c>
    </row>
    <row r="3662" spans="1:5" ht="15">
      <c r="A3662" s="98">
        <v>1340</v>
      </c>
      <c r="B3662">
        <v>24.58</v>
      </c>
      <c r="C3662">
        <v>23.04</v>
      </c>
      <c r="D3662" t="s">
        <v>218</v>
      </c>
      <c r="E3662" s="97">
        <v>4.4499999999999998E-2</v>
      </c>
    </row>
    <row r="3663" spans="1:5" ht="15">
      <c r="A3663" s="98">
        <v>1339</v>
      </c>
      <c r="B3663">
        <v>24.08</v>
      </c>
      <c r="C3663">
        <v>21.05</v>
      </c>
      <c r="D3663" t="s">
        <v>218</v>
      </c>
      <c r="E3663" s="97">
        <v>-7.1999999999999998E-3</v>
      </c>
    </row>
    <row r="3664" spans="1:5" ht="15">
      <c r="A3664" s="98">
        <v>1338</v>
      </c>
      <c r="B3664">
        <v>22.08</v>
      </c>
      <c r="C3664">
        <v>20.73</v>
      </c>
      <c r="D3664" t="s">
        <v>218</v>
      </c>
      <c r="E3664" s="97">
        <v>3.3799999999999997E-2</v>
      </c>
    </row>
    <row r="3665" spans="1:5" ht="15">
      <c r="A3665" s="98">
        <v>1337</v>
      </c>
      <c r="B3665">
        <v>23.61</v>
      </c>
      <c r="C3665">
        <v>21.31</v>
      </c>
      <c r="D3665" t="s">
        <v>218</v>
      </c>
      <c r="E3665" s="97">
        <v>6.1999999999999998E-3</v>
      </c>
    </row>
    <row r="3666" spans="1:5" ht="15">
      <c r="A3666" s="98">
        <v>1336</v>
      </c>
      <c r="B3666">
        <v>23.45</v>
      </c>
      <c r="C3666">
        <v>22.31</v>
      </c>
      <c r="D3666" t="s">
        <v>218</v>
      </c>
      <c r="E3666" s="97">
        <v>-2.9600000000000001E-2</v>
      </c>
    </row>
    <row r="3667" spans="1:5" ht="15">
      <c r="A3667" s="98">
        <v>1335</v>
      </c>
      <c r="B3667">
        <v>24.62</v>
      </c>
      <c r="C3667">
        <v>22.91</v>
      </c>
      <c r="D3667" t="s">
        <v>218</v>
      </c>
      <c r="E3667" s="97">
        <v>-6.83E-2</v>
      </c>
    </row>
    <row r="3668" spans="1:5" ht="15">
      <c r="A3668" s="98">
        <v>1334</v>
      </c>
      <c r="B3668">
        <v>24.22</v>
      </c>
      <c r="C3668">
        <v>21.96</v>
      </c>
      <c r="D3668" t="s">
        <v>218</v>
      </c>
      <c r="E3668" s="97">
        <v>-5.2999999999999999E-2</v>
      </c>
    </row>
    <row r="3669" spans="1:5" ht="15">
      <c r="A3669" s="98">
        <v>1333</v>
      </c>
      <c r="B3669">
        <v>22.31</v>
      </c>
      <c r="C3669">
        <v>20.99</v>
      </c>
      <c r="D3669" t="s">
        <v>218</v>
      </c>
      <c r="E3669" s="97">
        <v>0.10539999999999999</v>
      </c>
    </row>
    <row r="3670" spans="1:5" ht="15">
      <c r="A3670" s="98">
        <v>1332</v>
      </c>
      <c r="B3670">
        <v>22.96</v>
      </c>
      <c r="C3670">
        <v>21.45</v>
      </c>
      <c r="D3670" t="s">
        <v>218</v>
      </c>
      <c r="E3670" s="97">
        <v>-1.2999999999999999E-3</v>
      </c>
    </row>
    <row r="3671" spans="1:5" ht="15">
      <c r="A3671" s="98">
        <v>1331</v>
      </c>
      <c r="B3671">
        <v>23.37</v>
      </c>
      <c r="C3671">
        <v>22.35</v>
      </c>
      <c r="D3671" t="s">
        <v>218</v>
      </c>
      <c r="E3671" s="97">
        <v>-4.0500000000000001E-2</v>
      </c>
    </row>
    <row r="3672" spans="1:5" ht="15">
      <c r="A3672" s="98">
        <v>1330</v>
      </c>
      <c r="B3672">
        <v>23.86</v>
      </c>
      <c r="C3672">
        <v>22.94</v>
      </c>
      <c r="D3672" t="s">
        <v>218</v>
      </c>
      <c r="E3672" s="97">
        <v>9.7199999999999995E-2</v>
      </c>
    </row>
    <row r="3673" spans="1:5" ht="15">
      <c r="A3673" s="98">
        <v>1329</v>
      </c>
      <c r="B3673">
        <v>22.99</v>
      </c>
      <c r="C3673">
        <v>20.059999999999999</v>
      </c>
      <c r="D3673" t="s">
        <v>218</v>
      </c>
      <c r="E3673" s="97">
        <v>3.6499999999999998E-2</v>
      </c>
    </row>
    <row r="3674" spans="1:5" ht="15">
      <c r="A3674" s="98">
        <v>1328</v>
      </c>
      <c r="B3674">
        <v>21.66</v>
      </c>
      <c r="C3674">
        <v>19.75</v>
      </c>
      <c r="D3674" t="s">
        <v>218</v>
      </c>
      <c r="E3674" s="97">
        <v>7.3000000000000001E-3</v>
      </c>
    </row>
    <row r="3675" spans="1:5" ht="15">
      <c r="A3675" s="98">
        <v>1327</v>
      </c>
      <c r="B3675">
        <v>21.46</v>
      </c>
      <c r="C3675">
        <v>20.23</v>
      </c>
      <c r="D3675" t="s">
        <v>218</v>
      </c>
      <c r="E3675" s="97">
        <v>-3.6299999999999999E-2</v>
      </c>
    </row>
    <row r="3676" spans="1:5" ht="15">
      <c r="A3676" s="98">
        <v>1326</v>
      </c>
      <c r="B3676">
        <v>21.69</v>
      </c>
      <c r="C3676">
        <v>20.11</v>
      </c>
      <c r="D3676" t="s">
        <v>218</v>
      </c>
      <c r="E3676" s="97">
        <v>-9.5999999999999992E-3</v>
      </c>
    </row>
    <row r="3677" spans="1:5" ht="15">
      <c r="A3677" s="98">
        <v>1325</v>
      </c>
      <c r="B3677">
        <v>20.96</v>
      </c>
      <c r="C3677">
        <v>19.66</v>
      </c>
      <c r="D3677" t="s">
        <v>218</v>
      </c>
      <c r="E3677" s="97">
        <v>7.1000000000000004E-3</v>
      </c>
    </row>
    <row r="3678" spans="1:5" ht="15">
      <c r="A3678" s="98">
        <v>1324</v>
      </c>
      <c r="B3678">
        <v>21.51</v>
      </c>
      <c r="C3678">
        <v>20.38</v>
      </c>
      <c r="D3678" t="s">
        <v>218</v>
      </c>
      <c r="E3678" s="97">
        <v>2.07E-2</v>
      </c>
    </row>
    <row r="3679" spans="1:5" ht="15">
      <c r="A3679" s="98">
        <v>1323</v>
      </c>
      <c r="B3679">
        <v>22.11</v>
      </c>
      <c r="C3679">
        <v>20.8</v>
      </c>
      <c r="D3679" t="s">
        <v>218</v>
      </c>
      <c r="E3679" s="97">
        <v>5.8999999999999999E-3</v>
      </c>
    </row>
    <row r="3680" spans="1:5" ht="15">
      <c r="A3680" s="98">
        <v>1322</v>
      </c>
      <c r="B3680">
        <v>22.3</v>
      </c>
      <c r="C3680">
        <v>20.07</v>
      </c>
      <c r="D3680" t="s">
        <v>218</v>
      </c>
      <c r="E3680" s="97">
        <v>-5.16E-2</v>
      </c>
    </row>
    <row r="3681" spans="1:5" ht="15">
      <c r="A3681" s="98">
        <v>1321</v>
      </c>
      <c r="B3681">
        <v>20.65</v>
      </c>
      <c r="C3681">
        <v>19.57</v>
      </c>
      <c r="D3681" t="s">
        <v>218</v>
      </c>
      <c r="E3681" s="97">
        <v>2.3300000000000001E-2</v>
      </c>
    </row>
    <row r="3682" spans="1:5" ht="15">
      <c r="A3682" s="98">
        <v>1320</v>
      </c>
      <c r="B3682">
        <v>21.44</v>
      </c>
      <c r="C3682">
        <v>19.579999999999998</v>
      </c>
      <c r="D3682" t="s">
        <v>218</v>
      </c>
      <c r="E3682" s="97">
        <v>-3.44E-2</v>
      </c>
    </row>
    <row r="3683" spans="1:5" ht="15">
      <c r="A3683" s="98">
        <v>1319</v>
      </c>
      <c r="B3683">
        <v>22.14</v>
      </c>
      <c r="C3683">
        <v>21.28</v>
      </c>
      <c r="D3683" t="s">
        <v>218</v>
      </c>
      <c r="E3683" s="97">
        <v>-2.0799999999999999E-2</v>
      </c>
    </row>
    <row r="3684" spans="1:5" ht="15">
      <c r="A3684" s="98">
        <v>1318</v>
      </c>
      <c r="B3684">
        <v>21.67</v>
      </c>
      <c r="C3684">
        <v>20.39</v>
      </c>
      <c r="D3684" t="s">
        <v>218</v>
      </c>
      <c r="E3684" s="97">
        <v>-1.1900000000000001E-2</v>
      </c>
    </row>
    <row r="3685" spans="1:5" ht="15">
      <c r="A3685" s="98">
        <v>1317</v>
      </c>
      <c r="B3685">
        <v>21.08</v>
      </c>
      <c r="C3685">
        <v>18.940000000000001</v>
      </c>
      <c r="D3685" t="s">
        <v>218</v>
      </c>
      <c r="E3685" s="97">
        <v>-8.5300000000000001E-2</v>
      </c>
    </row>
    <row r="3686" spans="1:5" ht="15">
      <c r="A3686" s="98">
        <v>1316</v>
      </c>
      <c r="B3686">
        <v>19.829999999999998</v>
      </c>
      <c r="C3686">
        <v>18.64</v>
      </c>
      <c r="D3686" t="s">
        <v>218</v>
      </c>
      <c r="E3686" s="97">
        <v>-2.46E-2</v>
      </c>
    </row>
    <row r="3687" spans="1:5" ht="15">
      <c r="A3687" s="98">
        <v>1315</v>
      </c>
      <c r="B3687">
        <v>21.22</v>
      </c>
      <c r="C3687">
        <v>18.78</v>
      </c>
      <c r="D3687" t="s">
        <v>218</v>
      </c>
      <c r="E3687" s="97">
        <v>9.0800000000000006E-2</v>
      </c>
    </row>
    <row r="3688" spans="1:5" ht="15">
      <c r="A3688" s="98">
        <v>1314</v>
      </c>
      <c r="B3688">
        <v>21.27</v>
      </c>
      <c r="C3688">
        <v>20.48</v>
      </c>
      <c r="D3688" t="s">
        <v>218</v>
      </c>
      <c r="E3688" s="97">
        <v>2.8000000000000001E-2</v>
      </c>
    </row>
    <row r="3689" spans="1:5" ht="15">
      <c r="A3689" s="98">
        <v>1313</v>
      </c>
      <c r="B3689">
        <v>20.67</v>
      </c>
      <c r="C3689">
        <v>19.53</v>
      </c>
      <c r="D3689" t="s">
        <v>218</v>
      </c>
      <c r="E3689" s="97">
        <v>7.9000000000000008E-3</v>
      </c>
    </row>
    <row r="3690" spans="1:5" ht="15">
      <c r="A3690" s="98">
        <v>1312</v>
      </c>
      <c r="B3690">
        <v>19.66</v>
      </c>
      <c r="C3690">
        <v>19.22</v>
      </c>
      <c r="D3690" t="s">
        <v>218</v>
      </c>
      <c r="E3690" s="97">
        <v>-5.6300000000000003E-2</v>
      </c>
    </row>
    <row r="3691" spans="1:5" ht="15">
      <c r="A3691" s="98">
        <v>1311</v>
      </c>
      <c r="B3691">
        <v>20.71</v>
      </c>
      <c r="C3691">
        <v>19.43</v>
      </c>
      <c r="D3691" t="s">
        <v>218</v>
      </c>
      <c r="E3691" s="97">
        <v>1.67E-2</v>
      </c>
    </row>
    <row r="3692" spans="1:5" ht="15">
      <c r="A3692" s="98">
        <v>1310</v>
      </c>
      <c r="B3692">
        <v>22.3</v>
      </c>
      <c r="C3692">
        <v>20.47</v>
      </c>
      <c r="D3692" t="s">
        <v>218</v>
      </c>
      <c r="E3692" s="97">
        <v>-3.5999999999999999E-3</v>
      </c>
    </row>
    <row r="3693" spans="1:5" ht="15">
      <c r="A3693" s="98">
        <v>1309</v>
      </c>
      <c r="B3693">
        <v>22.3</v>
      </c>
      <c r="C3693">
        <v>21.39</v>
      </c>
      <c r="D3693" t="s">
        <v>218</v>
      </c>
      <c r="E3693" s="97">
        <v>1.61E-2</v>
      </c>
    </row>
    <row r="3694" spans="1:5" ht="15">
      <c r="A3694" s="98">
        <v>1308</v>
      </c>
      <c r="B3694">
        <v>24.15</v>
      </c>
      <c r="C3694">
        <v>21.91</v>
      </c>
      <c r="D3694" t="s">
        <v>218</v>
      </c>
      <c r="E3694" s="97">
        <v>1.9300000000000001E-2</v>
      </c>
    </row>
    <row r="3695" spans="1:5" ht="15">
      <c r="A3695" s="98">
        <v>1307</v>
      </c>
      <c r="B3695">
        <v>24.71</v>
      </c>
      <c r="C3695">
        <v>22.97</v>
      </c>
      <c r="D3695" t="s">
        <v>218</v>
      </c>
      <c r="E3695" s="97">
        <v>-1.6899999999999998E-2</v>
      </c>
    </row>
    <row r="3696" spans="1:5" ht="15">
      <c r="A3696" s="98">
        <v>1306</v>
      </c>
      <c r="B3696">
        <v>24.06</v>
      </c>
      <c r="C3696">
        <v>22.12</v>
      </c>
      <c r="D3696" t="s">
        <v>218</v>
      </c>
      <c r="E3696" s="97">
        <v>-9.1999999999999998E-3</v>
      </c>
    </row>
    <row r="3697" spans="1:5" ht="15">
      <c r="A3697" s="98">
        <v>1305</v>
      </c>
      <c r="B3697">
        <v>25.68</v>
      </c>
      <c r="C3697">
        <v>22.58</v>
      </c>
      <c r="D3697" t="s">
        <v>218</v>
      </c>
      <c r="E3697" s="97">
        <v>1.9599999999999999E-2</v>
      </c>
    </row>
    <row r="3698" spans="1:5" ht="15">
      <c r="A3698" s="98">
        <v>1304</v>
      </c>
      <c r="B3698">
        <v>25.48</v>
      </c>
      <c r="C3698">
        <v>23.8</v>
      </c>
      <c r="D3698" t="s">
        <v>218</v>
      </c>
      <c r="E3698" s="97">
        <v>1.9099999999999999E-2</v>
      </c>
    </row>
    <row r="3699" spans="1:5" ht="15">
      <c r="A3699" s="98">
        <v>1303</v>
      </c>
      <c r="B3699">
        <v>26.25</v>
      </c>
      <c r="C3699">
        <v>24.39</v>
      </c>
      <c r="D3699" t="s">
        <v>218</v>
      </c>
      <c r="E3699" s="97">
        <v>-9.7100000000000006E-2</v>
      </c>
    </row>
    <row r="3700" spans="1:5" ht="15">
      <c r="A3700" s="98">
        <v>1302</v>
      </c>
      <c r="B3700">
        <v>26.67</v>
      </c>
      <c r="C3700">
        <v>24.8</v>
      </c>
      <c r="D3700" t="s">
        <v>218</v>
      </c>
      <c r="E3700" s="97">
        <v>-8.1600000000000006E-2</v>
      </c>
    </row>
    <row r="3701" spans="1:5" ht="15">
      <c r="A3701" s="98">
        <v>1301</v>
      </c>
      <c r="B3701">
        <v>31.87</v>
      </c>
      <c r="C3701">
        <v>25.66</v>
      </c>
      <c r="D3701" t="s">
        <v>218</v>
      </c>
      <c r="E3701" s="97">
        <v>-6.1999999999999998E-3</v>
      </c>
    </row>
    <row r="3702" spans="1:5" ht="15">
      <c r="A3702" s="98">
        <v>1300</v>
      </c>
      <c r="B3702">
        <v>33.700000000000003</v>
      </c>
      <c r="C3702">
        <v>30.24</v>
      </c>
      <c r="D3702" t="s">
        <v>218</v>
      </c>
      <c r="E3702" s="97">
        <v>0.03</v>
      </c>
    </row>
    <row r="3703" spans="1:5" ht="15">
      <c r="A3703" s="98">
        <v>1299</v>
      </c>
      <c r="B3703">
        <v>36.4</v>
      </c>
      <c r="C3703">
        <v>30.25</v>
      </c>
      <c r="D3703" t="s">
        <v>218</v>
      </c>
      <c r="E3703" s="97">
        <v>1.7600000000000001E-2</v>
      </c>
    </row>
    <row r="3704" spans="1:5" ht="15">
      <c r="A3704" s="98">
        <v>1298</v>
      </c>
      <c r="B3704">
        <v>42.16</v>
      </c>
      <c r="C3704">
        <v>33.1</v>
      </c>
      <c r="D3704" t="s">
        <v>218</v>
      </c>
      <c r="E3704" s="97">
        <v>-4.5999999999999999E-3</v>
      </c>
    </row>
    <row r="3705" spans="1:5" ht="15">
      <c r="A3705" s="98">
        <v>1297</v>
      </c>
      <c r="B3705">
        <v>33.08</v>
      </c>
      <c r="C3705">
        <v>27.95</v>
      </c>
      <c r="D3705" t="s">
        <v>218</v>
      </c>
      <c r="E3705" s="97">
        <v>2.9399999999999999E-2</v>
      </c>
    </row>
    <row r="3706" spans="1:5" ht="15">
      <c r="A3706" s="98">
        <v>1296</v>
      </c>
      <c r="B3706">
        <v>34.22</v>
      </c>
      <c r="C3706">
        <v>30.81</v>
      </c>
      <c r="D3706" t="s">
        <v>218</v>
      </c>
      <c r="E3706" s="97">
        <v>2.7199999999999998E-2</v>
      </c>
    </row>
    <row r="3707" spans="1:5" ht="15">
      <c r="A3707" s="98">
        <v>1295</v>
      </c>
      <c r="B3707">
        <v>36.08</v>
      </c>
      <c r="C3707">
        <v>32.630000000000003</v>
      </c>
      <c r="D3707" t="s">
        <v>218</v>
      </c>
      <c r="E3707" s="97">
        <v>2.4E-2</v>
      </c>
    </row>
    <row r="3708" spans="1:5" ht="15">
      <c r="A3708" s="98">
        <v>1294</v>
      </c>
      <c r="B3708">
        <v>36.71</v>
      </c>
      <c r="C3708">
        <v>34.159999999999997</v>
      </c>
      <c r="D3708" t="s">
        <v>218</v>
      </c>
      <c r="E3708" s="97">
        <v>-0.1171</v>
      </c>
    </row>
    <row r="3709" spans="1:5" ht="15">
      <c r="A3709" s="98">
        <v>1293</v>
      </c>
      <c r="B3709">
        <v>35.19</v>
      </c>
      <c r="C3709">
        <v>32.450000000000003</v>
      </c>
      <c r="D3709" t="s">
        <v>218</v>
      </c>
      <c r="E3709" s="97">
        <v>-3.78E-2</v>
      </c>
    </row>
    <row r="3710" spans="1:5" ht="15">
      <c r="A3710" s="98">
        <v>1292</v>
      </c>
      <c r="B3710">
        <v>36.4</v>
      </c>
      <c r="C3710">
        <v>32.82</v>
      </c>
      <c r="D3710" t="s">
        <v>218</v>
      </c>
      <c r="E3710" s="97">
        <v>-6.4999999999999997E-3</v>
      </c>
    </row>
    <row r="3711" spans="1:5" ht="15">
      <c r="A3711" s="98">
        <v>1291</v>
      </c>
      <c r="B3711">
        <v>48.4</v>
      </c>
      <c r="C3711">
        <v>36.92</v>
      </c>
      <c r="D3711" t="s">
        <v>218</v>
      </c>
      <c r="E3711" s="97">
        <v>3.3700000000000001E-2</v>
      </c>
    </row>
    <row r="3712" spans="1:5" ht="15">
      <c r="A3712" s="98">
        <v>1290</v>
      </c>
      <c r="B3712">
        <v>43.8</v>
      </c>
      <c r="C3712">
        <v>38.86</v>
      </c>
      <c r="D3712" t="s">
        <v>218</v>
      </c>
      <c r="E3712" s="97">
        <v>-3.7000000000000002E-3</v>
      </c>
    </row>
    <row r="3713" spans="1:5" ht="15">
      <c r="A3713" s="98">
        <v>1289</v>
      </c>
      <c r="B3713">
        <v>42.38</v>
      </c>
      <c r="C3713">
        <v>39.39</v>
      </c>
      <c r="D3713" t="s">
        <v>218</v>
      </c>
      <c r="E3713" s="97">
        <v>8.5300000000000001E-2</v>
      </c>
    </row>
    <row r="3714" spans="1:5" ht="15">
      <c r="A3714" s="98">
        <v>1288</v>
      </c>
      <c r="B3714">
        <v>46.48</v>
      </c>
      <c r="C3714">
        <v>39.82</v>
      </c>
      <c r="D3714" t="s">
        <v>218</v>
      </c>
      <c r="E3714" s="97">
        <v>-9.9500000000000005E-2</v>
      </c>
    </row>
    <row r="3715" spans="1:5" ht="15">
      <c r="A3715" s="98">
        <v>1287</v>
      </c>
      <c r="B3715">
        <v>45.52</v>
      </c>
      <c r="C3715">
        <v>41.51</v>
      </c>
      <c r="D3715" t="s">
        <v>218</v>
      </c>
      <c r="E3715" s="97">
        <v>-2.9000000000000001E-2</v>
      </c>
    </row>
    <row r="3716" spans="1:5" ht="15">
      <c r="A3716" s="98">
        <v>1286</v>
      </c>
      <c r="B3716">
        <v>58.24</v>
      </c>
      <c r="C3716">
        <v>45.12</v>
      </c>
      <c r="D3716" t="s">
        <v>218</v>
      </c>
      <c r="E3716" s="97">
        <v>3.5999999999999997E-2</v>
      </c>
    </row>
    <row r="3717" spans="1:5" ht="15">
      <c r="A3717" s="98">
        <v>1285</v>
      </c>
      <c r="B3717">
        <v>54.19</v>
      </c>
      <c r="C3717">
        <v>47.03</v>
      </c>
      <c r="D3717" t="s">
        <v>218</v>
      </c>
      <c r="E3717" s="97">
        <v>2.0199999999999999E-2</v>
      </c>
    </row>
    <row r="3718" spans="1:5" ht="15">
      <c r="A3718" s="98">
        <v>1284</v>
      </c>
      <c r="B3718">
        <v>59.06</v>
      </c>
      <c r="C3718">
        <v>51.9</v>
      </c>
      <c r="D3718" t="s">
        <v>218</v>
      </c>
      <c r="E3718" s="97">
        <v>6.4000000000000003E-3</v>
      </c>
    </row>
    <row r="3719" spans="1:5" ht="15">
      <c r="A3719" s="98">
        <v>1283</v>
      </c>
      <c r="B3719">
        <v>64.92</v>
      </c>
      <c r="C3719">
        <v>52.54</v>
      </c>
      <c r="D3719" t="s">
        <v>218</v>
      </c>
      <c r="E3719" s="97">
        <v>5.74E-2</v>
      </c>
    </row>
    <row r="3720" spans="1:5" ht="15">
      <c r="A3720" s="98">
        <v>1282</v>
      </c>
      <c r="B3720">
        <v>76.94</v>
      </c>
      <c r="C3720">
        <v>65.63</v>
      </c>
      <c r="D3720" t="s">
        <v>218</v>
      </c>
      <c r="E3720" s="97">
        <v>-9.9000000000000008E-3</v>
      </c>
    </row>
    <row r="3721" spans="1:5" ht="15">
      <c r="A3721" s="98">
        <v>1281</v>
      </c>
      <c r="B3721">
        <v>71.42</v>
      </c>
      <c r="C3721">
        <v>54.69</v>
      </c>
      <c r="D3721" t="s">
        <v>218</v>
      </c>
      <c r="E3721" s="97">
        <v>1.77E-2</v>
      </c>
    </row>
    <row r="3722" spans="1:5" ht="15">
      <c r="A3722" s="98">
        <v>1280</v>
      </c>
      <c r="B3722">
        <v>59.81</v>
      </c>
      <c r="C3722">
        <v>46.35</v>
      </c>
      <c r="D3722" t="s">
        <v>218</v>
      </c>
      <c r="E3722" s="97">
        <v>5.4100000000000002E-2</v>
      </c>
    </row>
    <row r="3723" spans="1:5" ht="15">
      <c r="A3723" s="98">
        <v>1279</v>
      </c>
      <c r="B3723">
        <v>69.47</v>
      </c>
      <c r="C3723">
        <v>55.69</v>
      </c>
      <c r="D3723" t="s">
        <v>218</v>
      </c>
      <c r="E3723" s="97">
        <v>-6.6199999999999995E-2</v>
      </c>
    </row>
    <row r="3724" spans="1:5" ht="15">
      <c r="A3724" s="98">
        <v>1278</v>
      </c>
      <c r="B3724">
        <v>81.17</v>
      </c>
      <c r="C3724">
        <v>66.510000000000005</v>
      </c>
      <c r="D3724" t="s">
        <v>218</v>
      </c>
      <c r="E3724" s="97">
        <v>-5.45E-2</v>
      </c>
    </row>
    <row r="3725" spans="1:5" ht="15">
      <c r="A3725" s="98">
        <v>1277</v>
      </c>
      <c r="B3725">
        <v>74.48</v>
      </c>
      <c r="C3725">
        <v>59.82</v>
      </c>
      <c r="D3725" t="s">
        <v>218</v>
      </c>
      <c r="E3725" s="97">
        <v>1.7100000000000001E-2</v>
      </c>
    </row>
    <row r="3726" spans="1:5" ht="15">
      <c r="A3726" s="98">
        <v>1276</v>
      </c>
      <c r="B3726">
        <v>70.400000000000006</v>
      </c>
      <c r="C3726">
        <v>52.7</v>
      </c>
      <c r="D3726" t="s">
        <v>218</v>
      </c>
      <c r="E3726" s="97">
        <v>-6.0999999999999999E-2</v>
      </c>
    </row>
    <row r="3727" spans="1:5" ht="15">
      <c r="A3727" s="98">
        <v>1275</v>
      </c>
      <c r="B3727">
        <v>56.37</v>
      </c>
      <c r="C3727">
        <v>50.91</v>
      </c>
      <c r="D3727" t="s">
        <v>218</v>
      </c>
      <c r="E3727" s="97">
        <v>-2.5700000000000001E-2</v>
      </c>
    </row>
    <row r="3728" spans="1:5" ht="15">
      <c r="A3728" s="98">
        <v>1274</v>
      </c>
      <c r="B3728">
        <v>72.56</v>
      </c>
      <c r="C3728">
        <v>60.05</v>
      </c>
      <c r="D3728" t="s">
        <v>218</v>
      </c>
      <c r="E3728" s="97">
        <v>3.3300000000000003E-2</v>
      </c>
    </row>
    <row r="3729" spans="1:5" ht="15">
      <c r="A3729" s="98">
        <v>1273</v>
      </c>
      <c r="B3729">
        <v>79.430000000000007</v>
      </c>
      <c r="C3729">
        <v>64.430000000000007</v>
      </c>
      <c r="D3729" t="s">
        <v>218</v>
      </c>
      <c r="E3729" s="97">
        <v>8.1100000000000005E-2</v>
      </c>
    </row>
    <row r="3730" spans="1:5" ht="15">
      <c r="A3730" s="98">
        <v>1272</v>
      </c>
      <c r="B3730">
        <v>89.53</v>
      </c>
      <c r="C3730">
        <v>67.8</v>
      </c>
      <c r="D3730" t="s">
        <v>218</v>
      </c>
      <c r="E3730" s="97">
        <v>-2.1899999999999999E-2</v>
      </c>
    </row>
    <row r="3731" spans="1:5" ht="15">
      <c r="A3731" s="98">
        <v>1271</v>
      </c>
      <c r="B3731">
        <v>81.650000000000006</v>
      </c>
      <c r="C3731">
        <v>65.900000000000006</v>
      </c>
      <c r="D3731" t="s">
        <v>218</v>
      </c>
      <c r="E3731" s="97">
        <v>0</v>
      </c>
    </row>
    <row r="3732" spans="1:5" ht="15">
      <c r="A3732" s="98">
        <v>1270</v>
      </c>
      <c r="B3732">
        <v>78.98</v>
      </c>
      <c r="C3732">
        <v>65.66</v>
      </c>
      <c r="D3732" t="s">
        <v>218</v>
      </c>
      <c r="E3732" s="97">
        <v>-0.1134</v>
      </c>
    </row>
    <row r="3733" spans="1:5" ht="15">
      <c r="A3733" s="98">
        <v>1269</v>
      </c>
      <c r="B3733">
        <v>71.14</v>
      </c>
      <c r="C3733">
        <v>62.72</v>
      </c>
      <c r="D3733" t="s">
        <v>218</v>
      </c>
      <c r="E3733" s="97">
        <v>9.5299999999999996E-2</v>
      </c>
    </row>
    <row r="3734" spans="1:5" ht="15">
      <c r="A3734" s="98">
        <v>1268</v>
      </c>
      <c r="B3734">
        <v>69.83</v>
      </c>
      <c r="C3734">
        <v>62.67</v>
      </c>
      <c r="D3734" t="s">
        <v>218</v>
      </c>
      <c r="E3734" s="97">
        <v>7.1499999999999994E-2</v>
      </c>
    </row>
    <row r="3735" spans="1:5" ht="15">
      <c r="A3735" s="98">
        <v>1267</v>
      </c>
      <c r="B3735">
        <v>65.849999999999994</v>
      </c>
      <c r="C3735">
        <v>56.73</v>
      </c>
      <c r="D3735" t="s">
        <v>218</v>
      </c>
      <c r="E3735" s="97">
        <v>0.1037</v>
      </c>
    </row>
    <row r="3736" spans="1:5" ht="15">
      <c r="A3736" s="98">
        <v>1266</v>
      </c>
      <c r="B3736">
        <v>60.77</v>
      </c>
      <c r="C3736">
        <v>53.63</v>
      </c>
      <c r="D3736" t="s">
        <v>218</v>
      </c>
      <c r="E3736" s="97">
        <v>9.3600000000000003E-2</v>
      </c>
    </row>
    <row r="3737" spans="1:5" ht="15">
      <c r="A3737" s="98">
        <v>1265</v>
      </c>
      <c r="B3737">
        <v>53.68</v>
      </c>
      <c r="C3737">
        <v>44.25</v>
      </c>
      <c r="D3737" t="s">
        <v>218</v>
      </c>
      <c r="E3737" s="97">
        <v>-4.4699999999999997E-2</v>
      </c>
    </row>
    <row r="3738" spans="1:5" ht="15">
      <c r="A3738" s="98">
        <v>1264</v>
      </c>
      <c r="B3738">
        <v>55.62</v>
      </c>
      <c r="C3738">
        <v>46.87</v>
      </c>
      <c r="D3738" t="s">
        <v>218</v>
      </c>
      <c r="E3738" s="97">
        <v>4.41E-2</v>
      </c>
    </row>
    <row r="3739" spans="1:5" ht="15">
      <c r="A3739" s="98">
        <v>1263</v>
      </c>
      <c r="B3739">
        <v>64.78</v>
      </c>
      <c r="C3739">
        <v>55.6</v>
      </c>
      <c r="D3739" t="s">
        <v>218</v>
      </c>
      <c r="E3739" s="97">
        <v>-4.58E-2</v>
      </c>
    </row>
    <row r="3740" spans="1:5" ht="15">
      <c r="A3740" s="98">
        <v>1262</v>
      </c>
      <c r="B3740">
        <v>63.68</v>
      </c>
      <c r="C3740">
        <v>56.03</v>
      </c>
      <c r="D3740" t="s">
        <v>218</v>
      </c>
      <c r="E3740" s="97">
        <v>-6.5299999999999997E-2</v>
      </c>
    </row>
    <row r="3741" spans="1:5" ht="15">
      <c r="A3741" s="98">
        <v>1261</v>
      </c>
      <c r="B3741">
        <v>62.09</v>
      </c>
      <c r="C3741">
        <v>54.63</v>
      </c>
      <c r="D3741" t="s">
        <v>218</v>
      </c>
      <c r="E3741" s="97">
        <v>7.17E-2</v>
      </c>
    </row>
    <row r="3742" spans="1:5" ht="15">
      <c r="A3742" s="98">
        <v>1260</v>
      </c>
      <c r="B3742">
        <v>64.73</v>
      </c>
      <c r="C3742">
        <v>58.58</v>
      </c>
      <c r="D3742" t="s">
        <v>218</v>
      </c>
      <c r="E3742" s="97">
        <v>4.6300000000000001E-2</v>
      </c>
    </row>
    <row r="3743" spans="1:5" ht="15">
      <c r="A3743" s="98">
        <v>1259</v>
      </c>
      <c r="B3743">
        <v>67.19</v>
      </c>
      <c r="C3743">
        <v>61.52</v>
      </c>
      <c r="D3743" t="s">
        <v>218</v>
      </c>
      <c r="E3743" s="97">
        <v>5.2299999999999999E-2</v>
      </c>
    </row>
    <row r="3744" spans="1:5" ht="15">
      <c r="A3744" s="98">
        <v>1258</v>
      </c>
      <c r="B3744">
        <v>69.989999999999995</v>
      </c>
      <c r="C3744">
        <v>58.66</v>
      </c>
      <c r="D3744" t="s">
        <v>218</v>
      </c>
      <c r="E3744" s="97">
        <v>-5.62E-2</v>
      </c>
    </row>
    <row r="3745" spans="1:5" ht="15">
      <c r="A3745" s="98">
        <v>1257</v>
      </c>
      <c r="B3745">
        <v>66.31</v>
      </c>
      <c r="C3745">
        <v>59.75</v>
      </c>
      <c r="D3745" t="s">
        <v>218</v>
      </c>
      <c r="E3745" s="97">
        <v>9.4E-2</v>
      </c>
    </row>
    <row r="3746" spans="1:5" ht="15">
      <c r="A3746" s="98">
        <v>1256</v>
      </c>
      <c r="B3746">
        <v>69.59</v>
      </c>
      <c r="C3746">
        <v>65.099999999999994</v>
      </c>
      <c r="D3746" t="s">
        <v>218</v>
      </c>
      <c r="E3746" s="97">
        <v>6.2799999999999995E-2</v>
      </c>
    </row>
    <row r="3747" spans="1:5" ht="15">
      <c r="A3747" s="98">
        <v>1255</v>
      </c>
      <c r="B3747">
        <v>73.13</v>
      </c>
      <c r="C3747">
        <v>67.180000000000007</v>
      </c>
      <c r="D3747" t="s">
        <v>218</v>
      </c>
      <c r="E3747" s="97">
        <v>-0.1128</v>
      </c>
    </row>
    <row r="3748" spans="1:5" ht="15">
      <c r="A3748" s="98">
        <v>1254</v>
      </c>
      <c r="B3748">
        <v>75</v>
      </c>
      <c r="C3748">
        <v>67.34</v>
      </c>
      <c r="D3748" t="s">
        <v>218</v>
      </c>
      <c r="E3748" s="97">
        <v>-4.53E-2</v>
      </c>
    </row>
    <row r="3749" spans="1:5" ht="15">
      <c r="A3749" s="98">
        <v>1253</v>
      </c>
      <c r="B3749">
        <v>81.48</v>
      </c>
      <c r="C3749">
        <v>72.760000000000005</v>
      </c>
      <c r="D3749" t="s">
        <v>218</v>
      </c>
      <c r="E3749" s="97">
        <v>-4.7100000000000003E-2</v>
      </c>
    </row>
    <row r="3750" spans="1:5" ht="15">
      <c r="A3750" s="98">
        <v>1252</v>
      </c>
      <c r="B3750">
        <v>80.739999999999995</v>
      </c>
      <c r="C3750">
        <v>71.63</v>
      </c>
      <c r="D3750" t="s">
        <v>218</v>
      </c>
      <c r="E3750" s="97">
        <v>-0.10440000000000001</v>
      </c>
    </row>
    <row r="3751" spans="1:5" ht="15">
      <c r="A3751" s="98">
        <v>1251</v>
      </c>
      <c r="B3751">
        <v>71.349999999999994</v>
      </c>
      <c r="C3751">
        <v>61.81</v>
      </c>
      <c r="D3751" t="s">
        <v>218</v>
      </c>
      <c r="E3751" s="97">
        <v>-6.6799999999999998E-2</v>
      </c>
    </row>
    <row r="3752" spans="1:5" ht="15">
      <c r="A3752" s="98">
        <v>1250</v>
      </c>
      <c r="B3752">
        <v>65.489999999999995</v>
      </c>
      <c r="C3752">
        <v>60.25</v>
      </c>
      <c r="D3752" t="s">
        <v>218</v>
      </c>
      <c r="E3752" s="97">
        <v>1.84E-2</v>
      </c>
    </row>
    <row r="3753" spans="1:5" ht="15">
      <c r="A3753" s="98">
        <v>1249</v>
      </c>
      <c r="B3753">
        <v>62.5</v>
      </c>
      <c r="C3753">
        <v>54.62</v>
      </c>
      <c r="D3753" t="s">
        <v>218</v>
      </c>
      <c r="E3753" s="97">
        <v>-6.0400000000000002E-2</v>
      </c>
    </row>
    <row r="3754" spans="1:5" ht="15">
      <c r="A3754" s="98">
        <v>1248</v>
      </c>
      <c r="B3754">
        <v>56.82</v>
      </c>
      <c r="C3754">
        <v>50.5</v>
      </c>
      <c r="D3754" t="s">
        <v>218</v>
      </c>
      <c r="E3754" s="97">
        <v>0.1295</v>
      </c>
    </row>
    <row r="3755" spans="1:5" ht="15">
      <c r="A3755" s="98">
        <v>1247</v>
      </c>
      <c r="B3755">
        <v>68.599999999999994</v>
      </c>
      <c r="C3755">
        <v>60.36</v>
      </c>
      <c r="D3755" t="s">
        <v>218</v>
      </c>
      <c r="E3755" s="97">
        <v>3.39E-2</v>
      </c>
    </row>
    <row r="3756" spans="1:5" ht="15">
      <c r="A3756" s="98">
        <v>1246</v>
      </c>
      <c r="B3756">
        <v>67.010000000000005</v>
      </c>
      <c r="C3756">
        <v>62.31</v>
      </c>
      <c r="D3756" t="s">
        <v>218</v>
      </c>
      <c r="E3756" s="97">
        <v>4.48E-2</v>
      </c>
    </row>
    <row r="3757" spans="1:5" ht="15">
      <c r="A3757" s="98">
        <v>1245</v>
      </c>
      <c r="B3757">
        <v>65.37</v>
      </c>
      <c r="C3757">
        <v>60.18</v>
      </c>
      <c r="D3757" t="s">
        <v>218</v>
      </c>
      <c r="E3757" s="97">
        <v>3.0999999999999999E-3</v>
      </c>
    </row>
    <row r="3758" spans="1:5" ht="15">
      <c r="A3758" s="98">
        <v>1244</v>
      </c>
      <c r="B3758">
        <v>65.08</v>
      </c>
      <c r="C3758">
        <v>60.21</v>
      </c>
      <c r="D3758" t="s">
        <v>218</v>
      </c>
      <c r="E3758" s="97">
        <v>2.7300000000000001E-2</v>
      </c>
    </row>
    <row r="3759" spans="1:5" ht="15">
      <c r="A3759" s="98">
        <v>1243</v>
      </c>
      <c r="B3759">
        <v>66.540000000000006</v>
      </c>
      <c r="C3759">
        <v>59.26</v>
      </c>
      <c r="D3759" t="s">
        <v>218</v>
      </c>
      <c r="E3759" s="97">
        <v>-1.6199999999999999E-2</v>
      </c>
    </row>
    <row r="3760" spans="1:5" ht="15">
      <c r="A3760" s="98">
        <v>1242</v>
      </c>
      <c r="B3760">
        <v>59.87</v>
      </c>
      <c r="C3760">
        <v>57.35</v>
      </c>
      <c r="D3760" t="s">
        <v>218</v>
      </c>
      <c r="E3760" s="97">
        <v>-0.1181</v>
      </c>
    </row>
    <row r="3761" spans="1:5" ht="15">
      <c r="A3761" s="98">
        <v>1241</v>
      </c>
      <c r="B3761">
        <v>59.57</v>
      </c>
      <c r="C3761">
        <v>56.37</v>
      </c>
      <c r="D3761" t="s">
        <v>218</v>
      </c>
      <c r="E3761" s="97">
        <v>0.12859999999999999</v>
      </c>
    </row>
    <row r="3762" spans="1:5" ht="15">
      <c r="A3762" s="98">
        <v>1240</v>
      </c>
      <c r="B3762">
        <v>58.91</v>
      </c>
      <c r="C3762">
        <v>53.79</v>
      </c>
      <c r="D3762" t="s">
        <v>218</v>
      </c>
      <c r="E3762" s="97">
        <v>1.84E-2</v>
      </c>
    </row>
    <row r="3763" spans="1:5" ht="15">
      <c r="A3763" s="98">
        <v>1239</v>
      </c>
      <c r="B3763">
        <v>56.44</v>
      </c>
      <c r="C3763">
        <v>52.94</v>
      </c>
      <c r="D3763" t="s">
        <v>218</v>
      </c>
      <c r="E3763" s="97">
        <v>-0.04</v>
      </c>
    </row>
    <row r="3764" spans="1:5" ht="15">
      <c r="A3764" s="98">
        <v>1238</v>
      </c>
      <c r="B3764">
        <v>58.84</v>
      </c>
      <c r="C3764">
        <v>54.26</v>
      </c>
      <c r="D3764" t="s">
        <v>218</v>
      </c>
      <c r="E3764" s="97">
        <v>0.17749999999999999</v>
      </c>
    </row>
    <row r="3765" spans="1:5" ht="15">
      <c r="A3765" s="98">
        <v>1237</v>
      </c>
      <c r="B3765">
        <v>58.49</v>
      </c>
      <c r="C3765">
        <v>55.68</v>
      </c>
      <c r="D3765" t="s">
        <v>218</v>
      </c>
      <c r="E3765" s="97">
        <v>-2.7000000000000001E-3</v>
      </c>
    </row>
    <row r="3766" spans="1:5" ht="15">
      <c r="A3766" s="98">
        <v>1236</v>
      </c>
      <c r="B3766">
        <v>56.76</v>
      </c>
      <c r="C3766">
        <v>50.91</v>
      </c>
      <c r="D3766" t="s">
        <v>218</v>
      </c>
      <c r="E3766" s="97">
        <v>-4.8500000000000001E-2</v>
      </c>
    </row>
    <row r="3767" spans="1:5" ht="15">
      <c r="A3767" s="98">
        <v>1235</v>
      </c>
      <c r="B3767">
        <v>52.19</v>
      </c>
      <c r="C3767">
        <v>49.36</v>
      </c>
      <c r="D3767" t="s">
        <v>218</v>
      </c>
      <c r="E3767" s="97">
        <v>6.59E-2</v>
      </c>
    </row>
    <row r="3768" spans="1:5" ht="15">
      <c r="A3768" s="98">
        <v>1234</v>
      </c>
      <c r="B3768">
        <v>49.84</v>
      </c>
      <c r="C3768">
        <v>44.5</v>
      </c>
      <c r="D3768" t="s">
        <v>218</v>
      </c>
      <c r="E3768" s="97">
        <v>-2.8000000000000001E-2</v>
      </c>
    </row>
    <row r="3769" spans="1:5" ht="15">
      <c r="A3769" s="98">
        <v>1233</v>
      </c>
      <c r="B3769">
        <v>46.01</v>
      </c>
      <c r="C3769">
        <v>41.29</v>
      </c>
      <c r="D3769" t="s">
        <v>218</v>
      </c>
      <c r="E3769" s="97">
        <v>-0.1188</v>
      </c>
    </row>
    <row r="3770" spans="1:5" ht="15">
      <c r="A3770" s="98">
        <v>1232</v>
      </c>
      <c r="B3770">
        <v>46.69</v>
      </c>
      <c r="C3770">
        <v>42.75</v>
      </c>
      <c r="D3770" t="s">
        <v>218</v>
      </c>
      <c r="E3770" s="97">
        <v>-6.0100000000000001E-2</v>
      </c>
    </row>
    <row r="3771" spans="1:5" ht="15">
      <c r="A3771" s="98">
        <v>1231</v>
      </c>
      <c r="B3771">
        <v>45.39</v>
      </c>
      <c r="C3771">
        <v>41.68</v>
      </c>
      <c r="D3771" t="s">
        <v>218</v>
      </c>
      <c r="E3771" s="97">
        <v>-2.93E-2</v>
      </c>
    </row>
    <row r="3772" spans="1:5" ht="15">
      <c r="A3772" s="98">
        <v>1230</v>
      </c>
      <c r="B3772">
        <v>45.02</v>
      </c>
      <c r="C3772">
        <v>44.15</v>
      </c>
      <c r="D3772" t="s">
        <v>218</v>
      </c>
      <c r="E3772" s="97">
        <v>-3.2899999999999999E-2</v>
      </c>
    </row>
    <row r="3773" spans="1:5" ht="15">
      <c r="A3773" s="98">
        <v>1229</v>
      </c>
      <c r="B3773">
        <v>44.36</v>
      </c>
      <c r="C3773">
        <v>42.92</v>
      </c>
      <c r="D3773" t="s">
        <v>218</v>
      </c>
      <c r="E3773" s="97">
        <v>-4.4999999999999997E-3</v>
      </c>
    </row>
    <row r="3774" spans="1:5" ht="15">
      <c r="A3774" s="98">
        <v>1228</v>
      </c>
      <c r="B3774">
        <v>46.24</v>
      </c>
      <c r="C3774">
        <v>42.16</v>
      </c>
      <c r="D3774" t="s">
        <v>218</v>
      </c>
      <c r="E3774" s="97">
        <v>-8.5000000000000006E-3</v>
      </c>
    </row>
    <row r="3775" spans="1:5" ht="15">
      <c r="A3775" s="98">
        <v>1227</v>
      </c>
      <c r="B3775">
        <v>44.29</v>
      </c>
      <c r="C3775">
        <v>41.63</v>
      </c>
      <c r="D3775" t="s">
        <v>218</v>
      </c>
      <c r="E3775" s="97">
        <v>2.8500000000000001E-2</v>
      </c>
    </row>
    <row r="3776" spans="1:5" ht="15">
      <c r="A3776" s="98">
        <v>1226</v>
      </c>
      <c r="B3776">
        <v>41.63</v>
      </c>
      <c r="C3776">
        <v>37.96</v>
      </c>
      <c r="D3776" t="s">
        <v>218</v>
      </c>
      <c r="E3776" s="97">
        <v>1.06E-2</v>
      </c>
    </row>
    <row r="3777" spans="1:5" ht="15">
      <c r="A3777" s="98">
        <v>1225</v>
      </c>
      <c r="B3777">
        <v>39.82</v>
      </c>
      <c r="C3777">
        <v>36.880000000000003</v>
      </c>
      <c r="D3777" t="s">
        <v>218</v>
      </c>
      <c r="E3777" s="97">
        <v>2.8E-3</v>
      </c>
    </row>
    <row r="3778" spans="1:5" ht="15">
      <c r="A3778" s="98">
        <v>1224</v>
      </c>
      <c r="B3778">
        <v>40.22</v>
      </c>
      <c r="C3778">
        <v>38.299999999999997</v>
      </c>
      <c r="D3778" t="s">
        <v>218</v>
      </c>
      <c r="E3778" s="97">
        <v>9.2999999999999999E-2</v>
      </c>
    </row>
    <row r="3779" spans="1:5" ht="15">
      <c r="A3779" s="98">
        <v>1223</v>
      </c>
      <c r="B3779">
        <v>39.33</v>
      </c>
      <c r="C3779">
        <v>37.340000000000003</v>
      </c>
      <c r="D3779" t="s">
        <v>218</v>
      </c>
      <c r="E3779" s="97">
        <v>-1.1900000000000001E-2</v>
      </c>
    </row>
    <row r="3780" spans="1:5" ht="15">
      <c r="A3780" s="98">
        <v>1222</v>
      </c>
      <c r="B3780">
        <v>43.82</v>
      </c>
      <c r="C3780">
        <v>40.119999999999997</v>
      </c>
      <c r="D3780" t="s">
        <v>218</v>
      </c>
      <c r="E3780" s="97">
        <v>-4.9700000000000001E-2</v>
      </c>
    </row>
    <row r="3781" spans="1:5" ht="15">
      <c r="A3781" s="98">
        <v>1221</v>
      </c>
      <c r="B3781">
        <v>44.6</v>
      </c>
      <c r="C3781">
        <v>42.56</v>
      </c>
      <c r="D3781" t="s">
        <v>218</v>
      </c>
      <c r="E3781" s="97">
        <v>-1.4E-2</v>
      </c>
    </row>
    <row r="3782" spans="1:5" ht="15">
      <c r="A3782" s="98">
        <v>1220</v>
      </c>
      <c r="B3782">
        <v>43.13</v>
      </c>
      <c r="C3782">
        <v>41.05</v>
      </c>
      <c r="D3782" t="s">
        <v>218</v>
      </c>
      <c r="E3782" s="97">
        <v>1.83E-2</v>
      </c>
    </row>
    <row r="3783" spans="1:5" ht="15">
      <c r="A3783" s="98">
        <v>1219</v>
      </c>
      <c r="B3783">
        <v>46.62</v>
      </c>
      <c r="C3783">
        <v>41.94</v>
      </c>
      <c r="D3783" t="s">
        <v>218</v>
      </c>
      <c r="E3783" s="97">
        <v>-2.8199999999999999E-2</v>
      </c>
    </row>
    <row r="3784" spans="1:5" ht="15">
      <c r="A3784" s="98">
        <v>1218</v>
      </c>
      <c r="B3784">
        <v>47.08</v>
      </c>
      <c r="C3784">
        <v>43.23</v>
      </c>
      <c r="D3784" t="s">
        <v>218</v>
      </c>
      <c r="E3784" s="97">
        <v>-4.9200000000000001E-2</v>
      </c>
    </row>
    <row r="3785" spans="1:5" ht="15">
      <c r="A3785" s="98">
        <v>1217</v>
      </c>
      <c r="B3785">
        <v>51.55</v>
      </c>
      <c r="C3785">
        <v>46.14</v>
      </c>
      <c r="D3785" t="s">
        <v>218</v>
      </c>
      <c r="E3785" s="97">
        <v>-9.01E-2</v>
      </c>
    </row>
    <row r="3786" spans="1:5" ht="15">
      <c r="A3786" s="98">
        <v>1216</v>
      </c>
      <c r="B3786">
        <v>55.16</v>
      </c>
      <c r="C3786">
        <v>49.14</v>
      </c>
      <c r="D3786" t="s">
        <v>218</v>
      </c>
      <c r="E3786" s="97">
        <v>-1.61E-2</v>
      </c>
    </row>
    <row r="3787" spans="1:5" ht="15">
      <c r="A3787" s="98">
        <v>1215</v>
      </c>
      <c r="B3787">
        <v>51</v>
      </c>
      <c r="C3787">
        <v>45.96</v>
      </c>
      <c r="D3787" t="s">
        <v>218</v>
      </c>
      <c r="E3787" s="97">
        <v>1.7600000000000001E-2</v>
      </c>
    </row>
    <row r="3788" spans="1:5" ht="15">
      <c r="A3788" s="98">
        <v>1214</v>
      </c>
      <c r="B3788">
        <v>57.36</v>
      </c>
      <c r="C3788">
        <v>49.27</v>
      </c>
      <c r="D3788" t="s">
        <v>218</v>
      </c>
      <c r="E3788" s="97">
        <v>3.3999999999999998E-3</v>
      </c>
    </row>
    <row r="3789" spans="1:5" ht="15">
      <c r="A3789" s="98">
        <v>1213</v>
      </c>
      <c r="B3789">
        <v>54.12</v>
      </c>
      <c r="C3789">
        <v>46.15</v>
      </c>
      <c r="D3789" t="s">
        <v>218</v>
      </c>
      <c r="E3789" s="97">
        <v>2.35E-2</v>
      </c>
    </row>
    <row r="3790" spans="1:5" ht="15">
      <c r="A3790" s="98">
        <v>1212</v>
      </c>
      <c r="B3790">
        <v>51.76</v>
      </c>
      <c r="C3790">
        <v>46.51</v>
      </c>
      <c r="D3790" t="s">
        <v>218</v>
      </c>
      <c r="E3790" s="97">
        <v>-5.0599999999999999E-2</v>
      </c>
    </row>
    <row r="3791" spans="1:5" ht="15">
      <c r="A3791" s="98">
        <v>1211</v>
      </c>
      <c r="B3791">
        <v>51.11</v>
      </c>
      <c r="C3791">
        <v>46.43</v>
      </c>
      <c r="D3791" t="s">
        <v>218</v>
      </c>
      <c r="E3791" s="97">
        <v>3.0000000000000001E-3</v>
      </c>
    </row>
    <row r="3792" spans="1:5" ht="15">
      <c r="A3792" s="98">
        <v>1210</v>
      </c>
      <c r="B3792">
        <v>47.93</v>
      </c>
      <c r="C3792">
        <v>44.29</v>
      </c>
      <c r="D3792" t="s">
        <v>218</v>
      </c>
      <c r="E3792" s="97">
        <v>-5.9999999999999995E-4</v>
      </c>
    </row>
    <row r="3793" spans="1:5" ht="15">
      <c r="A3793" s="98">
        <v>1209</v>
      </c>
      <c r="B3793">
        <v>45.93</v>
      </c>
      <c r="C3793">
        <v>42.2</v>
      </c>
      <c r="D3793" t="s">
        <v>218</v>
      </c>
      <c r="E3793" s="97">
        <v>-4.8500000000000001E-2</v>
      </c>
    </row>
    <row r="3794" spans="1:5" ht="15">
      <c r="A3794" s="98">
        <v>1208</v>
      </c>
      <c r="B3794">
        <v>42.25</v>
      </c>
      <c r="C3794">
        <v>38.090000000000003</v>
      </c>
      <c r="D3794" t="s">
        <v>218</v>
      </c>
      <c r="E3794" s="97">
        <v>4.4400000000000002E-2</v>
      </c>
    </row>
    <row r="3795" spans="1:5" ht="15">
      <c r="A3795" s="98">
        <v>1207</v>
      </c>
      <c r="B3795">
        <v>43.03</v>
      </c>
      <c r="C3795">
        <v>41.12</v>
      </c>
      <c r="D3795" t="s">
        <v>218</v>
      </c>
      <c r="E3795" s="97">
        <v>-0.14430000000000001</v>
      </c>
    </row>
    <row r="3796" spans="1:5" ht="15">
      <c r="A3796" s="98">
        <v>1206</v>
      </c>
      <c r="B3796">
        <v>45.53</v>
      </c>
      <c r="C3796">
        <v>42.09</v>
      </c>
      <c r="D3796" t="s">
        <v>218</v>
      </c>
      <c r="E3796" s="97">
        <v>-3.1600000000000003E-2</v>
      </c>
    </row>
    <row r="3797" spans="1:5" ht="15">
      <c r="A3797" s="98">
        <v>1205</v>
      </c>
      <c r="B3797">
        <v>49.54</v>
      </c>
      <c r="C3797">
        <v>45.26</v>
      </c>
      <c r="D3797" t="s">
        <v>218</v>
      </c>
      <c r="E3797" s="97">
        <v>4.0000000000000001E-3</v>
      </c>
    </row>
    <row r="3798" spans="1:5" ht="15">
      <c r="A3798" s="98">
        <v>1204</v>
      </c>
      <c r="B3798">
        <v>45.52</v>
      </c>
      <c r="C3798">
        <v>42.43</v>
      </c>
      <c r="D3798" t="s">
        <v>218</v>
      </c>
      <c r="E3798" s="97">
        <v>-5.0500000000000003E-2</v>
      </c>
    </row>
    <row r="3799" spans="1:5" ht="15">
      <c r="A3799" s="98">
        <v>1203</v>
      </c>
      <c r="B3799">
        <v>44.52</v>
      </c>
      <c r="C3799">
        <v>41.39</v>
      </c>
      <c r="D3799" t="s">
        <v>218</v>
      </c>
      <c r="E3799" s="97">
        <v>-7.7399999999999997E-2</v>
      </c>
    </row>
    <row r="3800" spans="1:5" ht="15">
      <c r="A3800" s="98">
        <v>1202</v>
      </c>
      <c r="B3800">
        <v>46.23</v>
      </c>
      <c r="C3800">
        <v>42.32</v>
      </c>
      <c r="D3800" t="s">
        <v>218</v>
      </c>
      <c r="E3800" s="97">
        <v>5.1299999999999998E-2</v>
      </c>
    </row>
    <row r="3801" spans="1:5" ht="15">
      <c r="A3801" s="98">
        <v>1201</v>
      </c>
      <c r="B3801">
        <v>43.71</v>
      </c>
      <c r="C3801">
        <v>41.2</v>
      </c>
      <c r="D3801" t="s">
        <v>218</v>
      </c>
      <c r="E3801" s="97">
        <v>5.6099999999999997E-2</v>
      </c>
    </row>
    <row r="3802" spans="1:5" ht="15">
      <c r="A3802" s="98">
        <v>1200</v>
      </c>
      <c r="B3802">
        <v>45.45</v>
      </c>
      <c r="C3802">
        <v>43.04</v>
      </c>
      <c r="D3802" t="s">
        <v>218</v>
      </c>
      <c r="E3802" s="97">
        <v>-3.7600000000000001E-2</v>
      </c>
    </row>
    <row r="3803" spans="1:5" ht="15">
      <c r="A3803" s="98">
        <v>1199</v>
      </c>
      <c r="B3803">
        <v>48.12</v>
      </c>
      <c r="C3803">
        <v>44.18</v>
      </c>
      <c r="D3803" t="s">
        <v>218</v>
      </c>
      <c r="E3803" s="97">
        <v>5.7799999999999997E-2</v>
      </c>
    </row>
    <row r="3804" spans="1:5" ht="15">
      <c r="A3804" s="98">
        <v>1198</v>
      </c>
      <c r="B3804">
        <v>46.67</v>
      </c>
      <c r="C3804">
        <v>44.5</v>
      </c>
      <c r="D3804" t="s">
        <v>218</v>
      </c>
      <c r="E3804" s="97">
        <v>-6.9199999999999998E-2</v>
      </c>
    </row>
    <row r="3805" spans="1:5" ht="15">
      <c r="A3805" s="98">
        <v>1197</v>
      </c>
      <c r="B3805">
        <v>47.58</v>
      </c>
      <c r="C3805">
        <v>41.21</v>
      </c>
      <c r="D3805" t="s">
        <v>218</v>
      </c>
      <c r="E3805" s="97">
        <v>6.1800000000000001E-2</v>
      </c>
    </row>
    <row r="3806" spans="1:5" ht="15">
      <c r="A3806" s="98">
        <v>1196</v>
      </c>
      <c r="B3806">
        <v>43.02</v>
      </c>
      <c r="C3806">
        <v>40.729999999999997</v>
      </c>
      <c r="D3806" t="s">
        <v>218</v>
      </c>
      <c r="E3806" s="97">
        <v>0.13500000000000001</v>
      </c>
    </row>
    <row r="3807" spans="1:5" ht="15">
      <c r="A3807" s="98">
        <v>1195</v>
      </c>
      <c r="B3807">
        <v>51.18</v>
      </c>
      <c r="C3807">
        <v>46.96</v>
      </c>
      <c r="D3807" t="s">
        <v>218</v>
      </c>
      <c r="E3807" s="97">
        <v>3.4700000000000002E-2</v>
      </c>
    </row>
    <row r="3808" spans="1:5" ht="15">
      <c r="A3808" s="98">
        <v>1194</v>
      </c>
      <c r="B3808">
        <v>50.29</v>
      </c>
      <c r="C3808">
        <v>46</v>
      </c>
      <c r="D3808" t="s">
        <v>218</v>
      </c>
      <c r="E3808" s="97">
        <v>9.2999999999999992E-3</v>
      </c>
    </row>
    <row r="3809" spans="1:5" ht="15">
      <c r="A3809" s="98">
        <v>1193</v>
      </c>
      <c r="B3809">
        <v>48.54</v>
      </c>
      <c r="C3809">
        <v>44.81</v>
      </c>
      <c r="D3809" t="s">
        <v>218</v>
      </c>
      <c r="E3809" s="97">
        <v>-3.2000000000000002E-3</v>
      </c>
    </row>
    <row r="3810" spans="1:5" ht="15">
      <c r="A3810" s="98">
        <v>1192</v>
      </c>
      <c r="B3810">
        <v>52.04</v>
      </c>
      <c r="C3810">
        <v>47.08</v>
      </c>
      <c r="D3810" t="s">
        <v>218</v>
      </c>
      <c r="E3810" s="97">
        <v>6.7400000000000002E-2</v>
      </c>
    </row>
    <row r="3811" spans="1:5" ht="15">
      <c r="A3811" s="98">
        <v>1191</v>
      </c>
      <c r="B3811">
        <v>53.16</v>
      </c>
      <c r="C3811">
        <v>48.97</v>
      </c>
      <c r="D3811" t="s">
        <v>218</v>
      </c>
      <c r="E3811" s="97">
        <v>-0.1133</v>
      </c>
    </row>
    <row r="3812" spans="1:5" ht="15">
      <c r="A3812" s="98">
        <v>1190</v>
      </c>
      <c r="B3812">
        <v>52.56</v>
      </c>
      <c r="C3812">
        <v>44.28</v>
      </c>
      <c r="D3812" t="s">
        <v>218</v>
      </c>
      <c r="E3812" s="97">
        <v>-5.0799999999999998E-2</v>
      </c>
    </row>
    <row r="3813" spans="1:5" ht="15">
      <c r="A3813" s="98">
        <v>1189</v>
      </c>
      <c r="B3813">
        <v>47.23</v>
      </c>
      <c r="C3813">
        <v>42.84</v>
      </c>
      <c r="D3813" t="s">
        <v>218</v>
      </c>
      <c r="E3813" s="97">
        <v>-1.2999999999999999E-3</v>
      </c>
    </row>
    <row r="3814" spans="1:5" ht="15">
      <c r="A3814" s="98">
        <v>1188</v>
      </c>
      <c r="B3814">
        <v>45.33</v>
      </c>
      <c r="C3814">
        <v>41.91</v>
      </c>
      <c r="D3814" t="s">
        <v>218</v>
      </c>
      <c r="E3814" s="97">
        <v>-1.5299999999999999E-2</v>
      </c>
    </row>
    <row r="3815" spans="1:5" ht="15">
      <c r="A3815" s="98">
        <v>1187</v>
      </c>
      <c r="B3815">
        <v>47.34</v>
      </c>
      <c r="C3815">
        <v>44.46</v>
      </c>
      <c r="D3815" t="s">
        <v>218</v>
      </c>
      <c r="E3815" s="97">
        <v>9.1499999999999998E-2</v>
      </c>
    </row>
    <row r="3816" spans="1:5" ht="15">
      <c r="A3816" s="98">
        <v>1186</v>
      </c>
      <c r="B3816">
        <v>53.25</v>
      </c>
      <c r="C3816">
        <v>48.35</v>
      </c>
      <c r="D3816" t="s">
        <v>218</v>
      </c>
      <c r="E3816" s="97">
        <v>-1.7500000000000002E-2</v>
      </c>
    </row>
    <row r="3817" spans="1:5" ht="15">
      <c r="A3817" s="98">
        <v>1185</v>
      </c>
      <c r="B3817">
        <v>52.76</v>
      </c>
      <c r="C3817">
        <v>48.5</v>
      </c>
      <c r="D3817" t="s">
        <v>218</v>
      </c>
      <c r="E3817" s="97">
        <v>-5.16E-2</v>
      </c>
    </row>
    <row r="3818" spans="1:5" ht="15">
      <c r="A3818" s="98">
        <v>1184</v>
      </c>
      <c r="B3818">
        <v>48.83</v>
      </c>
      <c r="C3818">
        <v>45.02</v>
      </c>
      <c r="D3818" t="s">
        <v>218</v>
      </c>
      <c r="E3818" s="97">
        <v>-0.1182</v>
      </c>
    </row>
    <row r="3819" spans="1:5" ht="15">
      <c r="A3819" s="98">
        <v>1183</v>
      </c>
      <c r="B3819">
        <v>51.95</v>
      </c>
      <c r="C3819">
        <v>46.98</v>
      </c>
      <c r="D3819" t="s">
        <v>218</v>
      </c>
      <c r="E3819" s="97">
        <v>-3.4200000000000001E-2</v>
      </c>
    </row>
    <row r="3820" spans="1:5" ht="15">
      <c r="A3820" s="98">
        <v>1182</v>
      </c>
      <c r="B3820">
        <v>51.95</v>
      </c>
      <c r="C3820">
        <v>47.65</v>
      </c>
      <c r="D3820" t="s">
        <v>218</v>
      </c>
      <c r="E3820" s="97">
        <v>0.14199999999999999</v>
      </c>
    </row>
    <row r="3821" spans="1:5" ht="15">
      <c r="A3821" s="98">
        <v>1181</v>
      </c>
      <c r="B3821">
        <v>51.34</v>
      </c>
      <c r="C3821">
        <v>48.4</v>
      </c>
      <c r="D3821" t="s">
        <v>218</v>
      </c>
      <c r="E3821" s="97">
        <v>4.6399999999999997E-2</v>
      </c>
    </row>
    <row r="3822" spans="1:5" ht="15">
      <c r="A3822" s="98">
        <v>1180</v>
      </c>
      <c r="B3822">
        <v>49.68</v>
      </c>
      <c r="C3822">
        <v>43.88</v>
      </c>
      <c r="D3822" t="s">
        <v>218</v>
      </c>
      <c r="E3822" s="97">
        <v>-0.1249</v>
      </c>
    </row>
    <row r="3823" spans="1:5" ht="15">
      <c r="A3823" s="98">
        <v>1179</v>
      </c>
      <c r="B3823">
        <v>44.26</v>
      </c>
      <c r="C3823">
        <v>42.36</v>
      </c>
      <c r="D3823" t="s">
        <v>218</v>
      </c>
      <c r="E3823" s="97">
        <v>4.5400000000000003E-2</v>
      </c>
    </row>
    <row r="3824" spans="1:5" ht="15">
      <c r="A3824" s="98">
        <v>1178</v>
      </c>
      <c r="B3824">
        <v>43.98</v>
      </c>
      <c r="C3824">
        <v>40.75</v>
      </c>
      <c r="D3824" t="s">
        <v>218</v>
      </c>
      <c r="E3824" s="97">
        <v>0.127</v>
      </c>
    </row>
    <row r="3825" spans="1:5" ht="15">
      <c r="A3825" s="98">
        <v>1177</v>
      </c>
      <c r="B3825">
        <v>43.52</v>
      </c>
      <c r="C3825">
        <v>40.03</v>
      </c>
      <c r="D3825" t="s">
        <v>218</v>
      </c>
      <c r="E3825" s="97">
        <v>7.7000000000000002E-3</v>
      </c>
    </row>
    <row r="3826" spans="1:5" ht="15">
      <c r="A3826" s="98">
        <v>1176</v>
      </c>
      <c r="B3826">
        <v>44.23</v>
      </c>
      <c r="C3826">
        <v>42.36</v>
      </c>
      <c r="D3826" t="s">
        <v>218</v>
      </c>
      <c r="E3826" s="97">
        <v>-0.1762</v>
      </c>
    </row>
    <row r="3827" spans="1:5" ht="15">
      <c r="A3827" s="98">
        <v>1175</v>
      </c>
      <c r="B3827">
        <v>44.59</v>
      </c>
      <c r="C3827">
        <v>40.74</v>
      </c>
      <c r="D3827" t="s">
        <v>218</v>
      </c>
      <c r="E3827" s="97">
        <v>0.1182</v>
      </c>
    </row>
    <row r="3828" spans="1:5" ht="15">
      <c r="A3828" s="98">
        <v>1174</v>
      </c>
      <c r="B3828">
        <v>42.39</v>
      </c>
      <c r="C3828">
        <v>38.979999999999997</v>
      </c>
      <c r="D3828" t="s">
        <v>218</v>
      </c>
      <c r="E3828" s="97">
        <v>2.7199999999999998E-2</v>
      </c>
    </row>
    <row r="3829" spans="1:5" ht="15">
      <c r="A3829" s="98">
        <v>1173</v>
      </c>
      <c r="B3829">
        <v>44.17</v>
      </c>
      <c r="C3829">
        <v>38.79</v>
      </c>
      <c r="D3829" t="s">
        <v>218</v>
      </c>
      <c r="E3829" s="97">
        <v>0.23799999999999999</v>
      </c>
    </row>
    <row r="3830" spans="1:5" ht="15">
      <c r="A3830" s="98">
        <v>1172</v>
      </c>
      <c r="B3830">
        <v>47.63</v>
      </c>
      <c r="C3830">
        <v>43.07</v>
      </c>
      <c r="D3830" t="s">
        <v>218</v>
      </c>
      <c r="E3830" s="97">
        <v>2.6700000000000002E-2</v>
      </c>
    </row>
    <row r="3831" spans="1:5" ht="15">
      <c r="A3831" s="98">
        <v>1171</v>
      </c>
      <c r="B3831">
        <v>45.89</v>
      </c>
      <c r="C3831">
        <v>41.27</v>
      </c>
      <c r="D3831" t="s">
        <v>218</v>
      </c>
      <c r="E3831" s="97">
        <v>-4.6199999999999998E-2</v>
      </c>
    </row>
    <row r="3832" spans="1:5" ht="15">
      <c r="A3832" s="98">
        <v>1170</v>
      </c>
      <c r="B3832">
        <v>44</v>
      </c>
      <c r="C3832">
        <v>41.63</v>
      </c>
      <c r="D3832" t="s">
        <v>218</v>
      </c>
      <c r="E3832" s="97">
        <v>-4.0399999999999998E-2</v>
      </c>
    </row>
    <row r="3833" spans="1:5" ht="15">
      <c r="A3833" s="98">
        <v>1169</v>
      </c>
      <c r="B3833">
        <v>44.2</v>
      </c>
      <c r="C3833">
        <v>40.81</v>
      </c>
      <c r="D3833" t="s">
        <v>218</v>
      </c>
      <c r="E3833" s="97">
        <v>0.1047</v>
      </c>
    </row>
    <row r="3834" spans="1:5" ht="15">
      <c r="A3834" s="98">
        <v>1168</v>
      </c>
      <c r="B3834">
        <v>42.25</v>
      </c>
      <c r="C3834">
        <v>40.17</v>
      </c>
      <c r="D3834" t="s">
        <v>218</v>
      </c>
      <c r="E3834" s="97">
        <v>4.5699999999999998E-2</v>
      </c>
    </row>
    <row r="3835" spans="1:5" ht="15">
      <c r="A3835" s="98">
        <v>1167</v>
      </c>
      <c r="B3835">
        <v>42.13</v>
      </c>
      <c r="C3835">
        <v>40.36</v>
      </c>
      <c r="D3835" t="s">
        <v>218</v>
      </c>
      <c r="E3835" s="97">
        <v>1.0200000000000001E-2</v>
      </c>
    </row>
    <row r="3836" spans="1:5" ht="15">
      <c r="A3836" s="98">
        <v>1166</v>
      </c>
      <c r="B3836">
        <v>46.28</v>
      </c>
      <c r="C3836">
        <v>44.86</v>
      </c>
      <c r="D3836" t="s">
        <v>218</v>
      </c>
      <c r="E3836" s="97">
        <v>-0.1086</v>
      </c>
    </row>
    <row r="3837" spans="1:5" ht="15">
      <c r="A3837" s="98">
        <v>1165</v>
      </c>
      <c r="B3837">
        <v>45.54</v>
      </c>
      <c r="C3837">
        <v>42.27</v>
      </c>
      <c r="D3837" t="s">
        <v>218</v>
      </c>
      <c r="E3837" s="97">
        <v>-7.22E-2</v>
      </c>
    </row>
    <row r="3838" spans="1:5" ht="15">
      <c r="A3838" s="98">
        <v>1164</v>
      </c>
      <c r="B3838">
        <v>45.6</v>
      </c>
      <c r="C3838">
        <v>42.26</v>
      </c>
      <c r="D3838" t="s">
        <v>218</v>
      </c>
      <c r="E3838" s="97">
        <v>0.1477</v>
      </c>
    </row>
    <row r="3839" spans="1:5" ht="15">
      <c r="A3839" s="98">
        <v>1163</v>
      </c>
      <c r="B3839">
        <v>42.68</v>
      </c>
      <c r="C3839">
        <v>40.299999999999997</v>
      </c>
      <c r="D3839" t="s">
        <v>218</v>
      </c>
      <c r="E3839" s="97">
        <v>4.8000000000000001E-2</v>
      </c>
    </row>
    <row r="3840" spans="1:5" ht="15">
      <c r="A3840" s="98">
        <v>1162</v>
      </c>
      <c r="B3840">
        <v>42.03</v>
      </c>
      <c r="C3840">
        <v>39.64</v>
      </c>
      <c r="D3840" t="s">
        <v>218</v>
      </c>
      <c r="E3840" s="97">
        <v>-0.1053</v>
      </c>
    </row>
    <row r="3841" spans="1:5" ht="15">
      <c r="A3841" s="98">
        <v>1161</v>
      </c>
      <c r="B3841">
        <v>43.02</v>
      </c>
      <c r="C3841">
        <v>40.83</v>
      </c>
      <c r="D3841" t="s">
        <v>218</v>
      </c>
      <c r="E3841" s="97">
        <v>0.1099</v>
      </c>
    </row>
    <row r="3842" spans="1:5" ht="15">
      <c r="A3842" s="98">
        <v>1160</v>
      </c>
      <c r="B3842">
        <v>42.5</v>
      </c>
      <c r="C3842">
        <v>40.36</v>
      </c>
      <c r="D3842" t="s">
        <v>218</v>
      </c>
      <c r="E3842" s="97">
        <v>6.4000000000000001E-2</v>
      </c>
    </row>
    <row r="3843" spans="1:5" ht="15">
      <c r="A3843" s="98">
        <v>1159</v>
      </c>
      <c r="B3843">
        <v>40.86</v>
      </c>
      <c r="C3843">
        <v>38.700000000000003</v>
      </c>
      <c r="D3843" t="s">
        <v>218</v>
      </c>
      <c r="E3843" s="97">
        <v>-4.1799999999999997E-2</v>
      </c>
    </row>
    <row r="3844" spans="1:5" ht="15">
      <c r="A3844" s="98">
        <v>1158</v>
      </c>
      <c r="B3844">
        <v>37.74</v>
      </c>
      <c r="C3844">
        <v>36.53</v>
      </c>
      <c r="D3844" t="s">
        <v>218</v>
      </c>
      <c r="E3844" s="97">
        <v>-5.4600000000000003E-2</v>
      </c>
    </row>
    <row r="3845" spans="1:5" ht="15">
      <c r="A3845" s="98">
        <v>1157</v>
      </c>
      <c r="B3845">
        <v>38.909999999999997</v>
      </c>
      <c r="C3845">
        <v>37.51</v>
      </c>
      <c r="D3845" t="s">
        <v>218</v>
      </c>
      <c r="E3845" s="97">
        <v>-3.9600000000000003E-2</v>
      </c>
    </row>
    <row r="3846" spans="1:5" ht="15">
      <c r="A3846" s="98">
        <v>1156</v>
      </c>
      <c r="B3846">
        <v>38.5</v>
      </c>
      <c r="C3846">
        <v>36.880000000000003</v>
      </c>
      <c r="D3846" t="s">
        <v>218</v>
      </c>
      <c r="E3846" s="97">
        <v>0.19550000000000001</v>
      </c>
    </row>
    <row r="3847" spans="1:5" ht="15">
      <c r="A3847" s="98">
        <v>1155</v>
      </c>
      <c r="B3847">
        <v>38.06</v>
      </c>
      <c r="C3847">
        <v>36.1</v>
      </c>
      <c r="D3847" t="s">
        <v>218</v>
      </c>
      <c r="E3847" s="97">
        <v>4.7600000000000003E-2</v>
      </c>
    </row>
    <row r="3848" spans="1:5" ht="15">
      <c r="A3848" s="98">
        <v>1154</v>
      </c>
      <c r="B3848">
        <v>36.799999999999997</v>
      </c>
      <c r="C3848">
        <v>34.880000000000003</v>
      </c>
      <c r="D3848" t="s">
        <v>218</v>
      </c>
      <c r="E3848" s="97">
        <v>9.4399999999999998E-2</v>
      </c>
    </row>
    <row r="3849" spans="1:5" ht="15">
      <c r="A3849" s="98">
        <v>1153</v>
      </c>
      <c r="B3849">
        <v>35.520000000000003</v>
      </c>
      <c r="C3849">
        <v>33.68</v>
      </c>
      <c r="D3849" t="s">
        <v>218</v>
      </c>
      <c r="E3849" s="97">
        <v>-8.5900000000000004E-2</v>
      </c>
    </row>
    <row r="3850" spans="1:5" ht="15">
      <c r="A3850" s="98">
        <v>1152</v>
      </c>
      <c r="B3850">
        <v>39.58</v>
      </c>
      <c r="C3850">
        <v>33.94</v>
      </c>
      <c r="D3850" t="s">
        <v>218</v>
      </c>
      <c r="E3850" s="97">
        <v>-1.8200000000000001E-2</v>
      </c>
    </row>
    <row r="3851" spans="1:5" ht="15">
      <c r="A3851" s="98">
        <v>1151</v>
      </c>
      <c r="B3851">
        <v>40.29</v>
      </c>
      <c r="C3851">
        <v>36.950000000000003</v>
      </c>
      <c r="D3851" t="s">
        <v>218</v>
      </c>
      <c r="E3851" s="97">
        <v>9.1700000000000004E-2</v>
      </c>
    </row>
    <row r="3852" spans="1:5" ht="15">
      <c r="A3852" s="98">
        <v>1150</v>
      </c>
      <c r="B3852">
        <v>38.19</v>
      </c>
      <c r="C3852">
        <v>36.01</v>
      </c>
      <c r="D3852" t="s">
        <v>218</v>
      </c>
      <c r="E3852" s="97">
        <v>5.1999999999999998E-3</v>
      </c>
    </row>
    <row r="3853" spans="1:5" ht="15">
      <c r="A3853" s="98">
        <v>1149</v>
      </c>
      <c r="B3853">
        <v>38.520000000000003</v>
      </c>
      <c r="C3853">
        <v>37.01</v>
      </c>
      <c r="D3853" t="s">
        <v>218</v>
      </c>
      <c r="E3853" s="97">
        <v>0</v>
      </c>
    </row>
    <row r="3854" spans="1:5" ht="15">
      <c r="A3854" s="98">
        <v>1148</v>
      </c>
      <c r="B3854">
        <v>37.53</v>
      </c>
      <c r="C3854">
        <v>36.369999999999997</v>
      </c>
      <c r="D3854" t="s">
        <v>218</v>
      </c>
      <c r="E3854" s="97">
        <v>0.13239999999999999</v>
      </c>
    </row>
    <row r="3855" spans="1:5" ht="15">
      <c r="A3855" s="98">
        <v>1147</v>
      </c>
      <c r="B3855">
        <v>39.520000000000003</v>
      </c>
      <c r="C3855">
        <v>37.97</v>
      </c>
      <c r="D3855" t="s">
        <v>218</v>
      </c>
      <c r="E3855" s="97">
        <v>1.09E-2</v>
      </c>
    </row>
    <row r="3856" spans="1:5" ht="15">
      <c r="A3856" s="98">
        <v>1146</v>
      </c>
      <c r="B3856">
        <v>39.64</v>
      </c>
      <c r="C3856">
        <v>37.42</v>
      </c>
      <c r="D3856" t="s">
        <v>218</v>
      </c>
      <c r="E3856" s="97">
        <v>0.15920000000000001</v>
      </c>
    </row>
    <row r="3857" spans="1:5" ht="15">
      <c r="A3857" s="98">
        <v>1145</v>
      </c>
      <c r="B3857">
        <v>37.950000000000003</v>
      </c>
      <c r="C3857">
        <v>35.369999999999997</v>
      </c>
      <c r="D3857" t="s">
        <v>218</v>
      </c>
      <c r="E3857" s="97">
        <v>6.8400000000000002E-2</v>
      </c>
    </row>
    <row r="3858" spans="1:5" ht="15">
      <c r="A3858" s="98">
        <v>1144</v>
      </c>
      <c r="B3858">
        <v>36.71</v>
      </c>
      <c r="C3858">
        <v>34.5</v>
      </c>
      <c r="D3858" t="s">
        <v>218</v>
      </c>
      <c r="E3858" s="97">
        <v>-4.36E-2</v>
      </c>
    </row>
    <row r="3859" spans="1:5" ht="15">
      <c r="A3859" s="98">
        <v>1143</v>
      </c>
      <c r="B3859">
        <v>36.880000000000003</v>
      </c>
      <c r="C3859">
        <v>34.880000000000003</v>
      </c>
      <c r="D3859" t="s">
        <v>218</v>
      </c>
      <c r="E3859" s="97">
        <v>-5.1400000000000001E-2</v>
      </c>
    </row>
    <row r="3860" spans="1:5" ht="15">
      <c r="A3860" s="98">
        <v>1142</v>
      </c>
      <c r="B3860">
        <v>36.24</v>
      </c>
      <c r="C3860">
        <v>34.31</v>
      </c>
      <c r="D3860" t="s">
        <v>218</v>
      </c>
      <c r="E3860" s="97">
        <v>5.9999999999999995E-4</v>
      </c>
    </row>
    <row r="3861" spans="1:5" ht="15">
      <c r="A3861" s="98">
        <v>1141</v>
      </c>
      <c r="B3861">
        <v>35.14</v>
      </c>
      <c r="C3861">
        <v>33.36</v>
      </c>
      <c r="D3861" t="s">
        <v>218</v>
      </c>
      <c r="E3861" s="97">
        <v>-2.0799999999999999E-2</v>
      </c>
    </row>
    <row r="3862" spans="1:5" ht="15">
      <c r="A3862" s="98">
        <v>1140</v>
      </c>
      <c r="B3862">
        <v>33.700000000000003</v>
      </c>
      <c r="C3862">
        <v>32.43</v>
      </c>
      <c r="D3862" t="s">
        <v>218</v>
      </c>
      <c r="E3862" s="97">
        <v>1.9E-2</v>
      </c>
    </row>
    <row r="3863" spans="1:5" ht="15">
      <c r="A3863" s="98">
        <v>1139</v>
      </c>
      <c r="B3863">
        <v>34.56</v>
      </c>
      <c r="C3863">
        <v>31.91</v>
      </c>
      <c r="D3863" t="s">
        <v>218</v>
      </c>
      <c r="E3863" s="97">
        <v>-1.32E-2</v>
      </c>
    </row>
    <row r="3864" spans="1:5" ht="15">
      <c r="A3864" s="98">
        <v>1138</v>
      </c>
      <c r="B3864">
        <v>32.72</v>
      </c>
      <c r="C3864">
        <v>31.19</v>
      </c>
      <c r="D3864" t="s">
        <v>218</v>
      </c>
      <c r="E3864" s="97">
        <v>1.9099999999999999E-2</v>
      </c>
    </row>
    <row r="3865" spans="1:5" ht="15">
      <c r="A3865" s="98">
        <v>1137</v>
      </c>
      <c r="B3865">
        <v>34.08</v>
      </c>
      <c r="C3865">
        <v>32.049999999999997</v>
      </c>
      <c r="D3865" t="s">
        <v>218</v>
      </c>
      <c r="E3865" s="97">
        <v>-4.2999999999999997E-2</v>
      </c>
    </row>
    <row r="3866" spans="1:5" ht="15">
      <c r="A3866" s="98">
        <v>1136</v>
      </c>
      <c r="B3866">
        <v>33.29</v>
      </c>
      <c r="C3866">
        <v>31.57</v>
      </c>
      <c r="D3866" t="s">
        <v>218</v>
      </c>
      <c r="E3866" s="97">
        <v>-5.0000000000000001E-4</v>
      </c>
    </row>
    <row r="3867" spans="1:5" ht="15">
      <c r="A3867" s="98">
        <v>1135</v>
      </c>
      <c r="B3867">
        <v>33.99</v>
      </c>
      <c r="C3867">
        <v>32.56</v>
      </c>
      <c r="D3867" t="s">
        <v>218</v>
      </c>
      <c r="E3867" s="97">
        <v>5.4300000000000001E-2</v>
      </c>
    </row>
    <row r="3868" spans="1:5" ht="15">
      <c r="A3868" s="98">
        <v>1134</v>
      </c>
      <c r="B3868">
        <v>33.96</v>
      </c>
      <c r="C3868">
        <v>31.32</v>
      </c>
      <c r="D3868" t="s">
        <v>218</v>
      </c>
      <c r="E3868" s="97">
        <v>-1.83E-2</v>
      </c>
    </row>
    <row r="3869" spans="1:5" ht="15">
      <c r="A3869" s="98">
        <v>1133</v>
      </c>
      <c r="B3869">
        <v>33.61</v>
      </c>
      <c r="C3869">
        <v>30.59</v>
      </c>
      <c r="D3869" t="s">
        <v>218</v>
      </c>
      <c r="E3869" s="97">
        <v>-8.6800000000000002E-2</v>
      </c>
    </row>
    <row r="3870" spans="1:5" ht="15">
      <c r="A3870" s="98">
        <v>1132</v>
      </c>
      <c r="B3870">
        <v>32.909999999999997</v>
      </c>
      <c r="C3870">
        <v>30</v>
      </c>
      <c r="D3870" t="s">
        <v>218</v>
      </c>
      <c r="E3870" s="97">
        <v>7.1999999999999998E-3</v>
      </c>
    </row>
    <row r="3871" spans="1:5" ht="15">
      <c r="A3871" s="98">
        <v>1131</v>
      </c>
      <c r="B3871">
        <v>30.32</v>
      </c>
      <c r="C3871">
        <v>28.35</v>
      </c>
      <c r="D3871" t="s">
        <v>218</v>
      </c>
      <c r="E3871" s="97">
        <v>1.0800000000000001E-2</v>
      </c>
    </row>
    <row r="3872" spans="1:5" ht="15">
      <c r="A3872" s="98">
        <v>1130</v>
      </c>
      <c r="B3872">
        <v>29.16</v>
      </c>
      <c r="C3872">
        <v>26.57</v>
      </c>
      <c r="D3872" t="s">
        <v>218</v>
      </c>
      <c r="E3872" s="97">
        <v>-4.3999999999999997E-2</v>
      </c>
    </row>
    <row r="3873" spans="1:5" ht="15">
      <c r="A3873" s="98">
        <v>1129</v>
      </c>
      <c r="B3873">
        <v>32.770000000000003</v>
      </c>
      <c r="C3873">
        <v>29.03</v>
      </c>
      <c r="D3873" t="s">
        <v>218</v>
      </c>
      <c r="E3873" s="97">
        <v>1.15E-2</v>
      </c>
    </row>
    <row r="3874" spans="1:5" ht="15">
      <c r="A3874" s="98">
        <v>1128</v>
      </c>
      <c r="B3874">
        <v>32.71</v>
      </c>
      <c r="C3874">
        <v>30.57</v>
      </c>
      <c r="D3874" t="s">
        <v>218</v>
      </c>
      <c r="E3874" s="97">
        <v>-7.4000000000000003E-3</v>
      </c>
    </row>
    <row r="3875" spans="1:5" ht="15">
      <c r="A3875" s="98">
        <v>1127</v>
      </c>
      <c r="B3875">
        <v>34.57</v>
      </c>
      <c r="C3875">
        <v>30.38</v>
      </c>
      <c r="D3875" t="s">
        <v>218</v>
      </c>
      <c r="E3875" s="97">
        <v>-8.0699999999999994E-2</v>
      </c>
    </row>
    <row r="3876" spans="1:5" ht="15">
      <c r="A3876" s="98">
        <v>1126</v>
      </c>
      <c r="B3876">
        <v>32.53</v>
      </c>
      <c r="C3876">
        <v>29.62</v>
      </c>
      <c r="D3876" t="s">
        <v>218</v>
      </c>
      <c r="E3876" s="97">
        <v>8.9999999999999998E-4</v>
      </c>
    </row>
    <row r="3877" spans="1:5" ht="15">
      <c r="A3877" s="98">
        <v>1125</v>
      </c>
      <c r="B3877">
        <v>33.32</v>
      </c>
      <c r="C3877">
        <v>31.1</v>
      </c>
      <c r="D3877" t="s">
        <v>218</v>
      </c>
      <c r="E3877" s="97">
        <v>-2.1399999999999999E-2</v>
      </c>
    </row>
    <row r="3878" spans="1:5" ht="15">
      <c r="A3878" s="98">
        <v>1124</v>
      </c>
      <c r="B3878">
        <v>31.67</v>
      </c>
      <c r="C3878">
        <v>28.85</v>
      </c>
      <c r="D3878" t="s">
        <v>218</v>
      </c>
      <c r="E3878" s="97">
        <v>-2.1399999999999999E-2</v>
      </c>
    </row>
    <row r="3879" spans="1:5" ht="15">
      <c r="A3879" s="98">
        <v>1123</v>
      </c>
      <c r="B3879">
        <v>30.05</v>
      </c>
      <c r="C3879">
        <v>28.45</v>
      </c>
      <c r="D3879" t="s">
        <v>218</v>
      </c>
      <c r="E3879" s="97">
        <v>-7.6999999999999999E-2</v>
      </c>
    </row>
    <row r="3880" spans="1:5" ht="15">
      <c r="A3880" s="98">
        <v>1122</v>
      </c>
      <c r="B3880">
        <v>30.13</v>
      </c>
      <c r="C3880">
        <v>28.3</v>
      </c>
      <c r="D3880" t="s">
        <v>218</v>
      </c>
      <c r="E3880" s="97">
        <v>-4.3900000000000002E-2</v>
      </c>
    </row>
    <row r="3881" spans="1:5" ht="15">
      <c r="A3881" s="98">
        <v>1121</v>
      </c>
      <c r="B3881">
        <v>31.79</v>
      </c>
      <c r="C3881">
        <v>29.62</v>
      </c>
      <c r="D3881" t="s">
        <v>218</v>
      </c>
      <c r="E3881" s="97">
        <v>0.13869999999999999</v>
      </c>
    </row>
    <row r="3882" spans="1:5" ht="15">
      <c r="A3882" s="98">
        <v>1120</v>
      </c>
      <c r="B3882">
        <v>31.02</v>
      </c>
      <c r="C3882">
        <v>29.92</v>
      </c>
      <c r="D3882" t="s">
        <v>218</v>
      </c>
      <c r="E3882" s="97">
        <v>-3.3500000000000002E-2</v>
      </c>
    </row>
    <row r="3883" spans="1:5" ht="15">
      <c r="A3883" s="98">
        <v>1119</v>
      </c>
      <c r="B3883">
        <v>30.81</v>
      </c>
      <c r="C3883">
        <v>28.85</v>
      </c>
      <c r="D3883" t="s">
        <v>218</v>
      </c>
      <c r="E3883" s="97">
        <v>9.7299999999999998E-2</v>
      </c>
    </row>
    <row r="3884" spans="1:5" ht="15">
      <c r="A3884" s="98">
        <v>1118</v>
      </c>
      <c r="B3884">
        <v>31.82</v>
      </c>
      <c r="C3884">
        <v>29.33</v>
      </c>
      <c r="D3884" t="s">
        <v>218</v>
      </c>
      <c r="E3884" s="97">
        <v>4.6800000000000001E-2</v>
      </c>
    </row>
    <row r="3885" spans="1:5" ht="15">
      <c r="A3885" s="98">
        <v>1117</v>
      </c>
      <c r="B3885">
        <v>29.77</v>
      </c>
      <c r="C3885">
        <v>27.79</v>
      </c>
      <c r="D3885" t="s">
        <v>218</v>
      </c>
      <c r="E3885" s="97">
        <v>-2.8999999999999998E-3</v>
      </c>
    </row>
    <row r="3886" spans="1:5" ht="15">
      <c r="A3886" s="98">
        <v>1116</v>
      </c>
      <c r="B3886">
        <v>29.74</v>
      </c>
      <c r="C3886">
        <v>26.9</v>
      </c>
      <c r="D3886" t="s">
        <v>218</v>
      </c>
      <c r="E3886" s="97">
        <v>4.0399999999999998E-2</v>
      </c>
    </row>
    <row r="3887" spans="1:5" ht="15">
      <c r="A3887" s="98">
        <v>1115</v>
      </c>
      <c r="B3887">
        <v>28.11</v>
      </c>
      <c r="C3887">
        <v>26.81</v>
      </c>
      <c r="D3887" t="s">
        <v>218</v>
      </c>
      <c r="E3887" s="97">
        <v>-6.7900000000000002E-2</v>
      </c>
    </row>
    <row r="3888" spans="1:5" ht="15">
      <c r="A3888" s="98">
        <v>1114</v>
      </c>
      <c r="B3888">
        <v>28.5</v>
      </c>
      <c r="C3888">
        <v>27.73</v>
      </c>
      <c r="D3888" t="s">
        <v>218</v>
      </c>
      <c r="E3888" s="97">
        <v>-7.1300000000000002E-2</v>
      </c>
    </row>
    <row r="3889" spans="1:5" ht="15">
      <c r="A3889" s="98">
        <v>1113</v>
      </c>
      <c r="B3889">
        <v>31.09</v>
      </c>
      <c r="C3889">
        <v>29.64</v>
      </c>
      <c r="D3889" t="s">
        <v>218</v>
      </c>
      <c r="E3889" s="97">
        <v>3.8600000000000002E-2</v>
      </c>
    </row>
    <row r="3890" spans="1:5" ht="15">
      <c r="A3890" s="98">
        <v>1112</v>
      </c>
      <c r="B3890">
        <v>32.75</v>
      </c>
      <c r="C3890">
        <v>30.07</v>
      </c>
      <c r="D3890" t="s">
        <v>218</v>
      </c>
      <c r="E3890" s="97">
        <v>-3.6400000000000002E-2</v>
      </c>
    </row>
    <row r="3891" spans="1:5" ht="15">
      <c r="A3891" s="98">
        <v>1111</v>
      </c>
      <c r="B3891">
        <v>32.770000000000003</v>
      </c>
      <c r="C3891">
        <v>30.64</v>
      </c>
      <c r="D3891" t="s">
        <v>218</v>
      </c>
      <c r="E3891" s="97">
        <v>7.0800000000000002E-2</v>
      </c>
    </row>
    <row r="3892" spans="1:5" ht="15">
      <c r="A3892" s="98">
        <v>1110</v>
      </c>
      <c r="B3892">
        <v>31.54</v>
      </c>
      <c r="C3892">
        <v>29.6</v>
      </c>
      <c r="D3892" t="s">
        <v>218</v>
      </c>
      <c r="E3892" s="97">
        <v>2.8000000000000001E-2</v>
      </c>
    </row>
    <row r="3893" spans="1:5" ht="15">
      <c r="A3893" s="98">
        <v>1109</v>
      </c>
      <c r="B3893">
        <v>29.32</v>
      </c>
      <c r="C3893">
        <v>27.56</v>
      </c>
      <c r="D3893" t="s">
        <v>218</v>
      </c>
      <c r="E3893" s="97">
        <v>-8.1900000000000001E-2</v>
      </c>
    </row>
    <row r="3894" spans="1:5" ht="15">
      <c r="A3894" s="98">
        <v>1108</v>
      </c>
      <c r="B3894">
        <v>32.049999999999997</v>
      </c>
      <c r="C3894">
        <v>30.3</v>
      </c>
      <c r="D3894" t="s">
        <v>218</v>
      </c>
      <c r="E3894" s="97">
        <v>2.3599999999999999E-2</v>
      </c>
    </row>
    <row r="3895" spans="1:5" ht="15">
      <c r="A3895" s="98">
        <v>1107</v>
      </c>
      <c r="B3895">
        <v>31.54</v>
      </c>
      <c r="C3895">
        <v>30.19</v>
      </c>
      <c r="D3895" t="s">
        <v>218</v>
      </c>
      <c r="E3895" s="97">
        <v>0.16220000000000001</v>
      </c>
    </row>
    <row r="3896" spans="1:5" ht="15">
      <c r="A3896" s="98">
        <v>1106</v>
      </c>
      <c r="B3896">
        <v>30.58</v>
      </c>
      <c r="C3896">
        <v>28.79</v>
      </c>
      <c r="D3896" t="s">
        <v>218</v>
      </c>
      <c r="E3896" s="97">
        <v>-2.01E-2</v>
      </c>
    </row>
    <row r="3897" spans="1:5" ht="15">
      <c r="A3897" s="98">
        <v>1105</v>
      </c>
      <c r="B3897">
        <v>29.56</v>
      </c>
      <c r="C3897">
        <v>26.3</v>
      </c>
      <c r="D3897" t="s">
        <v>218</v>
      </c>
      <c r="E3897" s="97">
        <v>-2.5600000000000001E-2</v>
      </c>
    </row>
    <row r="3898" spans="1:5" ht="15">
      <c r="A3898" s="98">
        <v>1104</v>
      </c>
      <c r="B3898">
        <v>27.22</v>
      </c>
      <c r="C3898">
        <v>25.76</v>
      </c>
      <c r="D3898" t="s">
        <v>218</v>
      </c>
      <c r="E3898" s="97">
        <v>-2.4500000000000001E-2</v>
      </c>
    </row>
    <row r="3899" spans="1:5" ht="15">
      <c r="A3899" s="98">
        <v>1103</v>
      </c>
      <c r="B3899">
        <v>27.18</v>
      </c>
      <c r="C3899">
        <v>25.29</v>
      </c>
      <c r="D3899" t="s">
        <v>218</v>
      </c>
      <c r="E3899" s="97">
        <v>-5.9900000000000002E-2</v>
      </c>
    </row>
    <row r="3900" spans="1:5" ht="15">
      <c r="A3900" s="98">
        <v>1102</v>
      </c>
      <c r="B3900">
        <v>27.38</v>
      </c>
      <c r="C3900">
        <v>25.02</v>
      </c>
      <c r="D3900" t="s">
        <v>218</v>
      </c>
      <c r="E3900" s="97">
        <v>6.1199999999999997E-2</v>
      </c>
    </row>
    <row r="3901" spans="1:5" ht="15">
      <c r="A3901" s="98">
        <v>1101</v>
      </c>
      <c r="B3901">
        <v>26.31</v>
      </c>
      <c r="C3901">
        <v>24.8</v>
      </c>
      <c r="D3901" t="s">
        <v>218</v>
      </c>
      <c r="E3901" s="97">
        <v>4.07E-2</v>
      </c>
    </row>
    <row r="3902" spans="1:5" ht="15">
      <c r="A3902" s="98">
        <v>1100</v>
      </c>
      <c r="B3902">
        <v>28.62</v>
      </c>
      <c r="C3902">
        <v>26.22</v>
      </c>
      <c r="D3902" t="s">
        <v>218</v>
      </c>
      <c r="E3902" s="97">
        <v>-3.9100000000000003E-2</v>
      </c>
    </row>
    <row r="3903" spans="1:5" ht="15">
      <c r="A3903" s="98">
        <v>1099</v>
      </c>
      <c r="B3903">
        <v>30.6</v>
      </c>
      <c r="C3903">
        <v>28.99</v>
      </c>
      <c r="D3903" t="s">
        <v>218</v>
      </c>
      <c r="E3903" s="97">
        <v>-2.5700000000000001E-2</v>
      </c>
    </row>
    <row r="3904" spans="1:5" ht="15">
      <c r="A3904" s="98">
        <v>1098</v>
      </c>
      <c r="B3904">
        <v>30.94</v>
      </c>
      <c r="C3904">
        <v>28.9</v>
      </c>
      <c r="D3904" t="s">
        <v>218</v>
      </c>
      <c r="E3904" s="97">
        <v>-3.3E-3</v>
      </c>
    </row>
    <row r="3905" spans="1:5" ht="15">
      <c r="A3905" s="98">
        <v>1097</v>
      </c>
      <c r="B3905">
        <v>33.049999999999997</v>
      </c>
      <c r="C3905">
        <v>30.43</v>
      </c>
      <c r="D3905" t="s">
        <v>218</v>
      </c>
      <c r="E3905" s="97">
        <v>2.3300000000000001E-2</v>
      </c>
    </row>
    <row r="3906" spans="1:5" ht="15">
      <c r="A3906" s="98">
        <v>1096</v>
      </c>
      <c r="B3906">
        <v>30.49</v>
      </c>
      <c r="C3906">
        <v>29.28</v>
      </c>
      <c r="D3906" t="s">
        <v>218</v>
      </c>
      <c r="E3906" s="97">
        <v>-0.1206</v>
      </c>
    </row>
    <row r="3907" spans="1:5" ht="15">
      <c r="A3907" s="98">
        <v>1095</v>
      </c>
      <c r="B3907">
        <v>30.34</v>
      </c>
      <c r="C3907">
        <v>28.82</v>
      </c>
      <c r="D3907" t="s">
        <v>218</v>
      </c>
      <c r="E3907" s="97">
        <v>2.63E-2</v>
      </c>
    </row>
    <row r="3908" spans="1:5" ht="15">
      <c r="A3908" s="98">
        <v>1094</v>
      </c>
      <c r="B3908">
        <v>29.24</v>
      </c>
      <c r="C3908">
        <v>25.42</v>
      </c>
      <c r="D3908" t="s">
        <v>218</v>
      </c>
      <c r="E3908" s="97">
        <v>6.2E-2</v>
      </c>
    </row>
    <row r="3909" spans="1:5" ht="15">
      <c r="A3909" s="98">
        <v>1093</v>
      </c>
      <c r="B3909">
        <v>26.84</v>
      </c>
      <c r="C3909">
        <v>24.99</v>
      </c>
      <c r="D3909" t="s">
        <v>218</v>
      </c>
      <c r="E3909" s="97">
        <v>5.6099999999999997E-2</v>
      </c>
    </row>
    <row r="3910" spans="1:5" ht="15">
      <c r="A3910" s="98">
        <v>1092</v>
      </c>
      <c r="B3910">
        <v>26.06</v>
      </c>
      <c r="C3910">
        <v>23.83</v>
      </c>
      <c r="D3910" t="s">
        <v>218</v>
      </c>
      <c r="E3910" s="97">
        <v>5.0700000000000002E-2</v>
      </c>
    </row>
    <row r="3911" spans="1:5" ht="15">
      <c r="A3911" s="98">
        <v>1091</v>
      </c>
      <c r="B3911">
        <v>26.18</v>
      </c>
      <c r="C3911">
        <v>24.51</v>
      </c>
      <c r="D3911" t="s">
        <v>218</v>
      </c>
      <c r="E3911" s="97">
        <v>-8.6900000000000005E-2</v>
      </c>
    </row>
    <row r="3912" spans="1:5" ht="15">
      <c r="A3912" s="98">
        <v>1090</v>
      </c>
      <c r="B3912">
        <v>25.55</v>
      </c>
      <c r="C3912">
        <v>23.88</v>
      </c>
      <c r="D3912" t="s">
        <v>218</v>
      </c>
      <c r="E3912" s="97">
        <v>-7.0199999999999999E-2</v>
      </c>
    </row>
    <row r="3913" spans="1:5" ht="15">
      <c r="A3913" s="98">
        <v>1089</v>
      </c>
      <c r="B3913">
        <v>25.42</v>
      </c>
      <c r="C3913">
        <v>24.26</v>
      </c>
      <c r="D3913" t="s">
        <v>218</v>
      </c>
      <c r="E3913" s="97">
        <v>-5.7500000000000002E-2</v>
      </c>
    </row>
    <row r="3914" spans="1:5" ht="15">
      <c r="A3914" s="98">
        <v>1088</v>
      </c>
      <c r="B3914">
        <v>25.14</v>
      </c>
      <c r="C3914">
        <v>23.81</v>
      </c>
      <c r="D3914" t="s">
        <v>218</v>
      </c>
      <c r="E3914" s="97">
        <v>-7.3599999999999999E-2</v>
      </c>
    </row>
    <row r="3915" spans="1:5" ht="15">
      <c r="A3915" s="98">
        <v>1087</v>
      </c>
      <c r="B3915">
        <v>24.14</v>
      </c>
      <c r="C3915">
        <v>23.24</v>
      </c>
      <c r="D3915" t="s">
        <v>218</v>
      </c>
      <c r="E3915" s="97">
        <v>0.1875</v>
      </c>
    </row>
    <row r="3916" spans="1:5" ht="15">
      <c r="A3916" s="98">
        <v>1086</v>
      </c>
      <c r="B3916">
        <v>24.05</v>
      </c>
      <c r="C3916">
        <v>23.21</v>
      </c>
      <c r="D3916" t="s">
        <v>218</v>
      </c>
      <c r="E3916" s="97">
        <v>6.6500000000000004E-2</v>
      </c>
    </row>
    <row r="3917" spans="1:5" ht="15">
      <c r="A3917" s="98">
        <v>1085</v>
      </c>
      <c r="B3917">
        <v>23.87</v>
      </c>
      <c r="C3917">
        <v>23</v>
      </c>
      <c r="D3917" t="s">
        <v>218</v>
      </c>
      <c r="E3917" s="97">
        <v>5.9700000000000003E-2</v>
      </c>
    </row>
    <row r="3918" spans="1:5" ht="15">
      <c r="A3918" s="98">
        <v>1084</v>
      </c>
      <c r="B3918">
        <v>24.86</v>
      </c>
      <c r="C3918">
        <v>24.02</v>
      </c>
      <c r="D3918" t="s">
        <v>218</v>
      </c>
      <c r="E3918" s="97">
        <v>-2.3599999999999999E-2</v>
      </c>
    </row>
    <row r="3919" spans="1:5" ht="15">
      <c r="A3919" s="98">
        <v>1083</v>
      </c>
      <c r="B3919">
        <v>25.61</v>
      </c>
      <c r="C3919">
        <v>24.28</v>
      </c>
      <c r="D3919" t="s">
        <v>218</v>
      </c>
      <c r="E3919" s="97">
        <v>-2.35E-2</v>
      </c>
    </row>
    <row r="3920" spans="1:5" ht="15">
      <c r="A3920" s="98">
        <v>1082</v>
      </c>
      <c r="B3920">
        <v>26.18</v>
      </c>
      <c r="C3920">
        <v>25.41</v>
      </c>
      <c r="D3920" t="s">
        <v>218</v>
      </c>
      <c r="E3920" s="97">
        <v>-1.78E-2</v>
      </c>
    </row>
    <row r="3921" spans="1:5" ht="15">
      <c r="A3921" s="98">
        <v>1081</v>
      </c>
      <c r="B3921">
        <v>25.76</v>
      </c>
      <c r="C3921">
        <v>24.85</v>
      </c>
      <c r="D3921" t="s">
        <v>218</v>
      </c>
      <c r="E3921" s="97">
        <v>-5.8900000000000001E-2</v>
      </c>
    </row>
    <row r="3922" spans="1:5" ht="15">
      <c r="A3922" s="98">
        <v>1080</v>
      </c>
      <c r="B3922">
        <v>26.22</v>
      </c>
      <c r="C3922">
        <v>24.93</v>
      </c>
      <c r="D3922" t="s">
        <v>218</v>
      </c>
      <c r="E3922" s="97">
        <v>5.6000000000000001E-2</v>
      </c>
    </row>
    <row r="3923" spans="1:5" ht="15">
      <c r="A3923" s="98">
        <v>1079</v>
      </c>
      <c r="B3923">
        <v>26.49</v>
      </c>
      <c r="C3923">
        <v>25.56</v>
      </c>
      <c r="D3923" t="s">
        <v>218</v>
      </c>
      <c r="E3923" s="97">
        <v>-3.3300000000000003E-2</v>
      </c>
    </row>
    <row r="3924" spans="1:5" ht="15">
      <c r="A3924" s="98">
        <v>1078</v>
      </c>
      <c r="B3924">
        <v>26.16</v>
      </c>
      <c r="C3924">
        <v>24.89</v>
      </c>
      <c r="D3924" t="s">
        <v>218</v>
      </c>
      <c r="E3924" s="97">
        <v>-5.0900000000000001E-2</v>
      </c>
    </row>
    <row r="3925" spans="1:5" ht="15">
      <c r="A3925" s="98">
        <v>1077</v>
      </c>
      <c r="B3925">
        <v>25.85</v>
      </c>
      <c r="C3925">
        <v>24.86</v>
      </c>
      <c r="D3925" t="s">
        <v>218</v>
      </c>
      <c r="E3925" s="97">
        <v>5.8599999999999999E-2</v>
      </c>
    </row>
    <row r="3926" spans="1:5" ht="15">
      <c r="A3926" s="98">
        <v>1076</v>
      </c>
      <c r="B3926">
        <v>26.15</v>
      </c>
      <c r="C3926">
        <v>24.47</v>
      </c>
      <c r="D3926" t="s">
        <v>218</v>
      </c>
      <c r="E3926" s="97">
        <v>-7.1599999999999997E-2</v>
      </c>
    </row>
    <row r="3927" spans="1:5" ht="15">
      <c r="A3927" s="98">
        <v>1075</v>
      </c>
      <c r="B3927">
        <v>24.95</v>
      </c>
      <c r="C3927">
        <v>23.98</v>
      </c>
      <c r="D3927" t="s">
        <v>218</v>
      </c>
      <c r="E3927" s="97">
        <v>-2.07E-2</v>
      </c>
    </row>
    <row r="3928" spans="1:5" ht="15">
      <c r="A3928" s="98">
        <v>1074</v>
      </c>
      <c r="B3928">
        <v>25.82</v>
      </c>
      <c r="C3928">
        <v>24.76</v>
      </c>
      <c r="D3928" t="s">
        <v>218</v>
      </c>
      <c r="E3928" s="97">
        <v>5.2999999999999999E-2</v>
      </c>
    </row>
    <row r="3929" spans="1:5" ht="15">
      <c r="A3929" s="98">
        <v>1073</v>
      </c>
      <c r="B3929">
        <v>26.98</v>
      </c>
      <c r="C3929">
        <v>24.98</v>
      </c>
      <c r="D3929" t="s">
        <v>218</v>
      </c>
      <c r="E3929" s="97">
        <v>2.98E-2</v>
      </c>
    </row>
    <row r="3930" spans="1:5" ht="15">
      <c r="A3930" s="98">
        <v>1072</v>
      </c>
      <c r="B3930">
        <v>26.5</v>
      </c>
      <c r="C3930">
        <v>25.11</v>
      </c>
      <c r="D3930" t="s">
        <v>218</v>
      </c>
      <c r="E3930" s="97">
        <v>-7.3000000000000001E-3</v>
      </c>
    </row>
    <row r="3931" spans="1:5" ht="15">
      <c r="A3931" s="98">
        <v>1071</v>
      </c>
      <c r="B3931">
        <v>26.15</v>
      </c>
      <c r="C3931">
        <v>24.71</v>
      </c>
      <c r="D3931" t="s">
        <v>218</v>
      </c>
      <c r="E3931" s="97">
        <v>-5.9499999999999997E-2</v>
      </c>
    </row>
    <row r="3932" spans="1:5" ht="15">
      <c r="A3932" s="98">
        <v>1070</v>
      </c>
      <c r="B3932">
        <v>25.94</v>
      </c>
      <c r="C3932">
        <v>24.26</v>
      </c>
      <c r="D3932" t="s">
        <v>218</v>
      </c>
      <c r="E3932" s="97">
        <v>-3.5099999999999999E-2</v>
      </c>
    </row>
    <row r="3933" spans="1:5" ht="15">
      <c r="A3933" s="98">
        <v>1069</v>
      </c>
      <c r="B3933">
        <v>28.39</v>
      </c>
      <c r="C3933">
        <v>24.27</v>
      </c>
      <c r="D3933" t="s">
        <v>218</v>
      </c>
      <c r="E3933" s="97">
        <v>-1.78E-2</v>
      </c>
    </row>
    <row r="3934" spans="1:5" ht="15">
      <c r="A3934" s="98">
        <v>1068</v>
      </c>
      <c r="B3934">
        <v>27.89</v>
      </c>
      <c r="C3934">
        <v>26.08</v>
      </c>
      <c r="D3934" t="s">
        <v>218</v>
      </c>
      <c r="E3934" s="97">
        <v>5.0700000000000002E-2</v>
      </c>
    </row>
    <row r="3935" spans="1:5" ht="15">
      <c r="A3935" s="98">
        <v>1067</v>
      </c>
      <c r="B3935">
        <v>28.14</v>
      </c>
      <c r="C3935">
        <v>26.14</v>
      </c>
      <c r="D3935" t="s">
        <v>218</v>
      </c>
      <c r="E3935" s="97">
        <v>2.8899999999999999E-2</v>
      </c>
    </row>
    <row r="3936" spans="1:5" ht="15">
      <c r="A3936" s="98">
        <v>1066</v>
      </c>
      <c r="B3936">
        <v>26.45</v>
      </c>
      <c r="C3936">
        <v>24.75</v>
      </c>
      <c r="D3936" t="s">
        <v>218</v>
      </c>
      <c r="E3936" s="97">
        <v>1.2E-2</v>
      </c>
    </row>
    <row r="3937" spans="1:5" ht="15">
      <c r="A3937" s="98">
        <v>1065</v>
      </c>
      <c r="B3937">
        <v>25.06</v>
      </c>
      <c r="C3937">
        <v>23.91</v>
      </c>
      <c r="D3937" t="s">
        <v>218</v>
      </c>
      <c r="E3937" s="97">
        <v>9.9000000000000005E-2</v>
      </c>
    </row>
    <row r="3938" spans="1:5" ht="15">
      <c r="A3938" s="98">
        <v>1064</v>
      </c>
      <c r="B3938">
        <v>25.7</v>
      </c>
      <c r="C3938">
        <v>25.01</v>
      </c>
      <c r="D3938" t="s">
        <v>218</v>
      </c>
      <c r="E3938" s="97">
        <v>2.6499999999999999E-2</v>
      </c>
    </row>
    <row r="3939" spans="1:5" ht="15">
      <c r="A3939" s="98">
        <v>1063</v>
      </c>
      <c r="B3939">
        <v>25.13</v>
      </c>
      <c r="C3939">
        <v>23.68</v>
      </c>
      <c r="D3939" t="s">
        <v>218</v>
      </c>
      <c r="E3939" s="97">
        <v>6.9000000000000006E-2</v>
      </c>
    </row>
    <row r="3940" spans="1:5" ht="15">
      <c r="A3940" s="98">
        <v>1062</v>
      </c>
      <c r="B3940">
        <v>25.56</v>
      </c>
      <c r="C3940">
        <v>24.69</v>
      </c>
      <c r="D3940" t="s">
        <v>218</v>
      </c>
      <c r="E3940" s="97">
        <v>5.2400000000000002E-2</v>
      </c>
    </row>
    <row r="3941" spans="1:5" ht="15">
      <c r="A3941" s="98">
        <v>1061</v>
      </c>
      <c r="B3941">
        <v>25.89</v>
      </c>
      <c r="C3941">
        <v>24.43</v>
      </c>
      <c r="D3941" t="s">
        <v>218</v>
      </c>
      <c r="E3941" s="97">
        <v>-2.9000000000000001E-2</v>
      </c>
    </row>
    <row r="3942" spans="1:5" ht="15">
      <c r="A3942" s="98">
        <v>1060</v>
      </c>
      <c r="B3942">
        <v>25.5</v>
      </c>
      <c r="C3942">
        <v>24.28</v>
      </c>
      <c r="D3942" t="s">
        <v>218</v>
      </c>
      <c r="E3942" s="97">
        <v>-1.9800000000000002E-2</v>
      </c>
    </row>
    <row r="3943" spans="1:5" ht="15">
      <c r="A3943" s="98">
        <v>1059</v>
      </c>
      <c r="B3943">
        <v>27.01</v>
      </c>
      <c r="C3943">
        <v>24.76</v>
      </c>
      <c r="D3943" t="s">
        <v>218</v>
      </c>
      <c r="E3943" s="97">
        <v>8.0999999999999996E-3</v>
      </c>
    </row>
    <row r="3944" spans="1:5" ht="15">
      <c r="A3944" s="98">
        <v>1058</v>
      </c>
      <c r="B3944">
        <v>29.23</v>
      </c>
      <c r="C3944">
        <v>26</v>
      </c>
      <c r="D3944" t="s">
        <v>218</v>
      </c>
      <c r="E3944" s="97">
        <v>-1.0699999999999999E-2</v>
      </c>
    </row>
    <row r="3945" spans="1:5" ht="15">
      <c r="A3945" s="98">
        <v>1057</v>
      </c>
      <c r="B3945">
        <v>29.57</v>
      </c>
      <c r="C3945">
        <v>28.41</v>
      </c>
      <c r="D3945" t="s">
        <v>218</v>
      </c>
      <c r="E3945" s="97">
        <v>2.52E-2</v>
      </c>
    </row>
    <row r="3946" spans="1:5" ht="15">
      <c r="A3946" s="98">
        <v>1056</v>
      </c>
      <c r="B3946">
        <v>28.9</v>
      </c>
      <c r="C3946">
        <v>26.98</v>
      </c>
      <c r="D3946" t="s">
        <v>218</v>
      </c>
      <c r="E3946" s="97">
        <v>-3.39E-2</v>
      </c>
    </row>
    <row r="3947" spans="1:5" ht="15">
      <c r="A3947" s="98">
        <v>1055</v>
      </c>
      <c r="B3947">
        <v>26.98</v>
      </c>
      <c r="C3947">
        <v>24.86</v>
      </c>
      <c r="D3947" t="s">
        <v>218</v>
      </c>
      <c r="E3947" s="97">
        <v>-2.7799999999999998E-2</v>
      </c>
    </row>
    <row r="3948" spans="1:5" ht="15">
      <c r="A3948" s="98">
        <v>1054</v>
      </c>
      <c r="B3948">
        <v>26.15</v>
      </c>
      <c r="C3948">
        <v>25.26</v>
      </c>
      <c r="D3948" t="s">
        <v>218</v>
      </c>
      <c r="E3948" s="97">
        <v>-3.95E-2</v>
      </c>
    </row>
    <row r="3949" spans="1:5" ht="15">
      <c r="A3949" s="98">
        <v>1053</v>
      </c>
      <c r="B3949">
        <v>25.93</v>
      </c>
      <c r="C3949">
        <v>24.23</v>
      </c>
      <c r="D3949" t="s">
        <v>218</v>
      </c>
      <c r="E3949" s="97">
        <v>5.6899999999999999E-2</v>
      </c>
    </row>
    <row r="3950" spans="1:5" ht="15">
      <c r="A3950" s="98">
        <v>1052</v>
      </c>
      <c r="B3950">
        <v>24.76</v>
      </c>
      <c r="C3950">
        <v>22.82</v>
      </c>
      <c r="D3950" t="s">
        <v>218</v>
      </c>
      <c r="E3950" s="97">
        <v>-8.5500000000000007E-2</v>
      </c>
    </row>
    <row r="3951" spans="1:5" ht="15">
      <c r="A3951" s="98">
        <v>1051</v>
      </c>
      <c r="B3951">
        <v>24.33</v>
      </c>
      <c r="C3951">
        <v>22.48</v>
      </c>
      <c r="D3951" t="s">
        <v>218</v>
      </c>
      <c r="E3951" s="97">
        <v>6.8900000000000003E-2</v>
      </c>
    </row>
    <row r="3952" spans="1:5" ht="15">
      <c r="A3952" s="98">
        <v>1050</v>
      </c>
      <c r="B3952">
        <v>25.39</v>
      </c>
      <c r="C3952">
        <v>23.32</v>
      </c>
      <c r="D3952" t="s">
        <v>218</v>
      </c>
      <c r="E3952" s="97">
        <v>2.8400000000000002E-2</v>
      </c>
    </row>
    <row r="3953" spans="1:5" ht="15">
      <c r="A3953" s="98">
        <v>1049</v>
      </c>
      <c r="B3953">
        <v>24.27</v>
      </c>
      <c r="C3953">
        <v>23.07</v>
      </c>
      <c r="D3953" t="s">
        <v>218</v>
      </c>
      <c r="E3953" s="97">
        <v>-7.7999999999999996E-3</v>
      </c>
    </row>
    <row r="3954" spans="1:5" ht="15">
      <c r="A3954" s="98">
        <v>1048</v>
      </c>
      <c r="B3954">
        <v>23.92</v>
      </c>
      <c r="C3954">
        <v>22.78</v>
      </c>
      <c r="D3954" t="s">
        <v>218</v>
      </c>
      <c r="E3954" s="97">
        <v>3.4500000000000003E-2</v>
      </c>
    </row>
    <row r="3955" spans="1:5" ht="15">
      <c r="A3955" s="98">
        <v>1047</v>
      </c>
      <c r="B3955">
        <v>24.07</v>
      </c>
      <c r="C3955">
        <v>22.79</v>
      </c>
      <c r="D3955" t="s">
        <v>218</v>
      </c>
      <c r="E3955" s="97">
        <v>-4.3E-3</v>
      </c>
    </row>
    <row r="3956" spans="1:5" ht="15">
      <c r="A3956" s="98">
        <v>1046</v>
      </c>
      <c r="B3956">
        <v>24.43</v>
      </c>
      <c r="C3956">
        <v>23.14</v>
      </c>
      <c r="D3956" t="s">
        <v>218</v>
      </c>
      <c r="E3956" s="97">
        <v>5.0000000000000001E-4</v>
      </c>
    </row>
    <row r="3957" spans="1:5" ht="15">
      <c r="A3957" s="98">
        <v>1045</v>
      </c>
      <c r="B3957">
        <v>25.51</v>
      </c>
      <c r="C3957">
        <v>23.71</v>
      </c>
      <c r="D3957" t="s">
        <v>218</v>
      </c>
      <c r="E3957" s="97">
        <v>-3.7699999999999997E-2</v>
      </c>
    </row>
    <row r="3958" spans="1:5" ht="15">
      <c r="A3958" s="98">
        <v>1044</v>
      </c>
      <c r="B3958">
        <v>23.98</v>
      </c>
      <c r="C3958">
        <v>23.06</v>
      </c>
      <c r="D3958" t="s">
        <v>218</v>
      </c>
      <c r="E3958" s="97">
        <v>1.9E-2</v>
      </c>
    </row>
    <row r="3959" spans="1:5" ht="15">
      <c r="A3959" s="98">
        <v>1043</v>
      </c>
      <c r="B3959">
        <v>23.69</v>
      </c>
      <c r="C3959">
        <v>22.19</v>
      </c>
      <c r="D3959" t="s">
        <v>218</v>
      </c>
      <c r="E3959" s="97">
        <v>-5.0000000000000001E-4</v>
      </c>
    </row>
    <row r="3960" spans="1:5" ht="15">
      <c r="A3960" s="98">
        <v>1042</v>
      </c>
      <c r="B3960">
        <v>25.37</v>
      </c>
      <c r="C3960">
        <v>23.44</v>
      </c>
      <c r="D3960" t="s">
        <v>218</v>
      </c>
      <c r="E3960" s="97">
        <v>-4.4299999999999999E-2</v>
      </c>
    </row>
    <row r="3961" spans="1:5" ht="15">
      <c r="A3961" s="98">
        <v>1041</v>
      </c>
      <c r="B3961">
        <v>26.34</v>
      </c>
      <c r="C3961">
        <v>24.81</v>
      </c>
      <c r="D3961" t="s">
        <v>218</v>
      </c>
      <c r="E3961" s="97">
        <v>1.12E-2</v>
      </c>
    </row>
    <row r="3962" spans="1:5" ht="15">
      <c r="A3962" s="98">
        <v>1040</v>
      </c>
      <c r="B3962">
        <v>26.4</v>
      </c>
      <c r="C3962">
        <v>24.85</v>
      </c>
      <c r="D3962" t="s">
        <v>218</v>
      </c>
      <c r="E3962" s="97">
        <v>-5.2999999999999999E-2</v>
      </c>
    </row>
    <row r="3963" spans="1:5" ht="15">
      <c r="A3963" s="98">
        <v>1039</v>
      </c>
      <c r="B3963">
        <v>25.28</v>
      </c>
      <c r="C3963">
        <v>24.54</v>
      </c>
      <c r="D3963" t="s">
        <v>218</v>
      </c>
      <c r="E3963" s="97">
        <v>4.6399999999999997E-2</v>
      </c>
    </row>
    <row r="3964" spans="1:5" ht="15">
      <c r="A3964" s="98">
        <v>1038</v>
      </c>
      <c r="B3964">
        <v>26.45</v>
      </c>
      <c r="C3964">
        <v>24.76</v>
      </c>
      <c r="D3964" t="s">
        <v>218</v>
      </c>
      <c r="E3964" s="97">
        <v>5.5999999999999999E-3</v>
      </c>
    </row>
    <row r="3965" spans="1:5" ht="15">
      <c r="A3965" s="98">
        <v>1037</v>
      </c>
      <c r="B3965">
        <v>28.42</v>
      </c>
      <c r="C3965">
        <v>25.98</v>
      </c>
      <c r="D3965" t="s">
        <v>218</v>
      </c>
      <c r="E3965" s="97">
        <v>-3.1899999999999998E-2</v>
      </c>
    </row>
    <row r="3966" spans="1:5" ht="15">
      <c r="A3966" s="98">
        <v>1036</v>
      </c>
      <c r="B3966">
        <v>29.56</v>
      </c>
      <c r="C3966">
        <v>27.98</v>
      </c>
      <c r="D3966" t="s">
        <v>218</v>
      </c>
      <c r="E3966" s="97">
        <v>-1.3599999999999999E-2</v>
      </c>
    </row>
    <row r="3967" spans="1:5" ht="15">
      <c r="A3967" s="98">
        <v>1035</v>
      </c>
      <c r="B3967">
        <v>29.34</v>
      </c>
      <c r="C3967">
        <v>26.57</v>
      </c>
      <c r="D3967" t="s">
        <v>218</v>
      </c>
      <c r="E3967" s="97">
        <v>-4.1300000000000003E-2</v>
      </c>
    </row>
    <row r="3968" spans="1:5" ht="15">
      <c r="A3968" s="98">
        <v>1034</v>
      </c>
      <c r="B3968">
        <v>26.41</v>
      </c>
      <c r="C3968">
        <v>25.19</v>
      </c>
      <c r="D3968" t="s">
        <v>218</v>
      </c>
      <c r="E3968" s="97">
        <v>5.0700000000000002E-2</v>
      </c>
    </row>
    <row r="3969" spans="1:5" ht="15">
      <c r="A3969" s="98">
        <v>1033</v>
      </c>
      <c r="B3969">
        <v>25.82</v>
      </c>
      <c r="C3969">
        <v>24.57</v>
      </c>
      <c r="D3969" t="s">
        <v>218</v>
      </c>
      <c r="E3969" s="97">
        <v>-3.6600000000000001E-2</v>
      </c>
    </row>
    <row r="3970" spans="1:5" ht="15">
      <c r="A3970" s="98">
        <v>1032</v>
      </c>
      <c r="B3970">
        <v>24.69</v>
      </c>
      <c r="C3970">
        <v>23.9</v>
      </c>
      <c r="D3970" t="s">
        <v>218</v>
      </c>
      <c r="E3970" s="97">
        <v>3.5999999999999997E-2</v>
      </c>
    </row>
    <row r="3971" spans="1:5" ht="15">
      <c r="A3971" s="98">
        <v>1031</v>
      </c>
      <c r="B3971">
        <v>24.54</v>
      </c>
      <c r="C3971">
        <v>22.99</v>
      </c>
      <c r="D3971" t="s">
        <v>218</v>
      </c>
      <c r="E3971" s="97">
        <v>-5.7999999999999996E-3</v>
      </c>
    </row>
    <row r="3972" spans="1:5" ht="15">
      <c r="A3972" s="98">
        <v>1030</v>
      </c>
      <c r="B3972">
        <v>23.53</v>
      </c>
      <c r="C3972">
        <v>22.67</v>
      </c>
      <c r="D3972" t="s">
        <v>218</v>
      </c>
      <c r="E3972" s="97">
        <v>-3.2300000000000002E-2</v>
      </c>
    </row>
    <row r="3973" spans="1:5" ht="15">
      <c r="A3973" s="98">
        <v>1029</v>
      </c>
      <c r="B3973">
        <v>24.07</v>
      </c>
      <c r="C3973">
        <v>22.74</v>
      </c>
      <c r="D3973" t="s">
        <v>218</v>
      </c>
      <c r="E3973" s="97">
        <v>-5.1000000000000004E-3</v>
      </c>
    </row>
    <row r="3974" spans="1:5" ht="15">
      <c r="A3974" s="98">
        <v>1028</v>
      </c>
      <c r="B3974">
        <v>22.89</v>
      </c>
      <c r="C3974">
        <v>21.55</v>
      </c>
      <c r="D3974" t="s">
        <v>218</v>
      </c>
      <c r="E3974" s="97">
        <v>-8.3000000000000001E-3</v>
      </c>
    </row>
    <row r="3975" spans="1:5" ht="15">
      <c r="A3975" s="98">
        <v>1027</v>
      </c>
      <c r="B3975">
        <v>23.53</v>
      </c>
      <c r="C3975">
        <v>21.49</v>
      </c>
      <c r="D3975" t="s">
        <v>218</v>
      </c>
      <c r="E3975" s="97">
        <v>-1.8599999999999998E-2</v>
      </c>
    </row>
    <row r="3976" spans="1:5" ht="15">
      <c r="A3976" s="98">
        <v>1026</v>
      </c>
      <c r="B3976">
        <v>22.6</v>
      </c>
      <c r="C3976">
        <v>20.98</v>
      </c>
      <c r="D3976" t="s">
        <v>218</v>
      </c>
      <c r="E3976" s="97">
        <v>-9.4000000000000004E-3</v>
      </c>
    </row>
    <row r="3977" spans="1:5" ht="15">
      <c r="A3977" s="98">
        <v>1025</v>
      </c>
      <c r="B3977">
        <v>22.46</v>
      </c>
      <c r="C3977">
        <v>20.91</v>
      </c>
      <c r="D3977" t="s">
        <v>218</v>
      </c>
      <c r="E3977" s="97">
        <v>-7.0900000000000005E-2</v>
      </c>
    </row>
    <row r="3978" spans="1:5" ht="15">
      <c r="A3978" s="98">
        <v>1024</v>
      </c>
      <c r="B3978">
        <v>21.76</v>
      </c>
      <c r="C3978">
        <v>20.9</v>
      </c>
      <c r="D3978" t="s">
        <v>218</v>
      </c>
      <c r="E3978" s="97">
        <v>2.7900000000000001E-2</v>
      </c>
    </row>
    <row r="3979" spans="1:5" ht="15">
      <c r="A3979" s="98">
        <v>1023</v>
      </c>
      <c r="B3979">
        <v>22.48</v>
      </c>
      <c r="C3979">
        <v>20.100000000000001</v>
      </c>
      <c r="D3979" t="s">
        <v>218</v>
      </c>
      <c r="E3979" s="97">
        <v>6.8999999999999999E-3</v>
      </c>
    </row>
    <row r="3980" spans="1:5" ht="15">
      <c r="A3980" s="98">
        <v>1022</v>
      </c>
      <c r="B3980">
        <v>22.77</v>
      </c>
      <c r="C3980">
        <v>20.329999999999998</v>
      </c>
      <c r="D3980" t="s">
        <v>218</v>
      </c>
      <c r="E3980" s="97">
        <v>2.8000000000000001E-2</v>
      </c>
    </row>
    <row r="3981" spans="1:5" ht="15">
      <c r="A3981" s="98">
        <v>1021</v>
      </c>
      <c r="B3981">
        <v>22.59</v>
      </c>
      <c r="C3981">
        <v>20.34</v>
      </c>
      <c r="D3981" t="s">
        <v>218</v>
      </c>
      <c r="E3981" s="97">
        <v>4.0599999999999997E-2</v>
      </c>
    </row>
    <row r="3982" spans="1:5" ht="15">
      <c r="A3982" s="98">
        <v>1020</v>
      </c>
      <c r="B3982">
        <v>24.86</v>
      </c>
      <c r="C3982">
        <v>21.89</v>
      </c>
      <c r="D3982" t="s">
        <v>218</v>
      </c>
      <c r="E3982" s="97">
        <v>0</v>
      </c>
    </row>
    <row r="3983" spans="1:5" ht="15">
      <c r="A3983" s="98">
        <v>1019</v>
      </c>
      <c r="B3983">
        <v>25.22</v>
      </c>
      <c r="C3983">
        <v>24.03</v>
      </c>
      <c r="D3983" t="s">
        <v>218</v>
      </c>
      <c r="E3983" s="97">
        <v>-7.6799999999999993E-2</v>
      </c>
    </row>
    <row r="3984" spans="1:5" ht="15">
      <c r="A3984" s="98">
        <v>1018</v>
      </c>
      <c r="B3984">
        <v>27.94</v>
      </c>
      <c r="C3984">
        <v>24.83</v>
      </c>
      <c r="D3984" t="s">
        <v>218</v>
      </c>
      <c r="E3984" s="97">
        <v>-1.26E-2</v>
      </c>
    </row>
    <row r="3985" spans="1:5" ht="15">
      <c r="A3985" s="98">
        <v>1017</v>
      </c>
      <c r="B3985">
        <v>27.19</v>
      </c>
      <c r="C3985">
        <v>24.68</v>
      </c>
      <c r="D3985" t="s">
        <v>218</v>
      </c>
      <c r="E3985" s="97">
        <v>-5.6399999999999999E-2</v>
      </c>
    </row>
    <row r="3986" spans="1:5" ht="15">
      <c r="A3986" s="98">
        <v>1016</v>
      </c>
      <c r="B3986">
        <v>31.59</v>
      </c>
      <c r="C3986">
        <v>24.76</v>
      </c>
      <c r="D3986" t="s">
        <v>218</v>
      </c>
      <c r="E3986" s="97">
        <v>-0.1017</v>
      </c>
    </row>
    <row r="3987" spans="1:5" ht="15">
      <c r="A3987" s="98">
        <v>1015</v>
      </c>
      <c r="B3987">
        <v>31.84</v>
      </c>
      <c r="C3987">
        <v>28.07</v>
      </c>
      <c r="D3987" t="s">
        <v>218</v>
      </c>
      <c r="E3987" s="97">
        <v>-2.3400000000000001E-2</v>
      </c>
    </row>
    <row r="3988" spans="1:5" ht="15">
      <c r="A3988" s="98">
        <v>1014</v>
      </c>
      <c r="B3988">
        <v>30.8</v>
      </c>
      <c r="C3988">
        <v>28.77</v>
      </c>
      <c r="D3988" t="s">
        <v>218</v>
      </c>
      <c r="E3988" s="97">
        <v>0.10299999999999999</v>
      </c>
    </row>
    <row r="3989" spans="1:5" ht="15">
      <c r="A3989" s="98">
        <v>1013</v>
      </c>
      <c r="B3989">
        <v>28.81</v>
      </c>
      <c r="C3989">
        <v>26.61</v>
      </c>
      <c r="D3989" t="s">
        <v>218</v>
      </c>
      <c r="E3989" s="97">
        <v>3.7499999999999999E-2</v>
      </c>
    </row>
    <row r="3990" spans="1:5" ht="15">
      <c r="A3990" s="98">
        <v>1012</v>
      </c>
      <c r="B3990">
        <v>27.39</v>
      </c>
      <c r="C3990">
        <v>25.41</v>
      </c>
      <c r="D3990" t="s">
        <v>218</v>
      </c>
      <c r="E3990" s="97">
        <v>-2.3E-2</v>
      </c>
    </row>
    <row r="3991" spans="1:5" ht="15">
      <c r="A3991" s="98">
        <v>1011</v>
      </c>
      <c r="B3991">
        <v>26.17</v>
      </c>
      <c r="C3991">
        <v>24.06</v>
      </c>
      <c r="D3991" t="s">
        <v>218</v>
      </c>
      <c r="E3991" s="97">
        <v>5.3400000000000003E-2</v>
      </c>
    </row>
    <row r="3992" spans="1:5" ht="15">
      <c r="A3992" s="98">
        <v>1010</v>
      </c>
      <c r="B3992">
        <v>24.24</v>
      </c>
      <c r="C3992">
        <v>22.78</v>
      </c>
      <c r="D3992" t="s">
        <v>218</v>
      </c>
      <c r="E3992" s="97">
        <v>4.0099999999999997E-2</v>
      </c>
    </row>
    <row r="3993" spans="1:5" ht="15">
      <c r="A3993" s="98">
        <v>1009</v>
      </c>
      <c r="B3993">
        <v>23.53</v>
      </c>
      <c r="C3993">
        <v>22.78</v>
      </c>
      <c r="D3993" t="s">
        <v>218</v>
      </c>
      <c r="E3993" s="97">
        <v>-2.46E-2</v>
      </c>
    </row>
    <row r="3994" spans="1:5" ht="15">
      <c r="A3994" s="98">
        <v>1008</v>
      </c>
      <c r="B3994">
        <v>23.68</v>
      </c>
      <c r="C3994">
        <v>21.61</v>
      </c>
      <c r="D3994" t="s">
        <v>218</v>
      </c>
      <c r="E3994" s="97">
        <v>-1.52E-2</v>
      </c>
    </row>
    <row r="3995" spans="1:5" ht="15">
      <c r="A3995" s="98">
        <v>1007</v>
      </c>
      <c r="B3995">
        <v>24.61</v>
      </c>
      <c r="C3995">
        <v>22.91</v>
      </c>
      <c r="D3995" t="s">
        <v>218</v>
      </c>
      <c r="E3995" s="97">
        <v>-0.09</v>
      </c>
    </row>
    <row r="3996" spans="1:5" ht="15">
      <c r="A3996" s="98">
        <v>1006</v>
      </c>
      <c r="B3996">
        <v>24.43</v>
      </c>
      <c r="C3996">
        <v>23.22</v>
      </c>
      <c r="D3996" t="s">
        <v>218</v>
      </c>
      <c r="E3996" s="97">
        <v>-8.4699999999999998E-2</v>
      </c>
    </row>
    <row r="3997" spans="1:5" ht="15">
      <c r="A3997" s="98">
        <v>1005</v>
      </c>
      <c r="B3997">
        <v>23.42</v>
      </c>
      <c r="C3997">
        <v>22.02</v>
      </c>
      <c r="D3997" t="s">
        <v>218</v>
      </c>
      <c r="E3997" s="97">
        <v>-3.3000000000000002E-2</v>
      </c>
    </row>
    <row r="3998" spans="1:5" ht="15">
      <c r="A3998" s="98">
        <v>1004</v>
      </c>
      <c r="B3998">
        <v>23.33</v>
      </c>
      <c r="C3998">
        <v>22.27</v>
      </c>
      <c r="D3998" t="s">
        <v>218</v>
      </c>
      <c r="E3998" s="97">
        <v>1.37E-2</v>
      </c>
    </row>
    <row r="3999" spans="1:5" ht="15">
      <c r="A3999" s="98">
        <v>1003</v>
      </c>
      <c r="B3999">
        <v>22.65</v>
      </c>
      <c r="C3999">
        <v>21.63</v>
      </c>
      <c r="D3999" t="s">
        <v>218</v>
      </c>
      <c r="E3999" s="97">
        <v>4.5499999999999999E-2</v>
      </c>
    </row>
    <row r="4000" spans="1:5" ht="15">
      <c r="A4000" s="98">
        <v>1002</v>
      </c>
      <c r="B4000">
        <v>24.2</v>
      </c>
      <c r="C4000">
        <v>21.63</v>
      </c>
      <c r="D4000" t="s">
        <v>218</v>
      </c>
      <c r="E4000" s="97">
        <v>-2.12E-2</v>
      </c>
    </row>
    <row r="4001" spans="1:5" ht="15">
      <c r="A4001" s="98">
        <v>1001</v>
      </c>
      <c r="B4001">
        <v>23.45</v>
      </c>
      <c r="C4001">
        <v>22.14</v>
      </c>
      <c r="D4001" t="s">
        <v>218</v>
      </c>
      <c r="E4001" s="97">
        <v>7.3200000000000001E-2</v>
      </c>
    </row>
    <row r="4002" spans="1:5" ht="15">
      <c r="A4002" s="98">
        <v>1000</v>
      </c>
      <c r="B4002">
        <v>21.98</v>
      </c>
      <c r="C4002">
        <v>20.9</v>
      </c>
      <c r="D4002" t="s">
        <v>218</v>
      </c>
      <c r="E4002" s="97">
        <v>3.27E-2</v>
      </c>
    </row>
    <row r="4003" spans="1:5" ht="15">
      <c r="A4003" s="98">
        <v>999</v>
      </c>
      <c r="B4003">
        <v>21.87</v>
      </c>
      <c r="C4003">
        <v>20.350000000000001</v>
      </c>
      <c r="D4003" t="s">
        <v>218</v>
      </c>
      <c r="E4003" s="97">
        <v>8.3999999999999995E-3</v>
      </c>
    </row>
    <row r="4004" spans="1:5" ht="15">
      <c r="A4004" s="98">
        <v>998</v>
      </c>
      <c r="B4004">
        <v>20.57</v>
      </c>
      <c r="C4004">
        <v>20.05</v>
      </c>
      <c r="D4004" t="s">
        <v>218</v>
      </c>
      <c r="E4004" s="97">
        <v>-4.5999999999999999E-2</v>
      </c>
    </row>
    <row r="4005" spans="1:5" ht="15">
      <c r="A4005" s="98">
        <v>997</v>
      </c>
      <c r="B4005">
        <v>25.93</v>
      </c>
      <c r="C4005">
        <v>23.12</v>
      </c>
      <c r="D4005" t="s">
        <v>218</v>
      </c>
      <c r="E4005" s="97">
        <v>-1.9699999999999999E-2</v>
      </c>
    </row>
    <row r="4006" spans="1:5" ht="15">
      <c r="A4006" s="98">
        <v>996</v>
      </c>
      <c r="B4006">
        <v>25.57</v>
      </c>
      <c r="C4006">
        <v>24.19</v>
      </c>
      <c r="D4006" t="s">
        <v>218</v>
      </c>
      <c r="E4006" s="97">
        <v>1.0500000000000001E-2</v>
      </c>
    </row>
    <row r="4007" spans="1:5" ht="15">
      <c r="A4007" s="98">
        <v>995</v>
      </c>
      <c r="B4007">
        <v>24.51</v>
      </c>
      <c r="C4007">
        <v>21.88</v>
      </c>
      <c r="D4007" t="s">
        <v>218</v>
      </c>
      <c r="E4007" s="97">
        <v>0.1255</v>
      </c>
    </row>
    <row r="4008" spans="1:5" ht="15">
      <c r="A4008" s="98">
        <v>994</v>
      </c>
      <c r="B4008">
        <v>22.19</v>
      </c>
      <c r="C4008">
        <v>21.01</v>
      </c>
      <c r="D4008" t="s">
        <v>218</v>
      </c>
      <c r="E4008" s="97">
        <v>5.0900000000000001E-2</v>
      </c>
    </row>
    <row r="4009" spans="1:5" ht="15">
      <c r="A4009" s="98">
        <v>993</v>
      </c>
      <c r="B4009">
        <v>22.5</v>
      </c>
      <c r="C4009">
        <v>20.61</v>
      </c>
      <c r="D4009" t="s">
        <v>218</v>
      </c>
      <c r="E4009" s="97">
        <v>6.0000000000000001E-3</v>
      </c>
    </row>
    <row r="4010" spans="1:5" ht="15">
      <c r="A4010" s="98">
        <v>992</v>
      </c>
      <c r="B4010">
        <v>22.76</v>
      </c>
      <c r="C4010">
        <v>20.62</v>
      </c>
      <c r="D4010" t="s">
        <v>218</v>
      </c>
      <c r="E4010" s="97">
        <v>2.52E-2</v>
      </c>
    </row>
    <row r="4011" spans="1:5" ht="15">
      <c r="A4011" s="98">
        <v>991</v>
      </c>
      <c r="B4011">
        <v>22.46</v>
      </c>
      <c r="C4011">
        <v>21.6</v>
      </c>
      <c r="D4011" t="s">
        <v>218</v>
      </c>
      <c r="E4011" s="97">
        <v>-4.99E-2</v>
      </c>
    </row>
    <row r="4012" spans="1:5" ht="15">
      <c r="A4012" s="98">
        <v>990</v>
      </c>
      <c r="B4012">
        <v>23.97</v>
      </c>
      <c r="C4012">
        <v>22.84</v>
      </c>
      <c r="D4012" t="s">
        <v>218</v>
      </c>
      <c r="E4012" s="97">
        <v>-3.3E-3</v>
      </c>
    </row>
    <row r="4013" spans="1:5" ht="15">
      <c r="A4013" s="98">
        <v>989</v>
      </c>
      <c r="B4013">
        <v>24.2</v>
      </c>
      <c r="C4013">
        <v>22.54</v>
      </c>
      <c r="D4013" t="s">
        <v>218</v>
      </c>
      <c r="E4013" s="97">
        <v>-6.7799999999999999E-2</v>
      </c>
    </row>
    <row r="4014" spans="1:5" ht="15">
      <c r="A4014" s="98">
        <v>988</v>
      </c>
      <c r="B4014">
        <v>22.66</v>
      </c>
      <c r="C4014">
        <v>21.77</v>
      </c>
      <c r="D4014" t="s">
        <v>218</v>
      </c>
      <c r="E4014" s="97">
        <v>-1.35E-2</v>
      </c>
    </row>
    <row r="4015" spans="1:5" ht="15">
      <c r="A4015" s="98">
        <v>987</v>
      </c>
      <c r="B4015">
        <v>22.31</v>
      </c>
      <c r="C4015">
        <v>21.39</v>
      </c>
      <c r="D4015" t="s">
        <v>218</v>
      </c>
      <c r="E4015" s="97">
        <v>-5.1799999999999999E-2</v>
      </c>
    </row>
    <row r="4016" spans="1:5" ht="15">
      <c r="A4016" s="98">
        <v>986</v>
      </c>
      <c r="B4016">
        <v>21.59</v>
      </c>
      <c r="C4016">
        <v>20.57</v>
      </c>
      <c r="D4016" t="s">
        <v>218</v>
      </c>
      <c r="E4016" s="97">
        <v>-5.2499999999999998E-2</v>
      </c>
    </row>
    <row r="4017" spans="1:5" ht="15">
      <c r="A4017" s="98">
        <v>985</v>
      </c>
      <c r="B4017">
        <v>21.87</v>
      </c>
      <c r="C4017">
        <v>20.91</v>
      </c>
      <c r="D4017" t="s">
        <v>218</v>
      </c>
      <c r="E4017" s="97">
        <v>-2.8500000000000001E-2</v>
      </c>
    </row>
    <row r="4018" spans="1:5" ht="15">
      <c r="A4018" s="98">
        <v>984</v>
      </c>
      <c r="B4018">
        <v>21.2</v>
      </c>
      <c r="C4018">
        <v>20.46</v>
      </c>
      <c r="D4018" t="s">
        <v>218</v>
      </c>
      <c r="E4018" s="97">
        <v>0.1182</v>
      </c>
    </row>
    <row r="4019" spans="1:5" ht="15">
      <c r="A4019" s="98">
        <v>983</v>
      </c>
      <c r="B4019">
        <v>22.86</v>
      </c>
      <c r="C4019">
        <v>21.4</v>
      </c>
      <c r="D4019" t="s">
        <v>218</v>
      </c>
      <c r="E4019" s="97">
        <v>-2.4500000000000001E-2</v>
      </c>
    </row>
    <row r="4020" spans="1:5" ht="15">
      <c r="A4020" s="98">
        <v>982</v>
      </c>
      <c r="B4020">
        <v>23.02</v>
      </c>
      <c r="C4020">
        <v>21.68</v>
      </c>
      <c r="D4020" t="s">
        <v>218</v>
      </c>
      <c r="E4020" s="97">
        <v>-8.72E-2</v>
      </c>
    </row>
    <row r="4021" spans="1:5" ht="15">
      <c r="A4021" s="98">
        <v>981</v>
      </c>
      <c r="B4021">
        <v>21.51</v>
      </c>
      <c r="C4021">
        <v>20.28</v>
      </c>
      <c r="D4021" t="s">
        <v>218</v>
      </c>
      <c r="E4021" s="97">
        <v>-5.1299999999999998E-2</v>
      </c>
    </row>
    <row r="4022" spans="1:5" ht="15">
      <c r="A4022" s="98">
        <v>980</v>
      </c>
      <c r="B4022">
        <v>20.399999999999999</v>
      </c>
      <c r="C4022">
        <v>19.54</v>
      </c>
      <c r="D4022" t="s">
        <v>218</v>
      </c>
      <c r="E4022" s="97">
        <v>-8.9999999999999998E-4</v>
      </c>
    </row>
    <row r="4023" spans="1:5" ht="15">
      <c r="A4023" s="98">
        <v>979</v>
      </c>
      <c r="B4023">
        <v>19.97</v>
      </c>
      <c r="C4023">
        <v>19.350000000000001</v>
      </c>
      <c r="D4023" t="s">
        <v>218</v>
      </c>
      <c r="E4023" s="97">
        <v>-6.1800000000000001E-2</v>
      </c>
    </row>
    <row r="4024" spans="1:5" ht="15">
      <c r="A4024" s="98">
        <v>978</v>
      </c>
      <c r="B4024">
        <v>19.670000000000002</v>
      </c>
      <c r="C4024">
        <v>19.25</v>
      </c>
      <c r="D4024" t="s">
        <v>218</v>
      </c>
      <c r="E4024" s="97">
        <v>-8.1299999999999997E-2</v>
      </c>
    </row>
    <row r="4025" spans="1:5" ht="15">
      <c r="A4025" s="98">
        <v>977</v>
      </c>
      <c r="B4025">
        <v>20.53</v>
      </c>
      <c r="C4025">
        <v>19.899999999999999</v>
      </c>
      <c r="D4025" t="s">
        <v>218</v>
      </c>
      <c r="E4025" s="97">
        <v>-3.1699999999999999E-2</v>
      </c>
    </row>
    <row r="4026" spans="1:5" ht="15">
      <c r="A4026" s="98">
        <v>976</v>
      </c>
      <c r="B4026">
        <v>20.12</v>
      </c>
      <c r="C4026">
        <v>19.62</v>
      </c>
      <c r="D4026" t="s">
        <v>218</v>
      </c>
      <c r="E4026" s="97">
        <v>4.0099999999999997E-2</v>
      </c>
    </row>
    <row r="4027" spans="1:5" ht="15">
      <c r="A4027" s="98">
        <v>975</v>
      </c>
      <c r="B4027">
        <v>20.440000000000001</v>
      </c>
      <c r="C4027">
        <v>19.93</v>
      </c>
      <c r="D4027" t="s">
        <v>218</v>
      </c>
      <c r="E4027" s="97">
        <v>-6.7999999999999996E-3</v>
      </c>
    </row>
    <row r="4028" spans="1:5" ht="15">
      <c r="A4028" s="98">
        <v>974</v>
      </c>
      <c r="B4028">
        <v>21.83</v>
      </c>
      <c r="C4028">
        <v>19.89</v>
      </c>
      <c r="D4028" t="s">
        <v>218</v>
      </c>
      <c r="E4028" s="97">
        <v>9.9000000000000008E-3</v>
      </c>
    </row>
    <row r="4029" spans="1:5" ht="15">
      <c r="A4029" s="98">
        <v>973</v>
      </c>
      <c r="B4029">
        <v>21.68</v>
      </c>
      <c r="C4029">
        <v>20.03</v>
      </c>
      <c r="D4029" t="s">
        <v>218</v>
      </c>
      <c r="E4029" s="97">
        <v>0.11360000000000001</v>
      </c>
    </row>
    <row r="4030" spans="1:5" ht="15">
      <c r="A4030" s="98">
        <v>972</v>
      </c>
      <c r="B4030">
        <v>20.13</v>
      </c>
      <c r="C4030">
        <v>19.34</v>
      </c>
      <c r="D4030" t="s">
        <v>218</v>
      </c>
      <c r="E4030" s="97">
        <v>1.21E-2</v>
      </c>
    </row>
    <row r="4031" spans="1:5" ht="15">
      <c r="A4031" s="98">
        <v>971</v>
      </c>
      <c r="B4031">
        <v>19.68</v>
      </c>
      <c r="C4031">
        <v>18.77</v>
      </c>
      <c r="D4031" t="s">
        <v>218</v>
      </c>
      <c r="E4031" s="97">
        <v>-1.9E-3</v>
      </c>
    </row>
    <row r="4032" spans="1:5" ht="15">
      <c r="A4032" s="98">
        <v>970</v>
      </c>
      <c r="B4032">
        <v>19.71</v>
      </c>
      <c r="C4032">
        <v>18.7</v>
      </c>
      <c r="D4032" t="s">
        <v>218</v>
      </c>
      <c r="E4032" s="97">
        <v>4.7000000000000002E-3</v>
      </c>
    </row>
    <row r="4033" spans="1:5" ht="15">
      <c r="A4033" s="98">
        <v>969</v>
      </c>
      <c r="B4033">
        <v>19.27</v>
      </c>
      <c r="C4033">
        <v>18.11</v>
      </c>
      <c r="D4033" t="s">
        <v>218</v>
      </c>
      <c r="E4033" s="97">
        <v>-8.5500000000000007E-2</v>
      </c>
    </row>
    <row r="4034" spans="1:5" ht="15">
      <c r="A4034" s="98">
        <v>968</v>
      </c>
      <c r="B4034">
        <v>17.739999999999998</v>
      </c>
      <c r="C4034">
        <v>16.86</v>
      </c>
      <c r="D4034" t="s">
        <v>218</v>
      </c>
      <c r="E4034" s="97">
        <v>-8.14E-2</v>
      </c>
    </row>
    <row r="4035" spans="1:5" ht="15">
      <c r="A4035" s="98">
        <v>967</v>
      </c>
      <c r="B4035">
        <v>19.46</v>
      </c>
      <c r="C4035">
        <v>17.95</v>
      </c>
      <c r="D4035" t="s">
        <v>218</v>
      </c>
      <c r="E4035" s="97">
        <v>0.13189999999999999</v>
      </c>
    </row>
    <row r="4036" spans="1:5" ht="15">
      <c r="A4036" s="98">
        <v>966</v>
      </c>
      <c r="B4036">
        <v>18.72</v>
      </c>
      <c r="C4036">
        <v>17.559999999999999</v>
      </c>
      <c r="D4036" t="s">
        <v>218</v>
      </c>
      <c r="E4036" s="97">
        <v>8.1000000000000003E-2</v>
      </c>
    </row>
    <row r="4037" spans="1:5" ht="15">
      <c r="A4037" s="98">
        <v>965</v>
      </c>
      <c r="B4037">
        <v>18.27</v>
      </c>
      <c r="C4037">
        <v>17.38</v>
      </c>
      <c r="D4037" t="s">
        <v>218</v>
      </c>
      <c r="E4037" s="97">
        <v>3.2000000000000002E-3</v>
      </c>
    </row>
    <row r="4038" spans="1:5" ht="15">
      <c r="A4038" s="98">
        <v>964</v>
      </c>
      <c r="B4038">
        <v>19.02</v>
      </c>
      <c r="C4038">
        <v>17.63</v>
      </c>
      <c r="D4038" t="s">
        <v>218</v>
      </c>
      <c r="E4038" s="97">
        <v>0.34310000000000002</v>
      </c>
    </row>
    <row r="4039" spans="1:5" ht="15">
      <c r="A4039" s="98">
        <v>963</v>
      </c>
      <c r="B4039">
        <v>18.850000000000001</v>
      </c>
      <c r="C4039">
        <v>17.329999999999998</v>
      </c>
      <c r="D4039" t="s">
        <v>218</v>
      </c>
      <c r="E4039" s="97">
        <v>7.7999999999999996E-3</v>
      </c>
    </row>
    <row r="4040" spans="1:5" ht="15">
      <c r="A4040" s="98">
        <v>962</v>
      </c>
      <c r="B4040">
        <v>19.690000000000001</v>
      </c>
      <c r="C4040">
        <v>18.440000000000001</v>
      </c>
      <c r="D4040" t="s">
        <v>218</v>
      </c>
      <c r="E4040" s="97">
        <v>0.15759999999999999</v>
      </c>
    </row>
    <row r="4041" spans="1:5" ht="15">
      <c r="A4041" s="98">
        <v>961</v>
      </c>
      <c r="B4041">
        <v>22.3</v>
      </c>
      <c r="C4041">
        <v>18.27</v>
      </c>
      <c r="D4041" t="s">
        <v>218</v>
      </c>
      <c r="E4041" s="97">
        <v>1.6899999999999998E-2</v>
      </c>
    </row>
    <row r="4042" spans="1:5" ht="15">
      <c r="A4042" s="98">
        <v>960</v>
      </c>
      <c r="B4042">
        <v>28.01</v>
      </c>
      <c r="C4042">
        <v>22.27</v>
      </c>
      <c r="D4042" t="s">
        <v>218</v>
      </c>
      <c r="E4042" s="97">
        <v>-5.74E-2</v>
      </c>
    </row>
    <row r="4043" spans="1:5" ht="15">
      <c r="A4043" s="98">
        <v>959</v>
      </c>
      <c r="B4043">
        <v>27.32</v>
      </c>
      <c r="C4043">
        <v>24.61</v>
      </c>
      <c r="D4043" t="s">
        <v>218</v>
      </c>
      <c r="E4043" s="97">
        <v>-4.4699999999999997E-2</v>
      </c>
    </row>
    <row r="4044" spans="1:5" ht="15">
      <c r="A4044" s="98">
        <v>958</v>
      </c>
      <c r="B4044">
        <v>26.22</v>
      </c>
      <c r="C4044">
        <v>22.77</v>
      </c>
      <c r="D4044" t="s">
        <v>218</v>
      </c>
      <c r="E4044" s="97">
        <v>5.6500000000000002E-2</v>
      </c>
    </row>
    <row r="4045" spans="1:5" ht="15">
      <c r="A4045" s="98">
        <v>957</v>
      </c>
      <c r="B4045">
        <v>25.69</v>
      </c>
      <c r="C4045">
        <v>23.14</v>
      </c>
      <c r="D4045" t="s">
        <v>218</v>
      </c>
      <c r="E4045" s="97">
        <v>2.3900000000000001E-2</v>
      </c>
    </row>
    <row r="4046" spans="1:5" ht="15">
      <c r="A4046" s="98">
        <v>956</v>
      </c>
      <c r="B4046">
        <v>25.3</v>
      </c>
      <c r="C4046">
        <v>22.69</v>
      </c>
      <c r="D4046" t="s">
        <v>218</v>
      </c>
      <c r="E4046" s="97">
        <v>3.0000000000000001E-3</v>
      </c>
    </row>
    <row r="4047" spans="1:5" ht="15">
      <c r="A4047" s="98">
        <v>955</v>
      </c>
      <c r="B4047">
        <v>25.03</v>
      </c>
      <c r="C4047">
        <v>22.11</v>
      </c>
      <c r="D4047" t="s">
        <v>218</v>
      </c>
      <c r="E4047" s="97">
        <v>-1.3299999999999999E-2</v>
      </c>
    </row>
    <row r="4048" spans="1:5" ht="15">
      <c r="A4048" s="98">
        <v>954</v>
      </c>
      <c r="B4048">
        <v>24.33</v>
      </c>
      <c r="C4048">
        <v>22.58</v>
      </c>
      <c r="D4048" t="s">
        <v>218</v>
      </c>
      <c r="E4048" s="97">
        <v>2.58E-2</v>
      </c>
    </row>
    <row r="4049" spans="1:5" ht="15">
      <c r="A4049" s="98">
        <v>953</v>
      </c>
      <c r="B4049">
        <v>22.99</v>
      </c>
      <c r="C4049">
        <v>21.08</v>
      </c>
      <c r="D4049" t="s">
        <v>218</v>
      </c>
      <c r="E4049" s="97">
        <v>-0.1147</v>
      </c>
    </row>
    <row r="4050" spans="1:5" ht="15">
      <c r="A4050" s="98">
        <v>952</v>
      </c>
      <c r="B4050">
        <v>22.11</v>
      </c>
      <c r="C4050">
        <v>21.33</v>
      </c>
      <c r="D4050" t="s">
        <v>218</v>
      </c>
      <c r="E4050" s="97">
        <v>7.4099999999999999E-2</v>
      </c>
    </row>
    <row r="4051" spans="1:5" ht="15">
      <c r="A4051" s="98">
        <v>951</v>
      </c>
      <c r="B4051">
        <v>26.32</v>
      </c>
      <c r="C4051">
        <v>22.63</v>
      </c>
      <c r="D4051" t="s">
        <v>218</v>
      </c>
      <c r="E4051" s="97">
        <v>2.3699999999999999E-2</v>
      </c>
    </row>
    <row r="4052" spans="1:5" ht="15">
      <c r="A4052" s="98">
        <v>950</v>
      </c>
      <c r="B4052">
        <v>29.22</v>
      </c>
      <c r="C4052">
        <v>25.37</v>
      </c>
      <c r="D4052" t="s">
        <v>218</v>
      </c>
      <c r="E4052" s="97">
        <v>-6.1100000000000002E-2</v>
      </c>
    </row>
    <row r="4053" spans="1:5" ht="15">
      <c r="A4053" s="98">
        <v>949</v>
      </c>
      <c r="B4053">
        <v>27.11</v>
      </c>
      <c r="C4053">
        <v>25.48</v>
      </c>
      <c r="D4053" t="s">
        <v>218</v>
      </c>
      <c r="E4053" s="97">
        <v>3.2000000000000002E-3</v>
      </c>
    </row>
    <row r="4054" spans="1:5" ht="15">
      <c r="A4054" s="98">
        <v>948</v>
      </c>
      <c r="B4054">
        <v>26.56</v>
      </c>
      <c r="C4054">
        <v>24.78</v>
      </c>
      <c r="D4054" t="s">
        <v>218</v>
      </c>
      <c r="E4054" s="97">
        <v>-3.2800000000000003E-2</v>
      </c>
    </row>
    <row r="4055" spans="1:5" ht="15">
      <c r="A4055" s="98">
        <v>947</v>
      </c>
      <c r="B4055">
        <v>26.77</v>
      </c>
      <c r="C4055">
        <v>24.8</v>
      </c>
      <c r="D4055" t="s">
        <v>218</v>
      </c>
      <c r="E4055" s="97">
        <v>-2.2000000000000001E-3</v>
      </c>
    </row>
    <row r="4056" spans="1:5" ht="15">
      <c r="A4056" s="98">
        <v>946</v>
      </c>
      <c r="B4056">
        <v>26.11</v>
      </c>
      <c r="C4056">
        <v>23.87</v>
      </c>
      <c r="D4056" t="s">
        <v>218</v>
      </c>
      <c r="E4056" s="97">
        <v>-2.58E-2</v>
      </c>
    </row>
    <row r="4057" spans="1:5" ht="15">
      <c r="A4057" s="98">
        <v>945</v>
      </c>
      <c r="B4057">
        <v>25.54</v>
      </c>
      <c r="C4057">
        <v>22.73</v>
      </c>
      <c r="D4057" t="s">
        <v>218</v>
      </c>
      <c r="E4057" s="97">
        <v>3.0599999999999999E-2</v>
      </c>
    </row>
    <row r="4058" spans="1:5" ht="15">
      <c r="A4058" s="98">
        <v>944</v>
      </c>
      <c r="B4058">
        <v>23.57</v>
      </c>
      <c r="C4058">
        <v>22.13</v>
      </c>
      <c r="D4058" t="s">
        <v>218</v>
      </c>
      <c r="E4058" s="97">
        <v>-1.2999999999999999E-3</v>
      </c>
    </row>
    <row r="4059" spans="1:5" ht="15">
      <c r="A4059" s="98">
        <v>943</v>
      </c>
      <c r="B4059">
        <v>22.6</v>
      </c>
      <c r="C4059">
        <v>21.7</v>
      </c>
      <c r="D4059" t="s">
        <v>218</v>
      </c>
      <c r="E4059" s="97">
        <v>-3.0499999999999999E-2</v>
      </c>
    </row>
    <row r="4060" spans="1:5" ht="15">
      <c r="A4060" s="98">
        <v>942</v>
      </c>
      <c r="B4060">
        <v>22.21</v>
      </c>
      <c r="C4060">
        <v>20.6</v>
      </c>
      <c r="D4060" t="s">
        <v>218</v>
      </c>
      <c r="E4060" s="97">
        <v>1.41E-2</v>
      </c>
    </row>
    <row r="4061" spans="1:5" ht="15">
      <c r="A4061" s="98">
        <v>941</v>
      </c>
      <c r="B4061">
        <v>21.14</v>
      </c>
      <c r="C4061">
        <v>19.71</v>
      </c>
      <c r="D4061" t="s">
        <v>218</v>
      </c>
      <c r="E4061" s="97">
        <v>2.9100000000000001E-2</v>
      </c>
    </row>
    <row r="4062" spans="1:5" ht="15">
      <c r="A4062" s="98">
        <v>940</v>
      </c>
      <c r="B4062">
        <v>21</v>
      </c>
      <c r="C4062">
        <v>19.59</v>
      </c>
      <c r="D4062" t="s">
        <v>218</v>
      </c>
      <c r="E4062" s="97">
        <v>-3.5999999999999999E-3</v>
      </c>
    </row>
    <row r="4063" spans="1:5" ht="15">
      <c r="A4063" s="98">
        <v>939</v>
      </c>
      <c r="B4063">
        <v>21.94</v>
      </c>
      <c r="C4063">
        <v>20.059999999999999</v>
      </c>
      <c r="D4063" t="s">
        <v>218</v>
      </c>
      <c r="E4063" s="97">
        <v>-2.9000000000000001E-2</v>
      </c>
    </row>
    <row r="4064" spans="1:5" ht="15">
      <c r="A4064" s="98">
        <v>938</v>
      </c>
      <c r="B4064">
        <v>21.58</v>
      </c>
      <c r="C4064">
        <v>20.22</v>
      </c>
      <c r="D4064" t="s">
        <v>218</v>
      </c>
      <c r="E4064" s="97">
        <v>-3.15E-2</v>
      </c>
    </row>
    <row r="4065" spans="1:5" ht="15">
      <c r="A4065" s="98">
        <v>937</v>
      </c>
      <c r="B4065">
        <v>22.68</v>
      </c>
      <c r="C4065">
        <v>20.059999999999999</v>
      </c>
      <c r="D4065" t="s">
        <v>218</v>
      </c>
      <c r="E4065" s="97">
        <v>-2.5700000000000001E-2</v>
      </c>
    </row>
    <row r="4066" spans="1:5" ht="15">
      <c r="A4066" s="98">
        <v>936</v>
      </c>
      <c r="B4066">
        <v>20.53</v>
      </c>
      <c r="C4066">
        <v>19.32</v>
      </c>
      <c r="D4066" t="s">
        <v>218</v>
      </c>
      <c r="E4066" s="97">
        <v>1.3899999999999999E-2</v>
      </c>
    </row>
    <row r="4067" spans="1:5" ht="15">
      <c r="A4067" s="98">
        <v>935</v>
      </c>
      <c r="B4067">
        <v>19.940000000000001</v>
      </c>
      <c r="C4067">
        <v>19.18</v>
      </c>
      <c r="D4067" t="s">
        <v>218</v>
      </c>
      <c r="E4067" s="97">
        <v>-7.6499999999999999E-2</v>
      </c>
    </row>
    <row r="4068" spans="1:5" ht="15">
      <c r="A4068" s="98">
        <v>934</v>
      </c>
      <c r="B4068">
        <v>19.36</v>
      </c>
      <c r="C4068">
        <v>18.600000000000001</v>
      </c>
      <c r="D4068" t="s">
        <v>218</v>
      </c>
      <c r="E4068" s="97">
        <v>2.2599999999999999E-2</v>
      </c>
    </row>
    <row r="4069" spans="1:5" ht="15">
      <c r="A4069" s="98">
        <v>933</v>
      </c>
      <c r="B4069">
        <v>19.3</v>
      </c>
      <c r="C4069">
        <v>18.420000000000002</v>
      </c>
      <c r="D4069" t="s">
        <v>218</v>
      </c>
      <c r="E4069" s="97">
        <v>-3.1600000000000003E-2</v>
      </c>
    </row>
    <row r="4070" spans="1:5" ht="15">
      <c r="A4070" s="98">
        <v>932</v>
      </c>
      <c r="B4070">
        <v>19.27</v>
      </c>
      <c r="C4070">
        <v>18.579999999999998</v>
      </c>
      <c r="D4070" t="s">
        <v>218</v>
      </c>
      <c r="E4070" s="97">
        <v>5.4800000000000001E-2</v>
      </c>
    </row>
    <row r="4071" spans="1:5" ht="15">
      <c r="A4071" s="98">
        <v>931</v>
      </c>
      <c r="B4071">
        <v>18.149999999999999</v>
      </c>
      <c r="C4071">
        <v>17.23</v>
      </c>
      <c r="D4071" t="s">
        <v>218</v>
      </c>
      <c r="E4071" s="97">
        <v>3.1399999999999997E-2</v>
      </c>
    </row>
    <row r="4072" spans="1:5" ht="15">
      <c r="A4072" s="98">
        <v>930</v>
      </c>
      <c r="B4072">
        <v>17.96</v>
      </c>
      <c r="C4072">
        <v>17.559999999999999</v>
      </c>
      <c r="D4072" t="s">
        <v>218</v>
      </c>
      <c r="E4072" s="97">
        <v>-2.0899999999999998E-2</v>
      </c>
    </row>
    <row r="4073" spans="1:5" ht="15">
      <c r="A4073" s="98">
        <v>929</v>
      </c>
      <c r="B4073">
        <v>18.190000000000001</v>
      </c>
      <c r="C4073">
        <v>17.510000000000002</v>
      </c>
      <c r="D4073" t="s">
        <v>218</v>
      </c>
      <c r="E4073" s="97">
        <v>3.7000000000000002E-3</v>
      </c>
    </row>
    <row r="4074" spans="1:5" ht="15">
      <c r="A4074" s="98">
        <v>928</v>
      </c>
      <c r="B4074">
        <v>18.600000000000001</v>
      </c>
      <c r="C4074">
        <v>17.43</v>
      </c>
      <c r="D4074" t="s">
        <v>218</v>
      </c>
      <c r="E4074" s="97">
        <v>-3.7999999999999999E-2</v>
      </c>
    </row>
    <row r="4075" spans="1:5" ht="15">
      <c r="A4075" s="98">
        <v>927</v>
      </c>
      <c r="B4075">
        <v>19.34</v>
      </c>
      <c r="C4075">
        <v>18.059999999999999</v>
      </c>
      <c r="D4075" t="s">
        <v>218</v>
      </c>
      <c r="E4075" s="97">
        <v>1.2800000000000001E-2</v>
      </c>
    </row>
    <row r="4076" spans="1:5" ht="15">
      <c r="A4076" s="98">
        <v>926</v>
      </c>
      <c r="B4076">
        <v>18.53</v>
      </c>
      <c r="C4076">
        <v>17.579999999999998</v>
      </c>
      <c r="D4076" t="s">
        <v>218</v>
      </c>
      <c r="E4076" s="97">
        <v>1.7100000000000001E-2</v>
      </c>
    </row>
    <row r="4077" spans="1:5" ht="15">
      <c r="A4077" s="98">
        <v>925</v>
      </c>
      <c r="B4077">
        <v>18.78</v>
      </c>
      <c r="C4077">
        <v>17.96</v>
      </c>
      <c r="D4077" t="s">
        <v>218</v>
      </c>
      <c r="E4077" s="97">
        <v>-9.2999999999999992E-3</v>
      </c>
    </row>
    <row r="4078" spans="1:5" ht="15">
      <c r="A4078" s="98">
        <v>924</v>
      </c>
      <c r="B4078">
        <v>18.010000000000002</v>
      </c>
      <c r="C4078">
        <v>17.420000000000002</v>
      </c>
      <c r="D4078" t="s">
        <v>218</v>
      </c>
      <c r="E4078" s="97">
        <v>1.0200000000000001E-2</v>
      </c>
    </row>
    <row r="4079" spans="1:5" ht="15">
      <c r="A4079" s="98">
        <v>923</v>
      </c>
      <c r="B4079">
        <v>17.170000000000002</v>
      </c>
      <c r="C4079">
        <v>16.52</v>
      </c>
      <c r="D4079" t="s">
        <v>218</v>
      </c>
      <c r="E4079" s="97">
        <v>1.03E-2</v>
      </c>
    </row>
    <row r="4080" spans="1:5" ht="15">
      <c r="A4080" s="98">
        <v>922</v>
      </c>
      <c r="B4080">
        <v>16.989999999999998</v>
      </c>
      <c r="C4080">
        <v>16.309999999999999</v>
      </c>
      <c r="D4080" t="s">
        <v>218</v>
      </c>
      <c r="E4080" s="97">
        <v>-1.9E-2</v>
      </c>
    </row>
    <row r="4081" spans="1:5" ht="15">
      <c r="A4081" s="98">
        <v>921</v>
      </c>
      <c r="B4081">
        <v>17.57</v>
      </c>
      <c r="C4081">
        <v>16.170000000000002</v>
      </c>
      <c r="D4081" t="s">
        <v>218</v>
      </c>
      <c r="E4081" s="97">
        <v>2.6100000000000002E-2</v>
      </c>
    </row>
    <row r="4082" spans="1:5" ht="15">
      <c r="A4082" s="98">
        <v>920</v>
      </c>
      <c r="B4082">
        <v>18.34</v>
      </c>
      <c r="C4082">
        <v>16.77</v>
      </c>
      <c r="D4082" t="s">
        <v>218</v>
      </c>
      <c r="E4082" s="97">
        <v>-2.5899999999999999E-2</v>
      </c>
    </row>
    <row r="4083" spans="1:5" ht="15">
      <c r="A4083" s="98">
        <v>919</v>
      </c>
      <c r="B4083">
        <v>17.09</v>
      </c>
      <c r="C4083">
        <v>16.21</v>
      </c>
      <c r="D4083" t="s">
        <v>218</v>
      </c>
      <c r="E4083" s="97">
        <v>3.8199999999999998E-2</v>
      </c>
    </row>
    <row r="4084" spans="1:5" ht="15">
      <c r="A4084" s="98">
        <v>918</v>
      </c>
      <c r="B4084">
        <v>17.920000000000002</v>
      </c>
      <c r="C4084">
        <v>16.829999999999998</v>
      </c>
      <c r="D4084" t="s">
        <v>218</v>
      </c>
      <c r="E4084" s="97">
        <v>0.12989999999999999</v>
      </c>
    </row>
    <row r="4085" spans="1:5" ht="15">
      <c r="A4085" s="98">
        <v>917</v>
      </c>
      <c r="B4085">
        <v>18.54</v>
      </c>
      <c r="C4085">
        <v>16.62</v>
      </c>
      <c r="D4085" t="s">
        <v>218</v>
      </c>
      <c r="E4085" s="97">
        <v>-6.8500000000000005E-2</v>
      </c>
    </row>
    <row r="4086" spans="1:5" ht="15">
      <c r="A4086" s="98">
        <v>916</v>
      </c>
      <c r="B4086">
        <v>18.690000000000001</v>
      </c>
      <c r="C4086">
        <v>17.350000000000001</v>
      </c>
      <c r="D4086" t="s">
        <v>218</v>
      </c>
      <c r="E4086" s="97">
        <v>-7.0999999999999994E-2</v>
      </c>
    </row>
    <row r="4087" spans="1:5" ht="15">
      <c r="A4087" s="98">
        <v>915</v>
      </c>
      <c r="B4087">
        <v>18.28</v>
      </c>
      <c r="C4087">
        <v>17.57</v>
      </c>
      <c r="D4087" t="s">
        <v>218</v>
      </c>
      <c r="E4087" s="97">
        <v>-3.3E-3</v>
      </c>
    </row>
    <row r="4088" spans="1:5" ht="15">
      <c r="A4088" s="98">
        <v>914</v>
      </c>
      <c r="B4088">
        <v>18.079999999999998</v>
      </c>
      <c r="C4088">
        <v>17.13</v>
      </c>
      <c r="D4088" t="s">
        <v>218</v>
      </c>
      <c r="E4088" s="97">
        <v>5.8000000000000003E-2</v>
      </c>
    </row>
    <row r="4089" spans="1:5" ht="15">
      <c r="A4089" s="98">
        <v>913</v>
      </c>
      <c r="B4089">
        <v>17.920000000000002</v>
      </c>
      <c r="C4089">
        <v>17.29</v>
      </c>
      <c r="D4089" t="s">
        <v>218</v>
      </c>
      <c r="E4089" s="97">
        <v>-5.7500000000000002E-2</v>
      </c>
    </row>
    <row r="4090" spans="1:5" ht="15">
      <c r="A4090" s="98">
        <v>912</v>
      </c>
      <c r="B4090">
        <v>18.09</v>
      </c>
      <c r="C4090">
        <v>16.79</v>
      </c>
      <c r="D4090" t="s">
        <v>218</v>
      </c>
      <c r="E4090" s="97">
        <v>3.2399999999999998E-2</v>
      </c>
    </row>
    <row r="4091" spans="1:5" ht="15">
      <c r="A4091" s="98">
        <v>911</v>
      </c>
      <c r="B4091">
        <v>18.16</v>
      </c>
      <c r="C4091">
        <v>17.02</v>
      </c>
      <c r="D4091" t="s">
        <v>218</v>
      </c>
      <c r="E4091" s="97">
        <v>4.2999999999999997E-2</v>
      </c>
    </row>
    <row r="4092" spans="1:5" ht="15">
      <c r="A4092" s="98">
        <v>910</v>
      </c>
      <c r="B4092">
        <v>17.54</v>
      </c>
      <c r="C4092">
        <v>16.079999999999998</v>
      </c>
      <c r="D4092" t="s">
        <v>218</v>
      </c>
      <c r="E4092" s="97">
        <v>1.38E-2</v>
      </c>
    </row>
    <row r="4093" spans="1:5" ht="15">
      <c r="A4093" s="98">
        <v>909</v>
      </c>
      <c r="B4093">
        <v>17.21</v>
      </c>
      <c r="C4093">
        <v>16.16</v>
      </c>
      <c r="D4093" t="s">
        <v>218</v>
      </c>
      <c r="E4093" s="97">
        <v>0.1361</v>
      </c>
    </row>
    <row r="4094" spans="1:5" ht="15">
      <c r="A4094" s="98">
        <v>908</v>
      </c>
      <c r="B4094">
        <v>17.8</v>
      </c>
      <c r="C4094">
        <v>16.3</v>
      </c>
      <c r="D4094" t="s">
        <v>218</v>
      </c>
      <c r="E4094" s="97">
        <v>-1.4E-2</v>
      </c>
    </row>
    <row r="4095" spans="1:5" ht="15">
      <c r="A4095" s="98">
        <v>907</v>
      </c>
      <c r="B4095">
        <v>16.649999999999999</v>
      </c>
      <c r="C4095">
        <v>16.059999999999999</v>
      </c>
      <c r="D4095" t="s">
        <v>218</v>
      </c>
      <c r="E4095" s="97">
        <v>-2.86E-2</v>
      </c>
    </row>
    <row r="4096" spans="1:5" ht="15">
      <c r="A4096" s="98">
        <v>906</v>
      </c>
      <c r="B4096">
        <v>16</v>
      </c>
      <c r="C4096">
        <v>15.23</v>
      </c>
      <c r="D4096" t="s">
        <v>218</v>
      </c>
      <c r="E4096" s="97">
        <v>-5.9299999999999999E-2</v>
      </c>
    </row>
    <row r="4097" spans="1:5" ht="15">
      <c r="A4097" s="98">
        <v>905</v>
      </c>
      <c r="B4097">
        <v>16.77</v>
      </c>
      <c r="C4097">
        <v>15.81</v>
      </c>
      <c r="D4097" t="s">
        <v>218</v>
      </c>
      <c r="E4097" s="97">
        <v>-1.5699999999999999E-2</v>
      </c>
    </row>
    <row r="4098" spans="1:5" ht="15">
      <c r="A4098" s="98">
        <v>904</v>
      </c>
      <c r="B4098">
        <v>16.38</v>
      </c>
      <c r="C4098">
        <v>15.55</v>
      </c>
      <c r="D4098" t="s">
        <v>218</v>
      </c>
      <c r="E4098" s="97">
        <v>3.7699999999999997E-2</v>
      </c>
    </row>
    <row r="4099" spans="1:5" ht="15">
      <c r="A4099" s="98">
        <v>903</v>
      </c>
      <c r="B4099">
        <v>16.5</v>
      </c>
      <c r="C4099">
        <v>15.68</v>
      </c>
      <c r="D4099" t="s">
        <v>218</v>
      </c>
      <c r="E4099" s="97">
        <v>4.1999999999999997E-3</v>
      </c>
    </row>
    <row r="4100" spans="1:5" ht="15">
      <c r="A4100" s="98">
        <v>902</v>
      </c>
      <c r="B4100">
        <v>19.7</v>
      </c>
      <c r="C4100">
        <v>16.11</v>
      </c>
      <c r="D4100" t="s">
        <v>218</v>
      </c>
      <c r="E4100" s="97">
        <v>-2.86E-2</v>
      </c>
    </row>
    <row r="4101" spans="1:5" ht="15">
      <c r="A4101" s="98">
        <v>901</v>
      </c>
      <c r="B4101">
        <v>19.55</v>
      </c>
      <c r="C4101">
        <v>17.34</v>
      </c>
      <c r="D4101" t="s">
        <v>218</v>
      </c>
      <c r="E4101" s="97">
        <v>8.2000000000000007E-3</v>
      </c>
    </row>
    <row r="4102" spans="1:5" ht="15">
      <c r="A4102" s="98">
        <v>900</v>
      </c>
      <c r="B4102">
        <v>16.89</v>
      </c>
      <c r="C4102">
        <v>15.73</v>
      </c>
      <c r="D4102" t="s">
        <v>218</v>
      </c>
      <c r="E4102" s="97">
        <v>4.9000000000000002E-2</v>
      </c>
    </row>
    <row r="4103" spans="1:5" ht="15">
      <c r="A4103" s="98">
        <v>899</v>
      </c>
      <c r="B4103">
        <v>16.850000000000001</v>
      </c>
      <c r="C4103">
        <v>15.5</v>
      </c>
      <c r="D4103" t="s">
        <v>218</v>
      </c>
      <c r="E4103" s="97">
        <v>-6.7000000000000002E-3</v>
      </c>
    </row>
    <row r="4104" spans="1:5" ht="15">
      <c r="A4104" s="98">
        <v>898</v>
      </c>
      <c r="B4104">
        <v>18.190000000000001</v>
      </c>
      <c r="C4104">
        <v>16.2</v>
      </c>
      <c r="D4104" t="s">
        <v>218</v>
      </c>
      <c r="E4104" s="97">
        <v>-1.6E-2</v>
      </c>
    </row>
    <row r="4105" spans="1:5" ht="15">
      <c r="A4105" s="98">
        <v>897</v>
      </c>
      <c r="B4105">
        <v>16.71</v>
      </c>
      <c r="C4105">
        <v>16.12</v>
      </c>
      <c r="D4105" t="s">
        <v>218</v>
      </c>
      <c r="E4105" s="97">
        <v>-2.1600000000000001E-2</v>
      </c>
    </row>
    <row r="4106" spans="1:5" ht="15">
      <c r="A4106" s="98">
        <v>896</v>
      </c>
      <c r="B4106">
        <v>17.53</v>
      </c>
      <c r="C4106">
        <v>17.07</v>
      </c>
      <c r="D4106" t="s">
        <v>218</v>
      </c>
      <c r="E4106" s="97">
        <v>-7.3999999999999996E-2</v>
      </c>
    </row>
    <row r="4107" spans="1:5" ht="15">
      <c r="A4107" s="98">
        <v>895</v>
      </c>
      <c r="B4107">
        <v>23.2</v>
      </c>
      <c r="C4107">
        <v>17.940000000000001</v>
      </c>
      <c r="D4107" t="s">
        <v>218</v>
      </c>
      <c r="E4107" s="97">
        <v>5.5199999999999999E-2</v>
      </c>
    </row>
    <row r="4108" spans="1:5" ht="15">
      <c r="A4108" s="98">
        <v>894</v>
      </c>
      <c r="B4108">
        <v>23.03</v>
      </c>
      <c r="C4108">
        <v>20.86</v>
      </c>
      <c r="D4108" t="s">
        <v>218</v>
      </c>
      <c r="E4108" s="97">
        <v>8.4699999999999998E-2</v>
      </c>
    </row>
    <row r="4109" spans="1:5" ht="15">
      <c r="A4109" s="98">
        <v>893</v>
      </c>
      <c r="B4109">
        <v>20.37</v>
      </c>
      <c r="C4109">
        <v>18.440000000000001</v>
      </c>
      <c r="D4109" t="s">
        <v>218</v>
      </c>
      <c r="E4109" s="97">
        <v>6.0999999999999999E-2</v>
      </c>
    </row>
    <row r="4110" spans="1:5" ht="15">
      <c r="A4110" s="98">
        <v>892</v>
      </c>
      <c r="B4110">
        <v>22.39</v>
      </c>
      <c r="C4110">
        <v>18.41</v>
      </c>
      <c r="D4110" t="s">
        <v>218</v>
      </c>
      <c r="E4110" s="97">
        <v>1.89E-2</v>
      </c>
    </row>
    <row r="4111" spans="1:5" ht="15">
      <c r="A4111" s="98">
        <v>891</v>
      </c>
      <c r="B4111">
        <v>22.41</v>
      </c>
      <c r="C4111">
        <v>19.61</v>
      </c>
      <c r="D4111" t="s">
        <v>218</v>
      </c>
      <c r="E4111" s="97">
        <v>-2.9600000000000001E-2</v>
      </c>
    </row>
    <row r="4112" spans="1:5" ht="15">
      <c r="A4112" s="98">
        <v>890</v>
      </c>
      <c r="B4112">
        <v>25.7</v>
      </c>
      <c r="C4112">
        <v>22.46</v>
      </c>
      <c r="D4112" t="s">
        <v>218</v>
      </c>
      <c r="E4112" s="97">
        <v>2.7300000000000001E-2</v>
      </c>
    </row>
    <row r="4113" spans="1:5" ht="15">
      <c r="A4113" s="98">
        <v>889</v>
      </c>
      <c r="B4113">
        <v>27.23</v>
      </c>
      <c r="C4113">
        <v>23.75</v>
      </c>
      <c r="D4113" t="s">
        <v>218</v>
      </c>
      <c r="E4113" s="97">
        <v>-4.3200000000000002E-2</v>
      </c>
    </row>
    <row r="4114" spans="1:5" ht="15">
      <c r="A4114" s="98">
        <v>888</v>
      </c>
      <c r="B4114">
        <v>40.71</v>
      </c>
      <c r="C4114">
        <v>24.43</v>
      </c>
      <c r="D4114" t="s">
        <v>218</v>
      </c>
      <c r="E4114" s="97">
        <v>-2.35E-2</v>
      </c>
    </row>
    <row r="4115" spans="1:5" ht="15">
      <c r="A4115" s="98">
        <v>887</v>
      </c>
      <c r="B4115">
        <v>42.15</v>
      </c>
      <c r="C4115">
        <v>31.71</v>
      </c>
      <c r="D4115" t="s">
        <v>218</v>
      </c>
      <c r="E4115" s="97">
        <v>8.7400000000000005E-2</v>
      </c>
    </row>
    <row r="4116" spans="1:5" ht="15">
      <c r="A4116" s="98">
        <v>886</v>
      </c>
      <c r="B4116">
        <v>30.89</v>
      </c>
      <c r="C4116">
        <v>25.68</v>
      </c>
      <c r="D4116" t="s">
        <v>218</v>
      </c>
      <c r="E4116" s="97">
        <v>-1.9300000000000001E-2</v>
      </c>
    </row>
    <row r="4117" spans="1:5" ht="15">
      <c r="A4117" s="98">
        <v>885</v>
      </c>
      <c r="B4117">
        <v>31.04</v>
      </c>
      <c r="C4117">
        <v>25.86</v>
      </c>
      <c r="D4117" t="s">
        <v>218</v>
      </c>
      <c r="E4117" s="97">
        <v>7.3499999999999996E-2</v>
      </c>
    </row>
    <row r="4118" spans="1:5" ht="15">
      <c r="A4118" s="98">
        <v>884</v>
      </c>
      <c r="B4118">
        <v>26.67</v>
      </c>
      <c r="C4118">
        <v>24.98</v>
      </c>
      <c r="D4118" t="s">
        <v>218</v>
      </c>
      <c r="E4118" s="97">
        <v>-9.5399999999999999E-2</v>
      </c>
    </row>
    <row r="4119" spans="1:5" ht="15">
      <c r="A4119" s="98">
        <v>883</v>
      </c>
      <c r="B4119">
        <v>26.85</v>
      </c>
      <c r="C4119">
        <v>24.3</v>
      </c>
      <c r="D4119" t="s">
        <v>218</v>
      </c>
      <c r="E4119" s="97">
        <v>-6.1899999999999997E-2</v>
      </c>
    </row>
    <row r="4120" spans="1:5" ht="15">
      <c r="A4120" s="98">
        <v>882</v>
      </c>
      <c r="B4120">
        <v>33.24</v>
      </c>
      <c r="C4120">
        <v>28.4</v>
      </c>
      <c r="D4120" t="s">
        <v>218</v>
      </c>
      <c r="E4120" s="97">
        <v>-2.46E-2</v>
      </c>
    </row>
    <row r="4121" spans="1:5" ht="15">
      <c r="A4121" s="98">
        <v>881</v>
      </c>
      <c r="B4121">
        <v>35.25</v>
      </c>
      <c r="C4121">
        <v>30.76</v>
      </c>
      <c r="D4121" t="s">
        <v>218</v>
      </c>
      <c r="E4121" s="97">
        <v>1.46E-2</v>
      </c>
    </row>
    <row r="4122" spans="1:5" ht="15">
      <c r="A4122" s="98">
        <v>880</v>
      </c>
      <c r="B4122">
        <v>34.17</v>
      </c>
      <c r="C4122">
        <v>28.09</v>
      </c>
      <c r="D4122" t="s">
        <v>218</v>
      </c>
      <c r="E4122" s="97">
        <v>-2.75E-2</v>
      </c>
    </row>
    <row r="4123" spans="1:5" ht="15">
      <c r="A4123" s="98">
        <v>879</v>
      </c>
      <c r="B4123">
        <v>38.42</v>
      </c>
      <c r="C4123">
        <v>33.07</v>
      </c>
      <c r="D4123" t="s">
        <v>218</v>
      </c>
      <c r="E4123" s="97">
        <v>1.49E-2</v>
      </c>
    </row>
    <row r="4124" spans="1:5" ht="15">
      <c r="A4124" s="98">
        <v>878</v>
      </c>
      <c r="B4124">
        <v>46.37</v>
      </c>
      <c r="C4124">
        <v>40.299999999999997</v>
      </c>
      <c r="D4124" t="s">
        <v>218</v>
      </c>
      <c r="E4124" s="97">
        <v>3.6600000000000001E-2</v>
      </c>
    </row>
    <row r="4125" spans="1:5" ht="15">
      <c r="A4125" s="98">
        <v>877</v>
      </c>
      <c r="B4125">
        <v>48.2</v>
      </c>
      <c r="C4125">
        <v>38.950000000000003</v>
      </c>
      <c r="D4125" t="s">
        <v>218</v>
      </c>
      <c r="E4125" s="97">
        <v>-2.12E-2</v>
      </c>
    </row>
    <row r="4126" spans="1:5" ht="15">
      <c r="A4126" s="98">
        <v>876</v>
      </c>
      <c r="B4126">
        <v>41.74</v>
      </c>
      <c r="C4126">
        <v>35.57</v>
      </c>
      <c r="D4126" t="s">
        <v>218</v>
      </c>
      <c r="E4126" s="97">
        <v>4.9000000000000002E-2</v>
      </c>
    </row>
    <row r="4127" spans="1:5" ht="15">
      <c r="A4127" s="98">
        <v>875</v>
      </c>
      <c r="B4127">
        <v>43.74</v>
      </c>
      <c r="C4127">
        <v>34.590000000000003</v>
      </c>
      <c r="D4127" t="s">
        <v>218</v>
      </c>
      <c r="E4127" s="97">
        <v>5.0000000000000001E-3</v>
      </c>
    </row>
    <row r="4128" spans="1:5" ht="15">
      <c r="A4128" s="98">
        <v>874</v>
      </c>
      <c r="B4128">
        <v>35.020000000000003</v>
      </c>
      <c r="C4128">
        <v>24.1</v>
      </c>
      <c r="D4128" t="s">
        <v>218</v>
      </c>
      <c r="E4128" s="97">
        <v>-1.7100000000000001E-2</v>
      </c>
    </row>
    <row r="4129" spans="1:5" ht="15">
      <c r="A4129" s="98">
        <v>873</v>
      </c>
      <c r="B4129">
        <v>31.03</v>
      </c>
      <c r="C4129">
        <v>29.54</v>
      </c>
      <c r="D4129" t="s">
        <v>218</v>
      </c>
      <c r="E4129" s="97">
        <v>1.3899999999999999E-2</v>
      </c>
    </row>
    <row r="4130" spans="1:5" ht="15">
      <c r="A4130" s="98">
        <v>872</v>
      </c>
      <c r="B4130">
        <v>33.299999999999997</v>
      </c>
      <c r="C4130">
        <v>29.53</v>
      </c>
      <c r="D4130" t="s">
        <v>218</v>
      </c>
      <c r="E4130" s="97">
        <v>2.0199999999999999E-2</v>
      </c>
    </row>
    <row r="4131" spans="1:5" ht="15">
      <c r="A4131" s="98">
        <v>871</v>
      </c>
      <c r="B4131">
        <v>35.68</v>
      </c>
      <c r="C4131">
        <v>31.82</v>
      </c>
      <c r="D4131" t="s">
        <v>218</v>
      </c>
      <c r="E4131" s="97">
        <v>2.5899999999999999E-2</v>
      </c>
    </row>
    <row r="4132" spans="1:5" ht="15">
      <c r="A4132" s="98">
        <v>870</v>
      </c>
      <c r="B4132">
        <v>34.57</v>
      </c>
      <c r="C4132">
        <v>29.94</v>
      </c>
      <c r="D4132" t="s">
        <v>218</v>
      </c>
      <c r="E4132" s="97">
        <v>4.1099999999999998E-2</v>
      </c>
    </row>
    <row r="4133" spans="1:5" ht="15">
      <c r="A4133" s="98">
        <v>869</v>
      </c>
      <c r="B4133">
        <v>31.2</v>
      </c>
      <c r="C4133">
        <v>29.12</v>
      </c>
      <c r="D4133" t="s">
        <v>218</v>
      </c>
      <c r="E4133" s="97">
        <v>-1.7999999999999999E-2</v>
      </c>
    </row>
    <row r="4134" spans="1:5" ht="15">
      <c r="A4134" s="98">
        <v>868</v>
      </c>
      <c r="B4134">
        <v>36.119999999999997</v>
      </c>
      <c r="C4134">
        <v>31.81</v>
      </c>
      <c r="D4134" t="s">
        <v>218</v>
      </c>
      <c r="E4134" s="97">
        <v>-0.01</v>
      </c>
    </row>
    <row r="4135" spans="1:5" ht="15">
      <c r="A4135" s="98">
        <v>867</v>
      </c>
      <c r="B4135">
        <v>36.799999999999997</v>
      </c>
      <c r="C4135">
        <v>34.43</v>
      </c>
      <c r="D4135" t="s">
        <v>218</v>
      </c>
      <c r="E4135" s="97">
        <v>-2.1600000000000001E-2</v>
      </c>
    </row>
    <row r="4136" spans="1:5" ht="15">
      <c r="A4136" s="98">
        <v>866</v>
      </c>
      <c r="B4136">
        <v>37.380000000000003</v>
      </c>
      <c r="C4136">
        <v>33.36</v>
      </c>
      <c r="D4136" t="s">
        <v>218</v>
      </c>
      <c r="E4136" s="97">
        <v>2.75E-2</v>
      </c>
    </row>
    <row r="4137" spans="1:5" ht="15">
      <c r="A4137" s="98">
        <v>865</v>
      </c>
      <c r="B4137">
        <v>34.119999999999997</v>
      </c>
      <c r="C4137">
        <v>30.23</v>
      </c>
      <c r="D4137" t="s">
        <v>218</v>
      </c>
      <c r="E4137" s="97">
        <v>-6.9699999999999998E-2</v>
      </c>
    </row>
    <row r="4138" spans="1:5" ht="15">
      <c r="A4138" s="98">
        <v>864</v>
      </c>
      <c r="B4138">
        <v>31.77</v>
      </c>
      <c r="C4138">
        <v>29.69</v>
      </c>
      <c r="D4138" t="s">
        <v>218</v>
      </c>
      <c r="E4138" s="97">
        <v>1.29E-2</v>
      </c>
    </row>
    <row r="4139" spans="1:5" ht="15">
      <c r="A4139" s="98">
        <v>863</v>
      </c>
      <c r="B4139">
        <v>31.79</v>
      </c>
      <c r="C4139">
        <v>28.6</v>
      </c>
      <c r="D4139" t="s">
        <v>218</v>
      </c>
      <c r="E4139" s="97">
        <v>4.4999999999999997E-3</v>
      </c>
    </row>
    <row r="4140" spans="1:5" ht="15">
      <c r="A4140" s="98">
        <v>862</v>
      </c>
      <c r="B4140">
        <v>28.72</v>
      </c>
      <c r="C4140">
        <v>26.98</v>
      </c>
      <c r="D4140" t="s">
        <v>218</v>
      </c>
      <c r="E4140" s="97">
        <v>-4.0300000000000002E-2</v>
      </c>
    </row>
    <row r="4141" spans="1:5" ht="15">
      <c r="A4141" s="98">
        <v>861</v>
      </c>
      <c r="B4141">
        <v>27.84</v>
      </c>
      <c r="C4141">
        <v>25.68</v>
      </c>
      <c r="D4141" t="s">
        <v>218</v>
      </c>
      <c r="E4141" s="97">
        <v>8.6499999999999994E-2</v>
      </c>
    </row>
    <row r="4142" spans="1:5" ht="15">
      <c r="A4142" s="98">
        <v>860</v>
      </c>
      <c r="B4142">
        <v>26.72</v>
      </c>
      <c r="C4142">
        <v>25.34</v>
      </c>
      <c r="D4142" t="s">
        <v>218</v>
      </c>
      <c r="E4142" s="97">
        <v>8.8999999999999999E-3</v>
      </c>
    </row>
    <row r="4143" spans="1:5" ht="15">
      <c r="A4143" s="98">
        <v>859</v>
      </c>
      <c r="B4143">
        <v>26.64</v>
      </c>
      <c r="C4143">
        <v>25.05</v>
      </c>
      <c r="D4143" t="s">
        <v>218</v>
      </c>
      <c r="E4143" s="97">
        <v>-1.35E-2</v>
      </c>
    </row>
    <row r="4144" spans="1:5" ht="15">
      <c r="A4144" s="98">
        <v>858</v>
      </c>
      <c r="B4144">
        <v>24.88</v>
      </c>
      <c r="C4144">
        <v>23.3</v>
      </c>
      <c r="D4144" t="s">
        <v>218</v>
      </c>
      <c r="E4144" s="97">
        <v>-4.1000000000000003E-3</v>
      </c>
    </row>
    <row r="4145" spans="1:5" ht="15">
      <c r="A4145" s="98">
        <v>857</v>
      </c>
      <c r="B4145">
        <v>25.64</v>
      </c>
      <c r="C4145">
        <v>22.87</v>
      </c>
      <c r="D4145" t="s">
        <v>218</v>
      </c>
      <c r="E4145" s="97">
        <v>7.0800000000000002E-2</v>
      </c>
    </row>
    <row r="4146" spans="1:5" ht="15">
      <c r="A4146" s="98">
        <v>856</v>
      </c>
      <c r="B4146">
        <v>27.05</v>
      </c>
      <c r="C4146">
        <v>24.41</v>
      </c>
      <c r="D4146" t="s">
        <v>218</v>
      </c>
      <c r="E4146" s="97">
        <v>-3.6799999999999999E-2</v>
      </c>
    </row>
    <row r="4147" spans="1:5" ht="15">
      <c r="A4147" s="98">
        <v>855</v>
      </c>
      <c r="B4147">
        <v>28.55</v>
      </c>
      <c r="C4147">
        <v>26.54</v>
      </c>
      <c r="D4147" t="s">
        <v>218</v>
      </c>
      <c r="E4147" s="97">
        <v>-2.6499999999999999E-2</v>
      </c>
    </row>
    <row r="4148" spans="1:5" ht="15">
      <c r="A4148" s="98">
        <v>854</v>
      </c>
      <c r="B4148">
        <v>30.27</v>
      </c>
      <c r="C4148">
        <v>27.53</v>
      </c>
      <c r="D4148" t="s">
        <v>218</v>
      </c>
      <c r="E4148" s="97">
        <v>1E-3</v>
      </c>
    </row>
    <row r="4149" spans="1:5" ht="15">
      <c r="A4149" s="98">
        <v>853</v>
      </c>
      <c r="B4149">
        <v>30.41</v>
      </c>
      <c r="C4149">
        <v>28.07</v>
      </c>
      <c r="D4149" t="s">
        <v>218</v>
      </c>
      <c r="E4149" s="97">
        <v>-0.10340000000000001</v>
      </c>
    </row>
    <row r="4150" spans="1:5" ht="15">
      <c r="A4150" s="98">
        <v>852</v>
      </c>
      <c r="B4150">
        <v>29.9</v>
      </c>
      <c r="C4150">
        <v>28.47</v>
      </c>
      <c r="D4150" t="s">
        <v>218</v>
      </c>
      <c r="E4150" s="97">
        <v>-4.1999999999999997E-3</v>
      </c>
    </row>
    <row r="4151" spans="1:5" ht="15">
      <c r="A4151" s="98">
        <v>851</v>
      </c>
      <c r="B4151">
        <v>35.39</v>
      </c>
      <c r="C4151">
        <v>31.22</v>
      </c>
      <c r="D4151" t="s">
        <v>218</v>
      </c>
      <c r="E4151" s="97">
        <v>8.3400000000000002E-2</v>
      </c>
    </row>
    <row r="4152" spans="1:5" ht="15">
      <c r="A4152" s="98">
        <v>850</v>
      </c>
      <c r="B4152">
        <v>34.630000000000003</v>
      </c>
      <c r="C4152">
        <v>31.74</v>
      </c>
      <c r="D4152" t="s">
        <v>218</v>
      </c>
      <c r="E4152" s="97">
        <v>-5.6000000000000001E-2</v>
      </c>
    </row>
    <row r="4153" spans="1:5" ht="15">
      <c r="A4153" s="98">
        <v>849</v>
      </c>
      <c r="B4153">
        <v>37.58</v>
      </c>
      <c r="C4153">
        <v>32.72</v>
      </c>
      <c r="D4153" t="s">
        <v>218</v>
      </c>
      <c r="E4153" s="97">
        <v>1.35E-2</v>
      </c>
    </row>
    <row r="4154" spans="1:5" ht="15">
      <c r="A4154" s="98">
        <v>848</v>
      </c>
      <c r="B4154">
        <v>31.88</v>
      </c>
      <c r="C4154">
        <v>29.35</v>
      </c>
      <c r="D4154" t="s">
        <v>218</v>
      </c>
      <c r="E4154" s="97">
        <v>2.7699999999999999E-2</v>
      </c>
    </row>
    <row r="4155" spans="1:5" ht="15">
      <c r="A4155" s="98">
        <v>847</v>
      </c>
      <c r="B4155">
        <v>31.15</v>
      </c>
      <c r="C4155">
        <v>27.96</v>
      </c>
      <c r="D4155" t="s">
        <v>218</v>
      </c>
      <c r="E4155" s="97">
        <v>7.0000000000000001E-3</v>
      </c>
    </row>
    <row r="4156" spans="1:5" ht="15">
      <c r="A4156" s="98">
        <v>846</v>
      </c>
      <c r="B4156">
        <v>29.56</v>
      </c>
      <c r="C4156">
        <v>26.84</v>
      </c>
      <c r="D4156" t="s">
        <v>218</v>
      </c>
      <c r="E4156" s="97">
        <v>-5.4100000000000002E-2</v>
      </c>
    </row>
    <row r="4157" spans="1:5" ht="15">
      <c r="A4157" s="98">
        <v>845</v>
      </c>
      <c r="B4157">
        <v>27.42</v>
      </c>
      <c r="C4157">
        <v>25.71</v>
      </c>
      <c r="D4157" t="s">
        <v>218</v>
      </c>
      <c r="E4157" s="97">
        <v>-3.7000000000000002E-3</v>
      </c>
    </row>
    <row r="4158" spans="1:5" ht="15">
      <c r="A4158" s="98">
        <v>844</v>
      </c>
      <c r="B4158">
        <v>25.67</v>
      </c>
      <c r="C4158">
        <v>24.37</v>
      </c>
      <c r="D4158" t="s">
        <v>218</v>
      </c>
      <c r="E4158" s="97">
        <v>2.35E-2</v>
      </c>
    </row>
    <row r="4159" spans="1:5" ht="15">
      <c r="A4159" s="98">
        <v>843</v>
      </c>
      <c r="B4159">
        <v>25.14</v>
      </c>
      <c r="C4159">
        <v>23.53</v>
      </c>
      <c r="D4159" t="s">
        <v>218</v>
      </c>
      <c r="E4159" s="97">
        <v>3.5799999999999998E-2</v>
      </c>
    </row>
    <row r="4160" spans="1:5" ht="15">
      <c r="A4160" s="98">
        <v>842</v>
      </c>
      <c r="B4160">
        <v>24.57</v>
      </c>
      <c r="C4160">
        <v>23.12</v>
      </c>
      <c r="D4160" t="s">
        <v>218</v>
      </c>
      <c r="E4160" s="97">
        <v>0.14960000000000001</v>
      </c>
    </row>
    <row r="4161" spans="1:5" ht="15">
      <c r="A4161" s="98">
        <v>841</v>
      </c>
      <c r="B4161">
        <v>25.8</v>
      </c>
      <c r="C4161">
        <v>24.18</v>
      </c>
      <c r="D4161" t="s">
        <v>218</v>
      </c>
      <c r="E4161" s="97">
        <v>-0.1188</v>
      </c>
    </row>
    <row r="4162" spans="1:5" ht="15">
      <c r="A4162" s="98">
        <v>840</v>
      </c>
      <c r="B4162">
        <v>27.24</v>
      </c>
      <c r="C4162">
        <v>24.74</v>
      </c>
      <c r="D4162" t="s">
        <v>218</v>
      </c>
      <c r="E4162" s="97">
        <v>-9.4999999999999998E-3</v>
      </c>
    </row>
    <row r="4163" spans="1:5" ht="15">
      <c r="A4163" s="98">
        <v>839</v>
      </c>
      <c r="B4163">
        <v>28.16</v>
      </c>
      <c r="C4163">
        <v>25.71</v>
      </c>
      <c r="D4163" t="s">
        <v>218</v>
      </c>
      <c r="E4163" s="97">
        <v>1.26E-2</v>
      </c>
    </row>
    <row r="4164" spans="1:5" ht="15">
      <c r="A4164" s="98">
        <v>838</v>
      </c>
      <c r="B4164">
        <v>27.3</v>
      </c>
      <c r="C4164">
        <v>25.12</v>
      </c>
      <c r="D4164" t="s">
        <v>218</v>
      </c>
      <c r="E4164" s="97">
        <v>-7.17E-2</v>
      </c>
    </row>
    <row r="4165" spans="1:5" ht="15">
      <c r="A4165" s="98">
        <v>837</v>
      </c>
      <c r="B4165">
        <v>27.4</v>
      </c>
      <c r="C4165">
        <v>23.79</v>
      </c>
      <c r="D4165" t="s">
        <v>218</v>
      </c>
      <c r="E4165" s="97">
        <v>8.9999999999999993E-3</v>
      </c>
    </row>
    <row r="4166" spans="1:5" ht="15">
      <c r="A4166" s="98">
        <v>836</v>
      </c>
      <c r="B4166">
        <v>26.63</v>
      </c>
      <c r="C4166">
        <v>23.59</v>
      </c>
      <c r="D4166" t="s">
        <v>218</v>
      </c>
      <c r="E4166" s="97">
        <v>1.54E-2</v>
      </c>
    </row>
    <row r="4167" spans="1:5" ht="15">
      <c r="A4167" s="98">
        <v>835</v>
      </c>
      <c r="B4167">
        <v>24.85</v>
      </c>
      <c r="C4167">
        <v>23.72</v>
      </c>
      <c r="D4167" t="s">
        <v>218</v>
      </c>
      <c r="E4167" s="97">
        <v>1.7100000000000001E-2</v>
      </c>
    </row>
    <row r="4168" spans="1:5" ht="15">
      <c r="A4168" s="98">
        <v>834</v>
      </c>
      <c r="B4168">
        <v>25.17</v>
      </c>
      <c r="C4168">
        <v>23.32</v>
      </c>
      <c r="D4168" t="s">
        <v>218</v>
      </c>
      <c r="E4168" s="97">
        <v>4.9200000000000001E-2</v>
      </c>
    </row>
    <row r="4169" spans="1:5" ht="15">
      <c r="A4169" s="98">
        <v>833</v>
      </c>
      <c r="B4169">
        <v>24.61</v>
      </c>
      <c r="C4169">
        <v>22.7</v>
      </c>
      <c r="D4169" t="s">
        <v>218</v>
      </c>
      <c r="E4169" s="97">
        <v>-2.8899999999999999E-2</v>
      </c>
    </row>
    <row r="4170" spans="1:5" ht="15">
      <c r="A4170" s="98">
        <v>832</v>
      </c>
      <c r="B4170">
        <v>23.57</v>
      </c>
      <c r="C4170">
        <v>21.86</v>
      </c>
      <c r="D4170" t="s">
        <v>218</v>
      </c>
      <c r="E4170" s="97">
        <v>7.1999999999999995E-2</v>
      </c>
    </row>
    <row r="4171" spans="1:5" ht="15">
      <c r="A4171" s="98">
        <v>831</v>
      </c>
      <c r="B4171">
        <v>24.54</v>
      </c>
      <c r="C4171">
        <v>22.24</v>
      </c>
      <c r="D4171" t="s">
        <v>218</v>
      </c>
      <c r="E4171" s="97">
        <v>2.0999999999999999E-3</v>
      </c>
    </row>
    <row r="4172" spans="1:5" ht="15">
      <c r="A4172" s="98">
        <v>830</v>
      </c>
      <c r="B4172">
        <v>25.54</v>
      </c>
      <c r="C4172">
        <v>23.04</v>
      </c>
      <c r="D4172" t="s">
        <v>218</v>
      </c>
      <c r="E4172" s="97">
        <v>6.0699999999999997E-2</v>
      </c>
    </row>
    <row r="4173" spans="1:5" ht="15">
      <c r="A4173" s="98">
        <v>829</v>
      </c>
      <c r="B4173">
        <v>27.32</v>
      </c>
      <c r="C4173">
        <v>23.35</v>
      </c>
      <c r="D4173" t="s">
        <v>218</v>
      </c>
      <c r="E4173" s="97">
        <v>-3.3399999999999999E-2</v>
      </c>
    </row>
    <row r="4174" spans="1:5" ht="15">
      <c r="A4174" s="98">
        <v>828</v>
      </c>
      <c r="B4174">
        <v>23.24</v>
      </c>
      <c r="C4174">
        <v>21.74</v>
      </c>
      <c r="D4174" t="s">
        <v>218</v>
      </c>
      <c r="E4174" s="97">
        <v>-4.3999999999999997E-2</v>
      </c>
    </row>
    <row r="4175" spans="1:5" ht="15">
      <c r="A4175" s="98">
        <v>827</v>
      </c>
      <c r="B4175">
        <v>23.06</v>
      </c>
      <c r="C4175">
        <v>21.98</v>
      </c>
      <c r="D4175" t="s">
        <v>218</v>
      </c>
      <c r="E4175" s="97">
        <v>-3.39E-2</v>
      </c>
    </row>
    <row r="4176" spans="1:5" ht="15">
      <c r="A4176" s="98">
        <v>826</v>
      </c>
      <c r="B4176">
        <v>23.69</v>
      </c>
      <c r="C4176">
        <v>22.16</v>
      </c>
      <c r="D4176" t="s">
        <v>218</v>
      </c>
      <c r="E4176" s="97">
        <v>3.95E-2</v>
      </c>
    </row>
    <row r="4177" spans="1:5" ht="15">
      <c r="A4177" s="98">
        <v>825</v>
      </c>
      <c r="B4177">
        <v>23.13</v>
      </c>
      <c r="C4177">
        <v>22.07</v>
      </c>
      <c r="D4177" t="s">
        <v>218</v>
      </c>
      <c r="E4177" s="97">
        <v>2.4199999999999999E-2</v>
      </c>
    </row>
    <row r="4178" spans="1:5" ht="15">
      <c r="A4178" s="98">
        <v>824</v>
      </c>
      <c r="B4178">
        <v>23.89</v>
      </c>
      <c r="C4178">
        <v>21.72</v>
      </c>
      <c r="D4178" t="s">
        <v>218</v>
      </c>
      <c r="E4178" s="97">
        <v>6.4999999999999997E-3</v>
      </c>
    </row>
    <row r="4179" spans="1:5" ht="15">
      <c r="A4179" s="98">
        <v>823</v>
      </c>
      <c r="B4179">
        <v>22.87</v>
      </c>
      <c r="C4179">
        <v>21.36</v>
      </c>
      <c r="D4179" t="s">
        <v>218</v>
      </c>
      <c r="E4179" s="97">
        <v>-3.8E-3</v>
      </c>
    </row>
    <row r="4180" spans="1:5" ht="15">
      <c r="A4180" s="98">
        <v>822</v>
      </c>
      <c r="B4180">
        <v>24.24</v>
      </c>
      <c r="C4180">
        <v>22.17</v>
      </c>
      <c r="D4180" t="s">
        <v>218</v>
      </c>
      <c r="E4180" s="97">
        <v>-3.7400000000000003E-2</v>
      </c>
    </row>
    <row r="4181" spans="1:5" ht="15">
      <c r="A4181" s="98">
        <v>821</v>
      </c>
      <c r="B4181">
        <v>26.1</v>
      </c>
      <c r="C4181">
        <v>24.96</v>
      </c>
      <c r="D4181" t="s">
        <v>218</v>
      </c>
      <c r="E4181" s="97">
        <v>-9.2499999999999999E-2</v>
      </c>
    </row>
    <row r="4182" spans="1:5" ht="15">
      <c r="A4182" s="98">
        <v>820</v>
      </c>
      <c r="B4182">
        <v>27.21</v>
      </c>
      <c r="C4182">
        <v>25.18</v>
      </c>
      <c r="D4182" t="s">
        <v>218</v>
      </c>
      <c r="E4182" s="97">
        <v>-5.1999999999999998E-3</v>
      </c>
    </row>
    <row r="4183" spans="1:5" ht="15">
      <c r="A4183" s="98">
        <v>819</v>
      </c>
      <c r="B4183">
        <v>26.26</v>
      </c>
      <c r="C4183">
        <v>25.45</v>
      </c>
      <c r="D4183" t="s">
        <v>218</v>
      </c>
      <c r="E4183" s="97">
        <v>2.2100000000000002E-2</v>
      </c>
    </row>
    <row r="4184" spans="1:5" ht="15">
      <c r="A4184" s="98">
        <v>818</v>
      </c>
      <c r="B4184">
        <v>28.1</v>
      </c>
      <c r="C4184">
        <v>25.38</v>
      </c>
      <c r="D4184" t="s">
        <v>218</v>
      </c>
      <c r="E4184" s="97">
        <v>-5.8700000000000002E-2</v>
      </c>
    </row>
    <row r="4185" spans="1:5" ht="15">
      <c r="A4185" s="98">
        <v>817</v>
      </c>
      <c r="B4185">
        <v>24.89</v>
      </c>
      <c r="C4185">
        <v>23.71</v>
      </c>
      <c r="D4185" t="s">
        <v>218</v>
      </c>
      <c r="E4185" s="97">
        <v>0.08</v>
      </c>
    </row>
    <row r="4186" spans="1:5" ht="15">
      <c r="A4186" s="98">
        <v>816</v>
      </c>
      <c r="B4186">
        <v>25.23</v>
      </c>
      <c r="C4186">
        <v>23.4</v>
      </c>
      <c r="D4186" t="s">
        <v>218</v>
      </c>
      <c r="E4186" s="97">
        <v>0.11899999999999999</v>
      </c>
    </row>
    <row r="4187" spans="1:5" ht="15">
      <c r="A4187" s="98">
        <v>815</v>
      </c>
      <c r="B4187">
        <v>26.78</v>
      </c>
      <c r="C4187">
        <v>24.26</v>
      </c>
      <c r="D4187" t="s">
        <v>218</v>
      </c>
      <c r="E4187" s="97">
        <v>-4.8800000000000003E-2</v>
      </c>
    </row>
    <row r="4188" spans="1:5" ht="15">
      <c r="A4188" s="98">
        <v>814</v>
      </c>
      <c r="B4188">
        <v>27</v>
      </c>
      <c r="C4188">
        <v>25.49</v>
      </c>
      <c r="D4188" t="s">
        <v>218</v>
      </c>
      <c r="E4188" s="97">
        <v>-3.9899999999999998E-2</v>
      </c>
    </row>
    <row r="4189" spans="1:5" ht="15">
      <c r="A4189" s="98">
        <v>813</v>
      </c>
      <c r="B4189">
        <v>25.97</v>
      </c>
      <c r="C4189">
        <v>24.62</v>
      </c>
      <c r="D4189" t="s">
        <v>218</v>
      </c>
      <c r="E4189" s="97">
        <v>1.8800000000000001E-2</v>
      </c>
    </row>
    <row r="4190" spans="1:5" ht="15">
      <c r="A4190" s="98">
        <v>812</v>
      </c>
      <c r="B4190">
        <v>28.77</v>
      </c>
      <c r="C4190">
        <v>26.32</v>
      </c>
      <c r="D4190" t="s">
        <v>218</v>
      </c>
      <c r="E4190" s="97">
        <v>-7.2099999999999997E-2</v>
      </c>
    </row>
    <row r="4191" spans="1:5" ht="15">
      <c r="A4191" s="98">
        <v>811</v>
      </c>
      <c r="B4191">
        <v>28.92</v>
      </c>
      <c r="C4191">
        <v>26.46</v>
      </c>
      <c r="D4191" t="s">
        <v>218</v>
      </c>
      <c r="E4191" s="97">
        <v>-2.3900000000000001E-2</v>
      </c>
    </row>
    <row r="4192" spans="1:5" ht="15">
      <c r="A4192" s="98">
        <v>810</v>
      </c>
      <c r="B4192">
        <v>27.55</v>
      </c>
      <c r="C4192">
        <v>25.86</v>
      </c>
      <c r="D4192" t="s">
        <v>218</v>
      </c>
      <c r="E4192" s="97">
        <v>2.2599999999999999E-2</v>
      </c>
    </row>
    <row r="4193" spans="1:5" ht="15">
      <c r="A4193" s="98">
        <v>809</v>
      </c>
      <c r="B4193">
        <v>28.11</v>
      </c>
      <c r="C4193">
        <v>24.41</v>
      </c>
      <c r="D4193" t="s">
        <v>218</v>
      </c>
      <c r="E4193" s="97">
        <v>1.4800000000000001E-2</v>
      </c>
    </row>
    <row r="4194" spans="1:5" ht="15">
      <c r="A4194" s="98">
        <v>808</v>
      </c>
      <c r="B4194">
        <v>27.21</v>
      </c>
      <c r="C4194">
        <v>25.41</v>
      </c>
      <c r="D4194" t="s">
        <v>218</v>
      </c>
      <c r="E4194" s="97">
        <v>5.7500000000000002E-2</v>
      </c>
    </row>
    <row r="4195" spans="1:5" ht="15">
      <c r="A4195" s="98">
        <v>807</v>
      </c>
      <c r="B4195">
        <v>27.83</v>
      </c>
      <c r="C4195">
        <v>25.93</v>
      </c>
      <c r="D4195" t="s">
        <v>218</v>
      </c>
      <c r="E4195" s="97">
        <v>1E-3</v>
      </c>
    </row>
    <row r="4196" spans="1:5" ht="15">
      <c r="A4196" s="98">
        <v>806</v>
      </c>
      <c r="B4196">
        <v>25.13</v>
      </c>
      <c r="C4196">
        <v>23.86</v>
      </c>
      <c r="D4196" t="s">
        <v>218</v>
      </c>
      <c r="E4196" s="97">
        <v>9.1999999999999998E-3</v>
      </c>
    </row>
    <row r="4197" spans="1:5" ht="15">
      <c r="A4197" s="98">
        <v>805</v>
      </c>
      <c r="B4197">
        <v>24.31</v>
      </c>
      <c r="C4197">
        <v>23.15</v>
      </c>
      <c r="D4197" t="s">
        <v>218</v>
      </c>
      <c r="E4197" s="97">
        <v>1.8700000000000001E-2</v>
      </c>
    </row>
    <row r="4198" spans="1:5" ht="15">
      <c r="A4198" s="98">
        <v>804</v>
      </c>
      <c r="B4198">
        <v>22.78</v>
      </c>
      <c r="C4198">
        <v>21.24</v>
      </c>
      <c r="D4198" t="s">
        <v>218</v>
      </c>
      <c r="E4198" s="97">
        <v>1.32E-2</v>
      </c>
    </row>
    <row r="4199" spans="1:5" ht="15">
      <c r="A4199" s="98">
        <v>803</v>
      </c>
      <c r="B4199">
        <v>23.94</v>
      </c>
      <c r="C4199">
        <v>22.77</v>
      </c>
      <c r="D4199" t="s">
        <v>218</v>
      </c>
      <c r="E4199" s="97">
        <v>-1.66E-2</v>
      </c>
    </row>
    <row r="4200" spans="1:5" ht="15">
      <c r="A4200" s="98">
        <v>802</v>
      </c>
      <c r="B4200">
        <v>23.56</v>
      </c>
      <c r="C4200">
        <v>22.92</v>
      </c>
      <c r="D4200" t="s">
        <v>218</v>
      </c>
      <c r="E4200" s="97">
        <v>-5.6599999999999998E-2</v>
      </c>
    </row>
    <row r="4201" spans="1:5" ht="15">
      <c r="A4201" s="98">
        <v>801</v>
      </c>
      <c r="B4201">
        <v>23.24</v>
      </c>
      <c r="C4201">
        <v>22.14</v>
      </c>
      <c r="D4201" t="s">
        <v>218</v>
      </c>
      <c r="E4201" s="97">
        <v>5.0799999999999998E-2</v>
      </c>
    </row>
    <row r="4202" spans="1:5" ht="15">
      <c r="A4202" s="98">
        <v>800</v>
      </c>
      <c r="B4202">
        <v>22.87</v>
      </c>
      <c r="C4202">
        <v>21.76</v>
      </c>
      <c r="D4202" t="s">
        <v>218</v>
      </c>
      <c r="E4202" s="97">
        <v>-5.4800000000000001E-2</v>
      </c>
    </row>
    <row r="4203" spans="1:5" ht="15">
      <c r="A4203" s="98">
        <v>799</v>
      </c>
      <c r="B4203">
        <v>22.05</v>
      </c>
      <c r="C4203">
        <v>20.93</v>
      </c>
      <c r="D4203" t="s">
        <v>218</v>
      </c>
      <c r="E4203" s="97">
        <v>-1.29E-2</v>
      </c>
    </row>
    <row r="4204" spans="1:5" ht="15">
      <c r="A4204" s="98">
        <v>798</v>
      </c>
      <c r="B4204">
        <v>21.97</v>
      </c>
      <c r="C4204">
        <v>20.85</v>
      </c>
      <c r="D4204" t="s">
        <v>218</v>
      </c>
      <c r="E4204" s="97">
        <v>-0.01</v>
      </c>
    </row>
    <row r="4205" spans="1:5" ht="15">
      <c r="A4205" s="98">
        <v>797</v>
      </c>
      <c r="B4205">
        <v>22.8</v>
      </c>
      <c r="C4205">
        <v>22.1</v>
      </c>
      <c r="D4205" t="s">
        <v>218</v>
      </c>
      <c r="E4205" s="97">
        <v>8.9999999999999998E-4</v>
      </c>
    </row>
    <row r="4206" spans="1:5" ht="15">
      <c r="A4206" s="98">
        <v>796</v>
      </c>
      <c r="B4206">
        <v>22.83</v>
      </c>
      <c r="C4206">
        <v>21.71</v>
      </c>
      <c r="D4206" t="s">
        <v>218</v>
      </c>
      <c r="E4206" s="97">
        <v>1.6400000000000001E-2</v>
      </c>
    </row>
    <row r="4207" spans="1:5" ht="15">
      <c r="A4207" s="98">
        <v>795</v>
      </c>
      <c r="B4207">
        <v>22.56</v>
      </c>
      <c r="C4207">
        <v>21.63</v>
      </c>
      <c r="D4207" t="s">
        <v>218</v>
      </c>
      <c r="E4207" s="97">
        <v>3.7999999999999999E-2</v>
      </c>
    </row>
    <row r="4208" spans="1:5" ht="15">
      <c r="A4208" s="98">
        <v>794</v>
      </c>
      <c r="B4208">
        <v>22.58</v>
      </c>
      <c r="C4208">
        <v>21.25</v>
      </c>
      <c r="D4208" t="s">
        <v>218</v>
      </c>
      <c r="E4208" s="97">
        <v>7.1000000000000004E-3</v>
      </c>
    </row>
    <row r="4209" spans="1:5" ht="15">
      <c r="A4209" s="98">
        <v>793</v>
      </c>
      <c r="B4209">
        <v>22.59</v>
      </c>
      <c r="C4209">
        <v>21.42</v>
      </c>
      <c r="D4209" t="s">
        <v>218</v>
      </c>
      <c r="E4209" s="97">
        <v>-3.4500000000000003E-2</v>
      </c>
    </row>
    <row r="4210" spans="1:5" ht="15">
      <c r="A4210" s="98">
        <v>792</v>
      </c>
      <c r="B4210">
        <v>23.19</v>
      </c>
      <c r="C4210">
        <v>21.91</v>
      </c>
      <c r="D4210" t="s">
        <v>218</v>
      </c>
      <c r="E4210" s="97">
        <v>-4.02E-2</v>
      </c>
    </row>
    <row r="4211" spans="1:5" ht="15">
      <c r="A4211" s="98">
        <v>791</v>
      </c>
      <c r="B4211">
        <v>24.06</v>
      </c>
      <c r="C4211">
        <v>22.56</v>
      </c>
      <c r="D4211" t="s">
        <v>218</v>
      </c>
      <c r="E4211" s="97">
        <v>3.8800000000000001E-2</v>
      </c>
    </row>
    <row r="4212" spans="1:5" ht="15">
      <c r="A4212" s="98">
        <v>790</v>
      </c>
      <c r="B4212">
        <v>22.61</v>
      </c>
      <c r="C4212">
        <v>21.71</v>
      </c>
      <c r="D4212" t="s">
        <v>218</v>
      </c>
      <c r="E4212" s="97">
        <v>4.6199999999999998E-2</v>
      </c>
    </row>
    <row r="4213" spans="1:5" ht="15">
      <c r="A4213" s="98">
        <v>789</v>
      </c>
      <c r="B4213">
        <v>22.75</v>
      </c>
      <c r="C4213">
        <v>21.97</v>
      </c>
      <c r="D4213" t="s">
        <v>218</v>
      </c>
      <c r="E4213" s="97">
        <v>2.7099999999999999E-2</v>
      </c>
    </row>
    <row r="4214" spans="1:5" ht="15">
      <c r="A4214" s="98">
        <v>788</v>
      </c>
      <c r="B4214">
        <v>24.28</v>
      </c>
      <c r="C4214">
        <v>22.4</v>
      </c>
      <c r="D4214" t="s">
        <v>218</v>
      </c>
      <c r="E4214" s="97">
        <v>-2.5999999999999999E-3</v>
      </c>
    </row>
    <row r="4215" spans="1:5" ht="15">
      <c r="A4215" s="98">
        <v>787</v>
      </c>
      <c r="B4215">
        <v>23.45</v>
      </c>
      <c r="C4215">
        <v>22.72</v>
      </c>
      <c r="D4215" t="s">
        <v>218</v>
      </c>
      <c r="E4215" s="97">
        <v>-1.2800000000000001E-2</v>
      </c>
    </row>
    <row r="4216" spans="1:5" ht="15">
      <c r="A4216" s="98">
        <v>786</v>
      </c>
      <c r="B4216">
        <v>24.52</v>
      </c>
      <c r="C4216">
        <v>22.39</v>
      </c>
      <c r="D4216" t="s">
        <v>218</v>
      </c>
      <c r="E4216" s="97">
        <v>-2.4500000000000001E-2</v>
      </c>
    </row>
    <row r="4217" spans="1:5" ht="15">
      <c r="A4217" s="98">
        <v>785</v>
      </c>
      <c r="B4217">
        <v>23.67</v>
      </c>
      <c r="C4217">
        <v>22.46</v>
      </c>
      <c r="D4217" t="s">
        <v>218</v>
      </c>
      <c r="E4217" s="97">
        <v>-3.2899999999999999E-2</v>
      </c>
    </row>
    <row r="4218" spans="1:5" ht="15">
      <c r="A4218" s="98">
        <v>784</v>
      </c>
      <c r="B4218">
        <v>24.34</v>
      </c>
      <c r="C4218">
        <v>23.3</v>
      </c>
      <c r="D4218" t="s">
        <v>218</v>
      </c>
      <c r="E4218" s="97">
        <v>9.2600000000000002E-2</v>
      </c>
    </row>
    <row r="4219" spans="1:5" ht="15">
      <c r="A4219" s="98">
        <v>783</v>
      </c>
      <c r="B4219">
        <v>23.08</v>
      </c>
      <c r="C4219">
        <v>21.71</v>
      </c>
      <c r="D4219" t="s">
        <v>218</v>
      </c>
      <c r="E4219" s="97">
        <v>-6.25E-2</v>
      </c>
    </row>
    <row r="4220" spans="1:5" ht="15">
      <c r="A4220" s="98">
        <v>782</v>
      </c>
      <c r="B4220">
        <v>22.13</v>
      </c>
      <c r="C4220">
        <v>21.46</v>
      </c>
      <c r="D4220" t="s">
        <v>218</v>
      </c>
      <c r="E4220" s="97">
        <v>-4.2700000000000002E-2</v>
      </c>
    </row>
    <row r="4221" spans="1:5" ht="15">
      <c r="A4221" s="98">
        <v>781</v>
      </c>
      <c r="B4221">
        <v>22.16</v>
      </c>
      <c r="C4221">
        <v>21.28</v>
      </c>
      <c r="D4221" t="s">
        <v>218</v>
      </c>
      <c r="E4221" s="97">
        <v>8.3900000000000002E-2</v>
      </c>
    </row>
    <row r="4222" spans="1:5" ht="15">
      <c r="A4222" s="98">
        <v>780</v>
      </c>
      <c r="B4222">
        <v>21.64</v>
      </c>
      <c r="C4222">
        <v>20.29</v>
      </c>
      <c r="D4222" t="s">
        <v>218</v>
      </c>
      <c r="E4222" s="97">
        <v>-7.7000000000000002E-3</v>
      </c>
    </row>
    <row r="4223" spans="1:5" ht="15">
      <c r="A4223" s="98">
        <v>779</v>
      </c>
      <c r="B4223">
        <v>19.510000000000002</v>
      </c>
      <c r="C4223">
        <v>18.8</v>
      </c>
      <c r="D4223" t="s">
        <v>218</v>
      </c>
      <c r="E4223" s="97">
        <v>5.5999999999999999E-3</v>
      </c>
    </row>
    <row r="4224" spans="1:5" ht="15">
      <c r="A4224" s="98">
        <v>778</v>
      </c>
      <c r="B4224">
        <v>20.100000000000001</v>
      </c>
      <c r="C4224">
        <v>18.55</v>
      </c>
      <c r="D4224" t="s">
        <v>218</v>
      </c>
      <c r="E4224" s="97">
        <v>-3.7600000000000001E-2</v>
      </c>
    </row>
    <row r="4225" spans="1:5" ht="15">
      <c r="A4225" s="98">
        <v>777</v>
      </c>
      <c r="B4225">
        <v>19.16</v>
      </c>
      <c r="C4225">
        <v>17.899999999999999</v>
      </c>
      <c r="D4225" t="s">
        <v>218</v>
      </c>
      <c r="E4225" s="97">
        <v>-2.46E-2</v>
      </c>
    </row>
    <row r="4226" spans="1:5" ht="15">
      <c r="A4226" s="98">
        <v>776</v>
      </c>
      <c r="B4226">
        <v>21.02</v>
      </c>
      <c r="C4226">
        <v>19.399999999999999</v>
      </c>
      <c r="D4226" t="s">
        <v>218</v>
      </c>
      <c r="E4226" s="97">
        <v>2.8799999999999999E-2</v>
      </c>
    </row>
    <row r="4227" spans="1:5" ht="15">
      <c r="A4227" s="98">
        <v>775</v>
      </c>
      <c r="B4227">
        <v>21.59</v>
      </c>
      <c r="C4227">
        <v>19.02</v>
      </c>
      <c r="D4227" t="s">
        <v>218</v>
      </c>
      <c r="E4227" s="97">
        <v>4.2900000000000001E-2</v>
      </c>
    </row>
    <row r="4228" spans="1:5" ht="15">
      <c r="A4228" s="98">
        <v>774</v>
      </c>
      <c r="B4228">
        <v>20.71</v>
      </c>
      <c r="C4228">
        <v>18.88</v>
      </c>
      <c r="D4228" t="s">
        <v>218</v>
      </c>
      <c r="E4228" s="97">
        <v>4.6600000000000003E-2</v>
      </c>
    </row>
    <row r="4229" spans="1:5" ht="15">
      <c r="A4229" s="98">
        <v>773</v>
      </c>
      <c r="B4229">
        <v>21.35</v>
      </c>
      <c r="C4229">
        <v>19.329999999999998</v>
      </c>
      <c r="D4229" t="s">
        <v>218</v>
      </c>
      <c r="E4229" s="97">
        <v>8.0699999999999994E-2</v>
      </c>
    </row>
    <row r="4230" spans="1:5" ht="15">
      <c r="A4230" s="98">
        <v>772</v>
      </c>
      <c r="B4230">
        <v>21.2</v>
      </c>
      <c r="C4230">
        <v>19.670000000000002</v>
      </c>
      <c r="D4230" t="s">
        <v>218</v>
      </c>
      <c r="E4230" s="97">
        <v>-4.0399999999999998E-2</v>
      </c>
    </row>
    <row r="4231" spans="1:5" ht="15">
      <c r="A4231" s="98">
        <v>771</v>
      </c>
      <c r="B4231">
        <v>20.53</v>
      </c>
      <c r="C4231">
        <v>18.93</v>
      </c>
      <c r="D4231" t="s">
        <v>218</v>
      </c>
      <c r="E4231" s="97">
        <v>-4.2500000000000003E-2</v>
      </c>
    </row>
    <row r="4232" spans="1:5" ht="15">
      <c r="A4232" s="98">
        <v>770</v>
      </c>
      <c r="B4232">
        <v>19.36</v>
      </c>
      <c r="C4232">
        <v>18.760000000000002</v>
      </c>
      <c r="D4232" t="s">
        <v>218</v>
      </c>
      <c r="E4232" s="97">
        <v>-1.6000000000000001E-3</v>
      </c>
    </row>
    <row r="4233" spans="1:5" ht="15">
      <c r="A4233" s="98">
        <v>769</v>
      </c>
      <c r="B4233">
        <v>19.88</v>
      </c>
      <c r="C4233">
        <v>18.86</v>
      </c>
      <c r="D4233" t="s">
        <v>218</v>
      </c>
      <c r="E4233" s="97">
        <v>-0.05</v>
      </c>
    </row>
    <row r="4234" spans="1:5" ht="15">
      <c r="A4234" s="98">
        <v>768</v>
      </c>
      <c r="B4234">
        <v>21.01</v>
      </c>
      <c r="C4234">
        <v>20.22</v>
      </c>
      <c r="D4234" t="s">
        <v>218</v>
      </c>
      <c r="E4234" s="97">
        <v>1.0800000000000001E-2</v>
      </c>
    </row>
    <row r="4235" spans="1:5" ht="15">
      <c r="A4235" s="98">
        <v>767</v>
      </c>
      <c r="B4235">
        <v>22.37</v>
      </c>
      <c r="C4235">
        <v>20.69</v>
      </c>
      <c r="D4235" t="s">
        <v>218</v>
      </c>
      <c r="E4235" s="97">
        <v>6.7000000000000002E-3</v>
      </c>
    </row>
    <row r="4236" spans="1:5" ht="15">
      <c r="A4236" s="98">
        <v>766</v>
      </c>
      <c r="B4236">
        <v>21.41</v>
      </c>
      <c r="C4236">
        <v>20.18</v>
      </c>
      <c r="D4236" t="s">
        <v>218</v>
      </c>
      <c r="E4236" s="97">
        <v>-2.87E-2</v>
      </c>
    </row>
    <row r="4237" spans="1:5" ht="15">
      <c r="A4237" s="98">
        <v>765</v>
      </c>
      <c r="B4237">
        <v>21.4</v>
      </c>
      <c r="C4237">
        <v>20.86</v>
      </c>
      <c r="D4237" t="s">
        <v>218</v>
      </c>
      <c r="E4237" s="97">
        <v>1.0699999999999999E-2</v>
      </c>
    </row>
    <row r="4238" spans="1:5" ht="15">
      <c r="A4238" s="98">
        <v>764</v>
      </c>
      <c r="B4238">
        <v>22.54</v>
      </c>
      <c r="C4238">
        <v>20.92</v>
      </c>
      <c r="D4238" t="s">
        <v>218</v>
      </c>
      <c r="E4238" s="97">
        <v>-6.1199999999999997E-2</v>
      </c>
    </row>
    <row r="4239" spans="1:5" ht="15">
      <c r="A4239" s="98">
        <v>763</v>
      </c>
      <c r="B4239">
        <v>21.82</v>
      </c>
      <c r="C4239">
        <v>21.22</v>
      </c>
      <c r="D4239" t="s">
        <v>218</v>
      </c>
      <c r="E4239" s="97">
        <v>3.3099999999999997E-2</v>
      </c>
    </row>
    <row r="4240" spans="1:5" ht="15">
      <c r="A4240" s="98">
        <v>762</v>
      </c>
      <c r="B4240">
        <v>22.02</v>
      </c>
      <c r="C4240">
        <v>19.54</v>
      </c>
      <c r="D4240" t="s">
        <v>218</v>
      </c>
      <c r="E4240" s="97">
        <v>4.5999999999999999E-2</v>
      </c>
    </row>
    <row r="4241" spans="1:5" ht="15">
      <c r="A4241" s="98">
        <v>761</v>
      </c>
      <c r="B4241">
        <v>18.8</v>
      </c>
      <c r="C4241">
        <v>17.97</v>
      </c>
      <c r="D4241" t="s">
        <v>218</v>
      </c>
      <c r="E4241" s="97">
        <v>-2.7099999999999999E-2</v>
      </c>
    </row>
    <row r="4242" spans="1:5" ht="15">
      <c r="A4242" s="98">
        <v>760</v>
      </c>
      <c r="B4242">
        <v>18.440000000000001</v>
      </c>
      <c r="C4242">
        <v>17.920000000000002</v>
      </c>
      <c r="D4242" t="s">
        <v>218</v>
      </c>
      <c r="E4242" s="97">
        <v>3.9699999999999999E-2</v>
      </c>
    </row>
    <row r="4243" spans="1:5" ht="15">
      <c r="A4243" s="98">
        <v>759</v>
      </c>
      <c r="B4243">
        <v>19.350000000000001</v>
      </c>
      <c r="C4243">
        <v>18.21</v>
      </c>
      <c r="D4243" t="s">
        <v>218</v>
      </c>
      <c r="E4243" s="97">
        <v>-9.5100000000000004E-2</v>
      </c>
    </row>
    <row r="4244" spans="1:5" ht="15">
      <c r="A4244" s="98">
        <v>758</v>
      </c>
      <c r="B4244">
        <v>19.39</v>
      </c>
      <c r="C4244">
        <v>17.829999999999998</v>
      </c>
      <c r="D4244" t="s">
        <v>218</v>
      </c>
      <c r="E4244" s="97">
        <v>1.0500000000000001E-2</v>
      </c>
    </row>
    <row r="4245" spans="1:5" ht="15">
      <c r="A4245" s="98">
        <v>757</v>
      </c>
      <c r="B4245">
        <v>19.96</v>
      </c>
      <c r="C4245">
        <v>18.41</v>
      </c>
      <c r="D4245" t="s">
        <v>218</v>
      </c>
      <c r="E4245" s="97">
        <v>7.2300000000000003E-2</v>
      </c>
    </row>
    <row r="4246" spans="1:5" ht="15">
      <c r="A4246" s="98">
        <v>756</v>
      </c>
      <c r="B4246">
        <v>19.75</v>
      </c>
      <c r="C4246">
        <v>18.48</v>
      </c>
      <c r="D4246" t="s">
        <v>218</v>
      </c>
      <c r="E4246" s="97">
        <v>1.9900000000000001E-2</v>
      </c>
    </row>
    <row r="4247" spans="1:5" ht="15">
      <c r="A4247" s="98">
        <v>755</v>
      </c>
      <c r="B4247">
        <v>21.23</v>
      </c>
      <c r="C4247">
        <v>19.29</v>
      </c>
      <c r="D4247" t="s">
        <v>218</v>
      </c>
      <c r="E4247" s="97">
        <v>2.9000000000000001E-2</v>
      </c>
    </row>
    <row r="4248" spans="1:5" ht="15">
      <c r="A4248" s="98">
        <v>754</v>
      </c>
      <c r="B4248">
        <v>20.37</v>
      </c>
      <c r="C4248">
        <v>19.14</v>
      </c>
      <c r="D4248" t="s">
        <v>218</v>
      </c>
      <c r="E4248" s="97">
        <v>-4.7999999999999996E-3</v>
      </c>
    </row>
    <row r="4249" spans="1:5" ht="15">
      <c r="A4249" s="98">
        <v>753</v>
      </c>
      <c r="B4249">
        <v>23.07</v>
      </c>
      <c r="C4249">
        <v>20.95</v>
      </c>
      <c r="D4249" t="s">
        <v>218</v>
      </c>
      <c r="E4249" s="97">
        <v>-4.2099999999999999E-2</v>
      </c>
    </row>
    <row r="4250" spans="1:5" ht="15">
      <c r="A4250" s="98">
        <v>752</v>
      </c>
      <c r="B4250">
        <v>22.21</v>
      </c>
      <c r="C4250">
        <v>21.22</v>
      </c>
      <c r="D4250" t="s">
        <v>218</v>
      </c>
      <c r="E4250" s="97">
        <v>3.4500000000000003E-2</v>
      </c>
    </row>
    <row r="4251" spans="1:5" ht="15">
      <c r="A4251" s="98">
        <v>751</v>
      </c>
      <c r="B4251">
        <v>20.309999999999999</v>
      </c>
      <c r="C4251">
        <v>18.75</v>
      </c>
      <c r="D4251" t="s">
        <v>218</v>
      </c>
      <c r="E4251" s="97">
        <v>4.3E-3</v>
      </c>
    </row>
    <row r="4252" spans="1:5" ht="15">
      <c r="A4252" s="98">
        <v>750</v>
      </c>
      <c r="B4252">
        <v>19.72</v>
      </c>
      <c r="C4252">
        <v>17.760000000000002</v>
      </c>
      <c r="D4252" t="s">
        <v>218</v>
      </c>
      <c r="E4252" s="97">
        <v>-3.3500000000000002E-2</v>
      </c>
    </row>
    <row r="4253" spans="1:5" ht="15">
      <c r="A4253" s="98">
        <v>749</v>
      </c>
      <c r="B4253">
        <v>20.14</v>
      </c>
      <c r="C4253">
        <v>18.350000000000001</v>
      </c>
      <c r="D4253" t="s">
        <v>218</v>
      </c>
      <c r="E4253" s="97">
        <v>-6.5000000000000002E-2</v>
      </c>
    </row>
    <row r="4254" spans="1:5" ht="15">
      <c r="A4254" s="98">
        <v>748</v>
      </c>
      <c r="B4254">
        <v>21.45</v>
      </c>
      <c r="C4254">
        <v>20.239999999999998</v>
      </c>
      <c r="D4254" t="s">
        <v>218</v>
      </c>
      <c r="E4254" s="97">
        <v>-5.5500000000000001E-2</v>
      </c>
    </row>
    <row r="4255" spans="1:5" ht="15">
      <c r="A4255" s="98">
        <v>747</v>
      </c>
      <c r="B4255">
        <v>19.61</v>
      </c>
      <c r="C4255">
        <v>18.73</v>
      </c>
      <c r="D4255" t="s">
        <v>218</v>
      </c>
      <c r="E4255" s="97">
        <v>4.2700000000000002E-2</v>
      </c>
    </row>
    <row r="4256" spans="1:5" ht="15">
      <c r="A4256" s="98">
        <v>746</v>
      </c>
      <c r="B4256">
        <v>22.22</v>
      </c>
      <c r="C4256">
        <v>20.28</v>
      </c>
      <c r="D4256" t="s">
        <v>218</v>
      </c>
      <c r="E4256" s="97">
        <v>3.1300000000000001E-2</v>
      </c>
    </row>
    <row r="4257" spans="1:5" ht="15">
      <c r="A4257" s="98">
        <v>745</v>
      </c>
      <c r="B4257">
        <v>23.84</v>
      </c>
      <c r="C4257">
        <v>21.38</v>
      </c>
      <c r="D4257" t="s">
        <v>218</v>
      </c>
      <c r="E4257" s="97">
        <v>3.9100000000000003E-2</v>
      </c>
    </row>
    <row r="4258" spans="1:5" ht="15">
      <c r="A4258" s="98">
        <v>744</v>
      </c>
      <c r="B4258">
        <v>23.79</v>
      </c>
      <c r="C4258">
        <v>22.42</v>
      </c>
      <c r="D4258" t="s">
        <v>218</v>
      </c>
      <c r="E4258" s="97">
        <v>0.1007</v>
      </c>
    </row>
    <row r="4259" spans="1:5" ht="15">
      <c r="A4259" s="98">
        <v>743</v>
      </c>
      <c r="B4259">
        <v>21.43</v>
      </c>
      <c r="C4259">
        <v>20.399999999999999</v>
      </c>
      <c r="D4259" t="s">
        <v>218</v>
      </c>
      <c r="E4259" s="97">
        <v>7.3000000000000001E-3</v>
      </c>
    </row>
    <row r="4260" spans="1:5" ht="15">
      <c r="A4260" s="98">
        <v>742</v>
      </c>
      <c r="B4260">
        <v>21.13</v>
      </c>
      <c r="C4260">
        <v>19.100000000000001</v>
      </c>
      <c r="D4260" t="s">
        <v>218</v>
      </c>
      <c r="E4260" s="97">
        <v>-5.6899999999999999E-2</v>
      </c>
    </row>
    <row r="4261" spans="1:5" ht="15">
      <c r="A4261" s="98">
        <v>741</v>
      </c>
      <c r="B4261">
        <v>19.28</v>
      </c>
      <c r="C4261">
        <v>17.71</v>
      </c>
      <c r="D4261" t="s">
        <v>218</v>
      </c>
      <c r="E4261" s="97">
        <v>3.7499999999999999E-2</v>
      </c>
    </row>
    <row r="4262" spans="1:5" ht="15">
      <c r="A4262" s="98">
        <v>740</v>
      </c>
      <c r="B4262">
        <v>18.850000000000001</v>
      </c>
      <c r="C4262">
        <v>17.95</v>
      </c>
      <c r="D4262" t="s">
        <v>218</v>
      </c>
      <c r="E4262" s="97">
        <v>1.17E-2</v>
      </c>
    </row>
    <row r="4263" spans="1:5" ht="15">
      <c r="A4263" s="98">
        <v>739</v>
      </c>
      <c r="B4263">
        <v>18.149999999999999</v>
      </c>
      <c r="C4263">
        <v>17.13</v>
      </c>
      <c r="D4263" t="s">
        <v>218</v>
      </c>
      <c r="E4263" s="97">
        <v>-4.0099999999999997E-2</v>
      </c>
    </row>
    <row r="4264" spans="1:5" ht="15">
      <c r="A4264" s="98">
        <v>738</v>
      </c>
      <c r="B4264">
        <v>18.32</v>
      </c>
      <c r="C4264">
        <v>17.690000000000001</v>
      </c>
      <c r="D4264" t="s">
        <v>218</v>
      </c>
      <c r="E4264" s="97">
        <v>4.1799999999999997E-2</v>
      </c>
    </row>
    <row r="4265" spans="1:5" ht="15">
      <c r="A4265" s="98">
        <v>737</v>
      </c>
      <c r="B4265">
        <v>17.84</v>
      </c>
      <c r="C4265">
        <v>17.239999999999998</v>
      </c>
      <c r="D4265" t="s">
        <v>218</v>
      </c>
      <c r="E4265" s="97">
        <v>4.6100000000000002E-2</v>
      </c>
    </row>
    <row r="4266" spans="1:5" ht="15">
      <c r="A4266" s="98">
        <v>736</v>
      </c>
      <c r="B4266">
        <v>17.63</v>
      </c>
      <c r="C4266">
        <v>17.059999999999999</v>
      </c>
      <c r="D4266" t="s">
        <v>218</v>
      </c>
      <c r="E4266" s="97">
        <v>1.06E-2</v>
      </c>
    </row>
    <row r="4267" spans="1:5" ht="15">
      <c r="A4267" s="98">
        <v>735</v>
      </c>
      <c r="B4267">
        <v>17.670000000000002</v>
      </c>
      <c r="C4267">
        <v>16.68</v>
      </c>
      <c r="D4267" t="s">
        <v>218</v>
      </c>
      <c r="E4267" s="97">
        <v>-5.9999999999999995E-4</v>
      </c>
    </row>
    <row r="4268" spans="1:5" ht="15">
      <c r="A4268" s="98">
        <v>734</v>
      </c>
      <c r="B4268">
        <v>17.95</v>
      </c>
      <c r="C4268">
        <v>17.22</v>
      </c>
      <c r="D4268" t="s">
        <v>218</v>
      </c>
      <c r="E4268" s="97">
        <v>6.6600000000000006E-2</v>
      </c>
    </row>
    <row r="4269" spans="1:5" ht="15">
      <c r="A4269" s="98">
        <v>733</v>
      </c>
      <c r="B4269">
        <v>18.14</v>
      </c>
      <c r="C4269">
        <v>17.37</v>
      </c>
      <c r="D4269" t="s">
        <v>218</v>
      </c>
      <c r="E4269" s="97">
        <v>6.6400000000000001E-2</v>
      </c>
    </row>
    <row r="4270" spans="1:5" ht="15">
      <c r="A4270" s="98">
        <v>732</v>
      </c>
      <c r="B4270">
        <v>18.27</v>
      </c>
      <c r="C4270">
        <v>16.88</v>
      </c>
      <c r="D4270" t="s">
        <v>218</v>
      </c>
      <c r="E4270" s="97">
        <v>-5.3900000000000003E-2</v>
      </c>
    </row>
    <row r="4271" spans="1:5" ht="15">
      <c r="A4271" s="98">
        <v>731</v>
      </c>
      <c r="B4271">
        <v>17.64</v>
      </c>
      <c r="C4271">
        <v>15.46</v>
      </c>
      <c r="D4271" t="s">
        <v>218</v>
      </c>
      <c r="E4271" s="97">
        <v>-1.0699999999999999E-2</v>
      </c>
    </row>
    <row r="4272" spans="1:5" ht="15">
      <c r="A4272" s="98">
        <v>730</v>
      </c>
      <c r="B4272">
        <v>16.86</v>
      </c>
      <c r="C4272">
        <v>15.78</v>
      </c>
      <c r="D4272" t="s">
        <v>218</v>
      </c>
      <c r="E4272" s="97">
        <v>4.6600000000000003E-2</v>
      </c>
    </row>
    <row r="4273" spans="1:5" ht="15">
      <c r="A4273" s="98">
        <v>729</v>
      </c>
      <c r="B4273">
        <v>16.62</v>
      </c>
      <c r="C4273">
        <v>16.079999999999998</v>
      </c>
      <c r="D4273" t="s">
        <v>218</v>
      </c>
      <c r="E4273" s="97">
        <v>7.3000000000000001E-3</v>
      </c>
    </row>
    <row r="4274" spans="1:5" ht="15">
      <c r="A4274" s="98">
        <v>728</v>
      </c>
      <c r="B4274">
        <v>16.559999999999999</v>
      </c>
      <c r="C4274">
        <v>15.45</v>
      </c>
      <c r="D4274" t="s">
        <v>218</v>
      </c>
      <c r="E4274" s="97">
        <v>5.2900000000000003E-2</v>
      </c>
    </row>
    <row r="4275" spans="1:5" ht="15">
      <c r="A4275" s="98">
        <v>727</v>
      </c>
      <c r="B4275">
        <v>16.86</v>
      </c>
      <c r="C4275">
        <v>15.4</v>
      </c>
      <c r="D4275" t="s">
        <v>218</v>
      </c>
      <c r="E4275" s="97">
        <v>4.1300000000000003E-2</v>
      </c>
    </row>
    <row r="4276" spans="1:5" ht="15">
      <c r="A4276" s="98">
        <v>726</v>
      </c>
      <c r="B4276">
        <v>18.32</v>
      </c>
      <c r="C4276">
        <v>17.66</v>
      </c>
      <c r="D4276" t="s">
        <v>218</v>
      </c>
      <c r="E4276" s="97">
        <v>-7.3899999999999993E-2</v>
      </c>
    </row>
    <row r="4277" spans="1:5" ht="15">
      <c r="A4277" s="98">
        <v>725</v>
      </c>
      <c r="B4277">
        <v>17.989999999999998</v>
      </c>
      <c r="C4277">
        <v>17.3</v>
      </c>
      <c r="D4277" t="s">
        <v>218</v>
      </c>
      <c r="E4277" s="97">
        <v>-3.0599999999999999E-2</v>
      </c>
    </row>
    <row r="4278" spans="1:5" ht="15">
      <c r="A4278" s="98">
        <v>724</v>
      </c>
      <c r="B4278">
        <v>17.489999999999998</v>
      </c>
      <c r="C4278">
        <v>17.02</v>
      </c>
      <c r="D4278" t="s">
        <v>218</v>
      </c>
      <c r="E4278" s="97">
        <v>9.4E-2</v>
      </c>
    </row>
    <row r="4279" spans="1:5" ht="15">
      <c r="A4279" s="98">
        <v>723</v>
      </c>
      <c r="B4279">
        <v>17.89</v>
      </c>
      <c r="C4279">
        <v>17.46</v>
      </c>
      <c r="D4279" t="s">
        <v>218</v>
      </c>
      <c r="E4279" s="97">
        <v>-0.1103</v>
      </c>
    </row>
    <row r="4280" spans="1:5" ht="15">
      <c r="A4280" s="98">
        <v>722</v>
      </c>
      <c r="B4280">
        <v>18.13</v>
      </c>
      <c r="C4280">
        <v>17.75</v>
      </c>
      <c r="D4280" t="s">
        <v>218</v>
      </c>
      <c r="E4280" s="97">
        <v>-8.3099999999999993E-2</v>
      </c>
    </row>
    <row r="4281" spans="1:5" ht="15">
      <c r="A4281" s="98">
        <v>721</v>
      </c>
      <c r="B4281">
        <v>17.95</v>
      </c>
      <c r="C4281">
        <v>16.91</v>
      </c>
      <c r="D4281" t="s">
        <v>218</v>
      </c>
      <c r="E4281" s="97">
        <v>1.41E-2</v>
      </c>
    </row>
    <row r="4282" spans="1:5" ht="15">
      <c r="A4282" s="98">
        <v>720</v>
      </c>
      <c r="B4282">
        <v>18.239999999999998</v>
      </c>
      <c r="C4282">
        <v>17.329999999999998</v>
      </c>
      <c r="D4282" t="s">
        <v>218</v>
      </c>
      <c r="E4282" s="97">
        <v>-3.85E-2</v>
      </c>
    </row>
    <row r="4283" spans="1:5" ht="15">
      <c r="A4283" s="98">
        <v>719</v>
      </c>
      <c r="B4283">
        <v>17.95</v>
      </c>
      <c r="C4283">
        <v>16.86</v>
      </c>
      <c r="D4283" t="s">
        <v>218</v>
      </c>
      <c r="E4283" s="97">
        <v>-2.1600000000000001E-2</v>
      </c>
    </row>
    <row r="4284" spans="1:5" ht="15">
      <c r="A4284" s="98">
        <v>718</v>
      </c>
      <c r="B4284">
        <v>17.559999999999999</v>
      </c>
      <c r="C4284">
        <v>16.79</v>
      </c>
      <c r="D4284" t="s">
        <v>218</v>
      </c>
      <c r="E4284" s="97">
        <v>8.3999999999999995E-3</v>
      </c>
    </row>
    <row r="4285" spans="1:5" ht="15">
      <c r="A4285" s="98">
        <v>717</v>
      </c>
      <c r="B4285">
        <v>18.07</v>
      </c>
      <c r="C4285">
        <v>16.57</v>
      </c>
      <c r="D4285" t="s">
        <v>218</v>
      </c>
      <c r="E4285" s="97">
        <v>-1.21E-2</v>
      </c>
    </row>
    <row r="4286" spans="1:5" ht="15">
      <c r="A4286" s="98">
        <v>716</v>
      </c>
      <c r="B4286">
        <v>18.63</v>
      </c>
      <c r="C4286">
        <v>17.54</v>
      </c>
      <c r="D4286" t="s">
        <v>218</v>
      </c>
      <c r="E4286" s="97">
        <v>-0.02</v>
      </c>
    </row>
    <row r="4287" spans="1:5" ht="15">
      <c r="A4287" s="98">
        <v>715</v>
      </c>
      <c r="B4287">
        <v>17.350000000000001</v>
      </c>
      <c r="C4287">
        <v>16.600000000000001</v>
      </c>
      <c r="D4287" t="s">
        <v>218</v>
      </c>
      <c r="E4287" s="97">
        <v>1.09E-2</v>
      </c>
    </row>
    <row r="4288" spans="1:5" ht="15">
      <c r="A4288" s="98">
        <v>714</v>
      </c>
      <c r="B4288">
        <v>16.5</v>
      </c>
      <c r="C4288">
        <v>16.170000000000002</v>
      </c>
      <c r="D4288" t="s">
        <v>218</v>
      </c>
      <c r="E4288" s="97">
        <v>-3.3E-3</v>
      </c>
    </row>
    <row r="4289" spans="1:5" ht="15">
      <c r="A4289" s="98">
        <v>713</v>
      </c>
      <c r="B4289">
        <v>16.78</v>
      </c>
      <c r="C4289">
        <v>16.14</v>
      </c>
      <c r="D4289" t="s">
        <v>218</v>
      </c>
      <c r="E4289" s="97">
        <v>6.0699999999999997E-2</v>
      </c>
    </row>
    <row r="4290" spans="1:5" ht="15">
      <c r="A4290" s="98">
        <v>712</v>
      </c>
      <c r="B4290">
        <v>16.71</v>
      </c>
      <c r="C4290">
        <v>15.37</v>
      </c>
      <c r="D4290" t="s">
        <v>218</v>
      </c>
      <c r="E4290" s="97">
        <v>2.3699999999999999E-2</v>
      </c>
    </row>
    <row r="4291" spans="1:5" ht="15">
      <c r="A4291" s="98">
        <v>711</v>
      </c>
      <c r="B4291">
        <v>16.2</v>
      </c>
      <c r="C4291">
        <v>15.71</v>
      </c>
      <c r="D4291" t="s">
        <v>218</v>
      </c>
      <c r="E4291" s="97">
        <v>2.6700000000000002E-2</v>
      </c>
    </row>
    <row r="4292" spans="1:5" ht="15">
      <c r="A4292" s="98">
        <v>710</v>
      </c>
      <c r="B4292">
        <v>17.670000000000002</v>
      </c>
      <c r="C4292">
        <v>15.86</v>
      </c>
      <c r="D4292" t="s">
        <v>218</v>
      </c>
      <c r="E4292" s="97">
        <v>3.0000000000000001E-3</v>
      </c>
    </row>
    <row r="4293" spans="1:5" ht="15">
      <c r="A4293" s="98">
        <v>709</v>
      </c>
      <c r="B4293">
        <v>18.850000000000001</v>
      </c>
      <c r="C4293">
        <v>17.649999999999999</v>
      </c>
      <c r="D4293" t="s">
        <v>218</v>
      </c>
      <c r="E4293" s="97">
        <v>2.63E-2</v>
      </c>
    </row>
    <row r="4294" spans="1:5" ht="15">
      <c r="A4294" s="98">
        <v>708</v>
      </c>
      <c r="B4294">
        <v>18.61</v>
      </c>
      <c r="C4294">
        <v>16.600000000000001</v>
      </c>
      <c r="D4294" t="s">
        <v>218</v>
      </c>
      <c r="E4294" s="97">
        <v>5.9700000000000003E-2</v>
      </c>
    </row>
    <row r="4295" spans="1:5" ht="15">
      <c r="A4295" s="98">
        <v>707</v>
      </c>
      <c r="B4295">
        <v>18.93</v>
      </c>
      <c r="C4295">
        <v>17.559999999999999</v>
      </c>
      <c r="D4295" t="s">
        <v>218</v>
      </c>
      <c r="E4295" s="97">
        <v>-2.1399999999999999E-2</v>
      </c>
    </row>
    <row r="4296" spans="1:5" ht="15">
      <c r="A4296" s="98">
        <v>706</v>
      </c>
      <c r="B4296">
        <v>18.55</v>
      </c>
      <c r="C4296">
        <v>17.59</v>
      </c>
      <c r="D4296" t="s">
        <v>218</v>
      </c>
      <c r="E4296" s="97">
        <v>-1.2200000000000001E-2</v>
      </c>
    </row>
    <row r="4297" spans="1:5" ht="15">
      <c r="A4297" s="98">
        <v>705</v>
      </c>
      <c r="B4297">
        <v>17.420000000000002</v>
      </c>
      <c r="C4297">
        <v>16.59</v>
      </c>
      <c r="D4297" t="s">
        <v>218</v>
      </c>
      <c r="E4297" s="97">
        <v>-1.4500000000000001E-2</v>
      </c>
    </row>
    <row r="4298" spans="1:5" ht="15">
      <c r="A4298" s="98">
        <v>704</v>
      </c>
      <c r="B4298">
        <v>16.89</v>
      </c>
      <c r="C4298">
        <v>15.81</v>
      </c>
      <c r="D4298" t="s">
        <v>218</v>
      </c>
      <c r="E4298" s="97">
        <v>4.6300000000000001E-2</v>
      </c>
    </row>
    <row r="4299" spans="1:5" ht="15">
      <c r="A4299" s="98">
        <v>703</v>
      </c>
      <c r="B4299">
        <v>20.079999999999998</v>
      </c>
      <c r="C4299">
        <v>15.92</v>
      </c>
      <c r="D4299" t="s">
        <v>218</v>
      </c>
      <c r="E4299" s="97">
        <v>4.0000000000000001E-3</v>
      </c>
    </row>
    <row r="4300" spans="1:5" ht="15">
      <c r="A4300" s="98">
        <v>702</v>
      </c>
      <c r="B4300">
        <v>19.96</v>
      </c>
      <c r="C4300">
        <v>17.100000000000001</v>
      </c>
      <c r="D4300" t="s">
        <v>218</v>
      </c>
      <c r="E4300" s="97">
        <v>-7.3200000000000001E-2</v>
      </c>
    </row>
    <row r="4301" spans="1:5" ht="15">
      <c r="A4301" s="98">
        <v>701</v>
      </c>
      <c r="B4301">
        <v>18.63</v>
      </c>
      <c r="C4301">
        <v>17.399999999999999</v>
      </c>
      <c r="D4301" t="s">
        <v>218</v>
      </c>
      <c r="E4301" s="97">
        <v>1.06E-2</v>
      </c>
    </row>
    <row r="4302" spans="1:5" ht="15">
      <c r="A4302" s="98">
        <v>700</v>
      </c>
      <c r="B4302">
        <v>17.84</v>
      </c>
      <c r="C4302">
        <v>17.28</v>
      </c>
      <c r="D4302" t="s">
        <v>218</v>
      </c>
      <c r="E4302" s="97">
        <v>3.27E-2</v>
      </c>
    </row>
    <row r="4303" spans="1:5" ht="15">
      <c r="A4303" s="98">
        <v>699</v>
      </c>
      <c r="B4303">
        <v>17.8</v>
      </c>
      <c r="C4303">
        <v>16.61</v>
      </c>
      <c r="D4303" t="s">
        <v>218</v>
      </c>
      <c r="E4303" s="97">
        <v>3.1099999999999999E-2</v>
      </c>
    </row>
    <row r="4304" spans="1:5" ht="15">
      <c r="A4304" s="98">
        <v>698</v>
      </c>
      <c r="B4304">
        <v>16.739999999999998</v>
      </c>
      <c r="C4304">
        <v>15.89</v>
      </c>
      <c r="D4304" t="s">
        <v>218</v>
      </c>
      <c r="E4304" s="97">
        <v>2.0899999999999998E-2</v>
      </c>
    </row>
    <row r="4305" spans="1:5" ht="15">
      <c r="A4305" s="98">
        <v>697</v>
      </c>
      <c r="B4305">
        <v>16.54</v>
      </c>
      <c r="C4305">
        <v>15.84</v>
      </c>
      <c r="D4305" t="s">
        <v>218</v>
      </c>
      <c r="E4305" s="97">
        <v>-0.11749999999999999</v>
      </c>
    </row>
    <row r="4306" spans="1:5" ht="15">
      <c r="A4306" s="98">
        <v>696</v>
      </c>
      <c r="B4306">
        <v>16.600000000000001</v>
      </c>
      <c r="C4306">
        <v>14.86</v>
      </c>
      <c r="D4306" t="s">
        <v>218</v>
      </c>
      <c r="E4306" s="97">
        <v>-5.9999999999999995E-4</v>
      </c>
    </row>
    <row r="4307" spans="1:5" ht="15">
      <c r="A4307" s="98">
        <v>695</v>
      </c>
      <c r="B4307">
        <v>16.52</v>
      </c>
      <c r="C4307">
        <v>15.86</v>
      </c>
      <c r="D4307" t="s">
        <v>218</v>
      </c>
      <c r="E4307" s="97">
        <v>-1.5800000000000002E-2</v>
      </c>
    </row>
    <row r="4308" spans="1:5" ht="15">
      <c r="A4308" s="98">
        <v>694</v>
      </c>
      <c r="B4308">
        <v>17.07</v>
      </c>
      <c r="C4308">
        <v>16</v>
      </c>
      <c r="D4308" t="s">
        <v>218</v>
      </c>
      <c r="E4308" s="97">
        <v>5.8999999999999999E-3</v>
      </c>
    </row>
    <row r="4309" spans="1:5" ht="15">
      <c r="A4309" s="98">
        <v>693</v>
      </c>
      <c r="B4309">
        <v>16.53</v>
      </c>
      <c r="C4309">
        <v>15.55</v>
      </c>
      <c r="D4309" t="s">
        <v>218</v>
      </c>
      <c r="E4309" s="97">
        <v>5.28E-2</v>
      </c>
    </row>
    <row r="4310" spans="1:5" ht="15">
      <c r="A4310" s="98">
        <v>692</v>
      </c>
      <c r="B4310">
        <v>16.260000000000002</v>
      </c>
      <c r="C4310">
        <v>15.22</v>
      </c>
      <c r="D4310" t="s">
        <v>218</v>
      </c>
      <c r="E4310" s="97">
        <v>-5.9999999999999995E-4</v>
      </c>
    </row>
    <row r="4311" spans="1:5" ht="15">
      <c r="A4311" s="98">
        <v>691</v>
      </c>
      <c r="B4311">
        <v>16.75</v>
      </c>
      <c r="C4311">
        <v>16.27</v>
      </c>
      <c r="D4311" t="s">
        <v>218</v>
      </c>
      <c r="E4311" s="97">
        <v>-6.7999999999999996E-3</v>
      </c>
    </row>
    <row r="4312" spans="1:5" ht="15">
      <c r="A4312" s="98">
        <v>690</v>
      </c>
      <c r="B4312">
        <v>16.739999999999998</v>
      </c>
      <c r="C4312">
        <v>15.84</v>
      </c>
      <c r="D4312" t="s">
        <v>218</v>
      </c>
      <c r="E4312" s="97">
        <v>-1.4E-2</v>
      </c>
    </row>
    <row r="4313" spans="1:5" ht="15">
      <c r="A4313" s="98">
        <v>689</v>
      </c>
      <c r="B4313">
        <v>17.3</v>
      </c>
      <c r="C4313">
        <v>15.88</v>
      </c>
      <c r="D4313" t="s">
        <v>218</v>
      </c>
      <c r="E4313" s="97">
        <v>-5.9999999999999995E-4</v>
      </c>
    </row>
    <row r="4314" spans="1:5" ht="15">
      <c r="A4314" s="98">
        <v>688</v>
      </c>
      <c r="B4314">
        <v>16.91</v>
      </c>
      <c r="C4314">
        <v>15.54</v>
      </c>
      <c r="D4314" t="s">
        <v>218</v>
      </c>
      <c r="E4314" s="97">
        <v>5.1799999999999999E-2</v>
      </c>
    </row>
    <row r="4315" spans="1:5" ht="15">
      <c r="A4315" s="98">
        <v>687</v>
      </c>
      <c r="B4315">
        <v>21.45</v>
      </c>
      <c r="C4315">
        <v>18.38</v>
      </c>
      <c r="D4315" t="s">
        <v>218</v>
      </c>
      <c r="E4315" s="97">
        <v>-2.3699999999999999E-2</v>
      </c>
    </row>
    <row r="4316" spans="1:5" ht="15">
      <c r="A4316" s="98">
        <v>686</v>
      </c>
      <c r="B4316">
        <v>23.22</v>
      </c>
      <c r="C4316">
        <v>20.3</v>
      </c>
      <c r="D4316" t="s">
        <v>218</v>
      </c>
      <c r="E4316" s="97">
        <v>1.0699999999999999E-2</v>
      </c>
    </row>
    <row r="4317" spans="1:5" ht="15">
      <c r="A4317" s="98">
        <v>685</v>
      </c>
      <c r="B4317">
        <v>22.71</v>
      </c>
      <c r="C4317">
        <v>20.81</v>
      </c>
      <c r="D4317" t="s">
        <v>218</v>
      </c>
      <c r="E4317" s="97">
        <v>7.6E-3</v>
      </c>
    </row>
    <row r="4318" spans="1:5" ht="15">
      <c r="A4318" s="98">
        <v>684</v>
      </c>
      <c r="B4318">
        <v>20.440000000000001</v>
      </c>
      <c r="C4318">
        <v>18.88</v>
      </c>
      <c r="D4318" t="s">
        <v>218</v>
      </c>
      <c r="E4318" s="97">
        <v>2.01E-2</v>
      </c>
    </row>
    <row r="4319" spans="1:5" ht="15">
      <c r="A4319" s="98">
        <v>683</v>
      </c>
      <c r="B4319">
        <v>19.27</v>
      </c>
      <c r="C4319">
        <v>18.14</v>
      </c>
      <c r="D4319" t="s">
        <v>218</v>
      </c>
      <c r="E4319" s="97">
        <v>1.5100000000000001E-2</v>
      </c>
    </row>
    <row r="4320" spans="1:5" ht="15">
      <c r="A4320" s="98">
        <v>682</v>
      </c>
      <c r="B4320">
        <v>21.01</v>
      </c>
      <c r="C4320">
        <v>17.63</v>
      </c>
      <c r="D4320" t="s">
        <v>218</v>
      </c>
      <c r="E4320" s="97">
        <v>-4.82E-2</v>
      </c>
    </row>
    <row r="4321" spans="1:5" ht="15">
      <c r="A4321" s="98">
        <v>681</v>
      </c>
      <c r="B4321">
        <v>21.14</v>
      </c>
      <c r="C4321">
        <v>19.62</v>
      </c>
      <c r="D4321" t="s">
        <v>218</v>
      </c>
      <c r="E4321" s="97">
        <v>-5.5999999999999999E-3</v>
      </c>
    </row>
    <row r="4322" spans="1:5" ht="15">
      <c r="A4322" s="98">
        <v>680</v>
      </c>
      <c r="B4322">
        <v>19.27</v>
      </c>
      <c r="C4322">
        <v>18.25</v>
      </c>
      <c r="D4322" t="s">
        <v>218</v>
      </c>
      <c r="E4322" s="97">
        <v>-1.17E-2</v>
      </c>
    </row>
    <row r="4323" spans="1:5" ht="15">
      <c r="A4323" s="98">
        <v>679</v>
      </c>
      <c r="B4323">
        <v>20.329999999999998</v>
      </c>
      <c r="C4323">
        <v>18.309999999999999</v>
      </c>
      <c r="D4323" t="s">
        <v>218</v>
      </c>
      <c r="E4323" s="97">
        <v>-6.7000000000000002E-3</v>
      </c>
    </row>
    <row r="4324" spans="1:5" ht="15">
      <c r="A4324" s="98">
        <v>678</v>
      </c>
      <c r="B4324">
        <v>21.77</v>
      </c>
      <c r="C4324">
        <v>18.95</v>
      </c>
      <c r="D4324" t="s">
        <v>218</v>
      </c>
      <c r="E4324" s="97">
        <v>-4.3299999999999998E-2</v>
      </c>
    </row>
    <row r="4325" spans="1:5" ht="15">
      <c r="A4325" s="98">
        <v>677</v>
      </c>
      <c r="B4325">
        <v>21.06</v>
      </c>
      <c r="C4325">
        <v>19.149999999999999</v>
      </c>
      <c r="D4325" t="s">
        <v>218</v>
      </c>
      <c r="E4325" s="97">
        <v>-0.1663</v>
      </c>
    </row>
    <row r="4326" spans="1:5" ht="15">
      <c r="A4326" s="98">
        <v>676</v>
      </c>
      <c r="B4326">
        <v>20.96</v>
      </c>
      <c r="C4326">
        <v>19.41</v>
      </c>
      <c r="D4326" t="s">
        <v>218</v>
      </c>
      <c r="E4326" s="97">
        <v>0.1003</v>
      </c>
    </row>
    <row r="4327" spans="1:5" ht="15">
      <c r="A4327" s="98">
        <v>675</v>
      </c>
      <c r="B4327">
        <v>22.25</v>
      </c>
      <c r="C4327">
        <v>20.34</v>
      </c>
      <c r="D4327" t="s">
        <v>218</v>
      </c>
      <c r="E4327" s="97">
        <v>9.1999999999999998E-3</v>
      </c>
    </row>
    <row r="4328" spans="1:5" ht="15">
      <c r="A4328" s="98">
        <v>674</v>
      </c>
      <c r="B4328">
        <v>21.75</v>
      </c>
      <c r="C4328">
        <v>19.97</v>
      </c>
      <c r="D4328" t="s">
        <v>218</v>
      </c>
      <c r="E4328" s="97">
        <v>8.5800000000000001E-2</v>
      </c>
    </row>
    <row r="4329" spans="1:5" ht="15">
      <c r="A4329" s="98">
        <v>673</v>
      </c>
      <c r="B4329">
        <v>22.74</v>
      </c>
      <c r="C4329">
        <v>20.92</v>
      </c>
      <c r="D4329" t="s">
        <v>218</v>
      </c>
      <c r="E4329" s="97">
        <v>4.87E-2</v>
      </c>
    </row>
    <row r="4330" spans="1:5" ht="15">
      <c r="A4330" s="98">
        <v>672</v>
      </c>
      <c r="B4330">
        <v>25.72</v>
      </c>
      <c r="C4330">
        <v>23.31</v>
      </c>
      <c r="D4330" t="s">
        <v>218</v>
      </c>
      <c r="E4330" s="97">
        <v>7.4200000000000002E-2</v>
      </c>
    </row>
    <row r="4331" spans="1:5" ht="15">
      <c r="A4331" s="98">
        <v>671</v>
      </c>
      <c r="B4331">
        <v>31.28</v>
      </c>
      <c r="C4331">
        <v>24.04</v>
      </c>
      <c r="D4331" t="s">
        <v>218</v>
      </c>
      <c r="E4331" s="97">
        <v>-6.9999999999999999E-4</v>
      </c>
    </row>
    <row r="4332" spans="1:5" ht="15">
      <c r="A4332" s="98">
        <v>670</v>
      </c>
      <c r="B4332">
        <v>27.54</v>
      </c>
      <c r="C4332">
        <v>25.44</v>
      </c>
      <c r="D4332" t="s">
        <v>218</v>
      </c>
      <c r="E4332" s="97">
        <v>-1.7600000000000001E-2</v>
      </c>
    </row>
    <row r="4333" spans="1:5" ht="15">
      <c r="A4333" s="98">
        <v>669</v>
      </c>
      <c r="B4333">
        <v>24.85</v>
      </c>
      <c r="C4333">
        <v>23.09</v>
      </c>
      <c r="D4333" t="s">
        <v>218</v>
      </c>
      <c r="E4333" s="97">
        <v>8.4599999999999995E-2</v>
      </c>
    </row>
    <row r="4334" spans="1:5" ht="15">
      <c r="A4334" s="98">
        <v>668</v>
      </c>
      <c r="B4334">
        <v>22.16</v>
      </c>
      <c r="C4334">
        <v>20.22</v>
      </c>
      <c r="D4334" t="s">
        <v>218</v>
      </c>
      <c r="E4334" s="97">
        <v>3.4299999999999997E-2</v>
      </c>
    </row>
    <row r="4335" spans="1:5" ht="15">
      <c r="A4335" s="98">
        <v>667</v>
      </c>
      <c r="B4335">
        <v>20.59</v>
      </c>
      <c r="C4335">
        <v>19.97</v>
      </c>
      <c r="D4335" t="s">
        <v>218</v>
      </c>
      <c r="E4335" s="97">
        <v>-5.5800000000000002E-2</v>
      </c>
    </row>
    <row r="4336" spans="1:5" ht="15">
      <c r="A4336" s="98">
        <v>666</v>
      </c>
      <c r="B4336">
        <v>21.05</v>
      </c>
      <c r="C4336">
        <v>18.190000000000001</v>
      </c>
      <c r="D4336" t="s">
        <v>218</v>
      </c>
      <c r="E4336" s="97">
        <v>-1.43E-2</v>
      </c>
    </row>
    <row r="4337" spans="1:5" ht="15">
      <c r="A4337" s="98">
        <v>665</v>
      </c>
      <c r="B4337">
        <v>18.989999999999998</v>
      </c>
      <c r="C4337">
        <v>17.87</v>
      </c>
      <c r="D4337" t="s">
        <v>218</v>
      </c>
      <c r="E4337" s="97">
        <v>-3.5400000000000001E-2</v>
      </c>
    </row>
    <row r="4338" spans="1:5" ht="15">
      <c r="A4338" s="98">
        <v>664</v>
      </c>
      <c r="B4338">
        <v>18.079999999999998</v>
      </c>
      <c r="C4338">
        <v>17.07</v>
      </c>
      <c r="D4338" t="s">
        <v>218</v>
      </c>
      <c r="E4338" s="97">
        <v>3.1099999999999999E-2</v>
      </c>
    </row>
    <row r="4339" spans="1:5" ht="15">
      <c r="A4339" s="98">
        <v>663</v>
      </c>
      <c r="B4339">
        <v>19.440000000000001</v>
      </c>
      <c r="C4339">
        <v>17.96</v>
      </c>
      <c r="D4339" t="s">
        <v>218</v>
      </c>
      <c r="E4339" s="97">
        <v>-4.2000000000000003E-2</v>
      </c>
    </row>
    <row r="4340" spans="1:5" ht="15">
      <c r="A4340" s="98">
        <v>662</v>
      </c>
      <c r="B4340">
        <v>19.78</v>
      </c>
      <c r="C4340">
        <v>18</v>
      </c>
      <c r="D4340" t="s">
        <v>218</v>
      </c>
      <c r="E4340" s="97">
        <v>-3.1300000000000001E-2</v>
      </c>
    </row>
    <row r="4341" spans="1:5" ht="15">
      <c r="A4341" s="98">
        <v>661</v>
      </c>
      <c r="B4341">
        <v>17.89</v>
      </c>
      <c r="C4341">
        <v>17.25</v>
      </c>
      <c r="D4341" t="s">
        <v>218</v>
      </c>
      <c r="E4341" s="97">
        <v>-2.7400000000000001E-2</v>
      </c>
    </row>
    <row r="4342" spans="1:5" ht="15">
      <c r="A4342" s="98">
        <v>660</v>
      </c>
      <c r="B4342">
        <v>17.95</v>
      </c>
      <c r="C4342">
        <v>17.41</v>
      </c>
      <c r="D4342" t="s">
        <v>218</v>
      </c>
      <c r="E4342" s="97">
        <v>5.3900000000000003E-2</v>
      </c>
    </row>
    <row r="4343" spans="1:5" ht="15">
      <c r="A4343" s="98">
        <v>659</v>
      </c>
      <c r="B4343">
        <v>17.62</v>
      </c>
      <c r="C4343">
        <v>16.440000000000001</v>
      </c>
      <c r="D4343" t="s">
        <v>218</v>
      </c>
      <c r="E4343" s="97">
        <v>-1.2699999999999999E-2</v>
      </c>
    </row>
    <row r="4344" spans="1:5" ht="15">
      <c r="A4344" s="98">
        <v>658</v>
      </c>
      <c r="B4344">
        <v>17.850000000000001</v>
      </c>
      <c r="C4344">
        <v>17.39</v>
      </c>
      <c r="D4344" t="s">
        <v>218</v>
      </c>
      <c r="E4344" s="97">
        <v>-1.6799999999999999E-2</v>
      </c>
    </row>
    <row r="4345" spans="1:5" ht="15">
      <c r="A4345" s="98">
        <v>657</v>
      </c>
      <c r="B4345">
        <v>17.87</v>
      </c>
      <c r="C4345">
        <v>16.5</v>
      </c>
      <c r="D4345" t="s">
        <v>218</v>
      </c>
      <c r="E4345" s="97">
        <v>-1.23E-2</v>
      </c>
    </row>
    <row r="4346" spans="1:5" ht="15">
      <c r="A4346" s="98">
        <v>656</v>
      </c>
      <c r="B4346">
        <v>17.149999999999999</v>
      </c>
      <c r="C4346">
        <v>16.5</v>
      </c>
      <c r="D4346" t="s">
        <v>218</v>
      </c>
      <c r="E4346" s="97">
        <v>-4.0800000000000003E-2</v>
      </c>
    </row>
    <row r="4347" spans="1:5" ht="15">
      <c r="A4347" s="98">
        <v>655</v>
      </c>
      <c r="B4347">
        <v>17.77</v>
      </c>
      <c r="C4347">
        <v>16.489999999999998</v>
      </c>
      <c r="D4347" t="s">
        <v>218</v>
      </c>
      <c r="E4347" s="97">
        <v>-2.4799999999999999E-2</v>
      </c>
    </row>
    <row r="4348" spans="1:5" ht="15">
      <c r="A4348" s="98">
        <v>654</v>
      </c>
      <c r="B4348">
        <v>18.329999999999998</v>
      </c>
      <c r="C4348">
        <v>16.510000000000002</v>
      </c>
      <c r="D4348" t="s">
        <v>218</v>
      </c>
      <c r="E4348" s="97">
        <v>7.2300000000000003E-2</v>
      </c>
    </row>
    <row r="4349" spans="1:5" ht="15">
      <c r="A4349" s="98">
        <v>653</v>
      </c>
      <c r="B4349">
        <v>17.05</v>
      </c>
      <c r="C4349">
        <v>16.22</v>
      </c>
      <c r="D4349" t="s">
        <v>218</v>
      </c>
      <c r="E4349" s="97">
        <v>-0.13700000000000001</v>
      </c>
    </row>
    <row r="4350" spans="1:5" ht="15">
      <c r="A4350" s="98">
        <v>652</v>
      </c>
      <c r="B4350">
        <v>18.46</v>
      </c>
      <c r="C4350">
        <v>16.88</v>
      </c>
      <c r="D4350" t="s">
        <v>218</v>
      </c>
      <c r="E4350" s="97">
        <v>-3.5999999999999997E-2</v>
      </c>
    </row>
    <row r="4351" spans="1:5" ht="15">
      <c r="A4351" s="98">
        <v>651</v>
      </c>
      <c r="B4351">
        <v>17.38</v>
      </c>
      <c r="C4351">
        <v>16.2</v>
      </c>
      <c r="D4351" t="s">
        <v>218</v>
      </c>
      <c r="E4351" s="97">
        <v>-5.21E-2</v>
      </c>
    </row>
    <row r="4352" spans="1:5" ht="15">
      <c r="A4352" s="98">
        <v>650</v>
      </c>
      <c r="B4352">
        <v>18.079999999999998</v>
      </c>
      <c r="C4352">
        <v>16.079999999999998</v>
      </c>
      <c r="D4352" t="s">
        <v>218</v>
      </c>
      <c r="E4352" s="97">
        <v>2.1899999999999999E-2</v>
      </c>
    </row>
    <row r="4353" spans="1:5" ht="15">
      <c r="A4353" s="98">
        <v>649</v>
      </c>
      <c r="B4353">
        <v>15.98</v>
      </c>
      <c r="C4353">
        <v>14.92</v>
      </c>
      <c r="D4353" t="s">
        <v>218</v>
      </c>
      <c r="E4353" s="97">
        <v>0.15129999999999999</v>
      </c>
    </row>
    <row r="4354" spans="1:5" ht="15">
      <c r="A4354" s="98">
        <v>648</v>
      </c>
      <c r="B4354">
        <v>19.07</v>
      </c>
      <c r="C4354">
        <v>16.809999999999999</v>
      </c>
      <c r="D4354" t="s">
        <v>218</v>
      </c>
      <c r="E4354" s="97">
        <v>-0.10009999999999999</v>
      </c>
    </row>
    <row r="4355" spans="1:5" ht="15">
      <c r="A4355" s="98">
        <v>647</v>
      </c>
      <c r="B4355">
        <v>16.72</v>
      </c>
      <c r="C4355">
        <v>15.69</v>
      </c>
      <c r="D4355" t="s">
        <v>218</v>
      </c>
      <c r="E4355" s="97">
        <v>-9.5600000000000004E-2</v>
      </c>
    </row>
    <row r="4356" spans="1:5" ht="15">
      <c r="A4356" s="98">
        <v>646</v>
      </c>
      <c r="B4356">
        <v>15.39</v>
      </c>
      <c r="C4356">
        <v>14.3</v>
      </c>
      <c r="D4356" t="s">
        <v>218</v>
      </c>
      <c r="E4356" s="97">
        <v>-5.1000000000000004E-3</v>
      </c>
    </row>
    <row r="4357" spans="1:5" ht="15">
      <c r="A4357" s="98">
        <v>645</v>
      </c>
      <c r="B4357">
        <v>15.23</v>
      </c>
      <c r="C4357">
        <v>14.4</v>
      </c>
      <c r="D4357" t="s">
        <v>218</v>
      </c>
      <c r="E4357" s="97">
        <v>5.5899999999999998E-2</v>
      </c>
    </row>
    <row r="4358" spans="1:5" ht="15">
      <c r="A4358" s="98">
        <v>644</v>
      </c>
      <c r="B4358">
        <v>16.059999999999999</v>
      </c>
      <c r="C4358">
        <v>15.5</v>
      </c>
      <c r="D4358" t="s">
        <v>218</v>
      </c>
      <c r="E4358" s="97">
        <v>0.1825</v>
      </c>
    </row>
    <row r="4359" spans="1:5" ht="15">
      <c r="A4359" s="98">
        <v>643</v>
      </c>
      <c r="B4359">
        <v>15.66</v>
      </c>
      <c r="C4359">
        <v>15.07</v>
      </c>
      <c r="D4359" t="s">
        <v>218</v>
      </c>
      <c r="E4359" s="97">
        <v>-3.7400000000000003E-2</v>
      </c>
    </row>
    <row r="4360" spans="1:5" ht="15">
      <c r="A4360" s="98">
        <v>642</v>
      </c>
      <c r="B4360">
        <v>16.420000000000002</v>
      </c>
      <c r="C4360">
        <v>15.13</v>
      </c>
      <c r="D4360" t="s">
        <v>218</v>
      </c>
      <c r="E4360" s="97">
        <v>-6.7100000000000007E-2</v>
      </c>
    </row>
    <row r="4361" spans="1:5" ht="15">
      <c r="A4361" s="98">
        <v>641</v>
      </c>
      <c r="B4361">
        <v>15.54</v>
      </c>
      <c r="C4361">
        <v>14.27</v>
      </c>
      <c r="D4361" t="s">
        <v>218</v>
      </c>
      <c r="E4361" s="97">
        <v>-4.3799999999999999E-2</v>
      </c>
    </row>
    <row r="4362" spans="1:5" ht="15">
      <c r="A4362" s="98">
        <v>640</v>
      </c>
      <c r="B4362">
        <v>14.99</v>
      </c>
      <c r="C4362">
        <v>14.49</v>
      </c>
      <c r="D4362" t="s">
        <v>218</v>
      </c>
      <c r="E4362" s="97">
        <v>-5.0000000000000001E-4</v>
      </c>
    </row>
    <row r="4363" spans="1:5" ht="15">
      <c r="A4363" s="98">
        <v>639</v>
      </c>
      <c r="B4363">
        <v>16.13</v>
      </c>
      <c r="C4363">
        <v>15.07</v>
      </c>
      <c r="D4363" t="s">
        <v>218</v>
      </c>
      <c r="E4363" s="97">
        <v>0.1767</v>
      </c>
    </row>
    <row r="4364" spans="1:5" ht="15">
      <c r="A4364" s="98">
        <v>638</v>
      </c>
      <c r="B4364">
        <v>17.29</v>
      </c>
      <c r="C4364">
        <v>16.13</v>
      </c>
      <c r="D4364" t="s">
        <v>218</v>
      </c>
      <c r="E4364" s="97">
        <v>-4.0399999999999998E-2</v>
      </c>
    </row>
    <row r="4365" spans="1:5" ht="15">
      <c r="A4365" s="98">
        <v>637</v>
      </c>
      <c r="B4365">
        <v>17.72</v>
      </c>
      <c r="C4365">
        <v>16.829999999999998</v>
      </c>
      <c r="D4365" t="s">
        <v>218</v>
      </c>
      <c r="E4365" s="97">
        <v>0.14829999999999999</v>
      </c>
    </row>
    <row r="4366" spans="1:5" ht="15">
      <c r="A4366" s="98">
        <v>636</v>
      </c>
      <c r="B4366">
        <v>19.11</v>
      </c>
      <c r="C4366">
        <v>16.739999999999998</v>
      </c>
      <c r="D4366" t="s">
        <v>218</v>
      </c>
      <c r="E4366" s="97">
        <v>1.2999999999999999E-3</v>
      </c>
    </row>
    <row r="4367" spans="1:5" ht="15">
      <c r="A4367" s="98">
        <v>635</v>
      </c>
      <c r="B4367">
        <v>19.29</v>
      </c>
      <c r="C4367">
        <v>16.12</v>
      </c>
      <c r="D4367" t="s">
        <v>218</v>
      </c>
      <c r="E4367" s="97">
        <v>-5.6599999999999998E-2</v>
      </c>
    </row>
    <row r="4368" spans="1:5" ht="15">
      <c r="A4368" s="98">
        <v>634</v>
      </c>
      <c r="B4368">
        <v>18.59</v>
      </c>
      <c r="C4368">
        <v>17.04</v>
      </c>
      <c r="D4368" t="s">
        <v>218</v>
      </c>
      <c r="E4368" s="97">
        <v>2.0500000000000001E-2</v>
      </c>
    </row>
    <row r="4369" spans="1:5" ht="15">
      <c r="A4369" s="98">
        <v>633</v>
      </c>
      <c r="B4369">
        <v>16.899999999999999</v>
      </c>
      <c r="C4369">
        <v>15.79</v>
      </c>
      <c r="D4369" t="s">
        <v>218</v>
      </c>
      <c r="E4369" s="97">
        <v>0.1323</v>
      </c>
    </row>
    <row r="4370" spans="1:5" ht="15">
      <c r="A4370" s="98">
        <v>632</v>
      </c>
      <c r="B4370">
        <v>17.489999999999998</v>
      </c>
      <c r="C4370">
        <v>16.23</v>
      </c>
      <c r="D4370" t="s">
        <v>218</v>
      </c>
      <c r="E4370" s="97">
        <v>1.4E-3</v>
      </c>
    </row>
    <row r="4371" spans="1:5" ht="15">
      <c r="A4371" s="98">
        <v>631</v>
      </c>
      <c r="B4371">
        <v>17.89</v>
      </c>
      <c r="C4371">
        <v>16.03</v>
      </c>
      <c r="D4371" t="s">
        <v>218</v>
      </c>
      <c r="E4371" s="97">
        <v>2.98E-2</v>
      </c>
    </row>
    <row r="4372" spans="1:5" ht="15">
      <c r="A4372" s="98">
        <v>630</v>
      </c>
      <c r="B4372">
        <v>17.559999999999999</v>
      </c>
      <c r="C4372">
        <v>15.98</v>
      </c>
      <c r="D4372" t="s">
        <v>218</v>
      </c>
      <c r="E4372" s="97">
        <v>7.3000000000000001E-3</v>
      </c>
    </row>
    <row r="4373" spans="1:5" ht="15">
      <c r="A4373" s="98">
        <v>629</v>
      </c>
      <c r="B4373">
        <v>18.25</v>
      </c>
      <c r="C4373">
        <v>16.61</v>
      </c>
      <c r="D4373" t="s">
        <v>218</v>
      </c>
      <c r="E4373" s="97">
        <v>-3.5900000000000001E-2</v>
      </c>
    </row>
    <row r="4374" spans="1:5" ht="15">
      <c r="A4374" s="98">
        <v>628</v>
      </c>
      <c r="B4374">
        <v>19.09</v>
      </c>
      <c r="C4374">
        <v>17.47</v>
      </c>
      <c r="D4374" t="s">
        <v>218</v>
      </c>
      <c r="E4374" s="97">
        <v>-6.83E-2</v>
      </c>
    </row>
    <row r="4375" spans="1:5" ht="15">
      <c r="A4375" s="98">
        <v>627</v>
      </c>
      <c r="B4375">
        <v>17.68</v>
      </c>
      <c r="C4375">
        <v>16.03</v>
      </c>
      <c r="D4375" t="s">
        <v>218</v>
      </c>
      <c r="E4375" s="97">
        <v>-1.2999999999999999E-2</v>
      </c>
    </row>
    <row r="4376" spans="1:5" ht="15">
      <c r="A4376" s="98">
        <v>626</v>
      </c>
      <c r="B4376">
        <v>16.559999999999999</v>
      </c>
      <c r="C4376">
        <v>15.5</v>
      </c>
      <c r="D4376" t="s">
        <v>218</v>
      </c>
      <c r="E4376" s="97">
        <v>-3.0200000000000001E-2</v>
      </c>
    </row>
    <row r="4377" spans="1:5" ht="15">
      <c r="A4377" s="98">
        <v>625</v>
      </c>
      <c r="B4377">
        <v>17.43</v>
      </c>
      <c r="C4377">
        <v>15.7</v>
      </c>
      <c r="D4377" t="s">
        <v>218</v>
      </c>
      <c r="E4377" s="97">
        <v>7.0000000000000001E-3</v>
      </c>
    </row>
    <row r="4378" spans="1:5" ht="15">
      <c r="A4378" s="98">
        <v>624</v>
      </c>
      <c r="B4378">
        <v>20.03</v>
      </c>
      <c r="C4378">
        <v>17.47</v>
      </c>
      <c r="D4378" t="s">
        <v>218</v>
      </c>
      <c r="E4378" s="97">
        <v>-6.8900000000000003E-2</v>
      </c>
    </row>
    <row r="4379" spans="1:5" ht="15">
      <c r="A4379" s="98">
        <v>623</v>
      </c>
      <c r="B4379">
        <v>18.190000000000001</v>
      </c>
      <c r="C4379">
        <v>17</v>
      </c>
      <c r="D4379" t="s">
        <v>218</v>
      </c>
      <c r="E4379" s="97">
        <v>-3.2500000000000001E-2</v>
      </c>
    </row>
    <row r="4380" spans="1:5" ht="15">
      <c r="A4380" s="98">
        <v>622</v>
      </c>
      <c r="B4380">
        <v>18.260000000000002</v>
      </c>
      <c r="C4380">
        <v>16.7</v>
      </c>
      <c r="D4380" t="s">
        <v>218</v>
      </c>
      <c r="E4380" s="97">
        <v>5.1999999999999998E-3</v>
      </c>
    </row>
    <row r="4381" spans="1:5" ht="15">
      <c r="A4381" s="98">
        <v>621</v>
      </c>
      <c r="B4381">
        <v>17.46</v>
      </c>
      <c r="C4381">
        <v>15.9</v>
      </c>
      <c r="D4381" t="s">
        <v>218</v>
      </c>
      <c r="E4381" s="97">
        <v>-5.9999999999999995E-4</v>
      </c>
    </row>
    <row r="4382" spans="1:5" ht="15">
      <c r="A4382" s="98">
        <v>620</v>
      </c>
      <c r="B4382">
        <v>16.27</v>
      </c>
      <c r="C4382">
        <v>15.36</v>
      </c>
      <c r="D4382" t="s">
        <v>218</v>
      </c>
      <c r="E4382" s="97">
        <v>-6.3299999999999995E-2</v>
      </c>
    </row>
    <row r="4383" spans="1:5" ht="15">
      <c r="A4383" s="98">
        <v>619</v>
      </c>
      <c r="B4383">
        <v>16.5</v>
      </c>
      <c r="C4383">
        <v>15.15</v>
      </c>
      <c r="D4383" t="s">
        <v>218</v>
      </c>
      <c r="E4383" s="97">
        <v>8.8800000000000004E-2</v>
      </c>
    </row>
    <row r="4384" spans="1:5" ht="15">
      <c r="A4384" s="98">
        <v>618</v>
      </c>
      <c r="B4384">
        <v>18.48</v>
      </c>
      <c r="C4384">
        <v>15.95</v>
      </c>
      <c r="D4384" t="s">
        <v>218</v>
      </c>
      <c r="E4384" s="97">
        <v>7.1000000000000004E-3</v>
      </c>
    </row>
    <row r="4385" spans="1:5" ht="15">
      <c r="A4385" s="98">
        <v>617</v>
      </c>
      <c r="B4385">
        <v>18.72</v>
      </c>
      <c r="C4385">
        <v>17.39</v>
      </c>
      <c r="D4385" t="s">
        <v>218</v>
      </c>
      <c r="E4385" s="97">
        <v>1.9199999999999998E-2</v>
      </c>
    </row>
    <row r="4386" spans="1:5" ht="15">
      <c r="A4386" s="98">
        <v>616</v>
      </c>
      <c r="B4386">
        <v>19.87</v>
      </c>
      <c r="C4386">
        <v>17.12</v>
      </c>
      <c r="D4386" t="s">
        <v>218</v>
      </c>
      <c r="E4386" s="97">
        <v>-6.0000000000000001E-3</v>
      </c>
    </row>
    <row r="4387" spans="1:5" ht="15">
      <c r="A4387" s="98">
        <v>615</v>
      </c>
      <c r="B4387">
        <v>18.649999999999999</v>
      </c>
      <c r="C4387">
        <v>17.649999999999999</v>
      </c>
      <c r="D4387" t="s">
        <v>218</v>
      </c>
      <c r="E4387" s="97">
        <v>4.2200000000000001E-2</v>
      </c>
    </row>
    <row r="4388" spans="1:5" ht="15">
      <c r="A4388" s="98">
        <v>614</v>
      </c>
      <c r="B4388">
        <v>18.48</v>
      </c>
      <c r="C4388">
        <v>17.39</v>
      </c>
      <c r="D4388" t="s">
        <v>218</v>
      </c>
      <c r="E4388" s="97">
        <v>-4.3900000000000002E-2</v>
      </c>
    </row>
    <row r="4389" spans="1:5" ht="15">
      <c r="A4389" s="98">
        <v>613</v>
      </c>
      <c r="B4389">
        <v>18.829999999999998</v>
      </c>
      <c r="C4389">
        <v>17.72</v>
      </c>
      <c r="D4389" t="s">
        <v>218</v>
      </c>
      <c r="E4389" s="97">
        <v>4.99E-2</v>
      </c>
    </row>
    <row r="4390" spans="1:5" ht="15">
      <c r="A4390" s="98">
        <v>612</v>
      </c>
      <c r="B4390">
        <v>18.309999999999999</v>
      </c>
      <c r="C4390">
        <v>17.260000000000002</v>
      </c>
      <c r="D4390" t="s">
        <v>218</v>
      </c>
      <c r="E4390" s="97">
        <v>-8.6999999999999994E-3</v>
      </c>
    </row>
    <row r="4391" spans="1:5" ht="15">
      <c r="A4391" s="98">
        <v>611</v>
      </c>
      <c r="B4391">
        <v>19.16</v>
      </c>
      <c r="C4391">
        <v>17.93</v>
      </c>
      <c r="D4391" t="s">
        <v>218</v>
      </c>
      <c r="E4391" s="97">
        <v>-4.0300000000000002E-2</v>
      </c>
    </row>
    <row r="4392" spans="1:5" ht="15">
      <c r="A4392" s="98">
        <v>610</v>
      </c>
      <c r="B4392">
        <v>20.02</v>
      </c>
      <c r="C4392">
        <v>18.41</v>
      </c>
      <c r="D4392" t="s">
        <v>218</v>
      </c>
      <c r="E4392" s="97">
        <v>4.9200000000000001E-2</v>
      </c>
    </row>
    <row r="4393" spans="1:5" ht="15">
      <c r="A4393" s="98">
        <v>609</v>
      </c>
      <c r="B4393">
        <v>18.559999999999999</v>
      </c>
      <c r="C4393">
        <v>17.8</v>
      </c>
      <c r="D4393" t="s">
        <v>218</v>
      </c>
      <c r="E4393" s="97">
        <v>3.0999999999999999E-3</v>
      </c>
    </row>
    <row r="4394" spans="1:5" ht="15">
      <c r="A4394" s="98">
        <v>608</v>
      </c>
      <c r="B4394">
        <v>21.66</v>
      </c>
      <c r="C4394">
        <v>19.03</v>
      </c>
      <c r="D4394" t="s">
        <v>218</v>
      </c>
      <c r="E4394" s="97">
        <v>-6.59E-2</v>
      </c>
    </row>
    <row r="4395" spans="1:5" ht="15">
      <c r="A4395" s="98">
        <v>607</v>
      </c>
      <c r="B4395">
        <v>24.65</v>
      </c>
      <c r="C4395">
        <v>20.81</v>
      </c>
      <c r="D4395" t="s">
        <v>218</v>
      </c>
      <c r="E4395" s="97">
        <v>1.3599999999999999E-2</v>
      </c>
    </row>
    <row r="4396" spans="1:5" ht="15">
      <c r="A4396" s="98">
        <v>606</v>
      </c>
      <c r="B4396">
        <v>22.39</v>
      </c>
      <c r="C4396">
        <v>20.350000000000001</v>
      </c>
      <c r="D4396" t="s">
        <v>218</v>
      </c>
      <c r="E4396" s="97">
        <v>8.8800000000000004E-2</v>
      </c>
    </row>
    <row r="4397" spans="1:5" ht="15">
      <c r="A4397" s="98">
        <v>605</v>
      </c>
      <c r="B4397">
        <v>23.08</v>
      </c>
      <c r="C4397">
        <v>19.989999999999998</v>
      </c>
      <c r="D4397" t="s">
        <v>218</v>
      </c>
      <c r="E4397" s="97">
        <v>-3.9E-2</v>
      </c>
    </row>
    <row r="4398" spans="1:5" ht="15">
      <c r="A4398" s="98">
        <v>604</v>
      </c>
      <c r="B4398">
        <v>19.46</v>
      </c>
      <c r="C4398">
        <v>17.72</v>
      </c>
      <c r="D4398" t="s">
        <v>218</v>
      </c>
      <c r="E4398" s="97">
        <v>4.3200000000000002E-2</v>
      </c>
    </row>
    <row r="4399" spans="1:5" ht="15">
      <c r="A4399" s="98">
        <v>603</v>
      </c>
      <c r="B4399">
        <v>18.899999999999999</v>
      </c>
      <c r="C4399">
        <v>17.72</v>
      </c>
      <c r="D4399" t="s">
        <v>218</v>
      </c>
      <c r="E4399" s="97">
        <v>-3.1300000000000001E-2</v>
      </c>
    </row>
    <row r="4400" spans="1:5" ht="15">
      <c r="A4400" s="98">
        <v>602</v>
      </c>
      <c r="B4400">
        <v>21.5</v>
      </c>
      <c r="C4400">
        <v>19.22</v>
      </c>
      <c r="D4400" t="s">
        <v>218</v>
      </c>
      <c r="E4400" s="97">
        <v>1.2699999999999999E-2</v>
      </c>
    </row>
    <row r="4401" spans="1:5" ht="15">
      <c r="A4401" s="98">
        <v>601</v>
      </c>
      <c r="B4401">
        <v>21.28</v>
      </c>
      <c r="C4401">
        <v>19.100000000000001</v>
      </c>
      <c r="D4401" t="s">
        <v>218</v>
      </c>
      <c r="E4401" s="97">
        <v>4.4299999999999999E-2</v>
      </c>
    </row>
    <row r="4402" spans="1:5" ht="15">
      <c r="A4402" s="98">
        <v>600</v>
      </c>
      <c r="B4402">
        <v>21.82</v>
      </c>
      <c r="C4402">
        <v>20.27</v>
      </c>
      <c r="D4402" t="s">
        <v>218</v>
      </c>
      <c r="E4402" s="97">
        <v>-3.6900000000000002E-2</v>
      </c>
    </row>
    <row r="4403" spans="1:5" ht="15">
      <c r="A4403" s="98">
        <v>599</v>
      </c>
      <c r="B4403">
        <v>20.45</v>
      </c>
      <c r="C4403">
        <v>19.170000000000002</v>
      </c>
      <c r="D4403" t="s">
        <v>218</v>
      </c>
      <c r="E4403" s="97">
        <v>7.7000000000000002E-3</v>
      </c>
    </row>
    <row r="4404" spans="1:5" ht="15">
      <c r="A4404" s="98">
        <v>598</v>
      </c>
      <c r="B4404">
        <v>18.829999999999998</v>
      </c>
      <c r="C4404">
        <v>16.32</v>
      </c>
      <c r="D4404" t="s">
        <v>218</v>
      </c>
      <c r="E4404" s="97">
        <v>4.6300000000000001E-2</v>
      </c>
    </row>
    <row r="4405" spans="1:5" ht="15">
      <c r="A4405" s="98">
        <v>597</v>
      </c>
      <c r="B4405">
        <v>16.77</v>
      </c>
      <c r="C4405">
        <v>15.88</v>
      </c>
      <c r="D4405" t="s">
        <v>218</v>
      </c>
      <c r="E4405" s="97">
        <v>-1.72E-2</v>
      </c>
    </row>
    <row r="4406" spans="1:5" ht="15">
      <c r="A4406" s="98">
        <v>596</v>
      </c>
      <c r="B4406">
        <v>16.29</v>
      </c>
      <c r="C4406">
        <v>15.12</v>
      </c>
      <c r="D4406" t="s">
        <v>218</v>
      </c>
      <c r="E4406" s="97">
        <v>-2.8799999999999999E-2</v>
      </c>
    </row>
    <row r="4407" spans="1:5" ht="15">
      <c r="A4407" s="98">
        <v>595</v>
      </c>
      <c r="B4407">
        <v>16.5</v>
      </c>
      <c r="C4407">
        <v>15.89</v>
      </c>
      <c r="D4407" t="s">
        <v>218</v>
      </c>
      <c r="E4407" s="97">
        <v>-8.1199999999999994E-2</v>
      </c>
    </row>
    <row r="4408" spans="1:5" ht="15">
      <c r="A4408" s="98">
        <v>594</v>
      </c>
      <c r="B4408">
        <v>17.079999999999998</v>
      </c>
      <c r="C4408">
        <v>16.32</v>
      </c>
      <c r="D4408" t="s">
        <v>218</v>
      </c>
      <c r="E4408" s="97">
        <v>7.6700000000000004E-2</v>
      </c>
    </row>
    <row r="4409" spans="1:5" ht="15">
      <c r="A4409" s="98">
        <v>593</v>
      </c>
      <c r="B4409">
        <v>16.13</v>
      </c>
      <c r="C4409">
        <v>15.3</v>
      </c>
      <c r="D4409" t="s">
        <v>218</v>
      </c>
      <c r="E4409" s="97">
        <v>-6.4600000000000005E-2</v>
      </c>
    </row>
    <row r="4410" spans="1:5" ht="15">
      <c r="A4410" s="98">
        <v>592</v>
      </c>
      <c r="B4410">
        <v>17.14</v>
      </c>
      <c r="C4410">
        <v>15.95</v>
      </c>
      <c r="D4410" t="s">
        <v>218</v>
      </c>
      <c r="E4410" s="97">
        <v>-3.0000000000000001E-3</v>
      </c>
    </row>
    <row r="4411" spans="1:5" ht="15">
      <c r="A4411" s="98">
        <v>591</v>
      </c>
      <c r="B4411">
        <v>19.059999999999999</v>
      </c>
      <c r="C4411">
        <v>17.16</v>
      </c>
      <c r="D4411" t="s">
        <v>218</v>
      </c>
      <c r="E4411" s="97">
        <v>1.32E-2</v>
      </c>
    </row>
    <row r="4412" spans="1:5" ht="15">
      <c r="A4412" s="98">
        <v>590</v>
      </c>
      <c r="B4412">
        <v>20.13</v>
      </c>
      <c r="C4412">
        <v>18.25</v>
      </c>
      <c r="D4412" t="s">
        <v>218</v>
      </c>
      <c r="E4412" s="97">
        <v>-0.1031</v>
      </c>
    </row>
    <row r="4413" spans="1:5" ht="15">
      <c r="A4413" s="98">
        <v>589</v>
      </c>
      <c r="B4413">
        <v>20.16</v>
      </c>
      <c r="C4413">
        <v>18.09</v>
      </c>
      <c r="D4413" t="s">
        <v>218</v>
      </c>
      <c r="E4413" s="97">
        <v>0.15870000000000001</v>
      </c>
    </row>
    <row r="4414" spans="1:5" ht="15">
      <c r="A4414" s="98">
        <v>588</v>
      </c>
      <c r="B4414">
        <v>21.58</v>
      </c>
      <c r="C4414">
        <v>19.350000000000001</v>
      </c>
      <c r="D4414" t="s">
        <v>218</v>
      </c>
      <c r="E4414" s="97">
        <v>1.52E-2</v>
      </c>
    </row>
    <row r="4415" spans="1:5" ht="15">
      <c r="A4415" s="98">
        <v>587</v>
      </c>
      <c r="B4415">
        <v>21.68</v>
      </c>
      <c r="C4415">
        <v>19.52</v>
      </c>
      <c r="D4415" t="s">
        <v>218</v>
      </c>
      <c r="E4415" s="97">
        <v>2.46E-2</v>
      </c>
    </row>
    <row r="4416" spans="1:5" ht="15">
      <c r="A4416" s="98">
        <v>586</v>
      </c>
      <c r="B4416">
        <v>21.93</v>
      </c>
      <c r="C4416">
        <v>20.9</v>
      </c>
      <c r="D4416" t="s">
        <v>218</v>
      </c>
      <c r="E4416" s="97">
        <v>4.7500000000000001E-2</v>
      </c>
    </row>
    <row r="4417" spans="1:5" ht="15">
      <c r="A4417" s="98">
        <v>585</v>
      </c>
      <c r="B4417">
        <v>20.43</v>
      </c>
      <c r="C4417">
        <v>19.12</v>
      </c>
      <c r="D4417" t="s">
        <v>218</v>
      </c>
      <c r="E4417" s="97">
        <v>2E-3</v>
      </c>
    </row>
    <row r="4418" spans="1:5" ht="15">
      <c r="A4418" s="98">
        <v>584</v>
      </c>
      <c r="B4418">
        <v>19.649999999999999</v>
      </c>
      <c r="C4418">
        <v>18.61</v>
      </c>
      <c r="D4418" t="s">
        <v>218</v>
      </c>
      <c r="E4418" s="97">
        <v>-1.2699999999999999E-2</v>
      </c>
    </row>
    <row r="4419" spans="1:5" ht="15">
      <c r="A4419" s="98">
        <v>583</v>
      </c>
      <c r="B4419">
        <v>18.63</v>
      </c>
      <c r="C4419">
        <v>17.149999999999999</v>
      </c>
      <c r="D4419" t="s">
        <v>218</v>
      </c>
      <c r="E4419" s="97">
        <v>-6.7000000000000002E-3</v>
      </c>
    </row>
    <row r="4420" spans="1:5" ht="15">
      <c r="A4420" s="98">
        <v>582</v>
      </c>
      <c r="B4420">
        <v>17.95</v>
      </c>
      <c r="C4420">
        <v>17.14</v>
      </c>
      <c r="D4420" t="s">
        <v>218</v>
      </c>
      <c r="E4420" s="97">
        <v>-2.41E-2</v>
      </c>
    </row>
    <row r="4421" spans="1:5" ht="15">
      <c r="A4421" s="98">
        <v>581</v>
      </c>
      <c r="B4421">
        <v>19.5</v>
      </c>
      <c r="C4421">
        <v>18.73</v>
      </c>
      <c r="D4421" t="s">
        <v>218</v>
      </c>
      <c r="E4421" s="97">
        <v>1.72E-2</v>
      </c>
    </row>
    <row r="4422" spans="1:5" ht="15">
      <c r="A4422" s="98">
        <v>580</v>
      </c>
      <c r="B4422">
        <v>20.5</v>
      </c>
      <c r="C4422">
        <v>19.559999999999999</v>
      </c>
      <c r="D4422" t="s">
        <v>218</v>
      </c>
      <c r="E4422" s="97">
        <v>-7.8600000000000003E-2</v>
      </c>
    </row>
    <row r="4423" spans="1:5" ht="15">
      <c r="A4423" s="98">
        <v>579</v>
      </c>
      <c r="B4423">
        <v>23.2</v>
      </c>
      <c r="C4423">
        <v>20.87</v>
      </c>
      <c r="D4423" t="s">
        <v>218</v>
      </c>
      <c r="E4423" s="97">
        <v>-3.8699999999999998E-2</v>
      </c>
    </row>
    <row r="4424" spans="1:5" ht="15">
      <c r="A4424" s="98">
        <v>578</v>
      </c>
      <c r="B4424">
        <v>23.99</v>
      </c>
      <c r="C4424">
        <v>21.2</v>
      </c>
      <c r="D4424" t="s">
        <v>218</v>
      </c>
      <c r="E4424" s="97">
        <v>3.7699999999999997E-2</v>
      </c>
    </row>
    <row r="4425" spans="1:5" ht="15">
      <c r="A4425" s="98">
        <v>577</v>
      </c>
      <c r="B4425">
        <v>25.94</v>
      </c>
      <c r="C4425">
        <v>23.65</v>
      </c>
      <c r="D4425" t="s">
        <v>218</v>
      </c>
      <c r="E4425" s="97">
        <v>-2.2599999999999999E-2</v>
      </c>
    </row>
    <row r="4426" spans="1:5" ht="15">
      <c r="A4426" s="98">
        <v>576</v>
      </c>
      <c r="B4426">
        <v>25.63</v>
      </c>
      <c r="C4426">
        <v>22.46</v>
      </c>
      <c r="D4426" t="s">
        <v>218</v>
      </c>
      <c r="E4426" s="97">
        <v>-3.1600000000000003E-2</v>
      </c>
    </row>
    <row r="4427" spans="1:5" ht="15">
      <c r="A4427" s="98">
        <v>575</v>
      </c>
      <c r="B4427">
        <v>24.79</v>
      </c>
      <c r="C4427">
        <v>22.65</v>
      </c>
      <c r="D4427" t="s">
        <v>218</v>
      </c>
      <c r="E4427" s="97">
        <v>-0.11550000000000001</v>
      </c>
    </row>
    <row r="4428" spans="1:5" ht="15">
      <c r="A4428" s="98">
        <v>574</v>
      </c>
      <c r="B4428">
        <v>25.23</v>
      </c>
      <c r="C4428">
        <v>22.76</v>
      </c>
      <c r="D4428" t="s">
        <v>218</v>
      </c>
      <c r="E4428" s="97">
        <v>-2.8199999999999999E-2</v>
      </c>
    </row>
    <row r="4429" spans="1:5" ht="15">
      <c r="A4429" s="98">
        <v>573</v>
      </c>
      <c r="B4429">
        <v>32.07</v>
      </c>
      <c r="C4429">
        <v>24.31</v>
      </c>
      <c r="D4429" t="s">
        <v>218</v>
      </c>
      <c r="E4429" s="97">
        <v>0.16739999999999999</v>
      </c>
    </row>
    <row r="4430" spans="1:5" ht="15">
      <c r="A4430" s="98">
        <v>572</v>
      </c>
      <c r="B4430">
        <v>39.25</v>
      </c>
      <c r="C4430">
        <v>27.54</v>
      </c>
      <c r="D4430" t="s">
        <v>218</v>
      </c>
      <c r="E4430" s="97">
        <v>-7.4800000000000005E-2</v>
      </c>
    </row>
    <row r="4431" spans="1:5" ht="15">
      <c r="A4431" s="98">
        <v>571</v>
      </c>
      <c r="B4431">
        <v>48</v>
      </c>
      <c r="C4431">
        <v>35.29</v>
      </c>
      <c r="D4431" t="s">
        <v>218</v>
      </c>
      <c r="E4431" s="97">
        <v>0.157</v>
      </c>
    </row>
    <row r="4432" spans="1:5" ht="15">
      <c r="A4432" s="98">
        <v>570</v>
      </c>
      <c r="B4432">
        <v>47.56</v>
      </c>
      <c r="C4432">
        <v>34.28</v>
      </c>
      <c r="D4432" t="s">
        <v>218</v>
      </c>
      <c r="E4432" s="97">
        <v>-9.1999999999999998E-3</v>
      </c>
    </row>
    <row r="4433" spans="1:5" ht="15">
      <c r="A4433" s="98">
        <v>569</v>
      </c>
      <c r="B4433">
        <v>44.41</v>
      </c>
      <c r="C4433">
        <v>37.340000000000003</v>
      </c>
      <c r="D4433" t="s">
        <v>218</v>
      </c>
      <c r="E4433" s="97">
        <v>-7.3000000000000001E-3</v>
      </c>
    </row>
    <row r="4434" spans="1:5" ht="15">
      <c r="A4434" s="98">
        <v>568</v>
      </c>
      <c r="B4434">
        <v>42.88</v>
      </c>
      <c r="C4434">
        <v>37.5</v>
      </c>
      <c r="D4434" t="s">
        <v>218</v>
      </c>
      <c r="E4434" s="97">
        <v>-8.1000000000000003E-2</v>
      </c>
    </row>
    <row r="4435" spans="1:5" ht="15">
      <c r="A4435" s="98">
        <v>567</v>
      </c>
      <c r="B4435">
        <v>37.85</v>
      </c>
      <c r="C4435">
        <v>34.01</v>
      </c>
      <c r="D4435" t="s">
        <v>218</v>
      </c>
      <c r="E4435" s="97">
        <v>-5.1900000000000002E-2</v>
      </c>
    </row>
    <row r="4436" spans="1:5" ht="15">
      <c r="A4436" s="98">
        <v>566</v>
      </c>
      <c r="B4436">
        <v>34.83</v>
      </c>
      <c r="C4436">
        <v>31.47</v>
      </c>
      <c r="D4436" t="s">
        <v>218</v>
      </c>
      <c r="E4436" s="97">
        <v>3.9600000000000003E-2</v>
      </c>
    </row>
    <row r="4437" spans="1:5" ht="15">
      <c r="A4437" s="98">
        <v>565</v>
      </c>
      <c r="B4437">
        <v>34.49</v>
      </c>
      <c r="C4437">
        <v>31.68</v>
      </c>
      <c r="D4437" t="s">
        <v>218</v>
      </c>
      <c r="E4437" s="97">
        <v>1.5100000000000001E-2</v>
      </c>
    </row>
    <row r="4438" spans="1:5" ht="15">
      <c r="A4438" s="98">
        <v>564</v>
      </c>
      <c r="B4438">
        <v>33.32</v>
      </c>
      <c r="C4438">
        <v>30.81</v>
      </c>
      <c r="D4438" t="s">
        <v>218</v>
      </c>
      <c r="E4438" s="97">
        <v>5.1000000000000004E-3</v>
      </c>
    </row>
    <row r="4439" spans="1:5" ht="15">
      <c r="A4439" s="98">
        <v>563</v>
      </c>
      <c r="B4439">
        <v>45.28</v>
      </c>
      <c r="C4439">
        <v>36.69</v>
      </c>
      <c r="D4439" t="s">
        <v>218</v>
      </c>
      <c r="E4439" s="97">
        <v>-2.2000000000000001E-3</v>
      </c>
    </row>
    <row r="4440" spans="1:5" ht="15">
      <c r="A4440" s="98">
        <v>562</v>
      </c>
      <c r="B4440">
        <v>45.4</v>
      </c>
      <c r="C4440">
        <v>39.99</v>
      </c>
      <c r="D4440" t="s">
        <v>218</v>
      </c>
      <c r="E4440" s="97">
        <v>4.6300000000000001E-2</v>
      </c>
    </row>
    <row r="4441" spans="1:5" ht="15">
      <c r="A4441" s="98">
        <v>561</v>
      </c>
      <c r="B4441">
        <v>43.58</v>
      </c>
      <c r="C4441">
        <v>38.78</v>
      </c>
      <c r="D4441" t="s">
        <v>218</v>
      </c>
      <c r="E4441" s="97">
        <v>-3.8899999999999997E-2</v>
      </c>
    </row>
    <row r="4442" spans="1:5" ht="15">
      <c r="A4442" s="98">
        <v>560</v>
      </c>
      <c r="B4442">
        <v>42.33</v>
      </c>
      <c r="C4442">
        <v>35.83</v>
      </c>
      <c r="D4442" t="s">
        <v>218</v>
      </c>
      <c r="E4442" s="97">
        <v>-4.9299999999999997E-2</v>
      </c>
    </row>
    <row r="4443" spans="1:5" ht="15">
      <c r="A4443" s="98">
        <v>559</v>
      </c>
      <c r="B4443">
        <v>37.380000000000003</v>
      </c>
      <c r="C4443">
        <v>34.549999999999997</v>
      </c>
      <c r="D4443" t="s">
        <v>218</v>
      </c>
      <c r="E4443" s="97">
        <v>1.6899999999999998E-2</v>
      </c>
    </row>
    <row r="4444" spans="1:5" ht="15">
      <c r="A4444" s="98">
        <v>558</v>
      </c>
      <c r="B4444">
        <v>40.14</v>
      </c>
      <c r="C4444">
        <v>34.049999999999997</v>
      </c>
      <c r="D4444" t="s">
        <v>218</v>
      </c>
      <c r="E4444" s="97">
        <v>6.0100000000000001E-2</v>
      </c>
    </row>
    <row r="4445" spans="1:5" ht="15">
      <c r="A4445" s="98">
        <v>557</v>
      </c>
      <c r="B4445">
        <v>43.84</v>
      </c>
      <c r="C4445">
        <v>34.33</v>
      </c>
      <c r="D4445" t="s">
        <v>218</v>
      </c>
      <c r="E4445" s="97">
        <v>4.6600000000000003E-2</v>
      </c>
    </row>
    <row r="4446" spans="1:5" ht="15">
      <c r="A4446" s="98">
        <v>556</v>
      </c>
      <c r="B4446">
        <v>33.81</v>
      </c>
      <c r="C4446">
        <v>32.21</v>
      </c>
      <c r="D4446" t="s">
        <v>218</v>
      </c>
      <c r="E4446" s="97">
        <v>-2.3E-2</v>
      </c>
    </row>
    <row r="4447" spans="1:5" ht="15">
      <c r="A4447" s="98">
        <v>555</v>
      </c>
      <c r="B4447">
        <v>33.549999999999997</v>
      </c>
      <c r="C4447">
        <v>31.55</v>
      </c>
      <c r="D4447" t="s">
        <v>218</v>
      </c>
      <c r="E4447" s="97">
        <v>-6.6199999999999995E-2</v>
      </c>
    </row>
    <row r="4448" spans="1:5" ht="15">
      <c r="A4448" s="98">
        <v>554</v>
      </c>
      <c r="B4448">
        <v>32.53</v>
      </c>
      <c r="C4448">
        <v>30.16</v>
      </c>
      <c r="D4448" t="s">
        <v>218</v>
      </c>
      <c r="E4448" s="97">
        <v>-5.0299999999999997E-2</v>
      </c>
    </row>
    <row r="4449" spans="1:5" ht="15">
      <c r="A4449" s="98">
        <v>553</v>
      </c>
      <c r="B4449">
        <v>32.380000000000003</v>
      </c>
      <c r="C4449">
        <v>30.76</v>
      </c>
      <c r="D4449" t="s">
        <v>218</v>
      </c>
      <c r="E4449" s="97">
        <v>-1.6E-2</v>
      </c>
    </row>
    <row r="4450" spans="1:5" ht="15">
      <c r="A4450" s="98">
        <v>552</v>
      </c>
      <c r="B4450">
        <v>34.74</v>
      </c>
      <c r="C4450">
        <v>32.700000000000003</v>
      </c>
      <c r="D4450" t="s">
        <v>218</v>
      </c>
      <c r="E4450" s="97">
        <v>-6.2799999999999995E-2</v>
      </c>
    </row>
    <row r="4451" spans="1:5" ht="15">
      <c r="A4451" s="98">
        <v>551</v>
      </c>
      <c r="B4451">
        <v>39.86</v>
      </c>
      <c r="C4451">
        <v>37</v>
      </c>
      <c r="D4451" t="s">
        <v>218</v>
      </c>
      <c r="E4451" s="97">
        <v>0.25530000000000003</v>
      </c>
    </row>
    <row r="4452" spans="1:5" ht="15">
      <c r="A4452" s="98">
        <v>550</v>
      </c>
      <c r="B4452">
        <v>34.700000000000003</v>
      </c>
      <c r="C4452">
        <v>33.380000000000003</v>
      </c>
      <c r="D4452" t="s">
        <v>218</v>
      </c>
      <c r="E4452" s="97">
        <v>-4.1999999999999997E-3</v>
      </c>
    </row>
    <row r="4453" spans="1:5" ht="15">
      <c r="A4453" s="98">
        <v>549</v>
      </c>
      <c r="B4453">
        <v>34.71</v>
      </c>
      <c r="C4453">
        <v>32.79</v>
      </c>
      <c r="D4453" t="s">
        <v>218</v>
      </c>
      <c r="E4453" s="97">
        <v>2.86E-2</v>
      </c>
    </row>
    <row r="4454" spans="1:5" ht="15">
      <c r="A4454" s="98">
        <v>548</v>
      </c>
      <c r="B4454">
        <v>40.74</v>
      </c>
      <c r="C4454">
        <v>35.53</v>
      </c>
      <c r="D4454" t="s">
        <v>218</v>
      </c>
      <c r="E4454" s="97">
        <v>-3.4200000000000001E-2</v>
      </c>
    </row>
    <row r="4455" spans="1:5" ht="15">
      <c r="A4455" s="98">
        <v>547</v>
      </c>
      <c r="B4455">
        <v>43.18</v>
      </c>
      <c r="C4455">
        <v>38.58</v>
      </c>
      <c r="D4455" t="s">
        <v>218</v>
      </c>
      <c r="E4455" s="97">
        <v>-3.0000000000000001E-3</v>
      </c>
    </row>
    <row r="4456" spans="1:5" ht="15">
      <c r="A4456" s="98">
        <v>546</v>
      </c>
      <c r="B4456">
        <v>39.43</v>
      </c>
      <c r="C4456">
        <v>36.69</v>
      </c>
      <c r="D4456" t="s">
        <v>218</v>
      </c>
      <c r="E4456" s="97">
        <v>-1.8800000000000001E-2</v>
      </c>
    </row>
    <row r="4457" spans="1:5" ht="15">
      <c r="A4457" s="98">
        <v>545</v>
      </c>
      <c r="B4457">
        <v>37.76</v>
      </c>
      <c r="C4457">
        <v>33.4</v>
      </c>
      <c r="D4457" t="s">
        <v>218</v>
      </c>
      <c r="E4457" s="97">
        <v>1.9099999999999999E-2</v>
      </c>
    </row>
    <row r="4458" spans="1:5" ht="15">
      <c r="A4458" s="98">
        <v>544</v>
      </c>
      <c r="B4458">
        <v>33.979999999999997</v>
      </c>
      <c r="C4458">
        <v>31.75</v>
      </c>
      <c r="D4458" t="s">
        <v>218</v>
      </c>
      <c r="E4458" s="97">
        <v>5.4000000000000003E-3</v>
      </c>
    </row>
    <row r="4459" spans="1:5" ht="15">
      <c r="A4459" s="98">
        <v>543</v>
      </c>
      <c r="B4459">
        <v>32.479999999999997</v>
      </c>
      <c r="C4459">
        <v>30.43</v>
      </c>
      <c r="D4459" t="s">
        <v>218</v>
      </c>
      <c r="E4459" s="97">
        <v>1.5299999999999999E-2</v>
      </c>
    </row>
    <row r="4460" spans="1:5" ht="15">
      <c r="A4460" s="98">
        <v>542</v>
      </c>
      <c r="B4460">
        <v>35.33</v>
      </c>
      <c r="C4460">
        <v>32.35</v>
      </c>
      <c r="D4460" t="s">
        <v>218</v>
      </c>
      <c r="E4460" s="97">
        <v>0.10829999999999999</v>
      </c>
    </row>
    <row r="4461" spans="1:5" ht="15">
      <c r="A4461" s="98">
        <v>541</v>
      </c>
      <c r="B4461">
        <v>33.14</v>
      </c>
      <c r="C4461">
        <v>31.45</v>
      </c>
      <c r="D4461" t="s">
        <v>218</v>
      </c>
      <c r="E4461" s="97">
        <v>1.5100000000000001E-2</v>
      </c>
    </row>
    <row r="4462" spans="1:5" ht="15">
      <c r="A4462" s="98">
        <v>540</v>
      </c>
      <c r="B4462">
        <v>37.32</v>
      </c>
      <c r="C4462">
        <v>32.450000000000003</v>
      </c>
      <c r="D4462" t="s">
        <v>218</v>
      </c>
      <c r="E4462" s="97">
        <v>6.1999999999999998E-3</v>
      </c>
    </row>
    <row r="4463" spans="1:5" ht="15">
      <c r="A4463" s="98">
        <v>539</v>
      </c>
      <c r="B4463">
        <v>43.87</v>
      </c>
      <c r="C4463">
        <v>39.33</v>
      </c>
      <c r="D4463" t="s">
        <v>218</v>
      </c>
      <c r="E4463" s="97">
        <v>-0.13869999999999999</v>
      </c>
    </row>
    <row r="4464" spans="1:5" ht="15">
      <c r="A4464" s="98">
        <v>538</v>
      </c>
      <c r="B4464">
        <v>42.82</v>
      </c>
      <c r="C4464">
        <v>40.42</v>
      </c>
      <c r="D4464" t="s">
        <v>218</v>
      </c>
      <c r="E4464" s="97">
        <v>9.2999999999999999E-2</v>
      </c>
    </row>
    <row r="4465" spans="1:5" ht="15">
      <c r="A4465" s="98">
        <v>537</v>
      </c>
      <c r="B4465">
        <v>43.34</v>
      </c>
      <c r="C4465">
        <v>39.020000000000003</v>
      </c>
      <c r="D4465" t="s">
        <v>218</v>
      </c>
      <c r="E4465" s="97">
        <v>-4.7100000000000003E-2</v>
      </c>
    </row>
    <row r="4466" spans="1:5" ht="15">
      <c r="A4466" s="98">
        <v>536</v>
      </c>
      <c r="B4466">
        <v>38.57</v>
      </c>
      <c r="C4466">
        <v>35.32</v>
      </c>
      <c r="D4466" t="s">
        <v>218</v>
      </c>
      <c r="E4466" s="97">
        <v>3.4599999999999999E-2</v>
      </c>
    </row>
    <row r="4467" spans="1:5" ht="15">
      <c r="A4467" s="98">
        <v>535</v>
      </c>
      <c r="B4467">
        <v>41.24</v>
      </c>
      <c r="C4467">
        <v>36.65</v>
      </c>
      <c r="D4467" t="s">
        <v>218</v>
      </c>
      <c r="E4467" s="97">
        <v>4.3499999999999997E-2</v>
      </c>
    </row>
    <row r="4468" spans="1:5" ht="15">
      <c r="A4468" s="98">
        <v>534</v>
      </c>
      <c r="B4468">
        <v>42</v>
      </c>
      <c r="C4468">
        <v>38.03</v>
      </c>
      <c r="D4468" t="s">
        <v>218</v>
      </c>
      <c r="E4468" s="97">
        <v>1.7000000000000001E-2</v>
      </c>
    </row>
    <row r="4469" spans="1:5" ht="15">
      <c r="A4469" s="98">
        <v>533</v>
      </c>
      <c r="B4469">
        <v>42.99</v>
      </c>
      <c r="C4469">
        <v>39.880000000000003</v>
      </c>
      <c r="D4469" t="s">
        <v>218</v>
      </c>
      <c r="E4469" s="97">
        <v>4.1000000000000003E-3</v>
      </c>
    </row>
    <row r="4470" spans="1:5" ht="15">
      <c r="A4470" s="98">
        <v>532</v>
      </c>
      <c r="B4470">
        <v>45.55</v>
      </c>
      <c r="C4470">
        <v>41.51</v>
      </c>
      <c r="D4470" t="s">
        <v>218</v>
      </c>
      <c r="E4470" s="97">
        <v>5.33E-2</v>
      </c>
    </row>
    <row r="4471" spans="1:5" ht="15">
      <c r="A4471" s="98">
        <v>531</v>
      </c>
      <c r="B4471">
        <v>46.88</v>
      </c>
      <c r="C4471">
        <v>40.020000000000003</v>
      </c>
      <c r="D4471" t="s">
        <v>218</v>
      </c>
      <c r="E4471" s="97">
        <v>-1.5599999999999999E-2</v>
      </c>
    </row>
    <row r="4472" spans="1:5" ht="15">
      <c r="A4472" s="98">
        <v>530</v>
      </c>
      <c r="B4472">
        <v>41.2</v>
      </c>
      <c r="C4472">
        <v>37.51</v>
      </c>
      <c r="D4472" t="s">
        <v>218</v>
      </c>
      <c r="E4472" s="97">
        <v>-3.2899999999999999E-2</v>
      </c>
    </row>
    <row r="4473" spans="1:5" ht="15">
      <c r="A4473" s="98">
        <v>529</v>
      </c>
      <c r="B4473">
        <v>38.74</v>
      </c>
      <c r="C4473">
        <v>36.15</v>
      </c>
      <c r="D4473" t="s">
        <v>218</v>
      </c>
      <c r="E4473" s="97">
        <v>8.4000000000000005E-2</v>
      </c>
    </row>
    <row r="4474" spans="1:5" ht="15">
      <c r="A4474" s="98">
        <v>528</v>
      </c>
      <c r="B4474">
        <v>37.82</v>
      </c>
      <c r="C4474">
        <v>35.19</v>
      </c>
      <c r="D4474" t="s">
        <v>218</v>
      </c>
      <c r="E4474" s="97">
        <v>1.7399999999999999E-2</v>
      </c>
    </row>
    <row r="4475" spans="1:5" ht="15">
      <c r="A4475" s="98">
        <v>527</v>
      </c>
      <c r="B4475">
        <v>35.450000000000003</v>
      </c>
      <c r="C4475">
        <v>32.96</v>
      </c>
      <c r="D4475" t="s">
        <v>218</v>
      </c>
      <c r="E4475" s="97">
        <v>4.58E-2</v>
      </c>
    </row>
    <row r="4476" spans="1:5" ht="15">
      <c r="A4476" s="98">
        <v>526</v>
      </c>
      <c r="B4476">
        <v>34.24</v>
      </c>
      <c r="C4476">
        <v>32.619999999999997</v>
      </c>
      <c r="D4476" t="s">
        <v>218</v>
      </c>
      <c r="E4476" s="97">
        <v>9.5999999999999992E-3</v>
      </c>
    </row>
    <row r="4477" spans="1:5" ht="15">
      <c r="A4477" s="98">
        <v>525</v>
      </c>
      <c r="B4477">
        <v>31.93</v>
      </c>
      <c r="C4477">
        <v>29.79</v>
      </c>
      <c r="D4477" t="s">
        <v>218</v>
      </c>
      <c r="E4477" s="97">
        <v>8.8999999999999999E-3</v>
      </c>
    </row>
    <row r="4478" spans="1:5" ht="15">
      <c r="A4478" s="98">
        <v>524</v>
      </c>
      <c r="B4478">
        <v>32.76</v>
      </c>
      <c r="C4478">
        <v>30.48</v>
      </c>
      <c r="D4478" t="s">
        <v>218</v>
      </c>
      <c r="E4478" s="97">
        <v>1.89E-2</v>
      </c>
    </row>
    <row r="4479" spans="1:5" ht="15">
      <c r="A4479" s="98">
        <v>523</v>
      </c>
      <c r="B4479">
        <v>29.96</v>
      </c>
      <c r="C4479">
        <v>28.08</v>
      </c>
      <c r="D4479" t="s">
        <v>218</v>
      </c>
      <c r="E4479" s="97">
        <v>1.5800000000000002E-2</v>
      </c>
    </row>
    <row r="4480" spans="1:5" ht="15">
      <c r="A4480" s="98">
        <v>522</v>
      </c>
      <c r="B4480">
        <v>33.39</v>
      </c>
      <c r="C4480">
        <v>30.12</v>
      </c>
      <c r="D4480" t="s">
        <v>218</v>
      </c>
      <c r="E4480" s="97">
        <v>-7.2599999999999998E-2</v>
      </c>
    </row>
    <row r="4481" spans="1:5" ht="15">
      <c r="A4481" s="98">
        <v>521</v>
      </c>
      <c r="B4481">
        <v>34.71</v>
      </c>
      <c r="C4481">
        <v>29.69</v>
      </c>
      <c r="D4481" t="s">
        <v>218</v>
      </c>
      <c r="E4481" s="97">
        <v>3.1899999999999998E-2</v>
      </c>
    </row>
    <row r="4482" spans="1:5" ht="15">
      <c r="A4482" s="98">
        <v>520</v>
      </c>
      <c r="B4482">
        <v>35.47</v>
      </c>
      <c r="C4482">
        <v>31.91</v>
      </c>
      <c r="D4482" t="s">
        <v>218</v>
      </c>
      <c r="E4482" s="97">
        <v>-7.5200000000000003E-2</v>
      </c>
    </row>
    <row r="4483" spans="1:5" ht="15">
      <c r="A4483" s="98">
        <v>519</v>
      </c>
      <c r="B4483">
        <v>36.869999999999997</v>
      </c>
      <c r="C4483">
        <v>34.159999999999997</v>
      </c>
      <c r="D4483" t="s">
        <v>218</v>
      </c>
      <c r="E4483" s="97">
        <v>1.6500000000000001E-2</v>
      </c>
    </row>
    <row r="4484" spans="1:5" ht="15">
      <c r="A4484" s="98">
        <v>518</v>
      </c>
      <c r="B4484">
        <v>32.979999999999997</v>
      </c>
      <c r="C4484">
        <v>31.32</v>
      </c>
      <c r="D4484" t="s">
        <v>218</v>
      </c>
      <c r="E4484" s="97">
        <v>5.04E-2</v>
      </c>
    </row>
    <row r="4485" spans="1:5" ht="15">
      <c r="A4485" s="98">
        <v>517</v>
      </c>
      <c r="B4485">
        <v>31.7</v>
      </c>
      <c r="C4485">
        <v>28.84</v>
      </c>
      <c r="D4485" t="s">
        <v>218</v>
      </c>
      <c r="E4485" s="97">
        <v>-6.4799999999999996E-2</v>
      </c>
    </row>
    <row r="4486" spans="1:5" ht="15">
      <c r="A4486" s="98">
        <v>516</v>
      </c>
      <c r="B4486">
        <v>32.46</v>
      </c>
      <c r="C4486">
        <v>30.32</v>
      </c>
      <c r="D4486" t="s">
        <v>218</v>
      </c>
      <c r="E4486" s="97">
        <v>-4.7E-2</v>
      </c>
    </row>
    <row r="4487" spans="1:5" ht="15">
      <c r="A4487" s="98">
        <v>515</v>
      </c>
      <c r="B4487">
        <v>33.299999999999997</v>
      </c>
      <c r="C4487">
        <v>29.63</v>
      </c>
      <c r="D4487" t="s">
        <v>218</v>
      </c>
      <c r="E4487" s="97">
        <v>1.14E-2</v>
      </c>
    </row>
    <row r="4488" spans="1:5" ht="15">
      <c r="A4488" s="98">
        <v>514</v>
      </c>
      <c r="B4488">
        <v>26.46</v>
      </c>
      <c r="C4488">
        <v>24.7</v>
      </c>
      <c r="D4488" t="s">
        <v>218</v>
      </c>
      <c r="E4488" s="97">
        <v>-0.06</v>
      </c>
    </row>
    <row r="4489" spans="1:5" ht="15">
      <c r="A4489" s="98">
        <v>513</v>
      </c>
      <c r="B4489">
        <v>26.02</v>
      </c>
      <c r="C4489">
        <v>24.44</v>
      </c>
      <c r="D4489" t="s">
        <v>218</v>
      </c>
      <c r="E4489" s="97">
        <v>5.3400000000000003E-2</v>
      </c>
    </row>
    <row r="4490" spans="1:5" ht="15">
      <c r="A4490" s="98">
        <v>512</v>
      </c>
      <c r="B4490">
        <v>29.97</v>
      </c>
      <c r="C4490">
        <v>27.01</v>
      </c>
      <c r="D4490" t="s">
        <v>218</v>
      </c>
      <c r="E4490" s="97">
        <v>-3.1300000000000001E-2</v>
      </c>
    </row>
    <row r="4491" spans="1:5" ht="15">
      <c r="A4491" s="98">
        <v>511</v>
      </c>
      <c r="B4491">
        <v>37.53</v>
      </c>
      <c r="C4491">
        <v>33.869999999999997</v>
      </c>
      <c r="D4491" t="s">
        <v>218</v>
      </c>
      <c r="E4491" s="97">
        <v>-0.1043</v>
      </c>
    </row>
    <row r="4492" spans="1:5" ht="15">
      <c r="A4492" s="98">
        <v>510</v>
      </c>
      <c r="B4492">
        <v>34.270000000000003</v>
      </c>
      <c r="C4492">
        <v>32.549999999999997</v>
      </c>
      <c r="D4492" t="s">
        <v>218</v>
      </c>
      <c r="E4492" s="97">
        <v>7.8200000000000006E-2</v>
      </c>
    </row>
    <row r="4493" spans="1:5" ht="15">
      <c r="A4493" s="98">
        <v>509</v>
      </c>
      <c r="B4493">
        <v>34.65</v>
      </c>
      <c r="C4493">
        <v>30.21</v>
      </c>
      <c r="D4493" t="s">
        <v>218</v>
      </c>
      <c r="E4493" s="97">
        <v>0.16020000000000001</v>
      </c>
    </row>
    <row r="4494" spans="1:5" ht="15">
      <c r="A4494" s="98">
        <v>508</v>
      </c>
      <c r="B4494">
        <v>32.56</v>
      </c>
      <c r="C4494">
        <v>30.14</v>
      </c>
      <c r="D4494" t="s">
        <v>218</v>
      </c>
      <c r="E4494" s="97">
        <v>-3.4599999999999999E-2</v>
      </c>
    </row>
    <row r="4495" spans="1:5" ht="15">
      <c r="A4495" s="98">
        <v>507</v>
      </c>
      <c r="B4495">
        <v>32.15</v>
      </c>
      <c r="C4495">
        <v>29.85</v>
      </c>
      <c r="D4495" t="s">
        <v>218</v>
      </c>
      <c r="E4495" s="97">
        <v>-1.4500000000000001E-2</v>
      </c>
    </row>
    <row r="4496" spans="1:5" ht="15">
      <c r="A4496" s="98">
        <v>506</v>
      </c>
      <c r="B4496">
        <v>30.49</v>
      </c>
      <c r="C4496">
        <v>27.47</v>
      </c>
      <c r="D4496" t="s">
        <v>218</v>
      </c>
      <c r="E4496" s="97">
        <v>0.13880000000000001</v>
      </c>
    </row>
    <row r="4497" spans="1:5" ht="15">
      <c r="A4497" s="98">
        <v>505</v>
      </c>
      <c r="B4497">
        <v>36.43</v>
      </c>
      <c r="C4497">
        <v>30.98</v>
      </c>
      <c r="D4497" t="s">
        <v>218</v>
      </c>
      <c r="E4497" s="97">
        <v>-7.4000000000000003E-3</v>
      </c>
    </row>
    <row r="4498" spans="1:5" ht="15">
      <c r="A4498" s="98">
        <v>504</v>
      </c>
      <c r="B4498">
        <v>35.5</v>
      </c>
      <c r="C4498">
        <v>32.119999999999997</v>
      </c>
      <c r="D4498" t="s">
        <v>218</v>
      </c>
      <c r="E4498" s="97">
        <v>-2.64E-2</v>
      </c>
    </row>
    <row r="4499" spans="1:5" ht="15">
      <c r="A4499" s="98">
        <v>503</v>
      </c>
      <c r="B4499">
        <v>30.42</v>
      </c>
      <c r="C4499">
        <v>29.45</v>
      </c>
      <c r="D4499" t="s">
        <v>218</v>
      </c>
      <c r="E4499" s="97">
        <v>2.1999999999999999E-2</v>
      </c>
    </row>
    <row r="4500" spans="1:5" ht="15">
      <c r="A4500" s="98">
        <v>502</v>
      </c>
      <c r="B4500">
        <v>32.85</v>
      </c>
      <c r="C4500">
        <v>31.13</v>
      </c>
      <c r="D4500" t="s">
        <v>218</v>
      </c>
      <c r="E4500" s="97">
        <v>2.2499999999999999E-2</v>
      </c>
    </row>
    <row r="4501" spans="1:5" ht="15">
      <c r="A4501" s="98">
        <v>501</v>
      </c>
      <c r="B4501">
        <v>32.549999999999997</v>
      </c>
      <c r="C4501">
        <v>30.4</v>
      </c>
      <c r="D4501" t="s">
        <v>218</v>
      </c>
      <c r="E4501" s="97">
        <v>4.2599999999999999E-2</v>
      </c>
    </row>
    <row r="4502" spans="1:5" ht="15">
      <c r="A4502" s="98">
        <v>500</v>
      </c>
      <c r="B4502">
        <v>33.51</v>
      </c>
      <c r="C4502">
        <v>30.54</v>
      </c>
      <c r="D4502" t="s">
        <v>218</v>
      </c>
      <c r="E4502" s="97">
        <v>-1.6999999999999999E-3</v>
      </c>
    </row>
    <row r="4503" spans="1:5" ht="15">
      <c r="A4503" s="98">
        <v>499</v>
      </c>
      <c r="B4503">
        <v>36.46</v>
      </c>
      <c r="C4503">
        <v>32.89</v>
      </c>
      <c r="D4503" t="s">
        <v>218</v>
      </c>
      <c r="E4503" s="97">
        <v>6.8699999999999997E-2</v>
      </c>
    </row>
    <row r="4504" spans="1:5" ht="15">
      <c r="A4504" s="98">
        <v>498</v>
      </c>
      <c r="B4504">
        <v>33.99</v>
      </c>
      <c r="C4504">
        <v>31.92</v>
      </c>
      <c r="D4504" t="s">
        <v>218</v>
      </c>
      <c r="E4504" s="97">
        <v>-0.1172</v>
      </c>
    </row>
    <row r="4505" spans="1:5" ht="15">
      <c r="A4505" s="98">
        <v>497</v>
      </c>
      <c r="B4505">
        <v>35.29</v>
      </c>
      <c r="C4505">
        <v>32.53</v>
      </c>
      <c r="D4505" t="s">
        <v>218</v>
      </c>
      <c r="E4505" s="97">
        <v>-7.2900000000000006E-2</v>
      </c>
    </row>
    <row r="4506" spans="1:5" ht="15">
      <c r="A4506" s="98">
        <v>496</v>
      </c>
      <c r="B4506">
        <v>33.39</v>
      </c>
      <c r="C4506">
        <v>31.28</v>
      </c>
      <c r="D4506" t="s">
        <v>218</v>
      </c>
      <c r="E4506" s="97">
        <v>-9.5500000000000002E-2</v>
      </c>
    </row>
    <row r="4507" spans="1:5" ht="15">
      <c r="A4507" s="98">
        <v>495</v>
      </c>
      <c r="B4507">
        <v>34.57</v>
      </c>
      <c r="C4507">
        <v>32.68</v>
      </c>
      <c r="D4507" t="s">
        <v>218</v>
      </c>
      <c r="E4507" s="97">
        <v>0.27189999999999998</v>
      </c>
    </row>
    <row r="4508" spans="1:5" ht="15">
      <c r="A4508" s="98">
        <v>494</v>
      </c>
      <c r="B4508">
        <v>34.770000000000003</v>
      </c>
      <c r="C4508">
        <v>33.119999999999997</v>
      </c>
      <c r="D4508" t="s">
        <v>218</v>
      </c>
      <c r="E4508" s="97">
        <v>3.3399999999999999E-2</v>
      </c>
    </row>
    <row r="4509" spans="1:5" ht="15">
      <c r="A4509" s="98">
        <v>493</v>
      </c>
      <c r="B4509">
        <v>33.11</v>
      </c>
      <c r="C4509">
        <v>31.57</v>
      </c>
      <c r="D4509" t="s">
        <v>218</v>
      </c>
      <c r="E4509" s="97">
        <v>6.8500000000000005E-2</v>
      </c>
    </row>
    <row r="4510" spans="1:5" ht="15">
      <c r="A4510" s="98">
        <v>492</v>
      </c>
      <c r="B4510">
        <v>32.020000000000003</v>
      </c>
      <c r="C4510">
        <v>30.56</v>
      </c>
      <c r="D4510" t="s">
        <v>218</v>
      </c>
      <c r="E4510" s="97">
        <v>-2.5399999999999999E-2</v>
      </c>
    </row>
    <row r="4511" spans="1:5" ht="15">
      <c r="A4511" s="98">
        <v>491</v>
      </c>
      <c r="B4511">
        <v>28.5</v>
      </c>
      <c r="C4511">
        <v>27.03</v>
      </c>
      <c r="D4511" t="s">
        <v>218</v>
      </c>
      <c r="E4511" s="97">
        <v>-3.8899999999999997E-2</v>
      </c>
    </row>
    <row r="4512" spans="1:5" ht="15">
      <c r="A4512" s="98">
        <v>490</v>
      </c>
      <c r="B4512">
        <v>27.89</v>
      </c>
      <c r="C4512">
        <v>26.64</v>
      </c>
      <c r="D4512" t="s">
        <v>218</v>
      </c>
      <c r="E4512" s="97">
        <v>-5.4000000000000003E-3</v>
      </c>
    </row>
    <row r="4513" spans="1:5" ht="15">
      <c r="A4513" s="98">
        <v>489</v>
      </c>
      <c r="B4513">
        <v>27.62</v>
      </c>
      <c r="C4513">
        <v>25.29</v>
      </c>
      <c r="D4513" t="s">
        <v>218</v>
      </c>
      <c r="E4513" s="97">
        <v>-0.12720000000000001</v>
      </c>
    </row>
    <row r="4514" spans="1:5" ht="15">
      <c r="A4514" s="98">
        <v>488</v>
      </c>
      <c r="B4514">
        <v>28.31</v>
      </c>
      <c r="C4514">
        <v>26</v>
      </c>
      <c r="D4514" t="s">
        <v>218</v>
      </c>
      <c r="E4514" s="97">
        <v>3.0999999999999999E-3</v>
      </c>
    </row>
    <row r="4515" spans="1:5" ht="15">
      <c r="A4515" s="98">
        <v>487</v>
      </c>
      <c r="B4515">
        <v>28.13</v>
      </c>
      <c r="C4515">
        <v>27.41</v>
      </c>
      <c r="D4515" t="s">
        <v>218</v>
      </c>
      <c r="E4515" s="97">
        <v>9.01E-2</v>
      </c>
    </row>
    <row r="4516" spans="1:5" ht="15">
      <c r="A4516" s="98">
        <v>486</v>
      </c>
      <c r="B4516">
        <v>29.58</v>
      </c>
      <c r="C4516">
        <v>28.44</v>
      </c>
      <c r="D4516" t="s">
        <v>218</v>
      </c>
      <c r="E4516" s="97">
        <v>9.2899999999999996E-2</v>
      </c>
    </row>
    <row r="4517" spans="1:5" ht="15">
      <c r="A4517" s="98">
        <v>485</v>
      </c>
      <c r="B4517">
        <v>30.91</v>
      </c>
      <c r="C4517">
        <v>29.02</v>
      </c>
      <c r="D4517" t="s">
        <v>218</v>
      </c>
      <c r="E4517" s="97">
        <v>-4.0500000000000001E-2</v>
      </c>
    </row>
    <row r="4518" spans="1:5" ht="15">
      <c r="A4518" s="98">
        <v>484</v>
      </c>
      <c r="B4518">
        <v>29.61</v>
      </c>
      <c r="C4518">
        <v>26.29</v>
      </c>
      <c r="D4518" t="s">
        <v>218</v>
      </c>
      <c r="E4518" s="97">
        <v>-4.0599999999999997E-2</v>
      </c>
    </row>
    <row r="4519" spans="1:5" ht="15">
      <c r="A4519" s="98">
        <v>483</v>
      </c>
      <c r="B4519">
        <v>27.73</v>
      </c>
      <c r="C4519">
        <v>25.64</v>
      </c>
      <c r="D4519" t="s">
        <v>218</v>
      </c>
      <c r="E4519" s="97">
        <v>-6.0000000000000001E-3</v>
      </c>
    </row>
    <row r="4520" spans="1:5" ht="15">
      <c r="A4520" s="98">
        <v>482</v>
      </c>
      <c r="B4520">
        <v>26.28</v>
      </c>
      <c r="C4520">
        <v>23.27</v>
      </c>
      <c r="D4520" t="s">
        <v>218</v>
      </c>
      <c r="E4520" s="97">
        <v>6.8999999999999999E-3</v>
      </c>
    </row>
    <row r="4521" spans="1:5" ht="15">
      <c r="A4521" s="98">
        <v>481</v>
      </c>
      <c r="B4521">
        <v>27.55</v>
      </c>
      <c r="C4521">
        <v>25.76</v>
      </c>
      <c r="D4521" t="s">
        <v>218</v>
      </c>
      <c r="E4521" s="97">
        <v>-6.9199999999999998E-2</v>
      </c>
    </row>
    <row r="4522" spans="1:5" ht="15">
      <c r="A4522" s="98">
        <v>480</v>
      </c>
      <c r="B4522">
        <v>25.28</v>
      </c>
      <c r="C4522">
        <v>24.14</v>
      </c>
      <c r="D4522" t="s">
        <v>218</v>
      </c>
      <c r="E4522" s="97">
        <v>4.7199999999999999E-2</v>
      </c>
    </row>
    <row r="4523" spans="1:5" ht="15">
      <c r="A4523" s="98">
        <v>479</v>
      </c>
      <c r="B4523">
        <v>25.02</v>
      </c>
      <c r="C4523">
        <v>23.51</v>
      </c>
      <c r="D4523" t="s">
        <v>218</v>
      </c>
      <c r="E4523" s="97">
        <v>5.1000000000000004E-3</v>
      </c>
    </row>
    <row r="4524" spans="1:5" ht="15">
      <c r="A4524" s="98">
        <v>478</v>
      </c>
      <c r="B4524">
        <v>25.38</v>
      </c>
      <c r="C4524">
        <v>24.38</v>
      </c>
      <c r="D4524" t="s">
        <v>218</v>
      </c>
      <c r="E4524" s="97">
        <v>6.0000000000000001E-3</v>
      </c>
    </row>
    <row r="4525" spans="1:5" ht="15">
      <c r="A4525" s="98">
        <v>477</v>
      </c>
      <c r="B4525">
        <v>23.58</v>
      </c>
      <c r="C4525">
        <v>22.54</v>
      </c>
      <c r="D4525" t="s">
        <v>218</v>
      </c>
      <c r="E4525" s="97">
        <v>-5.0900000000000001E-2</v>
      </c>
    </row>
    <row r="4526" spans="1:5" ht="15">
      <c r="A4526" s="98">
        <v>476</v>
      </c>
      <c r="B4526">
        <v>23.94</v>
      </c>
      <c r="C4526">
        <v>21.12</v>
      </c>
      <c r="D4526" t="s">
        <v>218</v>
      </c>
      <c r="E4526" s="97">
        <v>-9.5999999999999992E-3</v>
      </c>
    </row>
    <row r="4527" spans="1:5" ht="15">
      <c r="A4527" s="98">
        <v>475</v>
      </c>
      <c r="B4527">
        <v>21.33</v>
      </c>
      <c r="C4527">
        <v>20.34</v>
      </c>
      <c r="D4527" t="s">
        <v>218</v>
      </c>
      <c r="E4527" s="97">
        <v>-6.4000000000000003E-3</v>
      </c>
    </row>
    <row r="4528" spans="1:5" ht="15">
      <c r="A4528" s="98">
        <v>474</v>
      </c>
      <c r="B4528">
        <v>21.21</v>
      </c>
      <c r="C4528">
        <v>20.72</v>
      </c>
      <c r="D4528" t="s">
        <v>218</v>
      </c>
      <c r="E4528" s="97">
        <v>-2.93E-2</v>
      </c>
    </row>
    <row r="4529" spans="1:5" ht="15">
      <c r="A4529" s="98">
        <v>473</v>
      </c>
      <c r="B4529">
        <v>22.66</v>
      </c>
      <c r="C4529">
        <v>21.68</v>
      </c>
      <c r="D4529" t="s">
        <v>218</v>
      </c>
      <c r="E4529" s="97">
        <v>-3.2099999999999997E-2</v>
      </c>
    </row>
    <row r="4530" spans="1:5" ht="15">
      <c r="A4530" s="98">
        <v>472</v>
      </c>
      <c r="B4530">
        <v>23.56</v>
      </c>
      <c r="C4530">
        <v>22.11</v>
      </c>
      <c r="D4530" t="s">
        <v>218</v>
      </c>
      <c r="E4530" s="97">
        <v>1.3599999999999999E-2</v>
      </c>
    </row>
    <row r="4531" spans="1:5" ht="15">
      <c r="A4531" s="98">
        <v>471</v>
      </c>
      <c r="B4531">
        <v>23.52</v>
      </c>
      <c r="C4531">
        <v>22.65</v>
      </c>
      <c r="D4531" t="s">
        <v>218</v>
      </c>
      <c r="E4531" s="97">
        <v>1.77E-2</v>
      </c>
    </row>
    <row r="4532" spans="1:5" ht="15">
      <c r="A4532" s="98">
        <v>470</v>
      </c>
      <c r="B4532">
        <v>23.46</v>
      </c>
      <c r="C4532">
        <v>22.65</v>
      </c>
      <c r="D4532" t="s">
        <v>218</v>
      </c>
      <c r="E4532" s="97">
        <v>4.0899999999999999E-2</v>
      </c>
    </row>
    <row r="4533" spans="1:5" ht="15">
      <c r="A4533" s="98">
        <v>469</v>
      </c>
      <c r="B4533">
        <v>23.1</v>
      </c>
      <c r="C4533">
        <v>22.54</v>
      </c>
      <c r="D4533" t="s">
        <v>218</v>
      </c>
      <c r="E4533" s="97">
        <v>2.47E-2</v>
      </c>
    </row>
    <row r="4534" spans="1:5" ht="15">
      <c r="A4534" s="98">
        <v>468</v>
      </c>
      <c r="B4534">
        <v>23.73</v>
      </c>
      <c r="C4534">
        <v>22.22</v>
      </c>
      <c r="D4534" t="s">
        <v>218</v>
      </c>
      <c r="E4534" s="97">
        <v>-6.8199999999999997E-2</v>
      </c>
    </row>
    <row r="4535" spans="1:5" ht="15">
      <c r="A4535" s="98">
        <v>467</v>
      </c>
      <c r="B4535">
        <v>23.09</v>
      </c>
      <c r="C4535">
        <v>21.34</v>
      </c>
      <c r="D4535" t="s">
        <v>218</v>
      </c>
      <c r="E4535" s="97">
        <v>2.4299999999999999E-2</v>
      </c>
    </row>
    <row r="4536" spans="1:5" ht="15">
      <c r="A4536" s="98">
        <v>466</v>
      </c>
      <c r="B4536">
        <v>21.72</v>
      </c>
      <c r="C4536">
        <v>20.58</v>
      </c>
      <c r="D4536" t="s">
        <v>218</v>
      </c>
      <c r="E4536" s="97">
        <v>3.9199999999999999E-2</v>
      </c>
    </row>
    <row r="4537" spans="1:5" ht="15">
      <c r="A4537" s="98">
        <v>465</v>
      </c>
      <c r="B4537">
        <v>21.78</v>
      </c>
      <c r="C4537">
        <v>21</v>
      </c>
      <c r="D4537" t="s">
        <v>218</v>
      </c>
      <c r="E4537" s="97">
        <v>-7.0499999999999993E-2</v>
      </c>
    </row>
    <row r="4538" spans="1:5" ht="15">
      <c r="A4538" s="98">
        <v>464</v>
      </c>
      <c r="B4538">
        <v>20.69</v>
      </c>
      <c r="C4538">
        <v>20.05</v>
      </c>
      <c r="D4538" t="s">
        <v>218</v>
      </c>
      <c r="E4538" s="97">
        <v>-1.6400000000000001E-2</v>
      </c>
    </row>
    <row r="4539" spans="1:5" ht="15">
      <c r="A4539" s="98">
        <v>463</v>
      </c>
      <c r="B4539">
        <v>21.22</v>
      </c>
      <c r="C4539">
        <v>20.98</v>
      </c>
      <c r="D4539" t="s">
        <v>218</v>
      </c>
      <c r="E4539" s="97">
        <v>-3.04E-2</v>
      </c>
    </row>
    <row r="4540" spans="1:5" ht="15">
      <c r="A4540" s="98">
        <v>462</v>
      </c>
      <c r="B4540">
        <v>22.03</v>
      </c>
      <c r="C4540">
        <v>20.46</v>
      </c>
      <c r="D4540" t="s">
        <v>218</v>
      </c>
      <c r="E4540" s="97">
        <v>-3.0200000000000001E-2</v>
      </c>
    </row>
    <row r="4541" spans="1:5" ht="15">
      <c r="A4541" s="98">
        <v>461</v>
      </c>
      <c r="B4541">
        <v>22.43</v>
      </c>
      <c r="C4541">
        <v>20.91</v>
      </c>
      <c r="D4541" t="s">
        <v>218</v>
      </c>
      <c r="E4541" s="97">
        <v>-2.53E-2</v>
      </c>
    </row>
    <row r="4542" spans="1:5" ht="15">
      <c r="A4542" s="98">
        <v>460</v>
      </c>
      <c r="B4542">
        <v>22.25</v>
      </c>
      <c r="C4542">
        <v>20.69</v>
      </c>
      <c r="D4542" t="s">
        <v>218</v>
      </c>
      <c r="E4542" s="97">
        <v>-6.1600000000000002E-2</v>
      </c>
    </row>
    <row r="4543" spans="1:5" ht="15">
      <c r="A4543" s="98">
        <v>459</v>
      </c>
      <c r="B4543">
        <v>23.44</v>
      </c>
      <c r="C4543">
        <v>20.78</v>
      </c>
      <c r="D4543" t="s">
        <v>218</v>
      </c>
      <c r="E4543" s="97">
        <v>7.5899999999999995E-2</v>
      </c>
    </row>
    <row r="4544" spans="1:5" ht="15">
      <c r="A4544" s="98">
        <v>458</v>
      </c>
      <c r="B4544">
        <v>20.87</v>
      </c>
      <c r="C4544">
        <v>19.45</v>
      </c>
      <c r="D4544" t="s">
        <v>218</v>
      </c>
      <c r="E4544" s="97">
        <v>4.6199999999999998E-2</v>
      </c>
    </row>
    <row r="4545" spans="1:5" ht="15">
      <c r="A4545" s="98">
        <v>457</v>
      </c>
      <c r="B4545">
        <v>19.940000000000001</v>
      </c>
      <c r="C4545">
        <v>18.16</v>
      </c>
      <c r="D4545" t="s">
        <v>218</v>
      </c>
      <c r="E4545" s="97">
        <v>-2.2599999999999999E-2</v>
      </c>
    </row>
    <row r="4546" spans="1:5" ht="15">
      <c r="A4546" s="98">
        <v>456</v>
      </c>
      <c r="B4546">
        <v>19.309999999999999</v>
      </c>
      <c r="C4546">
        <v>18.55</v>
      </c>
      <c r="D4546" t="s">
        <v>218</v>
      </c>
      <c r="E4546" s="97">
        <v>5.2699999999999997E-2</v>
      </c>
    </row>
    <row r="4547" spans="1:5" ht="15">
      <c r="A4547" s="98">
        <v>455</v>
      </c>
      <c r="B4547">
        <v>20</v>
      </c>
      <c r="C4547">
        <v>18.63</v>
      </c>
      <c r="D4547" t="s">
        <v>218</v>
      </c>
      <c r="E4547" s="97">
        <v>-6.6E-3</v>
      </c>
    </row>
    <row r="4548" spans="1:5" ht="15">
      <c r="A4548" s="98">
        <v>454</v>
      </c>
      <c r="B4548">
        <v>19.55</v>
      </c>
      <c r="C4548">
        <v>17.149999999999999</v>
      </c>
      <c r="D4548" t="s">
        <v>218</v>
      </c>
      <c r="E4548" s="97">
        <v>-3.56E-2</v>
      </c>
    </row>
    <row r="4549" spans="1:5" ht="15">
      <c r="A4549" s="98">
        <v>453</v>
      </c>
      <c r="B4549">
        <v>19.170000000000002</v>
      </c>
      <c r="C4549">
        <v>16.8</v>
      </c>
      <c r="D4549" t="s">
        <v>218</v>
      </c>
      <c r="E4549" s="97">
        <v>1.4E-3</v>
      </c>
    </row>
    <row r="4550" spans="1:5" ht="15">
      <c r="A4550" s="98">
        <v>452</v>
      </c>
      <c r="B4550">
        <v>19.16</v>
      </c>
      <c r="C4550">
        <v>18.260000000000002</v>
      </c>
      <c r="D4550" t="s">
        <v>218</v>
      </c>
      <c r="E4550" s="97">
        <v>-4.0399999999999998E-2</v>
      </c>
    </row>
    <row r="4551" spans="1:5" ht="15">
      <c r="A4551" s="98">
        <v>451</v>
      </c>
      <c r="B4551">
        <v>20.329999999999998</v>
      </c>
      <c r="C4551">
        <v>19.38</v>
      </c>
      <c r="D4551" t="s">
        <v>218</v>
      </c>
      <c r="E4551" s="97">
        <v>6.9500000000000006E-2</v>
      </c>
    </row>
    <row r="4552" spans="1:5" ht="15">
      <c r="A4552" s="98">
        <v>450</v>
      </c>
      <c r="B4552">
        <v>19.84</v>
      </c>
      <c r="C4552">
        <v>18.13</v>
      </c>
      <c r="D4552" t="s">
        <v>218</v>
      </c>
      <c r="E4552" s="97">
        <v>-0.04</v>
      </c>
    </row>
    <row r="4553" spans="1:5" ht="15">
      <c r="A4553" s="98">
        <v>449</v>
      </c>
      <c r="B4553">
        <v>18.82</v>
      </c>
      <c r="C4553">
        <v>17.989999999999998</v>
      </c>
      <c r="D4553" t="s">
        <v>218</v>
      </c>
      <c r="E4553" s="97">
        <v>-2.2599999999999999E-2</v>
      </c>
    </row>
    <row r="4554" spans="1:5" ht="15">
      <c r="A4554" s="98">
        <v>448</v>
      </c>
      <c r="B4554">
        <v>18.5</v>
      </c>
      <c r="C4554">
        <v>17.98</v>
      </c>
      <c r="D4554" t="s">
        <v>218</v>
      </c>
      <c r="E4554" s="97">
        <v>-2.6700000000000002E-2</v>
      </c>
    </row>
    <row r="4555" spans="1:5" ht="15">
      <c r="A4555" s="98">
        <v>447</v>
      </c>
      <c r="B4555">
        <v>17.32</v>
      </c>
      <c r="C4555">
        <v>16.100000000000001</v>
      </c>
      <c r="D4555" t="s">
        <v>218</v>
      </c>
      <c r="E4555" s="97">
        <v>8.0999999999999996E-3</v>
      </c>
    </row>
    <row r="4556" spans="1:5" ht="15">
      <c r="A4556" s="98">
        <v>446</v>
      </c>
      <c r="B4556">
        <v>18.02</v>
      </c>
      <c r="C4556">
        <v>16.11</v>
      </c>
      <c r="D4556" t="s">
        <v>218</v>
      </c>
      <c r="E4556" s="97">
        <v>6.2199999999999998E-2</v>
      </c>
    </row>
    <row r="4557" spans="1:5" ht="15">
      <c r="A4557" s="98">
        <v>445</v>
      </c>
      <c r="B4557">
        <v>18.100000000000001</v>
      </c>
      <c r="C4557">
        <v>17.5</v>
      </c>
      <c r="D4557" t="s">
        <v>218</v>
      </c>
      <c r="E4557" s="97">
        <v>-0.1118</v>
      </c>
    </row>
    <row r="4558" spans="1:5" ht="15">
      <c r="A4558" s="98">
        <v>444</v>
      </c>
      <c r="B4558">
        <v>18.46</v>
      </c>
      <c r="C4558">
        <v>17.53</v>
      </c>
      <c r="D4558" t="s">
        <v>218</v>
      </c>
      <c r="E4558" s="97">
        <v>5.9200000000000003E-2</v>
      </c>
    </row>
    <row r="4559" spans="1:5" ht="15">
      <c r="A4559" s="98">
        <v>443</v>
      </c>
      <c r="B4559">
        <v>18.72</v>
      </c>
      <c r="C4559">
        <v>18.07</v>
      </c>
      <c r="D4559" t="s">
        <v>218</v>
      </c>
      <c r="E4559" s="97">
        <v>2.4799999999999999E-2</v>
      </c>
    </row>
    <row r="4560" spans="1:5" ht="15">
      <c r="A4560" s="98">
        <v>442</v>
      </c>
      <c r="B4560">
        <v>21.98</v>
      </c>
      <c r="C4560">
        <v>19.02</v>
      </c>
      <c r="D4560" t="s">
        <v>218</v>
      </c>
      <c r="E4560" s="97">
        <v>3.9399999999999998E-2</v>
      </c>
    </row>
    <row r="4561" spans="1:5" ht="15">
      <c r="A4561" s="98">
        <v>441</v>
      </c>
      <c r="B4561">
        <v>19.68</v>
      </c>
      <c r="C4561">
        <v>17.920000000000002</v>
      </c>
      <c r="D4561" t="s">
        <v>218</v>
      </c>
      <c r="E4561" s="97">
        <v>9.5000000000000001E-2</v>
      </c>
    </row>
    <row r="4562" spans="1:5" ht="15">
      <c r="A4562" s="98">
        <v>440</v>
      </c>
      <c r="B4562">
        <v>20.76</v>
      </c>
      <c r="C4562">
        <v>18.95</v>
      </c>
      <c r="D4562" t="s">
        <v>218</v>
      </c>
      <c r="E4562" s="97">
        <v>2.2499999999999999E-2</v>
      </c>
    </row>
    <row r="4563" spans="1:5" ht="15">
      <c r="A4563" s="98">
        <v>439</v>
      </c>
      <c r="B4563">
        <v>21.77</v>
      </c>
      <c r="C4563">
        <v>19.440000000000001</v>
      </c>
      <c r="D4563" t="s">
        <v>218</v>
      </c>
      <c r="E4563" s="97">
        <v>-3.4099999999999998E-2</v>
      </c>
    </row>
    <row r="4564" spans="1:5" ht="15">
      <c r="A4564" s="98">
        <v>438</v>
      </c>
      <c r="B4564">
        <v>21.76</v>
      </c>
      <c r="C4564">
        <v>19.22</v>
      </c>
      <c r="D4564" t="s">
        <v>218</v>
      </c>
      <c r="E4564" s="97">
        <v>0</v>
      </c>
    </row>
    <row r="4565" spans="1:5" ht="15">
      <c r="A4565" s="98">
        <v>437</v>
      </c>
      <c r="B4565">
        <v>18.79</v>
      </c>
      <c r="C4565">
        <v>17.54</v>
      </c>
      <c r="D4565" t="s">
        <v>218</v>
      </c>
      <c r="E4565" s="97">
        <v>-2.4199999999999999E-2</v>
      </c>
    </row>
    <row r="4566" spans="1:5" ht="15">
      <c r="A4566" s="98">
        <v>436</v>
      </c>
      <c r="B4566">
        <v>18.940000000000001</v>
      </c>
      <c r="C4566">
        <v>17.649999999999999</v>
      </c>
      <c r="D4566" t="s">
        <v>218</v>
      </c>
      <c r="E4566" s="97">
        <v>6.0999999999999999E-2</v>
      </c>
    </row>
    <row r="4567" spans="1:5" ht="15">
      <c r="A4567" s="98">
        <v>435</v>
      </c>
      <c r="B4567">
        <v>18.940000000000001</v>
      </c>
      <c r="C4567">
        <v>17.739999999999998</v>
      </c>
      <c r="D4567" t="s">
        <v>218</v>
      </c>
      <c r="E4567" s="97">
        <v>-3.2000000000000002E-3</v>
      </c>
    </row>
    <row r="4568" spans="1:5" ht="15">
      <c r="A4568" s="98">
        <v>434</v>
      </c>
      <c r="B4568">
        <v>18.97</v>
      </c>
      <c r="C4568">
        <v>16.64</v>
      </c>
      <c r="D4568" t="s">
        <v>218</v>
      </c>
      <c r="E4568" s="97">
        <v>1.21E-2</v>
      </c>
    </row>
    <row r="4569" spans="1:5" ht="15">
      <c r="A4569" s="98">
        <v>433</v>
      </c>
      <c r="B4569">
        <v>17.62</v>
      </c>
      <c r="C4569">
        <v>16.420000000000002</v>
      </c>
      <c r="D4569" t="s">
        <v>218</v>
      </c>
      <c r="E4569" s="97">
        <v>-2.53E-2</v>
      </c>
    </row>
    <row r="4570" spans="1:5" ht="15">
      <c r="A4570" s="98">
        <v>432</v>
      </c>
      <c r="B4570">
        <v>19.25</v>
      </c>
      <c r="C4570">
        <v>17.579999999999998</v>
      </c>
      <c r="D4570" t="s">
        <v>218</v>
      </c>
      <c r="E4570" s="97">
        <v>2.6700000000000002E-2</v>
      </c>
    </row>
    <row r="4571" spans="1:5" ht="15">
      <c r="A4571" s="98">
        <v>431</v>
      </c>
      <c r="B4571">
        <v>18.670000000000002</v>
      </c>
      <c r="C4571">
        <v>17.88</v>
      </c>
      <c r="D4571" t="s">
        <v>218</v>
      </c>
      <c r="E4571" s="97">
        <v>6.5600000000000006E-2</v>
      </c>
    </row>
    <row r="4572" spans="1:5" ht="15">
      <c r="A4572" s="98">
        <v>430</v>
      </c>
      <c r="B4572">
        <v>18.75</v>
      </c>
      <c r="C4572">
        <v>17.53</v>
      </c>
      <c r="D4572" t="s">
        <v>218</v>
      </c>
      <c r="E4572" s="97">
        <v>4.3200000000000002E-2</v>
      </c>
    </row>
    <row r="4573" spans="1:5" ht="15">
      <c r="A4573" s="98">
        <v>429</v>
      </c>
      <c r="B4573">
        <v>18.03</v>
      </c>
      <c r="C4573">
        <v>17.260000000000002</v>
      </c>
      <c r="D4573" t="s">
        <v>218</v>
      </c>
      <c r="E4573" s="97">
        <v>-2.1999999999999999E-2</v>
      </c>
    </row>
    <row r="4574" spans="1:5" ht="15">
      <c r="A4574" s="98">
        <v>428</v>
      </c>
      <c r="B4574">
        <v>17.649999999999999</v>
      </c>
      <c r="C4574">
        <v>17.14</v>
      </c>
      <c r="D4574" t="s">
        <v>218</v>
      </c>
      <c r="E4574" s="97">
        <v>-9.5999999999999992E-3</v>
      </c>
    </row>
    <row r="4575" spans="1:5" ht="15">
      <c r="A4575" s="98">
        <v>427</v>
      </c>
      <c r="B4575">
        <v>18.899999999999999</v>
      </c>
      <c r="C4575">
        <v>18.02</v>
      </c>
      <c r="D4575" t="s">
        <v>218</v>
      </c>
      <c r="E4575" s="97">
        <v>-4.3E-3</v>
      </c>
    </row>
    <row r="4576" spans="1:5" ht="15">
      <c r="A4576" s="98">
        <v>426</v>
      </c>
      <c r="B4576">
        <v>21.24</v>
      </c>
      <c r="C4576">
        <v>20.3</v>
      </c>
      <c r="D4576" t="s">
        <v>218</v>
      </c>
      <c r="E4576" s="97">
        <v>3.1399999999999997E-2</v>
      </c>
    </row>
    <row r="4577" spans="1:5" ht="15">
      <c r="A4577" s="98">
        <v>425</v>
      </c>
      <c r="B4577">
        <v>20.440000000000001</v>
      </c>
      <c r="C4577">
        <v>19.07</v>
      </c>
      <c r="D4577" t="s">
        <v>218</v>
      </c>
      <c r="E4577" s="97">
        <v>-5.8200000000000002E-2</v>
      </c>
    </row>
    <row r="4578" spans="1:5" ht="15">
      <c r="A4578" s="98">
        <v>424</v>
      </c>
      <c r="B4578">
        <v>18.46</v>
      </c>
      <c r="C4578">
        <v>17.760000000000002</v>
      </c>
      <c r="D4578" t="s">
        <v>218</v>
      </c>
      <c r="E4578" s="97">
        <v>1.72E-2</v>
      </c>
    </row>
    <row r="4579" spans="1:5" ht="15">
      <c r="A4579" s="98">
        <v>423</v>
      </c>
      <c r="B4579">
        <v>17.54</v>
      </c>
      <c r="C4579">
        <v>16.63</v>
      </c>
      <c r="D4579" t="s">
        <v>218</v>
      </c>
      <c r="E4579" s="97">
        <v>0</v>
      </c>
    </row>
    <row r="4580" spans="1:5" ht="15">
      <c r="A4580" s="98">
        <v>422</v>
      </c>
      <c r="B4580">
        <v>16.670000000000002</v>
      </c>
      <c r="C4580">
        <v>15.23</v>
      </c>
      <c r="D4580" t="s">
        <v>218</v>
      </c>
      <c r="E4580" s="97">
        <v>3.1899999999999998E-2</v>
      </c>
    </row>
    <row r="4581" spans="1:5" ht="15">
      <c r="A4581" s="98">
        <v>421</v>
      </c>
      <c r="B4581">
        <v>16.079999999999998</v>
      </c>
      <c r="C4581">
        <v>13.99</v>
      </c>
      <c r="D4581" t="s">
        <v>218</v>
      </c>
      <c r="E4581" s="97">
        <v>-0.02</v>
      </c>
    </row>
    <row r="4582" spans="1:5" ht="15">
      <c r="A4582" s="98">
        <v>420</v>
      </c>
      <c r="B4582">
        <v>16.190000000000001</v>
      </c>
      <c r="C4582">
        <v>14.39</v>
      </c>
      <c r="D4582" t="s">
        <v>218</v>
      </c>
      <c r="E4582" s="97">
        <v>-4.24E-2</v>
      </c>
    </row>
    <row r="4583" spans="1:5" ht="15">
      <c r="A4583" s="98">
        <v>419</v>
      </c>
      <c r="B4583">
        <v>16.059999999999999</v>
      </c>
      <c r="C4583">
        <v>14.58</v>
      </c>
      <c r="D4583" t="s">
        <v>218</v>
      </c>
      <c r="E4583" s="97">
        <v>-4.9000000000000002E-2</v>
      </c>
    </row>
    <row r="4584" spans="1:5" ht="15">
      <c r="A4584" s="98">
        <v>418</v>
      </c>
      <c r="B4584">
        <v>15.24</v>
      </c>
      <c r="C4584">
        <v>13.66</v>
      </c>
      <c r="D4584" t="s">
        <v>218</v>
      </c>
      <c r="E4584" s="97">
        <v>1.3599999999999999E-2</v>
      </c>
    </row>
    <row r="4585" spans="1:5" ht="15">
      <c r="A4585" s="98">
        <v>417</v>
      </c>
      <c r="B4585">
        <v>15.43</v>
      </c>
      <c r="C4585">
        <v>14.54</v>
      </c>
      <c r="D4585" t="s">
        <v>218</v>
      </c>
      <c r="E4585" s="97">
        <v>1.2200000000000001E-2</v>
      </c>
    </row>
    <row r="4586" spans="1:5" ht="15">
      <c r="A4586" s="98">
        <v>416</v>
      </c>
      <c r="B4586">
        <v>15.95</v>
      </c>
      <c r="C4586">
        <v>15.11</v>
      </c>
      <c r="D4586" t="s">
        <v>218</v>
      </c>
      <c r="E4586" s="97">
        <v>-4.7100000000000003E-2</v>
      </c>
    </row>
    <row r="4587" spans="1:5" ht="15">
      <c r="A4587" s="98">
        <v>415</v>
      </c>
      <c r="B4587">
        <v>15.31</v>
      </c>
      <c r="C4587">
        <v>14.19</v>
      </c>
      <c r="D4587" t="s">
        <v>218</v>
      </c>
      <c r="E4587" s="97">
        <v>-1.7500000000000002E-2</v>
      </c>
    </row>
    <row r="4588" spans="1:5" ht="15">
      <c r="A4588" s="98">
        <v>414</v>
      </c>
      <c r="B4588">
        <v>16.579999999999998</v>
      </c>
      <c r="C4588">
        <v>15.56</v>
      </c>
      <c r="D4588" t="s">
        <v>218</v>
      </c>
      <c r="E4588" s="97">
        <v>4.5199999999999997E-2</v>
      </c>
    </row>
    <row r="4589" spans="1:5" ht="15">
      <c r="A4589" s="98">
        <v>413</v>
      </c>
      <c r="B4589">
        <v>16.39</v>
      </c>
      <c r="C4589">
        <v>14.69</v>
      </c>
      <c r="D4589" t="s">
        <v>218</v>
      </c>
      <c r="E4589" s="97">
        <v>-6.1100000000000002E-2</v>
      </c>
    </row>
    <row r="4590" spans="1:5" ht="15">
      <c r="A4590" s="98">
        <v>412</v>
      </c>
      <c r="B4590">
        <v>15.03</v>
      </c>
      <c r="C4590">
        <v>14.26</v>
      </c>
      <c r="D4590" t="s">
        <v>218</v>
      </c>
      <c r="E4590" s="97">
        <v>0.11550000000000001</v>
      </c>
    </row>
    <row r="4591" spans="1:5" ht="15">
      <c r="A4591" s="98">
        <v>411</v>
      </c>
      <c r="B4591">
        <v>15.59</v>
      </c>
      <c r="C4591">
        <v>14.14</v>
      </c>
      <c r="D4591" t="s">
        <v>218</v>
      </c>
      <c r="E4591" s="97">
        <v>-8.2000000000000007E-3</v>
      </c>
    </row>
    <row r="4592" spans="1:5" ht="15">
      <c r="A4592" s="98">
        <v>410</v>
      </c>
      <c r="B4592">
        <v>17.27</v>
      </c>
      <c r="C4592">
        <v>15.4</v>
      </c>
      <c r="D4592" t="s">
        <v>218</v>
      </c>
      <c r="E4592" s="97">
        <v>-2.5700000000000001E-2</v>
      </c>
    </row>
    <row r="4593" spans="1:5" ht="15">
      <c r="A4593" s="98">
        <v>409</v>
      </c>
      <c r="B4593">
        <v>17.2</v>
      </c>
      <c r="C4593">
        <v>15.39</v>
      </c>
      <c r="D4593" t="s">
        <v>218</v>
      </c>
      <c r="E4593" s="97">
        <v>8.0999999999999996E-3</v>
      </c>
    </row>
    <row r="4594" spans="1:5" ht="15">
      <c r="A4594" s="98">
        <v>408</v>
      </c>
      <c r="B4594">
        <v>15.98</v>
      </c>
      <c r="C4594">
        <v>14.67</v>
      </c>
      <c r="D4594" t="s">
        <v>218</v>
      </c>
      <c r="E4594" s="97">
        <v>-6.7199999999999996E-2</v>
      </c>
    </row>
    <row r="4595" spans="1:5" ht="15">
      <c r="A4595" s="98">
        <v>407</v>
      </c>
      <c r="B4595">
        <v>16.579999999999998</v>
      </c>
      <c r="C4595">
        <v>15.02</v>
      </c>
      <c r="D4595" t="s">
        <v>218</v>
      </c>
      <c r="E4595" s="97">
        <v>2.64E-2</v>
      </c>
    </row>
    <row r="4596" spans="1:5" ht="15">
      <c r="A4596" s="98">
        <v>406</v>
      </c>
      <c r="B4596">
        <v>16.649999999999999</v>
      </c>
      <c r="C4596">
        <v>15.56</v>
      </c>
      <c r="D4596" t="s">
        <v>218</v>
      </c>
      <c r="E4596" s="97">
        <v>-7.7000000000000002E-3</v>
      </c>
    </row>
    <row r="4597" spans="1:5" ht="15">
      <c r="A4597" s="98">
        <v>405</v>
      </c>
      <c r="B4597">
        <v>17.739999999999998</v>
      </c>
      <c r="C4597">
        <v>16.309999999999999</v>
      </c>
      <c r="D4597" t="s">
        <v>218</v>
      </c>
      <c r="E4597" s="97">
        <v>1.9599999999999999E-2</v>
      </c>
    </row>
    <row r="4598" spans="1:5" ht="15">
      <c r="A4598" s="98">
        <v>404</v>
      </c>
      <c r="B4598">
        <v>17.13</v>
      </c>
      <c r="C4598">
        <v>16.29</v>
      </c>
      <c r="D4598" t="s">
        <v>218</v>
      </c>
      <c r="E4598" s="97">
        <v>-2.3699999999999999E-2</v>
      </c>
    </row>
    <row r="4599" spans="1:5" ht="15">
      <c r="A4599" s="98">
        <v>403</v>
      </c>
      <c r="B4599">
        <v>18.940000000000001</v>
      </c>
      <c r="C4599">
        <v>17.93</v>
      </c>
      <c r="D4599" t="s">
        <v>218</v>
      </c>
      <c r="E4599" s="97">
        <v>-3.0999999999999999E-3</v>
      </c>
    </row>
    <row r="4600" spans="1:5" ht="15">
      <c r="A4600" s="98">
        <v>402</v>
      </c>
      <c r="B4600">
        <v>21.06</v>
      </c>
      <c r="C4600">
        <v>18.62</v>
      </c>
      <c r="D4600" t="s">
        <v>218</v>
      </c>
      <c r="E4600" s="97">
        <v>-8.3000000000000001E-3</v>
      </c>
    </row>
    <row r="4601" spans="1:5" ht="15">
      <c r="A4601" s="98">
        <v>401</v>
      </c>
      <c r="B4601">
        <v>20.12</v>
      </c>
      <c r="C4601">
        <v>18.73</v>
      </c>
      <c r="D4601" t="s">
        <v>218</v>
      </c>
      <c r="E4601" s="97">
        <v>-4.1399999999999999E-2</v>
      </c>
    </row>
    <row r="4602" spans="1:5" ht="15">
      <c r="A4602" s="98">
        <v>400</v>
      </c>
      <c r="B4602">
        <v>19.739999999999998</v>
      </c>
      <c r="C4602">
        <v>17.2</v>
      </c>
      <c r="D4602" t="s">
        <v>218</v>
      </c>
      <c r="E4602" s="97">
        <v>8.8000000000000005E-3</v>
      </c>
    </row>
    <row r="4603" spans="1:5" ht="15">
      <c r="A4603" s="98">
        <v>399</v>
      </c>
      <c r="B4603">
        <v>19.62</v>
      </c>
      <c r="C4603">
        <v>17.850000000000001</v>
      </c>
      <c r="D4603" t="s">
        <v>218</v>
      </c>
      <c r="E4603" s="97">
        <v>7.4000000000000003E-3</v>
      </c>
    </row>
    <row r="4604" spans="1:5" ht="15">
      <c r="A4604" s="98">
        <v>398</v>
      </c>
      <c r="B4604">
        <v>20.420000000000002</v>
      </c>
      <c r="C4604">
        <v>18.600000000000001</v>
      </c>
      <c r="D4604" t="s">
        <v>218</v>
      </c>
      <c r="E4604" s="97">
        <v>5.1999999999999998E-3</v>
      </c>
    </row>
    <row r="4605" spans="1:5" ht="15">
      <c r="A4605" s="98">
        <v>397</v>
      </c>
      <c r="B4605">
        <v>18.66</v>
      </c>
      <c r="C4605">
        <v>17.579999999999998</v>
      </c>
      <c r="D4605" t="s">
        <v>218</v>
      </c>
      <c r="E4605" s="97">
        <v>2.35E-2</v>
      </c>
    </row>
    <row r="4606" spans="1:5" ht="15">
      <c r="A4606" s="98">
        <v>396</v>
      </c>
      <c r="B4606">
        <v>19.170000000000002</v>
      </c>
      <c r="C4606">
        <v>18.03</v>
      </c>
      <c r="D4606" t="s">
        <v>218</v>
      </c>
      <c r="E4606" s="97">
        <v>0</v>
      </c>
    </row>
    <row r="4607" spans="1:5" ht="15">
      <c r="A4607" s="98">
        <v>395</v>
      </c>
      <c r="B4607">
        <v>19.690000000000001</v>
      </c>
      <c r="C4607">
        <v>17.690000000000001</v>
      </c>
      <c r="D4607" t="s">
        <v>218</v>
      </c>
      <c r="E4607" s="97">
        <v>0</v>
      </c>
    </row>
    <row r="4608" spans="1:5" ht="15">
      <c r="A4608" s="98">
        <v>394</v>
      </c>
      <c r="B4608">
        <v>18.05</v>
      </c>
      <c r="C4608">
        <v>16.97</v>
      </c>
      <c r="D4608" t="s">
        <v>218</v>
      </c>
      <c r="E4608" s="97">
        <v>3.2099999999999997E-2</v>
      </c>
    </row>
    <row r="4609" spans="1:5" ht="15">
      <c r="A4609" s="98">
        <v>393</v>
      </c>
      <c r="B4609">
        <v>20.27</v>
      </c>
      <c r="C4609">
        <v>18.95</v>
      </c>
      <c r="D4609" t="s">
        <v>218</v>
      </c>
      <c r="E4609" s="97">
        <v>1.7500000000000002E-2</v>
      </c>
    </row>
    <row r="4610" spans="1:5" ht="15">
      <c r="A4610" s="98">
        <v>392</v>
      </c>
      <c r="B4610">
        <v>19.22</v>
      </c>
      <c r="C4610">
        <v>18.09</v>
      </c>
      <c r="D4610" t="s">
        <v>218</v>
      </c>
      <c r="E4610" s="97">
        <v>1.46E-2</v>
      </c>
    </row>
    <row r="4611" spans="1:5" ht="15">
      <c r="A4611" s="98">
        <v>391</v>
      </c>
      <c r="B4611">
        <v>17.38</v>
      </c>
      <c r="C4611">
        <v>16.82</v>
      </c>
      <c r="D4611" t="s">
        <v>218</v>
      </c>
      <c r="E4611" s="97">
        <v>-3.2099999999999997E-2</v>
      </c>
    </row>
    <row r="4612" spans="1:5" ht="15">
      <c r="A4612" s="98">
        <v>390</v>
      </c>
      <c r="B4612">
        <v>17.04</v>
      </c>
      <c r="C4612">
        <v>15.75</v>
      </c>
      <c r="D4612" t="s">
        <v>218</v>
      </c>
      <c r="E4612" s="97">
        <v>-5.2600000000000001E-2</v>
      </c>
    </row>
    <row r="4613" spans="1:5" ht="15">
      <c r="A4613" s="98">
        <v>389</v>
      </c>
      <c r="B4613">
        <v>16.47</v>
      </c>
      <c r="C4613">
        <v>15.83</v>
      </c>
      <c r="D4613" t="s">
        <v>218</v>
      </c>
      <c r="E4613" s="97">
        <v>6.3899999999999998E-2</v>
      </c>
    </row>
    <row r="4614" spans="1:5" ht="15">
      <c r="A4614" s="98">
        <v>388</v>
      </c>
      <c r="B4614">
        <v>17.41</v>
      </c>
      <c r="C4614">
        <v>16.920000000000002</v>
      </c>
      <c r="D4614" t="s">
        <v>218</v>
      </c>
      <c r="E4614" s="97">
        <v>3.4299999999999997E-2</v>
      </c>
    </row>
    <row r="4615" spans="1:5" ht="15">
      <c r="A4615" s="98">
        <v>387</v>
      </c>
      <c r="B4615">
        <v>17.489999999999998</v>
      </c>
      <c r="C4615">
        <v>16.010000000000002</v>
      </c>
      <c r="D4615" t="s">
        <v>218</v>
      </c>
      <c r="E4615" s="97">
        <v>1.49E-2</v>
      </c>
    </row>
    <row r="4616" spans="1:5" ht="15">
      <c r="A4616" s="98">
        <v>386</v>
      </c>
      <c r="B4616">
        <v>17.63</v>
      </c>
      <c r="C4616">
        <v>16.78</v>
      </c>
      <c r="D4616" t="s">
        <v>218</v>
      </c>
      <c r="E4616" s="97">
        <v>-3.8199999999999998E-2</v>
      </c>
    </row>
    <row r="4617" spans="1:5" ht="15">
      <c r="A4617" s="98">
        <v>385</v>
      </c>
      <c r="B4617">
        <v>17.920000000000002</v>
      </c>
      <c r="C4617">
        <v>16.73</v>
      </c>
      <c r="D4617" t="s">
        <v>218</v>
      </c>
      <c r="E4617" s="97">
        <v>2.0299999999999999E-2</v>
      </c>
    </row>
    <row r="4618" spans="1:5" ht="15">
      <c r="A4618" s="98">
        <v>384</v>
      </c>
      <c r="B4618">
        <v>19.28</v>
      </c>
      <c r="C4618">
        <v>17.809999999999999</v>
      </c>
      <c r="D4618" t="s">
        <v>218</v>
      </c>
      <c r="E4618" s="97">
        <v>4.8999999999999998E-3</v>
      </c>
    </row>
    <row r="4619" spans="1:5" ht="15">
      <c r="A4619" s="98">
        <v>383</v>
      </c>
      <c r="B4619">
        <v>19.87</v>
      </c>
      <c r="C4619">
        <v>18.41</v>
      </c>
      <c r="D4619" t="s">
        <v>218</v>
      </c>
      <c r="E4619" s="97">
        <v>4.8999999999999998E-3</v>
      </c>
    </row>
    <row r="4620" spans="1:5" ht="15">
      <c r="A4620" s="98">
        <v>382</v>
      </c>
      <c r="B4620">
        <v>20.91</v>
      </c>
      <c r="C4620">
        <v>17.95</v>
      </c>
      <c r="D4620" t="s">
        <v>218</v>
      </c>
      <c r="E4620" s="97">
        <v>3.5700000000000003E-2</v>
      </c>
    </row>
    <row r="4621" spans="1:5" ht="15">
      <c r="A4621" s="98">
        <v>381</v>
      </c>
      <c r="B4621">
        <v>21.59</v>
      </c>
      <c r="C4621">
        <v>19.38</v>
      </c>
      <c r="D4621" t="s">
        <v>218</v>
      </c>
      <c r="E4621" s="97">
        <v>2.1700000000000001E-2</v>
      </c>
    </row>
    <row r="4622" spans="1:5" ht="15">
      <c r="A4622" s="98">
        <v>380</v>
      </c>
      <c r="B4622">
        <v>19.88</v>
      </c>
      <c r="C4622">
        <v>18.77</v>
      </c>
      <c r="D4622" t="s">
        <v>218</v>
      </c>
      <c r="E4622" s="97">
        <v>-4.7899999999999998E-2</v>
      </c>
    </row>
    <row r="4623" spans="1:5" ht="15">
      <c r="A4623" s="98">
        <v>379</v>
      </c>
      <c r="B4623">
        <v>19.940000000000001</v>
      </c>
      <c r="C4623">
        <v>18.62</v>
      </c>
      <c r="D4623" t="s">
        <v>218</v>
      </c>
      <c r="E4623" s="97">
        <v>4.58E-2</v>
      </c>
    </row>
    <row r="4624" spans="1:5" ht="15">
      <c r="A4624" s="98">
        <v>378</v>
      </c>
      <c r="B4624">
        <v>21.87</v>
      </c>
      <c r="C4624">
        <v>20.94</v>
      </c>
      <c r="D4624" t="s">
        <v>218</v>
      </c>
      <c r="E4624" s="97">
        <v>1.67E-2</v>
      </c>
    </row>
    <row r="4625" spans="1:5" ht="15">
      <c r="A4625" s="98">
        <v>377</v>
      </c>
      <c r="B4625">
        <v>22.7</v>
      </c>
      <c r="C4625">
        <v>20.76</v>
      </c>
      <c r="D4625" t="s">
        <v>218</v>
      </c>
      <c r="E4625" s="97">
        <v>-1.8100000000000002E-2</v>
      </c>
    </row>
    <row r="4626" spans="1:5" ht="15">
      <c r="A4626" s="98">
        <v>376</v>
      </c>
      <c r="B4626">
        <v>22.69</v>
      </c>
      <c r="C4626">
        <v>20.83</v>
      </c>
      <c r="D4626" t="s">
        <v>218</v>
      </c>
      <c r="E4626" s="97">
        <v>-1.2800000000000001E-2</v>
      </c>
    </row>
    <row r="4627" spans="1:5" ht="15">
      <c r="A4627" s="98">
        <v>375</v>
      </c>
      <c r="B4627">
        <v>24.51</v>
      </c>
      <c r="C4627">
        <v>21.87</v>
      </c>
      <c r="D4627" t="s">
        <v>218</v>
      </c>
      <c r="E4627" s="97">
        <v>-5.0900000000000001E-2</v>
      </c>
    </row>
    <row r="4628" spans="1:5" ht="15">
      <c r="A4628" s="98">
        <v>374</v>
      </c>
      <c r="B4628">
        <v>25.14</v>
      </c>
      <c r="C4628">
        <v>23.07</v>
      </c>
      <c r="D4628" t="s">
        <v>218</v>
      </c>
      <c r="E4628" s="97">
        <v>4.8300000000000003E-2</v>
      </c>
    </row>
    <row r="4629" spans="1:5" ht="15">
      <c r="A4629" s="98">
        <v>373</v>
      </c>
      <c r="B4629">
        <v>24.88</v>
      </c>
      <c r="C4629">
        <v>22.01</v>
      </c>
      <c r="D4629" t="s">
        <v>218</v>
      </c>
      <c r="E4629" s="97">
        <v>6.1199999999999997E-2</v>
      </c>
    </row>
    <row r="4630" spans="1:5" ht="15">
      <c r="A4630" s="98">
        <v>372</v>
      </c>
      <c r="B4630">
        <v>23.19</v>
      </c>
      <c r="C4630">
        <v>19.98</v>
      </c>
      <c r="D4630" t="s">
        <v>218</v>
      </c>
      <c r="E4630" s="97">
        <v>-2.8000000000000001E-2</v>
      </c>
    </row>
    <row r="4631" spans="1:5" ht="15">
      <c r="A4631" s="98">
        <v>371</v>
      </c>
      <c r="B4631">
        <v>24.62</v>
      </c>
      <c r="C4631">
        <v>21.99</v>
      </c>
      <c r="D4631" t="s">
        <v>218</v>
      </c>
      <c r="E4631" s="97">
        <v>1.06E-2</v>
      </c>
    </row>
    <row r="4632" spans="1:5" ht="15">
      <c r="A4632" s="98">
        <v>370</v>
      </c>
      <c r="B4632">
        <v>23.22</v>
      </c>
      <c r="C4632">
        <v>21.48</v>
      </c>
      <c r="D4632" t="s">
        <v>218</v>
      </c>
      <c r="E4632" s="97">
        <v>1.43E-2</v>
      </c>
    </row>
    <row r="4633" spans="1:5" ht="15">
      <c r="A4633" s="98">
        <v>369</v>
      </c>
      <c r="B4633">
        <v>22.29</v>
      </c>
      <c r="C4633">
        <v>21.3</v>
      </c>
      <c r="D4633" t="s">
        <v>218</v>
      </c>
      <c r="E4633" s="97">
        <v>-4.4999999999999997E-3</v>
      </c>
    </row>
    <row r="4634" spans="1:5" ht="15">
      <c r="A4634" s="98">
        <v>368</v>
      </c>
      <c r="B4634">
        <v>22.47</v>
      </c>
      <c r="C4634">
        <v>20.99</v>
      </c>
      <c r="D4634" t="s">
        <v>218</v>
      </c>
      <c r="E4634" s="97">
        <v>4.2799999999999998E-2</v>
      </c>
    </row>
    <row r="4635" spans="1:5" ht="15">
      <c r="A4635" s="98">
        <v>367</v>
      </c>
      <c r="B4635">
        <v>24.14</v>
      </c>
      <c r="C4635">
        <v>22.66</v>
      </c>
      <c r="D4635" t="s">
        <v>218</v>
      </c>
      <c r="E4635" s="97">
        <v>-4.2700000000000002E-2</v>
      </c>
    </row>
    <row r="4636" spans="1:5" ht="15">
      <c r="A4636" s="98">
        <v>366</v>
      </c>
      <c r="B4636">
        <v>25.46</v>
      </c>
      <c r="C4636">
        <v>22.78</v>
      </c>
      <c r="D4636" t="s">
        <v>218</v>
      </c>
      <c r="E4636" s="97">
        <v>-5.3E-3</v>
      </c>
    </row>
    <row r="4637" spans="1:5" ht="15">
      <c r="A4637" s="98">
        <v>365</v>
      </c>
      <c r="B4637">
        <v>26.71</v>
      </c>
      <c r="C4637">
        <v>23.94</v>
      </c>
      <c r="D4637" t="s">
        <v>218</v>
      </c>
      <c r="E4637" s="97">
        <v>0</v>
      </c>
    </row>
    <row r="4638" spans="1:5" ht="15">
      <c r="A4638" s="98">
        <v>364</v>
      </c>
      <c r="B4638">
        <v>27.73</v>
      </c>
      <c r="C4638">
        <v>25.72</v>
      </c>
      <c r="D4638" t="s">
        <v>218</v>
      </c>
      <c r="E4638" s="97">
        <v>-5.21E-2</v>
      </c>
    </row>
    <row r="4639" spans="1:5" ht="15">
      <c r="A4639" s="98">
        <v>363</v>
      </c>
      <c r="B4639">
        <v>25.9</v>
      </c>
      <c r="C4639">
        <v>24.5</v>
      </c>
      <c r="D4639" t="s">
        <v>218</v>
      </c>
      <c r="E4639" s="97">
        <v>-6.6600000000000006E-2</v>
      </c>
    </row>
    <row r="4640" spans="1:5" ht="15">
      <c r="A4640" s="98">
        <v>362</v>
      </c>
      <c r="B4640">
        <v>23.89</v>
      </c>
      <c r="C4640">
        <v>21.8</v>
      </c>
      <c r="D4640" t="s">
        <v>218</v>
      </c>
      <c r="E4640" s="97">
        <v>-1.01E-2</v>
      </c>
    </row>
    <row r="4641" spans="1:5" ht="15">
      <c r="A4641" s="98">
        <v>361</v>
      </c>
      <c r="B4641">
        <v>22.48</v>
      </c>
      <c r="C4641">
        <v>20.74</v>
      </c>
      <c r="D4641" t="s">
        <v>218</v>
      </c>
      <c r="E4641" s="97">
        <v>3.8999999999999998E-3</v>
      </c>
    </row>
    <row r="4642" spans="1:5" ht="15">
      <c r="A4642" s="98">
        <v>360</v>
      </c>
      <c r="B4642">
        <v>23.1</v>
      </c>
      <c r="C4642">
        <v>20.29</v>
      </c>
      <c r="D4642" t="s">
        <v>218</v>
      </c>
      <c r="E4642" s="97">
        <v>-1.23E-2</v>
      </c>
    </row>
    <row r="4643" spans="1:5" ht="15">
      <c r="A4643" s="98">
        <v>359</v>
      </c>
      <c r="B4643">
        <v>23.56</v>
      </c>
      <c r="C4643">
        <v>19.63</v>
      </c>
      <c r="D4643" t="s">
        <v>218</v>
      </c>
      <c r="E4643" s="97">
        <v>-3.3500000000000002E-2</v>
      </c>
    </row>
    <row r="4644" spans="1:5" ht="15">
      <c r="A4644" s="98">
        <v>358</v>
      </c>
      <c r="B4644">
        <v>23.9</v>
      </c>
      <c r="C4644">
        <v>22.09</v>
      </c>
      <c r="D4644" t="s">
        <v>218</v>
      </c>
      <c r="E4644" s="97">
        <v>3.6200000000000003E-2</v>
      </c>
    </row>
    <row r="4645" spans="1:5" ht="15">
      <c r="A4645" s="98">
        <v>357</v>
      </c>
      <c r="B4645">
        <v>24.93</v>
      </c>
      <c r="C4645">
        <v>22.66</v>
      </c>
      <c r="D4645" t="s">
        <v>218</v>
      </c>
      <c r="E4645" s="97">
        <v>6.3100000000000003E-2</v>
      </c>
    </row>
    <row r="4646" spans="1:5" ht="15">
      <c r="A4646" s="98">
        <v>356</v>
      </c>
      <c r="B4646">
        <v>24.81</v>
      </c>
      <c r="C4646">
        <v>21.55</v>
      </c>
      <c r="D4646" t="s">
        <v>218</v>
      </c>
      <c r="E4646" s="97">
        <v>-4.9799999999999997E-2</v>
      </c>
    </row>
    <row r="4647" spans="1:5" ht="15">
      <c r="A4647" s="98">
        <v>355</v>
      </c>
      <c r="B4647">
        <v>23.09</v>
      </c>
      <c r="C4647">
        <v>20.61</v>
      </c>
      <c r="D4647" t="s">
        <v>218</v>
      </c>
      <c r="E4647" s="97">
        <v>2.64E-2</v>
      </c>
    </row>
    <row r="4648" spans="1:5" ht="15">
      <c r="A4648" s="98">
        <v>354</v>
      </c>
      <c r="B4648">
        <v>21.98</v>
      </c>
      <c r="C4648">
        <v>18.239999999999998</v>
      </c>
      <c r="D4648" t="s">
        <v>218</v>
      </c>
      <c r="E4648" s="97">
        <v>2.6200000000000001E-2</v>
      </c>
    </row>
    <row r="4649" spans="1:5" ht="15">
      <c r="A4649" s="98">
        <v>353</v>
      </c>
      <c r="B4649">
        <v>18.62</v>
      </c>
      <c r="C4649">
        <v>17.36</v>
      </c>
      <c r="D4649" t="s">
        <v>218</v>
      </c>
      <c r="E4649" s="97">
        <v>4.9000000000000002E-2</v>
      </c>
    </row>
    <row r="4650" spans="1:5" ht="15">
      <c r="A4650" s="98">
        <v>352</v>
      </c>
      <c r="B4650">
        <v>20.05</v>
      </c>
      <c r="C4650">
        <v>17.09</v>
      </c>
      <c r="D4650" t="s">
        <v>218</v>
      </c>
      <c r="E4650" s="97">
        <v>3.2899999999999999E-2</v>
      </c>
    </row>
    <row r="4651" spans="1:5" ht="15">
      <c r="A4651" s="98">
        <v>351</v>
      </c>
      <c r="B4651">
        <v>20.48</v>
      </c>
      <c r="C4651">
        <v>16.77</v>
      </c>
      <c r="D4651" t="s">
        <v>218</v>
      </c>
      <c r="E4651" s="97">
        <v>-2.5100000000000001E-2</v>
      </c>
    </row>
    <row r="4652" spans="1:5" ht="15">
      <c r="A4652" s="98">
        <v>350</v>
      </c>
      <c r="B4652">
        <v>19.37</v>
      </c>
      <c r="C4652">
        <v>17.899999999999999</v>
      </c>
      <c r="D4652" t="s">
        <v>218</v>
      </c>
      <c r="E4652" s="97">
        <v>-1.11E-2</v>
      </c>
    </row>
    <row r="4653" spans="1:5" ht="15">
      <c r="A4653" s="98">
        <v>349</v>
      </c>
      <c r="B4653">
        <v>21.36</v>
      </c>
      <c r="C4653">
        <v>19.89</v>
      </c>
      <c r="D4653" t="s">
        <v>218</v>
      </c>
      <c r="E4653" s="97">
        <v>-8.8200000000000001E-2</v>
      </c>
    </row>
    <row r="4654" spans="1:5" ht="15">
      <c r="A4654" s="98">
        <v>348</v>
      </c>
      <c r="B4654">
        <v>20.57</v>
      </c>
      <c r="C4654">
        <v>19.420000000000002</v>
      </c>
      <c r="D4654" t="s">
        <v>218</v>
      </c>
      <c r="E4654" s="97">
        <v>-2.4400000000000002E-2</v>
      </c>
    </row>
    <row r="4655" spans="1:5" ht="15">
      <c r="A4655" s="98">
        <v>347</v>
      </c>
      <c r="B4655">
        <v>20.12</v>
      </c>
      <c r="C4655">
        <v>19.38</v>
      </c>
      <c r="D4655" t="s">
        <v>218</v>
      </c>
      <c r="E4655" s="97">
        <v>6.2300000000000001E-2</v>
      </c>
    </row>
    <row r="4656" spans="1:5" ht="15">
      <c r="A4656" s="98">
        <v>346</v>
      </c>
      <c r="B4656">
        <v>21.19</v>
      </c>
      <c r="C4656">
        <v>19.600000000000001</v>
      </c>
      <c r="D4656" t="s">
        <v>218</v>
      </c>
      <c r="E4656" s="97">
        <v>1.3100000000000001E-2</v>
      </c>
    </row>
    <row r="4657" spans="1:5" ht="15">
      <c r="A4657" s="98">
        <v>345</v>
      </c>
      <c r="B4657">
        <v>19.71</v>
      </c>
      <c r="C4657">
        <v>16.87</v>
      </c>
      <c r="D4657" t="s">
        <v>218</v>
      </c>
      <c r="E4657" s="97">
        <v>-1.4500000000000001E-2</v>
      </c>
    </row>
    <row r="4658" spans="1:5" ht="15">
      <c r="A4658" s="98">
        <v>344</v>
      </c>
      <c r="B4658">
        <v>18.190000000000001</v>
      </c>
      <c r="C4658">
        <v>16.66</v>
      </c>
      <c r="D4658" t="s">
        <v>218</v>
      </c>
      <c r="E4658" s="97">
        <v>4.5600000000000002E-2</v>
      </c>
    </row>
    <row r="4659" spans="1:5" ht="15">
      <c r="A4659" s="98">
        <v>343</v>
      </c>
      <c r="B4659">
        <v>16.920000000000002</v>
      </c>
      <c r="C4659">
        <v>16.27</v>
      </c>
      <c r="D4659" t="s">
        <v>218</v>
      </c>
      <c r="E4659" s="97">
        <v>-8.7800000000000003E-2</v>
      </c>
    </row>
    <row r="4660" spans="1:5" ht="15">
      <c r="A4660" s="98">
        <v>342</v>
      </c>
      <c r="B4660">
        <v>18.22</v>
      </c>
      <c r="C4660">
        <v>17.18</v>
      </c>
      <c r="D4660" t="s">
        <v>218</v>
      </c>
      <c r="E4660" s="97">
        <v>-7.6E-3</v>
      </c>
    </row>
    <row r="4661" spans="1:5" ht="15">
      <c r="A4661" s="98">
        <v>341</v>
      </c>
      <c r="B4661">
        <v>18.25</v>
      </c>
      <c r="C4661">
        <v>16.95</v>
      </c>
      <c r="D4661" t="s">
        <v>218</v>
      </c>
      <c r="E4661" s="97">
        <v>2.5899999999999999E-2</v>
      </c>
    </row>
    <row r="4662" spans="1:5" ht="15">
      <c r="A4662" s="98">
        <v>340</v>
      </c>
      <c r="B4662">
        <v>18.32</v>
      </c>
      <c r="C4662">
        <v>17.73</v>
      </c>
      <c r="D4662" t="s">
        <v>218</v>
      </c>
      <c r="E4662" s="97">
        <v>4.3400000000000001E-2</v>
      </c>
    </row>
    <row r="4663" spans="1:5" ht="15">
      <c r="A4663" s="98">
        <v>339</v>
      </c>
      <c r="B4663">
        <v>19.190000000000001</v>
      </c>
      <c r="C4663">
        <v>17.29</v>
      </c>
      <c r="D4663" t="s">
        <v>218</v>
      </c>
      <c r="E4663" s="97">
        <v>1.3299999999999999E-2</v>
      </c>
    </row>
    <row r="4664" spans="1:5" ht="15">
      <c r="A4664" s="98">
        <v>338</v>
      </c>
      <c r="B4664">
        <v>19.170000000000002</v>
      </c>
      <c r="C4664">
        <v>17.84</v>
      </c>
      <c r="D4664" t="s">
        <v>218</v>
      </c>
      <c r="E4664" s="97">
        <v>-4.5900000000000003E-2</v>
      </c>
    </row>
    <row r="4665" spans="1:5" ht="15">
      <c r="A4665" s="98">
        <v>337</v>
      </c>
      <c r="B4665">
        <v>19.510000000000002</v>
      </c>
      <c r="C4665">
        <v>17.75</v>
      </c>
      <c r="D4665" t="s">
        <v>218</v>
      </c>
      <c r="E4665" s="97">
        <v>8.1299999999999997E-2</v>
      </c>
    </row>
    <row r="4666" spans="1:5" ht="15">
      <c r="A4666" s="98">
        <v>336</v>
      </c>
      <c r="B4666">
        <v>17.82</v>
      </c>
      <c r="C4666">
        <v>16.36</v>
      </c>
      <c r="D4666" t="s">
        <v>218</v>
      </c>
      <c r="E4666" s="97">
        <v>-1.6E-2</v>
      </c>
    </row>
    <row r="4667" spans="1:5" ht="15">
      <c r="A4667" s="98">
        <v>335</v>
      </c>
      <c r="B4667">
        <v>17.32</v>
      </c>
      <c r="C4667">
        <v>16.46</v>
      </c>
      <c r="D4667" t="s">
        <v>218</v>
      </c>
      <c r="E4667" s="97">
        <v>-2.1399999999999999E-2</v>
      </c>
    </row>
    <row r="4668" spans="1:5" ht="15">
      <c r="A4668" s="98">
        <v>334</v>
      </c>
      <c r="B4668">
        <v>17.46</v>
      </c>
      <c r="C4668">
        <v>16.09</v>
      </c>
      <c r="D4668" t="s">
        <v>218</v>
      </c>
      <c r="E4668" s="97">
        <v>3.32E-2</v>
      </c>
    </row>
    <row r="4669" spans="1:5" ht="15">
      <c r="A4669" s="98">
        <v>333</v>
      </c>
      <c r="B4669">
        <v>16.809999999999999</v>
      </c>
      <c r="C4669">
        <v>15.69</v>
      </c>
      <c r="D4669" t="s">
        <v>218</v>
      </c>
      <c r="E4669" s="97">
        <v>-1.5100000000000001E-2</v>
      </c>
    </row>
    <row r="4670" spans="1:5" ht="15">
      <c r="A4670" s="98">
        <v>332</v>
      </c>
      <c r="B4670">
        <v>16.7</v>
      </c>
      <c r="C4670">
        <v>15.45</v>
      </c>
      <c r="D4670" t="s">
        <v>218</v>
      </c>
      <c r="E4670" s="97">
        <v>-2.8500000000000001E-2</v>
      </c>
    </row>
    <row r="4671" spans="1:5" ht="15">
      <c r="A4671" s="98">
        <v>331</v>
      </c>
      <c r="B4671">
        <v>17.05</v>
      </c>
      <c r="C4671">
        <v>15.97</v>
      </c>
      <c r="D4671" t="s">
        <v>218</v>
      </c>
      <c r="E4671" s="97">
        <v>-1.0500000000000001E-2</v>
      </c>
    </row>
    <row r="4672" spans="1:5" ht="15">
      <c r="A4672" s="98">
        <v>330</v>
      </c>
      <c r="B4672">
        <v>20.49</v>
      </c>
      <c r="C4672">
        <v>18.34</v>
      </c>
      <c r="D4672" t="s">
        <v>218</v>
      </c>
      <c r="E4672" s="97">
        <v>4.1099999999999998E-2</v>
      </c>
    </row>
    <row r="4673" spans="1:5" ht="15">
      <c r="A4673" s="98">
        <v>329</v>
      </c>
      <c r="B4673">
        <v>21</v>
      </c>
      <c r="C4673">
        <v>18.37</v>
      </c>
      <c r="D4673" t="s">
        <v>218</v>
      </c>
      <c r="E4673" s="97">
        <v>5.1000000000000004E-3</v>
      </c>
    </row>
    <row r="4674" spans="1:5" ht="15">
      <c r="A4674" s="98">
        <v>328</v>
      </c>
      <c r="B4674">
        <v>20.67</v>
      </c>
      <c r="C4674">
        <v>18.989999999999998</v>
      </c>
      <c r="D4674" t="s">
        <v>218</v>
      </c>
      <c r="E4674" s="97">
        <v>-1.9800000000000002E-2</v>
      </c>
    </row>
    <row r="4675" spans="1:5" ht="15">
      <c r="A4675" s="98">
        <v>327</v>
      </c>
      <c r="B4675">
        <v>18.47</v>
      </c>
      <c r="C4675">
        <v>17.07</v>
      </c>
      <c r="D4675" t="s">
        <v>218</v>
      </c>
      <c r="E4675" s="97">
        <v>-7.5600000000000001E-2</v>
      </c>
    </row>
    <row r="4676" spans="1:5" ht="15">
      <c r="A4676" s="98">
        <v>326</v>
      </c>
      <c r="B4676">
        <v>17.3</v>
      </c>
      <c r="C4676">
        <v>16.52</v>
      </c>
      <c r="D4676" t="s">
        <v>218</v>
      </c>
      <c r="E4676" s="97">
        <v>0.01</v>
      </c>
    </row>
    <row r="4677" spans="1:5" ht="15">
      <c r="A4677" s="98">
        <v>325</v>
      </c>
      <c r="B4677">
        <v>18.079999999999998</v>
      </c>
      <c r="C4677">
        <v>17.23</v>
      </c>
      <c r="D4677" t="s">
        <v>218</v>
      </c>
      <c r="E4677" s="97">
        <v>5.11E-2</v>
      </c>
    </row>
    <row r="4678" spans="1:5" ht="15">
      <c r="A4678" s="98">
        <v>324</v>
      </c>
      <c r="B4678">
        <v>19.09</v>
      </c>
      <c r="C4678">
        <v>18.260000000000002</v>
      </c>
      <c r="D4678" t="s">
        <v>218</v>
      </c>
      <c r="E4678" s="97">
        <v>7.3999999999999996E-2</v>
      </c>
    </row>
    <row r="4679" spans="1:5" ht="15">
      <c r="A4679" s="98">
        <v>323</v>
      </c>
      <c r="B4679">
        <v>19.18</v>
      </c>
      <c r="C4679">
        <v>18.2</v>
      </c>
      <c r="D4679" t="s">
        <v>218</v>
      </c>
      <c r="E4679" s="97">
        <v>-4.65E-2</v>
      </c>
    </row>
    <row r="4680" spans="1:5" ht="15">
      <c r="A4680" s="98">
        <v>322</v>
      </c>
      <c r="B4680">
        <v>19.25</v>
      </c>
      <c r="C4680">
        <v>17.559999999999999</v>
      </c>
      <c r="D4680" t="s">
        <v>218</v>
      </c>
      <c r="E4680" s="97">
        <v>-5.4199999999999998E-2</v>
      </c>
    </row>
    <row r="4681" spans="1:5" ht="15">
      <c r="A4681" s="98">
        <v>321</v>
      </c>
      <c r="B4681">
        <v>16.45</v>
      </c>
      <c r="C4681">
        <v>15.64</v>
      </c>
      <c r="D4681" t="s">
        <v>218</v>
      </c>
      <c r="E4681" s="97">
        <v>-4.7000000000000002E-3</v>
      </c>
    </row>
    <row r="4682" spans="1:5" ht="15">
      <c r="A4682" s="98">
        <v>320</v>
      </c>
      <c r="B4682">
        <v>16.27</v>
      </c>
      <c r="C4682">
        <v>15.82</v>
      </c>
      <c r="D4682" t="s">
        <v>218</v>
      </c>
      <c r="E4682" s="97">
        <v>-4.7000000000000002E-3</v>
      </c>
    </row>
    <row r="4683" spans="1:5" ht="15">
      <c r="A4683" s="98">
        <v>319</v>
      </c>
      <c r="B4683">
        <v>16.03</v>
      </c>
      <c r="C4683">
        <v>15.48</v>
      </c>
      <c r="D4683" t="s">
        <v>218</v>
      </c>
      <c r="E4683" s="97">
        <v>3.0999999999999999E-3</v>
      </c>
    </row>
    <row r="4684" spans="1:5" ht="15">
      <c r="A4684" s="98">
        <v>318</v>
      </c>
      <c r="B4684">
        <v>16.47</v>
      </c>
      <c r="C4684">
        <v>15.27</v>
      </c>
      <c r="D4684" t="s">
        <v>218</v>
      </c>
      <c r="E4684" s="97">
        <v>-1.1599999999999999E-2</v>
      </c>
    </row>
    <row r="4685" spans="1:5" ht="15">
      <c r="A4685" s="98">
        <v>317</v>
      </c>
      <c r="B4685">
        <v>15.67</v>
      </c>
      <c r="C4685">
        <v>15.28</v>
      </c>
      <c r="D4685" t="s">
        <v>218</v>
      </c>
      <c r="E4685" s="97">
        <v>2.69E-2</v>
      </c>
    </row>
    <row r="4686" spans="1:5" ht="15">
      <c r="A4686" s="98">
        <v>316</v>
      </c>
      <c r="B4686">
        <v>15.5</v>
      </c>
      <c r="C4686">
        <v>14.73</v>
      </c>
      <c r="D4686" t="s">
        <v>218</v>
      </c>
      <c r="E4686" s="97">
        <v>-6.5199999999999994E-2</v>
      </c>
    </row>
    <row r="4687" spans="1:5" ht="15">
      <c r="A4687" s="98">
        <v>315</v>
      </c>
      <c r="B4687">
        <v>14.67</v>
      </c>
      <c r="C4687">
        <v>13.67</v>
      </c>
      <c r="D4687" t="s">
        <v>218</v>
      </c>
      <c r="E4687" s="97">
        <v>9.7000000000000003E-3</v>
      </c>
    </row>
    <row r="4688" spans="1:5" ht="15">
      <c r="A4688" s="98">
        <v>314</v>
      </c>
      <c r="B4688">
        <v>15.06</v>
      </c>
      <c r="C4688">
        <v>13.91</v>
      </c>
      <c r="D4688" t="s">
        <v>218</v>
      </c>
      <c r="E4688" s="97">
        <v>5.9400000000000001E-2</v>
      </c>
    </row>
    <row r="4689" spans="1:5" ht="15">
      <c r="A4689" s="98">
        <v>313</v>
      </c>
      <c r="B4689">
        <v>14.98</v>
      </c>
      <c r="C4689">
        <v>14.36</v>
      </c>
      <c r="D4689" t="s">
        <v>218</v>
      </c>
      <c r="E4689" s="97">
        <v>8.8000000000000005E-3</v>
      </c>
    </row>
    <row r="4690" spans="1:5" ht="15">
      <c r="A4690" s="98">
        <v>312</v>
      </c>
      <c r="B4690">
        <v>15.15</v>
      </c>
      <c r="C4690">
        <v>14.28</v>
      </c>
      <c r="D4690" t="s">
        <v>218</v>
      </c>
      <c r="E4690" s="97">
        <v>0.1041</v>
      </c>
    </row>
    <row r="4691" spans="1:5" ht="15">
      <c r="A4691" s="98">
        <v>311</v>
      </c>
      <c r="B4691">
        <v>14.3</v>
      </c>
      <c r="C4691">
        <v>13.3</v>
      </c>
      <c r="D4691" t="s">
        <v>218</v>
      </c>
      <c r="E4691" s="97">
        <v>-4.2299999999999997E-2</v>
      </c>
    </row>
    <row r="4692" spans="1:5" ht="15">
      <c r="A4692" s="98">
        <v>310</v>
      </c>
      <c r="B4692">
        <v>14.78</v>
      </c>
      <c r="C4692">
        <v>14.07</v>
      </c>
      <c r="D4692" t="s">
        <v>218</v>
      </c>
      <c r="E4692" s="97">
        <v>5.7200000000000001E-2</v>
      </c>
    </row>
    <row r="4693" spans="1:5" ht="15">
      <c r="A4693" s="98">
        <v>309</v>
      </c>
      <c r="B4693">
        <v>15.44</v>
      </c>
      <c r="C4693">
        <v>14.04</v>
      </c>
      <c r="D4693" t="s">
        <v>218</v>
      </c>
      <c r="E4693" s="97">
        <v>-2.1000000000000001E-2</v>
      </c>
    </row>
    <row r="4694" spans="1:5" ht="15">
      <c r="A4694" s="98">
        <v>308</v>
      </c>
      <c r="B4694">
        <v>15.52</v>
      </c>
      <c r="C4694">
        <v>14.75</v>
      </c>
      <c r="D4694" t="s">
        <v>218</v>
      </c>
      <c r="E4694" s="97">
        <v>1.24E-2</v>
      </c>
    </row>
    <row r="4695" spans="1:5" ht="15">
      <c r="A4695" s="98">
        <v>307</v>
      </c>
      <c r="B4695">
        <v>16.45</v>
      </c>
      <c r="C4695">
        <v>15</v>
      </c>
      <c r="D4695" t="s">
        <v>218</v>
      </c>
      <c r="E4695" s="97">
        <v>-2.0799999999999999E-2</v>
      </c>
    </row>
    <row r="4696" spans="1:5" ht="15">
      <c r="A4696" s="98">
        <v>306</v>
      </c>
      <c r="B4696">
        <v>16</v>
      </c>
      <c r="C4696">
        <v>15.18</v>
      </c>
      <c r="D4696" t="s">
        <v>218</v>
      </c>
      <c r="E4696" s="97">
        <v>1.6799999999999999E-2</v>
      </c>
    </row>
    <row r="4697" spans="1:5" ht="15">
      <c r="A4697" s="98">
        <v>305</v>
      </c>
      <c r="B4697">
        <v>16.38</v>
      </c>
      <c r="C4697">
        <v>15.75</v>
      </c>
      <c r="D4697" t="s">
        <v>218</v>
      </c>
      <c r="E4697" s="97">
        <v>-3.9E-2</v>
      </c>
    </row>
    <row r="4698" spans="1:5" ht="15">
      <c r="A4698" s="98">
        <v>304</v>
      </c>
      <c r="B4698">
        <v>16.920000000000002</v>
      </c>
      <c r="C4698">
        <v>16.010000000000002</v>
      </c>
      <c r="D4698" t="s">
        <v>218</v>
      </c>
      <c r="E4698" s="97">
        <v>-1.26E-2</v>
      </c>
    </row>
    <row r="4699" spans="1:5" ht="15">
      <c r="A4699" s="98">
        <v>303</v>
      </c>
      <c r="B4699">
        <v>17.059999999999999</v>
      </c>
      <c r="C4699">
        <v>16.510000000000002</v>
      </c>
      <c r="D4699" t="s">
        <v>218</v>
      </c>
      <c r="E4699" s="97">
        <v>-3.78E-2</v>
      </c>
    </row>
    <row r="4700" spans="1:5" ht="15">
      <c r="A4700" s="98">
        <v>302</v>
      </c>
      <c r="B4700">
        <v>18.05</v>
      </c>
      <c r="C4700">
        <v>17.440000000000001</v>
      </c>
      <c r="D4700" t="s">
        <v>218</v>
      </c>
      <c r="E4700" s="97">
        <v>2.64E-2</v>
      </c>
    </row>
    <row r="4701" spans="1:5" ht="15">
      <c r="A4701" s="98">
        <v>301</v>
      </c>
      <c r="B4701">
        <v>18.04</v>
      </c>
      <c r="C4701">
        <v>16.920000000000002</v>
      </c>
      <c r="D4701" t="s">
        <v>218</v>
      </c>
      <c r="E4701" s="97">
        <v>-4.1000000000000003E-3</v>
      </c>
    </row>
    <row r="4702" spans="1:5" ht="15">
      <c r="A4702" s="98">
        <v>300</v>
      </c>
      <c r="B4702">
        <v>18.96</v>
      </c>
      <c r="C4702">
        <v>17.850000000000001</v>
      </c>
      <c r="D4702" t="s">
        <v>218</v>
      </c>
      <c r="E4702" s="97">
        <v>-1.8599999999999998E-2</v>
      </c>
    </row>
    <row r="4703" spans="1:5" ht="15">
      <c r="A4703" s="98">
        <v>299</v>
      </c>
      <c r="B4703">
        <v>17.84</v>
      </c>
      <c r="C4703">
        <v>16.989999999999998</v>
      </c>
      <c r="D4703" t="s">
        <v>218</v>
      </c>
      <c r="E4703" s="97">
        <v>-7.3400000000000007E-2</v>
      </c>
    </row>
    <row r="4704" spans="1:5" ht="15">
      <c r="A4704" s="98">
        <v>298</v>
      </c>
      <c r="B4704">
        <v>17.3</v>
      </c>
      <c r="C4704">
        <v>15.6</v>
      </c>
      <c r="D4704" t="s">
        <v>218</v>
      </c>
      <c r="E4704" s="97">
        <v>-2.6200000000000001E-2</v>
      </c>
    </row>
    <row r="4705" spans="1:5" ht="15">
      <c r="A4705" s="98">
        <v>297</v>
      </c>
      <c r="B4705">
        <v>15.6</v>
      </c>
      <c r="C4705">
        <v>14.33</v>
      </c>
      <c r="D4705" t="s">
        <v>218</v>
      </c>
      <c r="E4705" s="97">
        <v>-3.5200000000000002E-2</v>
      </c>
    </row>
    <row r="4706" spans="1:5" ht="15">
      <c r="A4706" s="98">
        <v>296</v>
      </c>
      <c r="B4706">
        <v>16.28</v>
      </c>
      <c r="C4706">
        <v>13.97</v>
      </c>
      <c r="D4706" t="s">
        <v>218</v>
      </c>
      <c r="E4706" s="97">
        <v>0.16839999999999999</v>
      </c>
    </row>
    <row r="4707" spans="1:5" ht="15">
      <c r="A4707" s="98">
        <v>295</v>
      </c>
      <c r="B4707">
        <v>16.41</v>
      </c>
      <c r="C4707">
        <v>15.78</v>
      </c>
      <c r="D4707" t="s">
        <v>218</v>
      </c>
      <c r="E4707" s="97">
        <v>6.2899999999999998E-2</v>
      </c>
    </row>
    <row r="4708" spans="1:5" ht="15">
      <c r="A4708" s="98">
        <v>294</v>
      </c>
      <c r="B4708">
        <v>16.309999999999999</v>
      </c>
      <c r="C4708">
        <v>15.43</v>
      </c>
      <c r="D4708" t="s">
        <v>218</v>
      </c>
      <c r="E4708" s="97">
        <v>-4.7399999999999998E-2</v>
      </c>
    </row>
    <row r="4709" spans="1:5" ht="15">
      <c r="A4709" s="98">
        <v>293</v>
      </c>
      <c r="B4709">
        <v>16.54</v>
      </c>
      <c r="C4709">
        <v>13.91</v>
      </c>
      <c r="D4709" t="s">
        <v>218</v>
      </c>
      <c r="E4709" s="97">
        <v>3.1800000000000002E-2</v>
      </c>
    </row>
    <row r="4710" spans="1:5" ht="15">
      <c r="A4710" s="98">
        <v>292</v>
      </c>
      <c r="B4710">
        <v>14.71</v>
      </c>
      <c r="C4710">
        <v>13.51</v>
      </c>
      <c r="D4710" t="s">
        <v>218</v>
      </c>
      <c r="E4710" s="97">
        <v>-8.5000000000000006E-3</v>
      </c>
    </row>
    <row r="4711" spans="1:5" ht="15">
      <c r="A4711" s="98">
        <v>291</v>
      </c>
      <c r="B4711">
        <v>14.92</v>
      </c>
      <c r="C4711">
        <v>14.54</v>
      </c>
      <c r="D4711" t="s">
        <v>218</v>
      </c>
      <c r="E4711" s="97">
        <v>-6.08E-2</v>
      </c>
    </row>
    <row r="4712" spans="1:5" ht="15">
      <c r="A4712" s="98">
        <v>290</v>
      </c>
      <c r="B4712">
        <v>14.88</v>
      </c>
      <c r="C4712">
        <v>14.17</v>
      </c>
      <c r="D4712" t="s">
        <v>218</v>
      </c>
      <c r="E4712" s="97">
        <v>0.15409999999999999</v>
      </c>
    </row>
    <row r="4713" spans="1:5" ht="15">
      <c r="A4713" s="98">
        <v>289</v>
      </c>
      <c r="B4713">
        <v>14.08</v>
      </c>
      <c r="C4713">
        <v>13.61</v>
      </c>
      <c r="D4713" t="s">
        <v>218</v>
      </c>
      <c r="E4713" s="97">
        <v>-2.7799999999999998E-2</v>
      </c>
    </row>
    <row r="4714" spans="1:5" ht="15">
      <c r="A4714" s="98">
        <v>288</v>
      </c>
      <c r="B4714">
        <v>14.67</v>
      </c>
      <c r="C4714">
        <v>14.07</v>
      </c>
      <c r="D4714" t="s">
        <v>218</v>
      </c>
      <c r="E4714" s="97">
        <v>-2.1100000000000001E-2</v>
      </c>
    </row>
    <row r="4715" spans="1:5" ht="15">
      <c r="A4715" s="98">
        <v>287</v>
      </c>
      <c r="B4715">
        <v>14.18</v>
      </c>
      <c r="C4715">
        <v>13.69</v>
      </c>
      <c r="D4715" t="s">
        <v>218</v>
      </c>
      <c r="E4715" s="97">
        <v>-5.4800000000000001E-2</v>
      </c>
    </row>
    <row r="4716" spans="1:5" ht="15">
      <c r="A4716" s="98">
        <v>286</v>
      </c>
      <c r="B4716">
        <v>15.06</v>
      </c>
      <c r="C4716">
        <v>13.87</v>
      </c>
      <c r="D4716" t="s">
        <v>218</v>
      </c>
      <c r="E4716" s="97">
        <v>2.9000000000000001E-2</v>
      </c>
    </row>
    <row r="4717" spans="1:5" ht="15">
      <c r="A4717" s="98">
        <v>285</v>
      </c>
      <c r="B4717">
        <v>15.72</v>
      </c>
      <c r="C4717">
        <v>14.03</v>
      </c>
      <c r="D4717" t="s">
        <v>218</v>
      </c>
      <c r="E4717" s="97">
        <v>8.6E-3</v>
      </c>
    </row>
    <row r="4718" spans="1:5" ht="15">
      <c r="A4718" s="98">
        <v>284</v>
      </c>
      <c r="B4718">
        <v>17.079999999999998</v>
      </c>
      <c r="C4718">
        <v>15.83</v>
      </c>
      <c r="D4718" t="s">
        <v>218</v>
      </c>
      <c r="E4718" s="97">
        <v>7.7999999999999996E-3</v>
      </c>
    </row>
    <row r="4719" spans="1:5" ht="15">
      <c r="A4719" s="98">
        <v>283</v>
      </c>
      <c r="B4719">
        <v>16.5</v>
      </c>
      <c r="C4719">
        <v>14.83</v>
      </c>
      <c r="D4719" t="s">
        <v>218</v>
      </c>
      <c r="E4719" s="97">
        <v>7.9000000000000008E-3</v>
      </c>
    </row>
    <row r="4720" spans="1:5" ht="15">
      <c r="A4720" s="98">
        <v>282</v>
      </c>
      <c r="B4720">
        <v>15.77</v>
      </c>
      <c r="C4720">
        <v>14.95</v>
      </c>
      <c r="D4720" t="s">
        <v>218</v>
      </c>
      <c r="E4720" s="97">
        <v>1.8E-3</v>
      </c>
    </row>
    <row r="4721" spans="1:5" ht="15">
      <c r="A4721" s="98">
        <v>281</v>
      </c>
      <c r="B4721">
        <v>16.53</v>
      </c>
      <c r="C4721">
        <v>15.13</v>
      </c>
      <c r="D4721" t="s">
        <v>218</v>
      </c>
      <c r="E4721" s="97">
        <v>1.15E-2</v>
      </c>
    </row>
    <row r="4722" spans="1:5" ht="15">
      <c r="A4722" s="98">
        <v>280</v>
      </c>
      <c r="B4722">
        <v>16.5</v>
      </c>
      <c r="C4722">
        <v>15.7</v>
      </c>
      <c r="D4722" t="s">
        <v>218</v>
      </c>
      <c r="E4722" s="97">
        <v>-3.0099999999999998E-2</v>
      </c>
    </row>
    <row r="4723" spans="1:5" ht="15">
      <c r="A4723" s="98">
        <v>279</v>
      </c>
      <c r="B4723">
        <v>16.02</v>
      </c>
      <c r="C4723">
        <v>15.13</v>
      </c>
      <c r="D4723" t="s">
        <v>218</v>
      </c>
      <c r="E4723" s="97">
        <v>1.84E-2</v>
      </c>
    </row>
    <row r="4724" spans="1:5" ht="15">
      <c r="A4724" s="98">
        <v>278</v>
      </c>
      <c r="B4724">
        <v>15.33</v>
      </c>
      <c r="C4724">
        <v>14.53</v>
      </c>
      <c r="D4724" t="s">
        <v>218</v>
      </c>
      <c r="E4724" s="97">
        <v>2.24E-2</v>
      </c>
    </row>
    <row r="4725" spans="1:5" ht="15">
      <c r="A4725" s="98">
        <v>277</v>
      </c>
      <c r="B4725">
        <v>14.78</v>
      </c>
      <c r="C4725">
        <v>13.67</v>
      </c>
      <c r="D4725" t="s">
        <v>218</v>
      </c>
      <c r="E4725" s="97">
        <v>-4.4999999999999997E-3</v>
      </c>
    </row>
    <row r="4726" spans="1:5" ht="15">
      <c r="A4726" s="98">
        <v>276</v>
      </c>
      <c r="B4726">
        <v>15.46</v>
      </c>
      <c r="C4726">
        <v>15.04</v>
      </c>
      <c r="D4726" t="s">
        <v>218</v>
      </c>
      <c r="E4726" s="97">
        <v>2.1899999999999999E-2</v>
      </c>
    </row>
    <row r="4727" spans="1:5" ht="15">
      <c r="A4727" s="98">
        <v>275</v>
      </c>
      <c r="B4727">
        <v>16.399999999999999</v>
      </c>
      <c r="C4727">
        <v>15.18</v>
      </c>
      <c r="D4727" t="s">
        <v>218</v>
      </c>
      <c r="E4727" s="97">
        <v>-1.35E-2</v>
      </c>
    </row>
    <row r="4728" spans="1:5" ht="15">
      <c r="A4728" s="98">
        <v>274</v>
      </c>
      <c r="B4728">
        <v>16.79</v>
      </c>
      <c r="C4728">
        <v>16.13</v>
      </c>
      <c r="D4728" t="s">
        <v>218</v>
      </c>
      <c r="E4728" s="97">
        <v>-5.1200000000000002E-2</v>
      </c>
    </row>
    <row r="4729" spans="1:5" ht="15">
      <c r="A4729" s="98">
        <v>273</v>
      </c>
      <c r="B4729">
        <v>15.8</v>
      </c>
      <c r="C4729">
        <v>15.31</v>
      </c>
      <c r="D4729" t="s">
        <v>218</v>
      </c>
      <c r="E4729" s="97">
        <v>-1.9199999999999998E-2</v>
      </c>
    </row>
    <row r="4730" spans="1:5" ht="15">
      <c r="A4730" s="98">
        <v>272</v>
      </c>
      <c r="B4730">
        <v>16.18</v>
      </c>
      <c r="C4730">
        <v>14.96</v>
      </c>
      <c r="D4730" t="s">
        <v>218</v>
      </c>
      <c r="E4730" s="97">
        <v>-2.4500000000000001E-2</v>
      </c>
    </row>
    <row r="4731" spans="1:5" ht="15">
      <c r="A4731" s="98">
        <v>271</v>
      </c>
      <c r="B4731">
        <v>16.21</v>
      </c>
      <c r="C4731">
        <v>15.23</v>
      </c>
      <c r="D4731" t="s">
        <v>218</v>
      </c>
      <c r="E4731" s="97">
        <v>8.9800000000000005E-2</v>
      </c>
    </row>
    <row r="4732" spans="1:5" ht="15">
      <c r="A4732" s="98">
        <v>270</v>
      </c>
      <c r="B4732">
        <v>15.23</v>
      </c>
      <c r="C4732">
        <v>14.5</v>
      </c>
      <c r="D4732" t="s">
        <v>218</v>
      </c>
      <c r="E4732" s="97">
        <v>0</v>
      </c>
    </row>
    <row r="4733" spans="1:5" ht="15">
      <c r="A4733" s="98">
        <v>269</v>
      </c>
      <c r="B4733">
        <v>15.63</v>
      </c>
      <c r="C4733">
        <v>14.9</v>
      </c>
      <c r="D4733" t="s">
        <v>218</v>
      </c>
      <c r="E4733" s="97">
        <v>-1.83E-2</v>
      </c>
    </row>
    <row r="4734" spans="1:5" ht="15">
      <c r="A4734" s="98">
        <v>268</v>
      </c>
      <c r="B4734">
        <v>15.5</v>
      </c>
      <c r="C4734">
        <v>14.68</v>
      </c>
      <c r="D4734" t="s">
        <v>218</v>
      </c>
      <c r="E4734" s="97">
        <v>-4.02E-2</v>
      </c>
    </row>
    <row r="4735" spans="1:5" ht="15">
      <c r="A4735" s="98">
        <v>267</v>
      </c>
      <c r="B4735">
        <v>17.600000000000001</v>
      </c>
      <c r="C4735">
        <v>14.9</v>
      </c>
      <c r="D4735" t="s">
        <v>218</v>
      </c>
      <c r="E4735" s="97">
        <v>-6.6500000000000004E-2</v>
      </c>
    </row>
    <row r="4736" spans="1:5" ht="15">
      <c r="A4736" s="98">
        <v>266</v>
      </c>
      <c r="B4736">
        <v>17.98</v>
      </c>
      <c r="C4736">
        <v>16.62</v>
      </c>
      <c r="D4736" t="s">
        <v>218</v>
      </c>
      <c r="E4736" s="97">
        <v>5.2699999999999997E-2</v>
      </c>
    </row>
    <row r="4737" spans="1:5" ht="15">
      <c r="A4737" s="98">
        <v>265</v>
      </c>
      <c r="B4737">
        <v>19.649999999999999</v>
      </c>
      <c r="C4737">
        <v>18.170000000000002</v>
      </c>
      <c r="D4737" t="s">
        <v>218</v>
      </c>
      <c r="E4737" s="97">
        <v>2.4500000000000001E-2</v>
      </c>
    </row>
    <row r="4738" spans="1:5" ht="15">
      <c r="A4738" s="98">
        <v>264</v>
      </c>
      <c r="B4738">
        <v>18.670000000000002</v>
      </c>
      <c r="C4738">
        <v>17.93</v>
      </c>
      <c r="D4738" t="s">
        <v>218</v>
      </c>
      <c r="E4738" s="97">
        <v>2.5100000000000001E-2</v>
      </c>
    </row>
    <row r="4739" spans="1:5" ht="15">
      <c r="A4739" s="98">
        <v>263</v>
      </c>
      <c r="B4739">
        <v>18.64</v>
      </c>
      <c r="C4739">
        <v>17.3</v>
      </c>
      <c r="D4739" t="s">
        <v>218</v>
      </c>
      <c r="E4739" s="97">
        <v>-1.8700000000000001E-2</v>
      </c>
    </row>
    <row r="4740" spans="1:5" ht="15">
      <c r="A4740" s="98">
        <v>262</v>
      </c>
      <c r="B4740">
        <v>18.64</v>
      </c>
      <c r="C4740">
        <v>17.52</v>
      </c>
      <c r="D4740" t="s">
        <v>218</v>
      </c>
      <c r="E4740" s="97">
        <v>5.8299999999999998E-2</v>
      </c>
    </row>
    <row r="4741" spans="1:5" ht="15">
      <c r="A4741" s="98">
        <v>261</v>
      </c>
      <c r="B4741">
        <v>18.84</v>
      </c>
      <c r="C4741">
        <v>17.559999999999999</v>
      </c>
      <c r="D4741" t="s">
        <v>218</v>
      </c>
      <c r="E4741" s="97">
        <v>3.5999999999999999E-3</v>
      </c>
    </row>
    <row r="4742" spans="1:5" ht="15">
      <c r="A4742" s="98">
        <v>260</v>
      </c>
      <c r="B4742">
        <v>17.79</v>
      </c>
      <c r="C4742">
        <v>16.45</v>
      </c>
      <c r="D4742" t="s">
        <v>218</v>
      </c>
      <c r="E4742" s="97">
        <v>-0.1348</v>
      </c>
    </row>
    <row r="4743" spans="1:5" ht="15">
      <c r="A4743" s="98">
        <v>259</v>
      </c>
      <c r="B4743">
        <v>17.600000000000001</v>
      </c>
      <c r="C4743">
        <v>16.05</v>
      </c>
      <c r="D4743" t="s">
        <v>218</v>
      </c>
      <c r="E4743" s="97">
        <v>5.6000000000000001E-2</v>
      </c>
    </row>
    <row r="4744" spans="1:5" ht="15">
      <c r="A4744" s="98">
        <v>258</v>
      </c>
      <c r="B4744">
        <v>18.7</v>
      </c>
      <c r="C4744">
        <v>18.13</v>
      </c>
      <c r="D4744" t="s">
        <v>218</v>
      </c>
      <c r="E4744" s="97">
        <v>-2.9600000000000001E-2</v>
      </c>
    </row>
    <row r="4745" spans="1:5" ht="15">
      <c r="A4745" s="98">
        <v>257</v>
      </c>
      <c r="B4745">
        <v>18.170000000000002</v>
      </c>
      <c r="C4745">
        <v>17.190000000000001</v>
      </c>
      <c r="D4745" t="s">
        <v>218</v>
      </c>
      <c r="E4745" s="97">
        <v>-6.08E-2</v>
      </c>
    </row>
    <row r="4746" spans="1:5" ht="15">
      <c r="A4746" s="98">
        <v>256</v>
      </c>
      <c r="B4746">
        <v>19.399999999999999</v>
      </c>
      <c r="C4746">
        <v>17.62</v>
      </c>
      <c r="D4746" t="s">
        <v>218</v>
      </c>
      <c r="E4746" s="97">
        <v>1.52E-2</v>
      </c>
    </row>
    <row r="4747" spans="1:5" ht="15">
      <c r="A4747" s="98">
        <v>255</v>
      </c>
      <c r="B4747">
        <v>18.690000000000001</v>
      </c>
      <c r="C4747">
        <v>17.96</v>
      </c>
      <c r="D4747" t="s">
        <v>218</v>
      </c>
      <c r="E4747" s="97">
        <v>-2.7400000000000001E-2</v>
      </c>
    </row>
    <row r="4748" spans="1:5" ht="15">
      <c r="A4748" s="98">
        <v>254</v>
      </c>
      <c r="B4748">
        <v>18.809999999999999</v>
      </c>
      <c r="C4748">
        <v>17.670000000000002</v>
      </c>
      <c r="D4748" t="s">
        <v>218</v>
      </c>
      <c r="E4748" s="97">
        <v>-2.2000000000000001E-3</v>
      </c>
    </row>
    <row r="4749" spans="1:5" ht="15">
      <c r="A4749" s="98">
        <v>253</v>
      </c>
      <c r="B4749">
        <v>18.149999999999999</v>
      </c>
      <c r="C4749">
        <v>16.45</v>
      </c>
      <c r="D4749" t="s">
        <v>218</v>
      </c>
      <c r="E4749" s="97">
        <v>-5.0500000000000003E-2</v>
      </c>
    </row>
    <row r="4750" spans="1:5" ht="15">
      <c r="A4750" s="98">
        <v>252</v>
      </c>
      <c r="B4750">
        <v>17.38</v>
      </c>
      <c r="C4750">
        <v>16.12</v>
      </c>
      <c r="D4750" t="s">
        <v>218</v>
      </c>
      <c r="E4750" s="97">
        <v>7.9500000000000001E-2</v>
      </c>
    </row>
    <row r="4751" spans="1:5" ht="15">
      <c r="A4751" s="98">
        <v>251</v>
      </c>
      <c r="B4751">
        <v>18.05</v>
      </c>
      <c r="C4751">
        <v>15.93</v>
      </c>
      <c r="D4751" t="s">
        <v>218</v>
      </c>
      <c r="E4751" s="97">
        <v>2.64E-2</v>
      </c>
    </row>
    <row r="4752" spans="1:5" ht="15">
      <c r="A4752" s="98">
        <v>250</v>
      </c>
      <c r="B4752">
        <v>18.64</v>
      </c>
      <c r="C4752">
        <v>17.62</v>
      </c>
      <c r="D4752" t="s">
        <v>218</v>
      </c>
      <c r="E4752" s="97">
        <v>3.8999999999999998E-3</v>
      </c>
    </row>
    <row r="4753" spans="1:5" ht="15">
      <c r="A4753" s="98">
        <v>249</v>
      </c>
      <c r="B4753">
        <v>18.5</v>
      </c>
      <c r="C4753">
        <v>16.41</v>
      </c>
      <c r="D4753" t="s">
        <v>218</v>
      </c>
      <c r="E4753" s="97">
        <v>6.13E-2</v>
      </c>
    </row>
    <row r="4754" spans="1:5" ht="15">
      <c r="A4754" s="98">
        <v>248</v>
      </c>
      <c r="B4754">
        <v>15.98</v>
      </c>
      <c r="C4754">
        <v>15.1</v>
      </c>
      <c r="D4754" t="s">
        <v>218</v>
      </c>
      <c r="E4754" s="97">
        <v>2.12E-2</v>
      </c>
    </row>
    <row r="4755" spans="1:5" ht="15">
      <c r="A4755" s="98">
        <v>247</v>
      </c>
      <c r="B4755">
        <v>15.65</v>
      </c>
      <c r="C4755">
        <v>15.06</v>
      </c>
      <c r="D4755" t="s">
        <v>218</v>
      </c>
      <c r="E4755" s="97">
        <v>-4.8300000000000003E-2</v>
      </c>
    </row>
    <row r="4756" spans="1:5" ht="15">
      <c r="A4756" s="98">
        <v>246</v>
      </c>
      <c r="B4756">
        <v>15.43</v>
      </c>
      <c r="C4756">
        <v>14.77</v>
      </c>
      <c r="D4756" t="s">
        <v>218</v>
      </c>
      <c r="E4756" s="97">
        <v>3.0700000000000002E-2</v>
      </c>
    </row>
    <row r="4757" spans="1:5" ht="15">
      <c r="A4757" s="98">
        <v>245</v>
      </c>
      <c r="B4757">
        <v>15.26</v>
      </c>
      <c r="C4757">
        <v>15</v>
      </c>
      <c r="D4757" t="s">
        <v>218</v>
      </c>
      <c r="E4757" s="97">
        <v>-7.1599999999999997E-2</v>
      </c>
    </row>
    <row r="4758" spans="1:5" ht="15">
      <c r="A4758" s="98">
        <v>244</v>
      </c>
      <c r="B4758">
        <v>15.84</v>
      </c>
      <c r="C4758">
        <v>15.47</v>
      </c>
      <c r="D4758" t="s">
        <v>218</v>
      </c>
      <c r="E4758" s="97">
        <v>-3.0999999999999999E-3</v>
      </c>
    </row>
    <row r="4759" spans="1:5" ht="15">
      <c r="A4759" s="98">
        <v>243</v>
      </c>
      <c r="B4759">
        <v>15.93</v>
      </c>
      <c r="C4759">
        <v>15.01</v>
      </c>
      <c r="D4759" t="s">
        <v>218</v>
      </c>
      <c r="E4759" s="97">
        <v>1.7999999999999999E-2</v>
      </c>
    </row>
    <row r="4760" spans="1:5" ht="15">
      <c r="A4760" s="98">
        <v>242</v>
      </c>
      <c r="B4760">
        <v>16.98</v>
      </c>
      <c r="C4760">
        <v>15.47</v>
      </c>
      <c r="D4760" t="s">
        <v>218</v>
      </c>
      <c r="E4760" s="97">
        <v>-6.1999999999999998E-3</v>
      </c>
    </row>
    <row r="4761" spans="1:5" ht="15">
      <c r="A4761" s="98">
        <v>241</v>
      </c>
      <c r="B4761">
        <v>15.51</v>
      </c>
      <c r="C4761">
        <v>15.02</v>
      </c>
      <c r="D4761" t="s">
        <v>218</v>
      </c>
      <c r="E4761" s="97">
        <v>-1.23E-2</v>
      </c>
    </row>
    <row r="4762" spans="1:5" ht="15">
      <c r="A4762" s="98">
        <v>240</v>
      </c>
      <c r="B4762">
        <v>16.170000000000002</v>
      </c>
      <c r="C4762">
        <v>14.89</v>
      </c>
      <c r="D4762" t="s">
        <v>218</v>
      </c>
      <c r="E4762" s="97">
        <v>-0.10009999999999999</v>
      </c>
    </row>
    <row r="4763" spans="1:5" ht="15">
      <c r="A4763" s="98">
        <v>239</v>
      </c>
      <c r="B4763">
        <v>16.690000000000001</v>
      </c>
      <c r="C4763">
        <v>15.76</v>
      </c>
      <c r="D4763" t="s">
        <v>218</v>
      </c>
      <c r="E4763" s="97">
        <v>-6.3399999999999998E-2</v>
      </c>
    </row>
    <row r="4764" spans="1:5" ht="15">
      <c r="A4764" s="98">
        <v>238</v>
      </c>
      <c r="B4764">
        <v>17.37</v>
      </c>
      <c r="C4764">
        <v>16.38</v>
      </c>
      <c r="D4764" t="s">
        <v>218</v>
      </c>
      <c r="E4764" s="97">
        <v>-3.6200000000000003E-2</v>
      </c>
    </row>
    <row r="4765" spans="1:5" ht="15">
      <c r="A4765" s="98">
        <v>237</v>
      </c>
      <c r="B4765">
        <v>17.53</v>
      </c>
      <c r="C4765">
        <v>16.27</v>
      </c>
      <c r="D4765" t="s">
        <v>218</v>
      </c>
      <c r="E4765" s="97">
        <v>-0.1163</v>
      </c>
    </row>
    <row r="4766" spans="1:5" ht="15">
      <c r="A4766" s="98">
        <v>236</v>
      </c>
      <c r="B4766">
        <v>16.850000000000001</v>
      </c>
      <c r="C4766">
        <v>16.309999999999999</v>
      </c>
      <c r="D4766" t="s">
        <v>218</v>
      </c>
      <c r="E4766" s="97">
        <v>0.1149</v>
      </c>
    </row>
    <row r="4767" spans="1:5" ht="15">
      <c r="A4767" s="98">
        <v>235</v>
      </c>
      <c r="B4767">
        <v>16.649999999999999</v>
      </c>
      <c r="C4767">
        <v>15.73</v>
      </c>
      <c r="D4767" t="s">
        <v>218</v>
      </c>
      <c r="E4767" s="97">
        <v>1.43E-2</v>
      </c>
    </row>
    <row r="4768" spans="1:5" ht="15">
      <c r="A4768" s="98">
        <v>234</v>
      </c>
      <c r="B4768">
        <v>16.47</v>
      </c>
      <c r="C4768">
        <v>15.96</v>
      </c>
      <c r="D4768" t="s">
        <v>218</v>
      </c>
      <c r="E4768" s="97">
        <v>-3.0999999999999999E-3</v>
      </c>
    </row>
    <row r="4769" spans="1:5" ht="15">
      <c r="A4769" s="98">
        <v>233</v>
      </c>
      <c r="B4769">
        <v>16.010000000000002</v>
      </c>
      <c r="C4769">
        <v>15.42</v>
      </c>
      <c r="D4769" t="s">
        <v>218</v>
      </c>
      <c r="E4769" s="97">
        <v>-2.7199999999999998E-2</v>
      </c>
    </row>
    <row r="4770" spans="1:5" ht="15">
      <c r="A4770" s="98">
        <v>232</v>
      </c>
      <c r="B4770">
        <v>16.09</v>
      </c>
      <c r="C4770">
        <v>15.41</v>
      </c>
      <c r="D4770" t="s">
        <v>218</v>
      </c>
      <c r="E4770" s="97">
        <v>-8.3999999999999995E-3</v>
      </c>
    </row>
    <row r="4771" spans="1:5" ht="15">
      <c r="A4771" s="98">
        <v>231</v>
      </c>
      <c r="B4771">
        <v>16.670000000000002</v>
      </c>
      <c r="C4771">
        <v>15.71</v>
      </c>
      <c r="D4771" t="s">
        <v>218</v>
      </c>
      <c r="E4771" s="97">
        <v>4.6399999999999997E-2</v>
      </c>
    </row>
    <row r="4772" spans="1:5" ht="15">
      <c r="A4772" s="98">
        <v>230</v>
      </c>
      <c r="B4772">
        <v>17.149999999999999</v>
      </c>
      <c r="C4772">
        <v>16.61</v>
      </c>
      <c r="D4772" t="s">
        <v>218</v>
      </c>
      <c r="E4772" s="97">
        <v>-1.24E-2</v>
      </c>
    </row>
    <row r="4773" spans="1:5" ht="15">
      <c r="A4773" s="98">
        <v>229</v>
      </c>
      <c r="B4773">
        <v>17.2</v>
      </c>
      <c r="C4773">
        <v>16.21</v>
      </c>
      <c r="D4773" t="s">
        <v>218</v>
      </c>
      <c r="E4773" s="97">
        <v>-4.0399999999999998E-2</v>
      </c>
    </row>
    <row r="4774" spans="1:5" ht="15">
      <c r="A4774" s="98">
        <v>228</v>
      </c>
      <c r="B4774">
        <v>16.43</v>
      </c>
      <c r="C4774">
        <v>15.46</v>
      </c>
      <c r="D4774" t="s">
        <v>218</v>
      </c>
      <c r="E4774" s="97">
        <v>-3.5000000000000003E-2</v>
      </c>
    </row>
    <row r="4775" spans="1:5" ht="15">
      <c r="A4775" s="98">
        <v>227</v>
      </c>
      <c r="B4775">
        <v>17.46</v>
      </c>
      <c r="C4775">
        <v>16.04</v>
      </c>
      <c r="D4775" t="s">
        <v>218</v>
      </c>
      <c r="E4775" s="97">
        <v>-5.2699999999999997E-2</v>
      </c>
    </row>
    <row r="4776" spans="1:5" ht="15">
      <c r="A4776" s="98">
        <v>226</v>
      </c>
      <c r="B4776">
        <v>17.96</v>
      </c>
      <c r="C4776">
        <v>17.11</v>
      </c>
      <c r="D4776" t="s">
        <v>218</v>
      </c>
      <c r="E4776" s="97">
        <v>6.7900000000000002E-2</v>
      </c>
    </row>
    <row r="4777" spans="1:5" ht="15">
      <c r="A4777" s="98">
        <v>225</v>
      </c>
      <c r="B4777">
        <v>19.93</v>
      </c>
      <c r="C4777">
        <v>17.760000000000002</v>
      </c>
      <c r="D4777" t="s">
        <v>218</v>
      </c>
      <c r="E4777" s="97">
        <v>6.88E-2</v>
      </c>
    </row>
    <row r="4778" spans="1:5" ht="15">
      <c r="A4778" s="98">
        <v>224</v>
      </c>
      <c r="B4778">
        <v>18.66</v>
      </c>
      <c r="C4778">
        <v>18.45</v>
      </c>
      <c r="D4778" t="s">
        <v>218</v>
      </c>
      <c r="E4778" s="97">
        <v>8.0999999999999996E-3</v>
      </c>
    </row>
    <row r="4779" spans="1:5" ht="15">
      <c r="A4779" s="98">
        <v>223</v>
      </c>
      <c r="B4779">
        <v>19.63</v>
      </c>
      <c r="C4779">
        <v>18.61</v>
      </c>
      <c r="D4779" t="s">
        <v>218</v>
      </c>
      <c r="E4779" s="97">
        <v>5.7000000000000002E-3</v>
      </c>
    </row>
    <row r="4780" spans="1:5" ht="15">
      <c r="A4780" s="98">
        <v>222</v>
      </c>
      <c r="B4780">
        <v>20.9</v>
      </c>
      <c r="C4780">
        <v>19.11</v>
      </c>
      <c r="D4780" t="s">
        <v>218</v>
      </c>
      <c r="E4780" s="97">
        <v>2.2499999999999999E-2</v>
      </c>
    </row>
    <row r="4781" spans="1:5" ht="15">
      <c r="A4781" s="98">
        <v>221</v>
      </c>
      <c r="B4781">
        <v>23.23</v>
      </c>
      <c r="C4781">
        <v>19.940000000000001</v>
      </c>
      <c r="D4781" t="s">
        <v>218</v>
      </c>
      <c r="E4781" s="97">
        <v>-6.6000000000000003E-2</v>
      </c>
    </row>
    <row r="4782" spans="1:5" ht="15">
      <c r="A4782" s="98">
        <v>220</v>
      </c>
      <c r="B4782">
        <v>22.72</v>
      </c>
      <c r="C4782">
        <v>17.88</v>
      </c>
      <c r="D4782" t="s">
        <v>218</v>
      </c>
      <c r="E4782" s="97">
        <v>-1.1999999999999999E-3</v>
      </c>
    </row>
    <row r="4783" spans="1:5" ht="15">
      <c r="A4783" s="98">
        <v>219</v>
      </c>
      <c r="B4783">
        <v>15.93</v>
      </c>
      <c r="C4783">
        <v>14.6</v>
      </c>
      <c r="D4783" t="s">
        <v>218</v>
      </c>
      <c r="E4783" s="97">
        <v>1.09E-2</v>
      </c>
    </row>
    <row r="4784" spans="1:5" ht="15">
      <c r="A4784" s="98">
        <v>218</v>
      </c>
      <c r="B4784">
        <v>14.92</v>
      </c>
      <c r="C4784">
        <v>14.24</v>
      </c>
      <c r="D4784" t="s">
        <v>218</v>
      </c>
      <c r="E4784" s="97">
        <v>3.1300000000000001E-2</v>
      </c>
    </row>
    <row r="4785" spans="1:5" ht="15">
      <c r="A4785" s="98">
        <v>217</v>
      </c>
      <c r="B4785">
        <v>14.31</v>
      </c>
      <c r="C4785">
        <v>13.64</v>
      </c>
      <c r="D4785" t="s">
        <v>218</v>
      </c>
      <c r="E4785" s="97">
        <v>-2.5600000000000001E-2</v>
      </c>
    </row>
    <row r="4786" spans="1:5" ht="15">
      <c r="A4786" s="98">
        <v>216</v>
      </c>
      <c r="B4786">
        <v>14.53</v>
      </c>
      <c r="C4786">
        <v>13.71</v>
      </c>
      <c r="D4786" t="s">
        <v>218</v>
      </c>
      <c r="E4786" s="97">
        <v>7.4000000000000003E-3</v>
      </c>
    </row>
    <row r="4787" spans="1:5" ht="15">
      <c r="A4787" s="98">
        <v>215</v>
      </c>
      <c r="B4787">
        <v>14.29</v>
      </c>
      <c r="C4787">
        <v>13.62</v>
      </c>
      <c r="D4787" t="s">
        <v>218</v>
      </c>
      <c r="E4787" s="97">
        <v>-6.1600000000000002E-2</v>
      </c>
    </row>
    <row r="4788" spans="1:5" ht="15">
      <c r="A4788" s="98">
        <v>214</v>
      </c>
      <c r="B4788">
        <v>13.93</v>
      </c>
      <c r="C4788">
        <v>13.22</v>
      </c>
      <c r="D4788" t="s">
        <v>218</v>
      </c>
      <c r="E4788" s="97">
        <v>3.6999999999999998E-2</v>
      </c>
    </row>
    <row r="4789" spans="1:5" ht="15">
      <c r="A4789" s="98">
        <v>213</v>
      </c>
      <c r="B4789">
        <v>13.88</v>
      </c>
      <c r="C4789">
        <v>13.33</v>
      </c>
      <c r="D4789" t="s">
        <v>218</v>
      </c>
      <c r="E4789" s="97">
        <v>7.51E-2</v>
      </c>
    </row>
    <row r="4790" spans="1:5" ht="15">
      <c r="A4790" s="98">
        <v>212</v>
      </c>
      <c r="B4790">
        <v>13.79</v>
      </c>
      <c r="C4790">
        <v>13.22</v>
      </c>
      <c r="D4790" t="s">
        <v>218</v>
      </c>
      <c r="E4790" s="97">
        <v>1.5599999999999999E-2</v>
      </c>
    </row>
    <row r="4791" spans="1:5" ht="15">
      <c r="A4791" s="98">
        <v>211</v>
      </c>
      <c r="B4791">
        <v>13.85</v>
      </c>
      <c r="C4791">
        <v>13.41</v>
      </c>
      <c r="D4791" t="s">
        <v>218</v>
      </c>
      <c r="E4791" s="97">
        <v>3.3700000000000001E-2</v>
      </c>
    </row>
    <row r="4792" spans="1:5" ht="15">
      <c r="A4792" s="98">
        <v>210</v>
      </c>
      <c r="B4792">
        <v>13.99</v>
      </c>
      <c r="C4792">
        <v>13.33</v>
      </c>
      <c r="D4792" t="s">
        <v>218</v>
      </c>
      <c r="E4792" s="97">
        <v>1.9199999999999998E-2</v>
      </c>
    </row>
    <row r="4793" spans="1:5" ht="15">
      <c r="A4793" s="98">
        <v>209</v>
      </c>
      <c r="B4793">
        <v>13.76</v>
      </c>
      <c r="C4793">
        <v>13.2</v>
      </c>
      <c r="D4793" t="s">
        <v>218</v>
      </c>
      <c r="E4793" s="97">
        <v>0</v>
      </c>
    </row>
    <row r="4794" spans="1:5" ht="15">
      <c r="A4794" s="98">
        <v>208</v>
      </c>
      <c r="B4794">
        <v>13.7</v>
      </c>
      <c r="C4794">
        <v>13.16</v>
      </c>
      <c r="D4794" t="s">
        <v>218</v>
      </c>
      <c r="E4794" s="97">
        <v>-7.0800000000000002E-2</v>
      </c>
    </row>
    <row r="4795" spans="1:5" ht="15">
      <c r="A4795" s="98">
        <v>207</v>
      </c>
      <c r="B4795">
        <v>13.53</v>
      </c>
      <c r="C4795">
        <v>12.29</v>
      </c>
      <c r="D4795" t="s">
        <v>218</v>
      </c>
      <c r="E4795" s="97">
        <v>-1.9E-3</v>
      </c>
    </row>
    <row r="4796" spans="1:5" ht="15">
      <c r="A4796" s="98">
        <v>206</v>
      </c>
      <c r="B4796">
        <v>13.32</v>
      </c>
      <c r="C4796">
        <v>12.43</v>
      </c>
      <c r="D4796" t="s">
        <v>218</v>
      </c>
      <c r="E4796" s="97">
        <v>-2.6700000000000002E-2</v>
      </c>
    </row>
    <row r="4797" spans="1:5" ht="15">
      <c r="A4797" s="98">
        <v>205</v>
      </c>
      <c r="B4797">
        <v>12.67</v>
      </c>
      <c r="C4797">
        <v>12.3</v>
      </c>
      <c r="D4797" t="s">
        <v>218</v>
      </c>
      <c r="E4797" s="97">
        <v>-4.9500000000000002E-2</v>
      </c>
    </row>
    <row r="4798" spans="1:5" ht="15">
      <c r="A4798" s="98">
        <v>204</v>
      </c>
      <c r="B4798">
        <v>13.5</v>
      </c>
      <c r="C4798">
        <v>12.4</v>
      </c>
      <c r="D4798" t="s">
        <v>218</v>
      </c>
      <c r="E4798" s="97">
        <v>6.6600000000000006E-2</v>
      </c>
    </row>
    <row r="4799" spans="1:5" ht="15">
      <c r="A4799" s="98">
        <v>203</v>
      </c>
      <c r="B4799">
        <v>12.99</v>
      </c>
      <c r="C4799">
        <v>12.5</v>
      </c>
      <c r="D4799" t="s">
        <v>218</v>
      </c>
      <c r="E4799" s="97">
        <v>-5.0000000000000001E-3</v>
      </c>
    </row>
    <row r="4800" spans="1:5" ht="15">
      <c r="A4800" s="98">
        <v>202</v>
      </c>
      <c r="B4800">
        <v>13.91</v>
      </c>
      <c r="C4800">
        <v>13.29</v>
      </c>
      <c r="D4800" t="s">
        <v>218</v>
      </c>
      <c r="E4800" s="97">
        <v>5.6800000000000003E-2</v>
      </c>
    </row>
    <row r="4801" spans="1:5" ht="15">
      <c r="A4801" s="98">
        <v>201</v>
      </c>
      <c r="B4801">
        <v>13.88</v>
      </c>
      <c r="C4801">
        <v>13.04</v>
      </c>
      <c r="D4801" t="s">
        <v>218</v>
      </c>
      <c r="E4801" s="97">
        <v>3.6999999999999998E-2</v>
      </c>
    </row>
    <row r="4802" spans="1:5" ht="15">
      <c r="A4802" s="98">
        <v>200</v>
      </c>
      <c r="B4802">
        <v>14.33</v>
      </c>
      <c r="C4802">
        <v>13.6</v>
      </c>
      <c r="D4802" t="s">
        <v>218</v>
      </c>
      <c r="E4802" s="97">
        <v>-1.15E-2</v>
      </c>
    </row>
    <row r="4803" spans="1:5" ht="15">
      <c r="A4803" s="98">
        <v>199</v>
      </c>
      <c r="B4803">
        <v>14.43</v>
      </c>
      <c r="C4803">
        <v>14.04</v>
      </c>
      <c r="D4803" t="s">
        <v>218</v>
      </c>
      <c r="E4803" s="97">
        <v>0.1081</v>
      </c>
    </row>
    <row r="4804" spans="1:5" ht="15">
      <c r="A4804" s="98">
        <v>198</v>
      </c>
      <c r="B4804">
        <v>13.38</v>
      </c>
      <c r="C4804">
        <v>12.72</v>
      </c>
      <c r="D4804" t="s">
        <v>218</v>
      </c>
      <c r="E4804" s="97">
        <v>-0.106</v>
      </c>
    </row>
    <row r="4805" spans="1:5" ht="15">
      <c r="A4805" s="98">
        <v>197</v>
      </c>
      <c r="B4805">
        <v>14.75</v>
      </c>
      <c r="C4805">
        <v>13.8</v>
      </c>
      <c r="D4805" t="s">
        <v>218</v>
      </c>
      <c r="E4805" s="97">
        <v>2.69E-2</v>
      </c>
    </row>
    <row r="4806" spans="1:5" ht="15">
      <c r="A4806" s="98">
        <v>196</v>
      </c>
      <c r="B4806">
        <v>14.21</v>
      </c>
      <c r="C4806">
        <v>13.39</v>
      </c>
      <c r="D4806" t="s">
        <v>218</v>
      </c>
      <c r="E4806" s="97">
        <v>7.0800000000000002E-2</v>
      </c>
    </row>
    <row r="4807" spans="1:5" ht="15">
      <c r="A4807" s="98">
        <v>195</v>
      </c>
      <c r="B4807">
        <v>14.08</v>
      </c>
      <c r="C4807">
        <v>13.34</v>
      </c>
      <c r="D4807" t="s">
        <v>218</v>
      </c>
      <c r="E4807" s="97">
        <v>-7.9500000000000001E-2</v>
      </c>
    </row>
    <row r="4808" spans="1:5" ht="15">
      <c r="A4808" s="98">
        <v>194</v>
      </c>
      <c r="B4808">
        <v>14.41</v>
      </c>
      <c r="C4808">
        <v>13.43</v>
      </c>
      <c r="D4808" t="s">
        <v>218</v>
      </c>
      <c r="E4808" s="97">
        <v>-1.34E-2</v>
      </c>
    </row>
    <row r="4809" spans="1:5" ht="15">
      <c r="A4809" s="98">
        <v>193</v>
      </c>
      <c r="B4809">
        <v>13.2</v>
      </c>
      <c r="C4809">
        <v>12.89</v>
      </c>
      <c r="D4809" t="s">
        <v>218</v>
      </c>
      <c r="E4809" s="97">
        <v>-8.1299999999999997E-2</v>
      </c>
    </row>
    <row r="4810" spans="1:5" ht="15">
      <c r="A4810" s="98">
        <v>192</v>
      </c>
      <c r="B4810">
        <v>13.42</v>
      </c>
      <c r="C4810">
        <v>12.91</v>
      </c>
      <c r="D4810" t="s">
        <v>218</v>
      </c>
      <c r="E4810" s="97">
        <v>2.01E-2</v>
      </c>
    </row>
    <row r="4811" spans="1:5" ht="15">
      <c r="A4811" s="98">
        <v>191</v>
      </c>
      <c r="B4811">
        <v>13.13</v>
      </c>
      <c r="C4811">
        <v>12.63</v>
      </c>
      <c r="D4811" t="s">
        <v>218</v>
      </c>
      <c r="E4811" s="97">
        <v>-4.4400000000000002E-2</v>
      </c>
    </row>
    <row r="4812" spans="1:5" ht="15">
      <c r="A4812" s="98">
        <v>190</v>
      </c>
      <c r="B4812">
        <v>13.19</v>
      </c>
      <c r="C4812">
        <v>12.67</v>
      </c>
      <c r="D4812" t="s">
        <v>218</v>
      </c>
      <c r="E4812" s="97">
        <v>7.9000000000000001E-2</v>
      </c>
    </row>
    <row r="4813" spans="1:5" ht="15">
      <c r="A4813" s="98">
        <v>189</v>
      </c>
      <c r="B4813">
        <v>13.32</v>
      </c>
      <c r="C4813">
        <v>12.64</v>
      </c>
      <c r="D4813" t="s">
        <v>218</v>
      </c>
      <c r="E4813" s="97">
        <v>8.1199999999999994E-2</v>
      </c>
    </row>
    <row r="4814" spans="1:5" ht="15">
      <c r="A4814" s="98">
        <v>188</v>
      </c>
      <c r="B4814">
        <v>12.89</v>
      </c>
      <c r="C4814">
        <v>12.24</v>
      </c>
      <c r="D4814" t="s">
        <v>218</v>
      </c>
      <c r="E4814" s="97">
        <v>2.2200000000000001E-2</v>
      </c>
    </row>
    <row r="4815" spans="1:5" ht="15">
      <c r="A4815" s="98">
        <v>187</v>
      </c>
      <c r="B4815">
        <v>12.85</v>
      </c>
      <c r="C4815">
        <v>12.08</v>
      </c>
      <c r="D4815" t="s">
        <v>218</v>
      </c>
      <c r="E4815" s="97">
        <v>5.4300000000000001E-2</v>
      </c>
    </row>
    <row r="4816" spans="1:5" ht="15">
      <c r="A4816" s="98">
        <v>186</v>
      </c>
      <c r="B4816">
        <v>14.68</v>
      </c>
      <c r="C4816">
        <v>12.32</v>
      </c>
      <c r="D4816" t="s">
        <v>218</v>
      </c>
      <c r="E4816" s="97">
        <v>-6.2300000000000001E-2</v>
      </c>
    </row>
    <row r="4817" spans="1:5" ht="15">
      <c r="A4817" s="98">
        <v>185</v>
      </c>
      <c r="B4817">
        <v>16.21</v>
      </c>
      <c r="C4817">
        <v>14.67</v>
      </c>
      <c r="D4817" t="s">
        <v>218</v>
      </c>
      <c r="E4817" s="97">
        <v>-2.9499999999999998E-2</v>
      </c>
    </row>
    <row r="4818" spans="1:5" ht="15">
      <c r="A4818" s="98">
        <v>184</v>
      </c>
      <c r="B4818">
        <v>15.02</v>
      </c>
      <c r="C4818">
        <v>14.16</v>
      </c>
      <c r="D4818" t="s">
        <v>218</v>
      </c>
      <c r="E4818" s="97">
        <v>2.0999999999999999E-3</v>
      </c>
    </row>
    <row r="4819" spans="1:5" ht="15">
      <c r="A4819" s="98">
        <v>183</v>
      </c>
      <c r="B4819">
        <v>19.28</v>
      </c>
      <c r="C4819">
        <v>13.57</v>
      </c>
      <c r="D4819" t="s">
        <v>218</v>
      </c>
      <c r="E4819" s="97">
        <v>4.6100000000000002E-2</v>
      </c>
    </row>
    <row r="4820" spans="1:5" ht="15">
      <c r="A4820" s="98">
        <v>182</v>
      </c>
      <c r="B4820">
        <v>18.23</v>
      </c>
      <c r="C4820">
        <v>16.75</v>
      </c>
      <c r="D4820" t="s">
        <v>218</v>
      </c>
      <c r="E4820" s="97">
        <v>-4.1399999999999999E-2</v>
      </c>
    </row>
    <row r="4821" spans="1:5" ht="15">
      <c r="A4821" s="98">
        <v>181</v>
      </c>
      <c r="B4821">
        <v>16.600000000000001</v>
      </c>
      <c r="C4821">
        <v>14.42</v>
      </c>
      <c r="D4821" t="s">
        <v>218</v>
      </c>
      <c r="E4821" s="97">
        <v>2.8E-3</v>
      </c>
    </row>
    <row r="4822" spans="1:5" ht="15">
      <c r="A4822" s="98">
        <v>180</v>
      </c>
      <c r="B4822">
        <v>15.6</v>
      </c>
      <c r="C4822">
        <v>14.16</v>
      </c>
      <c r="D4822" t="s">
        <v>218</v>
      </c>
      <c r="E4822" s="97">
        <v>0.10639999999999999</v>
      </c>
    </row>
    <row r="4823" spans="1:5" ht="15">
      <c r="A4823" s="98">
        <v>179</v>
      </c>
      <c r="B4823">
        <v>16.82</v>
      </c>
      <c r="C4823">
        <v>15.14</v>
      </c>
      <c r="D4823" t="s">
        <v>218</v>
      </c>
      <c r="E4823" s="97">
        <v>2.0299999999999999E-2</v>
      </c>
    </row>
    <row r="4824" spans="1:5" ht="15">
      <c r="A4824" s="98">
        <v>178</v>
      </c>
      <c r="B4824">
        <v>16.16</v>
      </c>
      <c r="C4824">
        <v>14.01</v>
      </c>
      <c r="D4824" t="s">
        <v>218</v>
      </c>
      <c r="E4824" s="97">
        <v>7.7399999999999997E-2</v>
      </c>
    </row>
    <row r="4825" spans="1:5" ht="15">
      <c r="A4825" s="98">
        <v>177</v>
      </c>
      <c r="B4825">
        <v>13.66</v>
      </c>
      <c r="C4825">
        <v>13.24</v>
      </c>
      <c r="D4825" t="s">
        <v>218</v>
      </c>
      <c r="E4825" s="97">
        <v>-9.2399999999999996E-2</v>
      </c>
    </row>
    <row r="4826" spans="1:5" ht="15">
      <c r="A4826" s="98">
        <v>176</v>
      </c>
      <c r="B4826">
        <v>13.77</v>
      </c>
      <c r="C4826">
        <v>13.17</v>
      </c>
      <c r="D4826" t="s">
        <v>218</v>
      </c>
      <c r="E4826" s="97">
        <v>-4.9399999999999999E-2</v>
      </c>
    </row>
    <row r="4827" spans="1:5" ht="15">
      <c r="A4827" s="98">
        <v>175</v>
      </c>
      <c r="B4827">
        <v>13.56</v>
      </c>
      <c r="C4827">
        <v>13.03</v>
      </c>
      <c r="D4827" t="s">
        <v>218</v>
      </c>
      <c r="E4827" s="97">
        <v>-1.7100000000000001E-2</v>
      </c>
    </row>
    <row r="4828" spans="1:5" ht="15">
      <c r="A4828" s="98">
        <v>174</v>
      </c>
      <c r="B4828">
        <v>13.3</v>
      </c>
      <c r="C4828">
        <v>12.49</v>
      </c>
      <c r="D4828" t="s">
        <v>218</v>
      </c>
      <c r="E4828" s="97">
        <v>6.7799999999999999E-2</v>
      </c>
    </row>
    <row r="4829" spans="1:5" ht="15">
      <c r="A4829" s="98">
        <v>173</v>
      </c>
      <c r="B4829">
        <v>12.34</v>
      </c>
      <c r="C4829">
        <v>11.5</v>
      </c>
      <c r="D4829" t="s">
        <v>218</v>
      </c>
      <c r="E4829" s="97">
        <v>0.1062</v>
      </c>
    </row>
    <row r="4830" spans="1:5" ht="15">
      <c r="A4830" s="98">
        <v>172</v>
      </c>
      <c r="B4830">
        <v>12.93</v>
      </c>
      <c r="C4830">
        <v>11.74</v>
      </c>
      <c r="D4830" t="s">
        <v>218</v>
      </c>
      <c r="E4830" s="97">
        <v>4.1999999999999997E-3</v>
      </c>
    </row>
    <row r="4831" spans="1:5" ht="15">
      <c r="A4831" s="98">
        <v>171</v>
      </c>
      <c r="B4831">
        <v>12.55</v>
      </c>
      <c r="C4831">
        <v>11.79</v>
      </c>
      <c r="D4831" t="s">
        <v>218</v>
      </c>
      <c r="E4831" s="97">
        <v>1.03E-2</v>
      </c>
    </row>
    <row r="4832" spans="1:5" ht="15">
      <c r="A4832" s="98">
        <v>170</v>
      </c>
      <c r="B4832">
        <v>11.75</v>
      </c>
      <c r="C4832">
        <v>11.05</v>
      </c>
      <c r="D4832" t="s">
        <v>218</v>
      </c>
      <c r="E4832" s="97">
        <v>2.5399999999999999E-2</v>
      </c>
    </row>
    <row r="4833" spans="1:5" ht="15">
      <c r="A4833" s="98">
        <v>169</v>
      </c>
      <c r="B4833">
        <v>11.99</v>
      </c>
      <c r="C4833">
        <v>11.21</v>
      </c>
      <c r="D4833" t="s">
        <v>218</v>
      </c>
      <c r="E4833" s="97">
        <v>-3.8800000000000001E-2</v>
      </c>
    </row>
    <row r="4834" spans="1:5" ht="15">
      <c r="A4834" s="98">
        <v>168</v>
      </c>
      <c r="B4834">
        <v>13.64</v>
      </c>
      <c r="C4834">
        <v>12.57</v>
      </c>
      <c r="D4834" t="s">
        <v>218</v>
      </c>
      <c r="E4834" s="97">
        <v>-9.1999999999999998E-3</v>
      </c>
    </row>
    <row r="4835" spans="1:5" ht="15">
      <c r="A4835" s="98">
        <v>167</v>
      </c>
      <c r="B4835">
        <v>15.4</v>
      </c>
      <c r="C4835">
        <v>12.92</v>
      </c>
      <c r="D4835" t="s">
        <v>218</v>
      </c>
      <c r="E4835" s="97">
        <v>6.59E-2</v>
      </c>
    </row>
    <row r="4836" spans="1:5" ht="15">
      <c r="A4836" s="98">
        <v>166</v>
      </c>
      <c r="B4836">
        <v>13.18</v>
      </c>
      <c r="C4836">
        <v>12.3</v>
      </c>
      <c r="D4836" t="s">
        <v>218</v>
      </c>
      <c r="E4836" s="97">
        <v>-4.99E-2</v>
      </c>
    </row>
    <row r="4837" spans="1:5" ht="15">
      <c r="A4837" s="98">
        <v>165</v>
      </c>
      <c r="B4837">
        <v>14.21</v>
      </c>
      <c r="C4837">
        <v>12.62</v>
      </c>
      <c r="D4837" t="s">
        <v>218</v>
      </c>
      <c r="E4837" s="97">
        <v>-3.04E-2</v>
      </c>
    </row>
    <row r="4838" spans="1:5" ht="15">
      <c r="A4838" s="98">
        <v>164</v>
      </c>
      <c r="B4838">
        <v>13.85</v>
      </c>
      <c r="C4838">
        <v>13.19</v>
      </c>
      <c r="D4838" t="s">
        <v>218</v>
      </c>
      <c r="E4838" s="97">
        <v>1.41E-2</v>
      </c>
    </row>
    <row r="4839" spans="1:5" ht="15">
      <c r="A4839" s="98">
        <v>163</v>
      </c>
      <c r="B4839">
        <v>14.61</v>
      </c>
      <c r="C4839">
        <v>12.39</v>
      </c>
      <c r="D4839" t="s">
        <v>218</v>
      </c>
      <c r="E4839" s="97">
        <v>3.8899999999999997E-2</v>
      </c>
    </row>
    <row r="4840" spans="1:5" ht="15">
      <c r="A4840" s="98">
        <v>162</v>
      </c>
      <c r="B4840">
        <v>13.21</v>
      </c>
      <c r="C4840">
        <v>12.69</v>
      </c>
      <c r="D4840" t="s">
        <v>218</v>
      </c>
      <c r="E4840" s="97">
        <v>-1.5299999999999999E-2</v>
      </c>
    </row>
    <row r="4841" spans="1:5" ht="15">
      <c r="A4841" s="98">
        <v>161</v>
      </c>
      <c r="B4841">
        <v>13.97</v>
      </c>
      <c r="C4841">
        <v>12.97</v>
      </c>
      <c r="D4841" t="s">
        <v>218</v>
      </c>
      <c r="E4841" s="97">
        <v>-6.8900000000000003E-2</v>
      </c>
    </row>
    <row r="4842" spans="1:5" ht="15">
      <c r="A4842" s="98">
        <v>160</v>
      </c>
      <c r="B4842">
        <v>13.07</v>
      </c>
      <c r="C4842">
        <v>12.54</v>
      </c>
      <c r="D4842" t="s">
        <v>218</v>
      </c>
      <c r="E4842" s="97">
        <v>-1.6400000000000001E-2</v>
      </c>
    </row>
    <row r="4843" spans="1:5" ht="15">
      <c r="A4843" s="98">
        <v>159</v>
      </c>
      <c r="B4843">
        <v>14.05</v>
      </c>
      <c r="C4843">
        <v>13.26</v>
      </c>
      <c r="D4843" t="s">
        <v>218</v>
      </c>
      <c r="E4843" s="97">
        <v>6.3E-2</v>
      </c>
    </row>
    <row r="4844" spans="1:5" ht="15">
      <c r="A4844" s="98">
        <v>158</v>
      </c>
      <c r="B4844">
        <v>13.18</v>
      </c>
      <c r="C4844">
        <v>12.76</v>
      </c>
      <c r="D4844" t="s">
        <v>218</v>
      </c>
      <c r="E4844" s="97">
        <v>4.5900000000000003E-2</v>
      </c>
    </row>
    <row r="4845" spans="1:5" ht="15">
      <c r="A4845" s="98">
        <v>157</v>
      </c>
      <c r="B4845">
        <v>14.66</v>
      </c>
      <c r="C4845">
        <v>12.62</v>
      </c>
      <c r="D4845" t="s">
        <v>218</v>
      </c>
      <c r="E4845" s="97">
        <v>1.32E-2</v>
      </c>
    </row>
    <row r="4846" spans="1:5" ht="15">
      <c r="A4846" s="98">
        <v>156</v>
      </c>
      <c r="B4846">
        <v>14.79</v>
      </c>
      <c r="C4846">
        <v>13.89</v>
      </c>
      <c r="D4846" t="s">
        <v>218</v>
      </c>
      <c r="E4846" s="97">
        <v>-5.5599999999999997E-2</v>
      </c>
    </row>
    <row r="4847" spans="1:5" ht="15">
      <c r="A4847" s="98">
        <v>155</v>
      </c>
      <c r="B4847">
        <v>15.65</v>
      </c>
      <c r="C4847">
        <v>13.86</v>
      </c>
      <c r="D4847" t="s">
        <v>218</v>
      </c>
      <c r="E4847" s="97">
        <v>8.7499999999999994E-2</v>
      </c>
    </row>
    <row r="4848" spans="1:5" ht="15">
      <c r="A4848" s="98">
        <v>154</v>
      </c>
      <c r="B4848">
        <v>14.5</v>
      </c>
      <c r="C4848">
        <v>13.19</v>
      </c>
      <c r="D4848" t="s">
        <v>218</v>
      </c>
      <c r="E4848" s="97">
        <v>-8.5699999999999998E-2</v>
      </c>
    </row>
    <row r="4849" spans="1:5" ht="15">
      <c r="A4849" s="98">
        <v>153</v>
      </c>
      <c r="B4849">
        <v>13.68</v>
      </c>
      <c r="C4849">
        <v>12.75</v>
      </c>
      <c r="D4849" t="s">
        <v>218</v>
      </c>
      <c r="E4849" s="97">
        <v>1.8499999999999999E-2</v>
      </c>
    </row>
    <row r="4850" spans="1:5" ht="15">
      <c r="A4850" s="98">
        <v>152</v>
      </c>
      <c r="B4850">
        <v>12.88</v>
      </c>
      <c r="C4850">
        <v>12.32</v>
      </c>
      <c r="D4850" t="s">
        <v>218</v>
      </c>
      <c r="E4850" s="97">
        <v>-5.0200000000000002E-2</v>
      </c>
    </row>
    <row r="4851" spans="1:5" ht="15">
      <c r="A4851" s="98">
        <v>151</v>
      </c>
      <c r="B4851">
        <v>12.62</v>
      </c>
      <c r="C4851">
        <v>12.15</v>
      </c>
      <c r="D4851" t="s">
        <v>218</v>
      </c>
      <c r="E4851" s="97">
        <v>1.0500000000000001E-2</v>
      </c>
    </row>
    <row r="4852" spans="1:5" ht="15">
      <c r="A4852" s="98">
        <v>150</v>
      </c>
      <c r="B4852">
        <v>13.12</v>
      </c>
      <c r="C4852">
        <v>11.99</v>
      </c>
      <c r="D4852" t="s">
        <v>218</v>
      </c>
      <c r="E4852" s="97">
        <v>5.7000000000000002E-3</v>
      </c>
    </row>
    <row r="4853" spans="1:5" ht="15">
      <c r="A4853" s="98">
        <v>149</v>
      </c>
      <c r="B4853">
        <v>17.27</v>
      </c>
      <c r="C4853">
        <v>12.66</v>
      </c>
      <c r="D4853" t="s">
        <v>218</v>
      </c>
      <c r="E4853" s="97">
        <v>1.3100000000000001E-2</v>
      </c>
    </row>
    <row r="4854" spans="1:5" ht="15">
      <c r="A4854" s="98">
        <v>148</v>
      </c>
      <c r="B4854">
        <v>14.87</v>
      </c>
      <c r="C4854">
        <v>13.91</v>
      </c>
      <c r="D4854" t="s">
        <v>218</v>
      </c>
      <c r="E4854" s="97">
        <v>7.3099999999999998E-2</v>
      </c>
    </row>
    <row r="4855" spans="1:5" ht="15">
      <c r="A4855" s="98">
        <v>147</v>
      </c>
      <c r="B4855">
        <v>17.899999999999999</v>
      </c>
      <c r="C4855">
        <v>14.98</v>
      </c>
      <c r="D4855" t="s">
        <v>218</v>
      </c>
      <c r="E4855" s="97">
        <v>7.1000000000000004E-3</v>
      </c>
    </row>
    <row r="4856" spans="1:5" ht="15">
      <c r="A4856" s="98">
        <v>146</v>
      </c>
      <c r="B4856">
        <v>18.2</v>
      </c>
      <c r="C4856">
        <v>16.32</v>
      </c>
      <c r="D4856" t="s">
        <v>218</v>
      </c>
      <c r="E4856" s="97">
        <v>8.9999999999999993E-3</v>
      </c>
    </row>
    <row r="4857" spans="1:5" ht="15">
      <c r="A4857" s="98">
        <v>145</v>
      </c>
      <c r="B4857">
        <v>16.98</v>
      </c>
      <c r="C4857">
        <v>14.87</v>
      </c>
      <c r="D4857" t="s">
        <v>218</v>
      </c>
      <c r="E4857" s="97">
        <v>3.5999999999999999E-3</v>
      </c>
    </row>
    <row r="4858" spans="1:5" ht="15">
      <c r="A4858" s="98">
        <v>144</v>
      </c>
      <c r="B4858">
        <v>16</v>
      </c>
      <c r="C4858">
        <v>14.04</v>
      </c>
      <c r="D4858" t="s">
        <v>218</v>
      </c>
      <c r="E4858" s="97">
        <v>-7.4800000000000005E-2</v>
      </c>
    </row>
    <row r="4859" spans="1:5" ht="15">
      <c r="A4859" s="98">
        <v>143</v>
      </c>
      <c r="B4859">
        <v>14.87</v>
      </c>
      <c r="C4859">
        <v>13.46</v>
      </c>
      <c r="D4859" t="s">
        <v>218</v>
      </c>
      <c r="E4859" s="97">
        <v>8.3999999999999995E-3</v>
      </c>
    </row>
    <row r="4860" spans="1:5" ht="15">
      <c r="A4860" s="98">
        <v>142</v>
      </c>
      <c r="B4860">
        <v>13.75</v>
      </c>
      <c r="C4860">
        <v>13.36</v>
      </c>
      <c r="D4860" t="s">
        <v>218</v>
      </c>
      <c r="E4860" s="97">
        <v>2.3199999999999998E-2</v>
      </c>
    </row>
    <row r="4861" spans="1:5" ht="15">
      <c r="A4861" s="98">
        <v>141</v>
      </c>
      <c r="B4861">
        <v>13.87</v>
      </c>
      <c r="C4861">
        <v>13.13</v>
      </c>
      <c r="D4861" t="s">
        <v>218</v>
      </c>
      <c r="E4861" s="97">
        <v>1.7500000000000002E-2</v>
      </c>
    </row>
    <row r="4862" spans="1:5" ht="15">
      <c r="A4862" s="98">
        <v>140</v>
      </c>
      <c r="B4862">
        <v>14.18</v>
      </c>
      <c r="C4862">
        <v>13.49</v>
      </c>
      <c r="D4862" t="s">
        <v>218</v>
      </c>
      <c r="E4862" s="97">
        <v>2.1399999999999999E-2</v>
      </c>
    </row>
    <row r="4863" spans="1:5" ht="15">
      <c r="A4863" s="98">
        <v>139</v>
      </c>
      <c r="B4863">
        <v>13.94</v>
      </c>
      <c r="C4863">
        <v>13.36</v>
      </c>
      <c r="D4863" t="s">
        <v>218</v>
      </c>
      <c r="E4863" s="97">
        <v>-3.6900000000000002E-2</v>
      </c>
    </row>
    <row r="4864" spans="1:5" ht="15">
      <c r="A4864" s="98">
        <v>138</v>
      </c>
      <c r="B4864">
        <v>14.28</v>
      </c>
      <c r="C4864">
        <v>13.51</v>
      </c>
      <c r="D4864" t="s">
        <v>218</v>
      </c>
      <c r="E4864" s="97">
        <v>-4.3E-3</v>
      </c>
    </row>
    <row r="4865" spans="1:5" ht="15">
      <c r="A4865" s="98">
        <v>137</v>
      </c>
      <c r="B4865">
        <v>14.67</v>
      </c>
      <c r="C4865">
        <v>13.87</v>
      </c>
      <c r="D4865" t="s">
        <v>218</v>
      </c>
      <c r="E4865" s="97">
        <v>4.3E-3</v>
      </c>
    </row>
    <row r="4866" spans="1:5" ht="15">
      <c r="A4866" s="98">
        <v>136</v>
      </c>
      <c r="B4866">
        <v>14.48</v>
      </c>
      <c r="C4866">
        <v>13.58</v>
      </c>
      <c r="D4866" t="s">
        <v>218</v>
      </c>
      <c r="E4866" s="97">
        <v>1.84E-2</v>
      </c>
    </row>
    <row r="4867" spans="1:5" ht="15">
      <c r="A4867" s="98">
        <v>135</v>
      </c>
      <c r="B4867">
        <v>13.15</v>
      </c>
      <c r="C4867">
        <v>12.77</v>
      </c>
      <c r="D4867" t="s">
        <v>218</v>
      </c>
      <c r="E4867" s="97">
        <v>1.4200000000000001E-2</v>
      </c>
    </row>
    <row r="4868" spans="1:5" ht="15">
      <c r="A4868" s="98">
        <v>134</v>
      </c>
      <c r="B4868">
        <v>13.19</v>
      </c>
      <c r="C4868">
        <v>12.66</v>
      </c>
      <c r="D4868" t="s">
        <v>218</v>
      </c>
      <c r="E4868" s="97">
        <v>-3.09E-2</v>
      </c>
    </row>
    <row r="4869" spans="1:5" ht="15">
      <c r="A4869" s="98">
        <v>133</v>
      </c>
      <c r="B4869">
        <v>12.96</v>
      </c>
      <c r="C4869">
        <v>12.49</v>
      </c>
      <c r="D4869" t="s">
        <v>218</v>
      </c>
      <c r="E4869" s="97">
        <v>-6.2799999999999995E-2</v>
      </c>
    </row>
    <row r="4870" spans="1:5" ht="15">
      <c r="A4870" s="98">
        <v>132</v>
      </c>
      <c r="B4870">
        <v>13.04</v>
      </c>
      <c r="C4870">
        <v>12.62</v>
      </c>
      <c r="D4870" t="s">
        <v>218</v>
      </c>
      <c r="E4870" s="97">
        <v>-7.3099999999999998E-2</v>
      </c>
    </row>
    <row r="4871" spans="1:5" ht="15">
      <c r="A4871" s="98">
        <v>131</v>
      </c>
      <c r="B4871">
        <v>13.53</v>
      </c>
      <c r="C4871">
        <v>12.78</v>
      </c>
      <c r="D4871" t="s">
        <v>218</v>
      </c>
      <c r="E4871" s="97">
        <v>-3.1099999999999999E-2</v>
      </c>
    </row>
    <row r="4872" spans="1:5" ht="15">
      <c r="A4872" s="98">
        <v>130</v>
      </c>
      <c r="B4872">
        <v>13.45</v>
      </c>
      <c r="C4872">
        <v>12.54</v>
      </c>
      <c r="D4872" t="s">
        <v>218</v>
      </c>
      <c r="E4872" s="97">
        <v>4.2999999999999997E-2</v>
      </c>
    </row>
    <row r="4873" spans="1:5" ht="15">
      <c r="A4873" s="98">
        <v>129</v>
      </c>
      <c r="B4873">
        <v>12.87</v>
      </c>
      <c r="C4873">
        <v>12.49</v>
      </c>
      <c r="D4873" t="s">
        <v>218</v>
      </c>
      <c r="E4873" s="97">
        <v>-5.3499999999999999E-2</v>
      </c>
    </row>
    <row r="4874" spans="1:5" ht="15">
      <c r="A4874" s="98">
        <v>128</v>
      </c>
      <c r="B4874">
        <v>13.21</v>
      </c>
      <c r="C4874">
        <v>12.54</v>
      </c>
      <c r="D4874" t="s">
        <v>218</v>
      </c>
      <c r="E4874" s="97">
        <v>-4.6899999999999997E-2</v>
      </c>
    </row>
    <row r="4875" spans="1:5" ht="15">
      <c r="A4875" s="98">
        <v>127</v>
      </c>
      <c r="B4875">
        <v>13.43</v>
      </c>
      <c r="C4875">
        <v>12.78</v>
      </c>
      <c r="D4875" t="s">
        <v>218</v>
      </c>
      <c r="E4875" s="97">
        <v>-1.47E-2</v>
      </c>
    </row>
    <row r="4876" spans="1:5" ht="15">
      <c r="A4876" s="98">
        <v>126</v>
      </c>
      <c r="B4876">
        <v>13.46</v>
      </c>
      <c r="C4876">
        <v>12.79</v>
      </c>
      <c r="D4876" t="s">
        <v>218</v>
      </c>
      <c r="E4876" s="97">
        <v>3.9E-2</v>
      </c>
    </row>
    <row r="4877" spans="1:5" ht="15">
      <c r="A4877" s="98">
        <v>125</v>
      </c>
      <c r="B4877">
        <v>12.94</v>
      </c>
      <c r="C4877">
        <v>12.26</v>
      </c>
      <c r="D4877" t="s">
        <v>218</v>
      </c>
      <c r="E4877" s="97">
        <v>-4.07E-2</v>
      </c>
    </row>
    <row r="4878" spans="1:5" ht="15">
      <c r="A4878" s="98">
        <v>124</v>
      </c>
      <c r="B4878">
        <v>13.28</v>
      </c>
      <c r="C4878">
        <v>12.84</v>
      </c>
      <c r="D4878" t="s">
        <v>218</v>
      </c>
      <c r="E4878" s="97">
        <v>3.8100000000000002E-2</v>
      </c>
    </row>
    <row r="4879" spans="1:5" ht="15">
      <c r="A4879" s="98">
        <v>123</v>
      </c>
      <c r="B4879">
        <v>13.44</v>
      </c>
      <c r="C4879">
        <v>12.89</v>
      </c>
      <c r="D4879" t="s">
        <v>218</v>
      </c>
      <c r="E4879" s="97">
        <v>-4.1200000000000001E-2</v>
      </c>
    </row>
    <row r="4880" spans="1:5" ht="15">
      <c r="A4880" s="98">
        <v>122</v>
      </c>
      <c r="B4880">
        <v>14.45</v>
      </c>
      <c r="C4880">
        <v>13.05</v>
      </c>
      <c r="D4880" t="s">
        <v>218</v>
      </c>
      <c r="E4880" s="97">
        <v>-3.1600000000000003E-2</v>
      </c>
    </row>
    <row r="4881" spans="1:5" ht="15">
      <c r="A4881" s="98">
        <v>121</v>
      </c>
      <c r="B4881">
        <v>15.11</v>
      </c>
      <c r="C4881">
        <v>13.87</v>
      </c>
      <c r="D4881" t="s">
        <v>218</v>
      </c>
      <c r="E4881" s="97">
        <v>-7.1199999999999999E-2</v>
      </c>
    </row>
    <row r="4882" spans="1:5" ht="15">
      <c r="A4882" s="98">
        <v>120</v>
      </c>
      <c r="B4882">
        <v>14.79</v>
      </c>
      <c r="C4882">
        <v>13.99</v>
      </c>
      <c r="D4882" t="s">
        <v>218</v>
      </c>
      <c r="E4882" s="97">
        <v>0.18410000000000001</v>
      </c>
    </row>
    <row r="4883" spans="1:5" ht="15">
      <c r="A4883" s="98">
        <v>119</v>
      </c>
      <c r="B4883">
        <v>14.56</v>
      </c>
      <c r="C4883">
        <v>13.56</v>
      </c>
      <c r="D4883" t="s">
        <v>218</v>
      </c>
      <c r="E4883" s="97">
        <v>7.1000000000000004E-3</v>
      </c>
    </row>
    <row r="4884" spans="1:5" ht="15">
      <c r="A4884" s="98">
        <v>118</v>
      </c>
      <c r="B4884">
        <v>15.65</v>
      </c>
      <c r="C4884">
        <v>14.59</v>
      </c>
      <c r="D4884" t="s">
        <v>218</v>
      </c>
      <c r="E4884" s="97">
        <v>-4.6300000000000001E-2</v>
      </c>
    </row>
    <row r="4885" spans="1:5" ht="15">
      <c r="A4885" s="98">
        <v>117</v>
      </c>
      <c r="B4885">
        <v>14.98</v>
      </c>
      <c r="C4885">
        <v>14.27</v>
      </c>
      <c r="D4885" t="s">
        <v>218</v>
      </c>
      <c r="E4885" s="97">
        <v>5.2999999999999999E-2</v>
      </c>
    </row>
    <row r="4886" spans="1:5" ht="15">
      <c r="A4886" s="98">
        <v>116</v>
      </c>
      <c r="B4886">
        <v>16.350000000000001</v>
      </c>
      <c r="C4886">
        <v>14.36</v>
      </c>
      <c r="D4886" t="s">
        <v>218</v>
      </c>
      <c r="E4886" s="97">
        <v>0.13400000000000001</v>
      </c>
    </row>
    <row r="4887" spans="1:5" ht="15">
      <c r="A4887" s="98">
        <v>115</v>
      </c>
      <c r="B4887">
        <v>17.579999999999998</v>
      </c>
      <c r="C4887">
        <v>16.149999999999999</v>
      </c>
      <c r="D4887" t="s">
        <v>218</v>
      </c>
      <c r="E4887" s="97">
        <v>9.7100000000000006E-2</v>
      </c>
    </row>
    <row r="4888" spans="1:5" ht="15">
      <c r="A4888" s="98">
        <v>114</v>
      </c>
      <c r="B4888">
        <v>17.25</v>
      </c>
      <c r="C4888">
        <v>15.82</v>
      </c>
      <c r="D4888" t="s">
        <v>218</v>
      </c>
      <c r="E4888" s="97">
        <v>-2.5999999999999999E-2</v>
      </c>
    </row>
    <row r="4889" spans="1:5" ht="15">
      <c r="A4889" s="98">
        <v>113</v>
      </c>
      <c r="B4889">
        <v>17.84</v>
      </c>
      <c r="C4889">
        <v>16.57</v>
      </c>
      <c r="D4889" t="s">
        <v>218</v>
      </c>
      <c r="E4889" s="97">
        <v>-6.8999999999999999E-3</v>
      </c>
    </row>
    <row r="4890" spans="1:5" ht="15">
      <c r="A4890" s="98">
        <v>112</v>
      </c>
      <c r="B4890">
        <v>18.510000000000002</v>
      </c>
      <c r="C4890">
        <v>16.600000000000001</v>
      </c>
      <c r="D4890" t="s">
        <v>218</v>
      </c>
      <c r="E4890" s="97">
        <v>-2.6800000000000001E-2</v>
      </c>
    </row>
    <row r="4891" spans="1:5" ht="15">
      <c r="A4891" s="98">
        <v>111</v>
      </c>
      <c r="B4891">
        <v>16.21</v>
      </c>
      <c r="C4891">
        <v>14.96</v>
      </c>
      <c r="D4891" t="s">
        <v>218</v>
      </c>
      <c r="E4891" s="97">
        <v>-6.0699999999999997E-2</v>
      </c>
    </row>
    <row r="4892" spans="1:5" ht="15">
      <c r="A4892" s="98">
        <v>110</v>
      </c>
      <c r="B4892">
        <v>15.6</v>
      </c>
      <c r="C4892">
        <v>15.1</v>
      </c>
      <c r="D4892" t="s">
        <v>218</v>
      </c>
      <c r="E4892" s="97">
        <v>-3.9399999999999998E-2</v>
      </c>
    </row>
    <row r="4893" spans="1:5" ht="15">
      <c r="A4893" s="98">
        <v>109</v>
      </c>
      <c r="B4893">
        <v>17.14</v>
      </c>
      <c r="C4893">
        <v>16</v>
      </c>
      <c r="D4893" t="s">
        <v>218</v>
      </c>
      <c r="E4893" s="97">
        <v>-8.3000000000000001E-3</v>
      </c>
    </row>
    <row r="4894" spans="1:5" ht="15">
      <c r="A4894" s="98">
        <v>108</v>
      </c>
      <c r="B4894">
        <v>18.600000000000001</v>
      </c>
      <c r="C4894">
        <v>16.43</v>
      </c>
      <c r="D4894" t="s">
        <v>218</v>
      </c>
      <c r="E4894" s="97">
        <v>2.07E-2</v>
      </c>
    </row>
    <row r="4895" spans="1:5" ht="15">
      <c r="A4895" s="98">
        <v>107</v>
      </c>
      <c r="B4895">
        <v>18.579999999999998</v>
      </c>
      <c r="C4895">
        <v>16.37</v>
      </c>
      <c r="D4895" t="s">
        <v>218</v>
      </c>
      <c r="E4895" s="97">
        <v>1.5E-3</v>
      </c>
    </row>
    <row r="4896" spans="1:5" ht="15">
      <c r="A4896" s="98">
        <v>106</v>
      </c>
      <c r="B4896">
        <v>17.260000000000002</v>
      </c>
      <c r="C4896">
        <v>16.03</v>
      </c>
      <c r="D4896" t="s">
        <v>218</v>
      </c>
      <c r="E4896" s="97">
        <v>6.8900000000000003E-2</v>
      </c>
    </row>
    <row r="4897" spans="1:5" ht="15">
      <c r="A4897" s="98">
        <v>105</v>
      </c>
      <c r="B4897">
        <v>17.62</v>
      </c>
      <c r="C4897">
        <v>16.329999999999998</v>
      </c>
      <c r="D4897" t="s">
        <v>218</v>
      </c>
      <c r="E4897" s="97">
        <v>-4.24E-2</v>
      </c>
    </row>
    <row r="4898" spans="1:5" ht="15">
      <c r="A4898" s="98">
        <v>104</v>
      </c>
      <c r="B4898">
        <v>16.95</v>
      </c>
      <c r="C4898">
        <v>16.46</v>
      </c>
      <c r="D4898" t="s">
        <v>218</v>
      </c>
      <c r="E4898" s="97">
        <v>8.0000000000000004E-4</v>
      </c>
    </row>
    <row r="4899" spans="1:5" ht="15">
      <c r="A4899" s="98">
        <v>103</v>
      </c>
      <c r="B4899">
        <v>17.18</v>
      </c>
      <c r="C4899">
        <v>15.36</v>
      </c>
      <c r="D4899" t="s">
        <v>218</v>
      </c>
      <c r="E4899" s="97">
        <v>-2.3800000000000002E-2</v>
      </c>
    </row>
    <row r="4900" spans="1:5" ht="15">
      <c r="A4900" s="98">
        <v>102</v>
      </c>
      <c r="B4900">
        <v>21.32</v>
      </c>
      <c r="C4900">
        <v>18.010000000000002</v>
      </c>
      <c r="D4900" t="s">
        <v>218</v>
      </c>
      <c r="E4900" s="97">
        <v>4.3200000000000002E-2</v>
      </c>
    </row>
    <row r="4901" spans="1:5" ht="15">
      <c r="A4901" s="98">
        <v>101</v>
      </c>
      <c r="B4901">
        <v>20.93</v>
      </c>
      <c r="C4901">
        <v>18.25</v>
      </c>
      <c r="D4901" t="s">
        <v>218</v>
      </c>
      <c r="E4901" s="97">
        <v>-8.0000000000000004E-4</v>
      </c>
    </row>
    <row r="4902" spans="1:5" ht="15">
      <c r="A4902" s="98">
        <v>100</v>
      </c>
      <c r="B4902">
        <v>21.91</v>
      </c>
      <c r="C4902">
        <v>18.579999999999998</v>
      </c>
      <c r="D4902" t="s">
        <v>218</v>
      </c>
      <c r="E4902" s="97">
        <v>5.5999999999999999E-3</v>
      </c>
    </row>
    <row r="4903" spans="1:5" ht="15">
      <c r="A4903" s="98">
        <v>99</v>
      </c>
      <c r="B4903">
        <v>19.22</v>
      </c>
      <c r="C4903">
        <v>17.82</v>
      </c>
      <c r="D4903" t="s">
        <v>218</v>
      </c>
      <c r="E4903" s="97">
        <v>-2.3599999999999999E-2</v>
      </c>
    </row>
    <row r="4904" spans="1:5" ht="15">
      <c r="A4904" s="98">
        <v>98</v>
      </c>
      <c r="B4904">
        <v>18.059999999999999</v>
      </c>
      <c r="C4904">
        <v>17.079999999999998</v>
      </c>
      <c r="D4904" t="s">
        <v>218</v>
      </c>
      <c r="E4904" s="97">
        <v>-5.6300000000000003E-2</v>
      </c>
    </row>
    <row r="4905" spans="1:5" ht="15">
      <c r="A4905" s="98">
        <v>97</v>
      </c>
      <c r="B4905">
        <v>16.97</v>
      </c>
      <c r="C4905">
        <v>16.34</v>
      </c>
      <c r="D4905" t="s">
        <v>218</v>
      </c>
      <c r="E4905" s="97">
        <v>5.4699999999999999E-2</v>
      </c>
    </row>
    <row r="4906" spans="1:5" ht="15">
      <c r="A4906" s="98">
        <v>96</v>
      </c>
      <c r="B4906">
        <v>17.690000000000001</v>
      </c>
      <c r="C4906">
        <v>16.190000000000001</v>
      </c>
      <c r="D4906" t="s">
        <v>218</v>
      </c>
      <c r="E4906" s="97">
        <v>3.73E-2</v>
      </c>
    </row>
    <row r="4907" spans="1:5" ht="15">
      <c r="A4907" s="98">
        <v>95</v>
      </c>
      <c r="B4907">
        <v>16.899999999999999</v>
      </c>
      <c r="C4907">
        <v>16</v>
      </c>
      <c r="D4907" t="s">
        <v>218</v>
      </c>
      <c r="E4907" s="97">
        <v>-1.7500000000000002E-2</v>
      </c>
    </row>
    <row r="4908" spans="1:5" ht="15">
      <c r="A4908" s="98">
        <v>94</v>
      </c>
      <c r="B4908">
        <v>16.93</v>
      </c>
      <c r="C4908">
        <v>15.88</v>
      </c>
      <c r="D4908" t="s">
        <v>218</v>
      </c>
      <c r="E4908" s="97">
        <v>-0.1087</v>
      </c>
    </row>
    <row r="4909" spans="1:5" ht="15">
      <c r="A4909" s="98">
        <v>93</v>
      </c>
      <c r="B4909">
        <v>17.32</v>
      </c>
      <c r="C4909">
        <v>16.2</v>
      </c>
      <c r="D4909" t="s">
        <v>218</v>
      </c>
      <c r="E4909" s="97">
        <v>-4.02E-2</v>
      </c>
    </row>
    <row r="4910" spans="1:5" ht="15">
      <c r="A4910" s="98">
        <v>92</v>
      </c>
      <c r="B4910">
        <v>16.28</v>
      </c>
      <c r="C4910">
        <v>14.89</v>
      </c>
      <c r="D4910" t="s">
        <v>218</v>
      </c>
      <c r="E4910" s="97">
        <v>8.8999999999999999E-3</v>
      </c>
    </row>
    <row r="4911" spans="1:5" ht="15">
      <c r="A4911" s="98">
        <v>91</v>
      </c>
      <c r="B4911">
        <v>15.27</v>
      </c>
      <c r="C4911">
        <v>14.66</v>
      </c>
      <c r="D4911" t="s">
        <v>218</v>
      </c>
      <c r="E4911" s="97">
        <v>-5.9499999999999997E-2</v>
      </c>
    </row>
    <row r="4912" spans="1:5" ht="15">
      <c r="A4912" s="98">
        <v>90</v>
      </c>
      <c r="B4912">
        <v>14.65</v>
      </c>
      <c r="C4912">
        <v>14.26</v>
      </c>
      <c r="D4912" t="s">
        <v>218</v>
      </c>
      <c r="E4912" s="97">
        <v>-5.7999999999999996E-3</v>
      </c>
    </row>
    <row r="4913" spans="1:5" ht="15">
      <c r="A4913" s="98">
        <v>89</v>
      </c>
      <c r="B4913">
        <v>14.62</v>
      </c>
      <c r="C4913">
        <v>14.06</v>
      </c>
      <c r="D4913" t="s">
        <v>218</v>
      </c>
      <c r="E4913" s="97">
        <v>2.3699999999999999E-2</v>
      </c>
    </row>
    <row r="4914" spans="1:5" ht="15">
      <c r="A4914" s="98">
        <v>88</v>
      </c>
      <c r="B4914">
        <v>14.2</v>
      </c>
      <c r="C4914">
        <v>13.57</v>
      </c>
      <c r="D4914" t="s">
        <v>218</v>
      </c>
      <c r="E4914" s="97">
        <v>-0.06</v>
      </c>
    </row>
    <row r="4915" spans="1:5" ht="15">
      <c r="A4915" s="98">
        <v>87</v>
      </c>
      <c r="B4915">
        <v>14.04</v>
      </c>
      <c r="C4915">
        <v>13.74</v>
      </c>
      <c r="D4915" t="s">
        <v>218</v>
      </c>
      <c r="E4915" s="97">
        <v>7.1599999999999997E-2</v>
      </c>
    </row>
    <row r="4916" spans="1:5" ht="15">
      <c r="A4916" s="98">
        <v>86</v>
      </c>
      <c r="B4916">
        <v>14.11</v>
      </c>
      <c r="C4916">
        <v>13.5</v>
      </c>
      <c r="D4916" t="s">
        <v>218</v>
      </c>
      <c r="E4916" s="97">
        <v>3.5700000000000003E-2</v>
      </c>
    </row>
    <row r="4917" spans="1:5" ht="15">
      <c r="A4917" s="98">
        <v>85</v>
      </c>
      <c r="B4917">
        <v>14.56</v>
      </c>
      <c r="C4917">
        <v>13.78</v>
      </c>
      <c r="D4917" t="s">
        <v>218</v>
      </c>
      <c r="E4917" s="97">
        <v>1.89E-2</v>
      </c>
    </row>
    <row r="4918" spans="1:5" ht="15">
      <c r="A4918" s="98">
        <v>84</v>
      </c>
      <c r="B4918">
        <v>14.44</v>
      </c>
      <c r="C4918">
        <v>13.76</v>
      </c>
      <c r="D4918" t="s">
        <v>218</v>
      </c>
      <c r="E4918" s="97">
        <v>3.4799999999999998E-2</v>
      </c>
    </row>
    <row r="4919" spans="1:5" ht="15">
      <c r="A4919" s="98">
        <v>83</v>
      </c>
      <c r="B4919">
        <v>13.8</v>
      </c>
      <c r="C4919">
        <v>13.2</v>
      </c>
      <c r="D4919" t="s">
        <v>218</v>
      </c>
      <c r="E4919" s="97">
        <v>-2.1299999999999999E-2</v>
      </c>
    </row>
    <row r="4920" spans="1:5" ht="15">
      <c r="A4920" s="98">
        <v>82</v>
      </c>
      <c r="B4920">
        <v>13.97</v>
      </c>
      <c r="C4920">
        <v>12.54</v>
      </c>
      <c r="D4920" t="s">
        <v>218</v>
      </c>
      <c r="E4920" s="97">
        <v>2.47E-2</v>
      </c>
    </row>
    <row r="4921" spans="1:5" ht="15">
      <c r="A4921" s="98">
        <v>81</v>
      </c>
      <c r="B4921">
        <v>13.37</v>
      </c>
      <c r="C4921">
        <v>12.29</v>
      </c>
      <c r="D4921" t="s">
        <v>218</v>
      </c>
      <c r="E4921" s="97">
        <v>-5.0999999999999997E-2</v>
      </c>
    </row>
    <row r="4922" spans="1:5" ht="15">
      <c r="A4922" s="98">
        <v>80</v>
      </c>
      <c r="B4922">
        <v>13.06</v>
      </c>
      <c r="C4922">
        <v>12.07</v>
      </c>
      <c r="D4922" t="s">
        <v>218</v>
      </c>
      <c r="E4922" s="97">
        <v>5.1400000000000001E-2</v>
      </c>
    </row>
    <row r="4923" spans="1:5" ht="15">
      <c r="A4923" s="98">
        <v>79</v>
      </c>
      <c r="B4923">
        <v>13.49</v>
      </c>
      <c r="C4923">
        <v>12.69</v>
      </c>
      <c r="D4923" t="s">
        <v>218</v>
      </c>
      <c r="E4923" s="97">
        <v>-3.2300000000000002E-2</v>
      </c>
    </row>
    <row r="4924" spans="1:5" ht="15">
      <c r="A4924" s="98">
        <v>78</v>
      </c>
      <c r="B4924">
        <v>13.54</v>
      </c>
      <c r="C4924">
        <v>12.91</v>
      </c>
      <c r="D4924" t="s">
        <v>218</v>
      </c>
      <c r="E4924" s="97">
        <v>-4.5499999999999999E-2</v>
      </c>
    </row>
    <row r="4925" spans="1:5" ht="15">
      <c r="A4925" s="98">
        <v>77</v>
      </c>
      <c r="B4925">
        <v>13.73</v>
      </c>
      <c r="C4925">
        <v>12.71</v>
      </c>
      <c r="D4925" t="s">
        <v>218</v>
      </c>
      <c r="E4925" s="97">
        <v>6.9999999999999999E-4</v>
      </c>
    </row>
    <row r="4926" spans="1:5" ht="15">
      <c r="A4926" s="98">
        <v>76</v>
      </c>
      <c r="B4926">
        <v>13.86</v>
      </c>
      <c r="C4926">
        <v>13.38</v>
      </c>
      <c r="D4926" t="s">
        <v>218</v>
      </c>
      <c r="E4926" s="97">
        <v>-0.12230000000000001</v>
      </c>
    </row>
    <row r="4927" spans="1:5" ht="15">
      <c r="A4927" s="98">
        <v>75</v>
      </c>
      <c r="B4927">
        <v>14.14</v>
      </c>
      <c r="C4927">
        <v>13.35</v>
      </c>
      <c r="D4927" t="s">
        <v>218</v>
      </c>
      <c r="E4927" s="97">
        <v>4.7000000000000002E-3</v>
      </c>
    </row>
    <row r="4928" spans="1:5" ht="15">
      <c r="A4928" s="98">
        <v>74</v>
      </c>
      <c r="B4928">
        <v>13.83</v>
      </c>
      <c r="C4928">
        <v>12.94</v>
      </c>
      <c r="D4928" t="s">
        <v>218</v>
      </c>
      <c r="E4928" s="97">
        <v>-1.6799999999999999E-2</v>
      </c>
    </row>
    <row r="4929" spans="1:5" ht="15">
      <c r="A4929" s="98">
        <v>73</v>
      </c>
      <c r="B4929">
        <v>13.25</v>
      </c>
      <c r="C4929">
        <v>12.82</v>
      </c>
      <c r="D4929" t="s">
        <v>218</v>
      </c>
      <c r="E4929" s="97">
        <v>7.7600000000000002E-2</v>
      </c>
    </row>
    <row r="4930" spans="1:5" ht="15">
      <c r="A4930" s="98">
        <v>72</v>
      </c>
      <c r="B4930">
        <v>12.74</v>
      </c>
      <c r="C4930">
        <v>11.98</v>
      </c>
      <c r="D4930" t="s">
        <v>218</v>
      </c>
      <c r="E4930" s="97">
        <v>-1.78E-2</v>
      </c>
    </row>
    <row r="4931" spans="1:5" ht="15">
      <c r="A4931" s="98">
        <v>71</v>
      </c>
      <c r="B4931">
        <v>12.42</v>
      </c>
      <c r="C4931">
        <v>11.83</v>
      </c>
      <c r="D4931" t="s">
        <v>218</v>
      </c>
      <c r="E4931" s="97">
        <v>-4.41E-2</v>
      </c>
    </row>
    <row r="4932" spans="1:5" ht="15">
      <c r="A4932" s="98">
        <v>70</v>
      </c>
      <c r="B4932">
        <v>12.93</v>
      </c>
      <c r="C4932">
        <v>12.06</v>
      </c>
      <c r="D4932" t="s">
        <v>218</v>
      </c>
      <c r="E4932" s="97">
        <v>3.6499999999999998E-2</v>
      </c>
    </row>
    <row r="4933" spans="1:5" ht="15">
      <c r="A4933" s="98">
        <v>69</v>
      </c>
      <c r="B4933">
        <v>13.91</v>
      </c>
      <c r="C4933">
        <v>12.96</v>
      </c>
      <c r="D4933" t="s">
        <v>218</v>
      </c>
      <c r="E4933" s="97">
        <v>-1.14E-2</v>
      </c>
    </row>
    <row r="4934" spans="1:5" ht="15">
      <c r="A4934" s="98">
        <v>68</v>
      </c>
      <c r="B4934">
        <v>13.13</v>
      </c>
      <c r="C4934">
        <v>12.37</v>
      </c>
      <c r="D4934" t="s">
        <v>218</v>
      </c>
      <c r="E4934" s="97">
        <v>-1.83E-2</v>
      </c>
    </row>
    <row r="4935" spans="1:5" ht="15">
      <c r="A4935" s="98">
        <v>67</v>
      </c>
      <c r="B4935">
        <v>13.66</v>
      </c>
      <c r="C4935">
        <v>12.71</v>
      </c>
      <c r="D4935" t="s">
        <v>218</v>
      </c>
      <c r="E4935" s="97">
        <v>-3.5000000000000001E-3</v>
      </c>
    </row>
    <row r="4936" spans="1:5" ht="15">
      <c r="A4936" s="98">
        <v>66</v>
      </c>
      <c r="B4936">
        <v>13.57</v>
      </c>
      <c r="C4936">
        <v>12.8</v>
      </c>
      <c r="D4936" t="s">
        <v>218</v>
      </c>
      <c r="E4936" s="97">
        <v>-2.3E-2</v>
      </c>
    </row>
    <row r="4937" spans="1:5" ht="15">
      <c r="A4937" s="98">
        <v>65</v>
      </c>
      <c r="B4937">
        <v>13.37</v>
      </c>
      <c r="C4937">
        <v>12.29</v>
      </c>
      <c r="D4937" t="s">
        <v>218</v>
      </c>
      <c r="E4937" s="97">
        <v>-4.1399999999999999E-2</v>
      </c>
    </row>
    <row r="4938" spans="1:5" ht="15">
      <c r="A4938" s="98">
        <v>64</v>
      </c>
      <c r="B4938">
        <v>13.09</v>
      </c>
      <c r="C4938">
        <v>12.35</v>
      </c>
      <c r="D4938" t="s">
        <v>218</v>
      </c>
      <c r="E4938" s="97">
        <v>-0.24049999999999999</v>
      </c>
    </row>
    <row r="4939" spans="1:5" ht="15">
      <c r="A4939" s="98">
        <v>63</v>
      </c>
      <c r="B4939">
        <v>14.85</v>
      </c>
      <c r="C4939">
        <v>13.91</v>
      </c>
      <c r="D4939" t="s">
        <v>218</v>
      </c>
      <c r="E4939" s="97">
        <v>0.16719999999999999</v>
      </c>
    </row>
    <row r="4940" spans="1:5" ht="15">
      <c r="A4940" s="98">
        <v>62</v>
      </c>
      <c r="B4940">
        <v>14.88</v>
      </c>
      <c r="C4940">
        <v>13.62</v>
      </c>
      <c r="D4940" t="s">
        <v>218</v>
      </c>
      <c r="E4940" s="97">
        <v>0.10009999999999999</v>
      </c>
    </row>
    <row r="4941" spans="1:5" ht="15">
      <c r="A4941" s="98">
        <v>61</v>
      </c>
      <c r="B4941">
        <v>15.2</v>
      </c>
      <c r="C4941">
        <v>14.35</v>
      </c>
      <c r="D4941" t="s">
        <v>218</v>
      </c>
      <c r="E4941" s="97">
        <v>0.1273</v>
      </c>
    </row>
    <row r="4942" spans="1:5" ht="15">
      <c r="A4942" s="98">
        <v>60</v>
      </c>
      <c r="B4942">
        <v>15.25</v>
      </c>
      <c r="C4942">
        <v>14.29</v>
      </c>
      <c r="D4942" t="s">
        <v>218</v>
      </c>
      <c r="E4942" s="97">
        <v>0.1067</v>
      </c>
    </row>
    <row r="4943" spans="1:5" ht="15">
      <c r="A4943" s="98">
        <v>59</v>
      </c>
      <c r="B4943">
        <v>16.559999999999999</v>
      </c>
      <c r="C4943">
        <v>14.67</v>
      </c>
      <c r="D4943" t="s">
        <v>218</v>
      </c>
      <c r="E4943" s="97">
        <v>0.09</v>
      </c>
    </row>
    <row r="4944" spans="1:5" ht="15">
      <c r="A4944" s="98">
        <v>58</v>
      </c>
      <c r="B4944">
        <v>15.26</v>
      </c>
      <c r="C4944">
        <v>14.66</v>
      </c>
      <c r="D4944" t="s">
        <v>218</v>
      </c>
      <c r="E4944" s="97">
        <v>1.7899999999999999E-2</v>
      </c>
    </row>
    <row r="4945" spans="1:5" ht="15">
      <c r="A4945" s="98">
        <v>57</v>
      </c>
      <c r="B4945">
        <v>14.82</v>
      </c>
      <c r="C4945">
        <v>13.98</v>
      </c>
      <c r="D4945" t="s">
        <v>218</v>
      </c>
      <c r="E4945" s="97">
        <v>9.0999999999999998E-2</v>
      </c>
    </row>
    <row r="4946" spans="1:5" ht="15">
      <c r="A4946" s="98">
        <v>56</v>
      </c>
      <c r="B4946">
        <v>15.01</v>
      </c>
      <c r="C4946">
        <v>13.9</v>
      </c>
      <c r="D4946" t="s">
        <v>218</v>
      </c>
      <c r="E4946" s="97">
        <v>-8.0699999999999994E-2</v>
      </c>
    </row>
    <row r="4947" spans="1:5" ht="15">
      <c r="A4947" s="98">
        <v>55</v>
      </c>
      <c r="B4947">
        <v>17.13</v>
      </c>
      <c r="C4947">
        <v>15.82</v>
      </c>
      <c r="D4947" t="s">
        <v>218</v>
      </c>
      <c r="E4947" s="97">
        <v>-6.6199999999999995E-2</v>
      </c>
    </row>
    <row r="4948" spans="1:5" ht="15">
      <c r="A4948" s="98">
        <v>54</v>
      </c>
      <c r="B4948">
        <v>17.11</v>
      </c>
      <c r="C4948">
        <v>16.100000000000001</v>
      </c>
      <c r="D4948" t="s">
        <v>218</v>
      </c>
      <c r="E4948" s="97">
        <v>7.6600000000000001E-2</v>
      </c>
    </row>
    <row r="4949" spans="1:5" ht="15">
      <c r="A4949" s="98">
        <v>53</v>
      </c>
      <c r="B4949">
        <v>16.98</v>
      </c>
      <c r="C4949">
        <v>15.99</v>
      </c>
      <c r="D4949" t="s">
        <v>218</v>
      </c>
      <c r="E4949" s="97">
        <v>4.3900000000000002E-2</v>
      </c>
    </row>
    <row r="4950" spans="1:5" ht="15">
      <c r="A4950" s="98">
        <v>52</v>
      </c>
      <c r="B4950">
        <v>17.809999999999999</v>
      </c>
      <c r="C4950">
        <v>16.7</v>
      </c>
      <c r="D4950" t="s">
        <v>218</v>
      </c>
      <c r="E4950" s="97">
        <v>-0.1206</v>
      </c>
    </row>
    <row r="4951" spans="1:5" ht="15">
      <c r="A4951" s="98">
        <v>51</v>
      </c>
      <c r="B4951">
        <v>17.37</v>
      </c>
      <c r="C4951">
        <v>16.11</v>
      </c>
      <c r="D4951" t="s">
        <v>218</v>
      </c>
      <c r="E4951" s="97">
        <v>-1.83E-2</v>
      </c>
    </row>
    <row r="4952" spans="1:5" ht="15">
      <c r="A4952" s="98">
        <v>50</v>
      </c>
      <c r="B4952">
        <v>17.010000000000002</v>
      </c>
      <c r="C4952">
        <v>15.77</v>
      </c>
      <c r="D4952" t="s">
        <v>218</v>
      </c>
      <c r="E4952" s="97">
        <v>-0.11020000000000001</v>
      </c>
    </row>
    <row r="4953" spans="1:5" ht="15">
      <c r="A4953" s="98">
        <v>49</v>
      </c>
      <c r="B4953">
        <v>16.12</v>
      </c>
      <c r="C4953">
        <v>15.63</v>
      </c>
      <c r="D4953" t="s">
        <v>218</v>
      </c>
      <c r="E4953" s="97">
        <v>0.11700000000000001</v>
      </c>
    </row>
    <row r="4954" spans="1:5" ht="15">
      <c r="A4954" s="98">
        <v>48</v>
      </c>
      <c r="B4954">
        <v>16.809999999999999</v>
      </c>
      <c r="C4954">
        <v>15.17</v>
      </c>
      <c r="D4954" t="s">
        <v>218</v>
      </c>
      <c r="E4954" s="97">
        <v>-0.10150000000000001</v>
      </c>
    </row>
    <row r="4955" spans="1:5" ht="15">
      <c r="A4955" s="98">
        <v>47</v>
      </c>
      <c r="B4955">
        <v>16.02</v>
      </c>
      <c r="C4955">
        <v>15.22</v>
      </c>
      <c r="D4955" t="s">
        <v>218</v>
      </c>
      <c r="E4955" s="97">
        <v>0.14849999999999999</v>
      </c>
    </row>
    <row r="4956" spans="1:5" ht="15">
      <c r="A4956" s="98">
        <v>46</v>
      </c>
      <c r="B4956">
        <v>15.09</v>
      </c>
      <c r="C4956">
        <v>14.5</v>
      </c>
      <c r="D4956" t="s">
        <v>218</v>
      </c>
      <c r="E4956" s="97">
        <v>-0.11210000000000001</v>
      </c>
    </row>
    <row r="4957" spans="1:5" ht="15">
      <c r="A4957" s="98">
        <v>45</v>
      </c>
      <c r="B4957">
        <v>14.74</v>
      </c>
      <c r="C4957">
        <v>13.82</v>
      </c>
      <c r="D4957" t="s">
        <v>218</v>
      </c>
      <c r="E4957" s="97">
        <v>0.1381</v>
      </c>
    </row>
    <row r="4958" spans="1:5" ht="15">
      <c r="A4958" s="98">
        <v>44</v>
      </c>
      <c r="B4958">
        <v>14.39</v>
      </c>
      <c r="C4958">
        <v>13.73</v>
      </c>
      <c r="D4958" t="s">
        <v>218</v>
      </c>
      <c r="E4958" s="97">
        <v>-0.1087</v>
      </c>
    </row>
    <row r="4959" spans="1:5" ht="15">
      <c r="A4959" s="98">
        <v>43</v>
      </c>
      <c r="B4959">
        <v>14.55</v>
      </c>
      <c r="C4959">
        <v>14.11</v>
      </c>
      <c r="D4959" t="s">
        <v>218</v>
      </c>
      <c r="E4959" s="97">
        <v>-2.1999999999999999E-2</v>
      </c>
    </row>
    <row r="4960" spans="1:5" ht="15">
      <c r="A4960" s="98">
        <v>42</v>
      </c>
      <c r="B4960">
        <v>14.49</v>
      </c>
      <c r="C4960">
        <v>13.87</v>
      </c>
      <c r="D4960" t="s">
        <v>218</v>
      </c>
      <c r="E4960" s="97">
        <v>1.7399999999999999E-2</v>
      </c>
    </row>
    <row r="4961" spans="1:5" ht="15">
      <c r="A4961" s="98">
        <v>41</v>
      </c>
      <c r="B4961">
        <v>14.61</v>
      </c>
      <c r="C4961">
        <v>14.28</v>
      </c>
      <c r="D4961" t="s">
        <v>218</v>
      </c>
      <c r="E4961" s="97">
        <v>1.5800000000000002E-2</v>
      </c>
    </row>
    <row r="4962" spans="1:5" ht="15">
      <c r="A4962" s="98">
        <v>40</v>
      </c>
      <c r="B4962">
        <v>14.68</v>
      </c>
      <c r="C4962">
        <v>13.23</v>
      </c>
      <c r="D4962" t="s">
        <v>218</v>
      </c>
      <c r="E4962" s="97">
        <v>6.4600000000000005E-2</v>
      </c>
    </row>
    <row r="4963" spans="1:5" ht="15">
      <c r="A4963" s="98">
        <v>39</v>
      </c>
      <c r="B4963">
        <v>13.39</v>
      </c>
      <c r="C4963">
        <v>13.02</v>
      </c>
      <c r="D4963" t="s">
        <v>218</v>
      </c>
      <c r="E4963" s="97">
        <v>4.7000000000000002E-3</v>
      </c>
    </row>
    <row r="4964" spans="1:5" ht="15">
      <c r="A4964" s="98">
        <v>38</v>
      </c>
      <c r="B4964">
        <v>13.47</v>
      </c>
      <c r="C4964">
        <v>12.52</v>
      </c>
      <c r="D4964" t="s">
        <v>218</v>
      </c>
      <c r="E4964" s="97">
        <v>-7.2700000000000001E-2</v>
      </c>
    </row>
    <row r="4965" spans="1:5" ht="15">
      <c r="A4965" s="98">
        <v>37</v>
      </c>
      <c r="B4965">
        <v>14.71</v>
      </c>
      <c r="C4965">
        <v>14.02</v>
      </c>
      <c r="D4965" t="s">
        <v>218</v>
      </c>
      <c r="E4965" s="97">
        <v>0.1474</v>
      </c>
    </row>
    <row r="4966" spans="1:5" ht="15">
      <c r="A4966" s="98">
        <v>36</v>
      </c>
      <c r="B4966">
        <v>14.37</v>
      </c>
      <c r="C4966">
        <v>13.75</v>
      </c>
      <c r="D4966" t="s">
        <v>218</v>
      </c>
      <c r="E4966" s="97">
        <v>2.8799999999999999E-2</v>
      </c>
    </row>
    <row r="4967" spans="1:5" ht="15">
      <c r="A4967" s="98">
        <v>35</v>
      </c>
      <c r="B4967">
        <v>14.62</v>
      </c>
      <c r="C4967">
        <v>13.89</v>
      </c>
      <c r="D4967" t="s">
        <v>218</v>
      </c>
      <c r="E4967" s="97">
        <v>-8.0299999999999996E-2</v>
      </c>
    </row>
    <row r="4968" spans="1:5" ht="15">
      <c r="A4968" s="98">
        <v>34</v>
      </c>
      <c r="B4968">
        <v>14.4</v>
      </c>
      <c r="C4968">
        <v>13.58</v>
      </c>
      <c r="D4968" t="s">
        <v>218</v>
      </c>
      <c r="E4968" s="97">
        <v>6.6000000000000003E-2</v>
      </c>
    </row>
    <row r="4969" spans="1:5" ht="15">
      <c r="A4969" s="98">
        <v>33</v>
      </c>
      <c r="B4969">
        <v>15.79</v>
      </c>
      <c r="C4969">
        <v>14.62</v>
      </c>
      <c r="D4969" t="s">
        <v>218</v>
      </c>
      <c r="E4969" s="97">
        <v>5.0299999999999997E-2</v>
      </c>
    </row>
    <row r="4970" spans="1:5" ht="15">
      <c r="A4970" s="98">
        <v>32</v>
      </c>
      <c r="B4970">
        <v>17.489999999999998</v>
      </c>
      <c r="C4970">
        <v>16.16</v>
      </c>
      <c r="D4970" t="s">
        <v>218</v>
      </c>
      <c r="E4970" s="97">
        <v>-2.01E-2</v>
      </c>
    </row>
    <row r="4971" spans="1:5" ht="15">
      <c r="A4971" s="98">
        <v>31</v>
      </c>
      <c r="B4971">
        <v>16.46</v>
      </c>
      <c r="C4971">
        <v>15.47</v>
      </c>
      <c r="D4971" t="s">
        <v>218</v>
      </c>
      <c r="E4971" s="97">
        <v>-6.1600000000000002E-2</v>
      </c>
    </row>
    <row r="4972" spans="1:5" ht="15">
      <c r="A4972" s="98">
        <v>30</v>
      </c>
      <c r="B4972">
        <v>16.809999999999999</v>
      </c>
      <c r="C4972">
        <v>16.13</v>
      </c>
      <c r="D4972" t="s">
        <v>218</v>
      </c>
      <c r="E4972" s="97">
        <v>-1.24E-2</v>
      </c>
    </row>
    <row r="4973" spans="1:5" ht="15">
      <c r="A4973" s="98">
        <v>29</v>
      </c>
      <c r="B4973">
        <v>18.71</v>
      </c>
      <c r="C4973">
        <v>16.63</v>
      </c>
      <c r="D4973" t="s">
        <v>218</v>
      </c>
      <c r="E4973" s="97">
        <v>1.54E-2</v>
      </c>
    </row>
    <row r="4974" spans="1:5" ht="15">
      <c r="A4974" s="98">
        <v>28</v>
      </c>
      <c r="B4974">
        <v>17.87</v>
      </c>
      <c r="C4974">
        <v>16.66</v>
      </c>
      <c r="D4974" t="s">
        <v>218</v>
      </c>
      <c r="E4974" s="97">
        <v>7.0699999999999999E-2</v>
      </c>
    </row>
    <row r="4975" spans="1:5" ht="15">
      <c r="A4975" s="98">
        <v>27</v>
      </c>
      <c r="B4975">
        <v>19.41</v>
      </c>
      <c r="C4975">
        <v>18.079999999999998</v>
      </c>
      <c r="D4975" t="s">
        <v>218</v>
      </c>
      <c r="E4975" s="97">
        <v>-2.64E-2</v>
      </c>
    </row>
    <row r="4976" spans="1:5" ht="15">
      <c r="A4976" s="98">
        <v>26</v>
      </c>
      <c r="B4976">
        <v>21.01</v>
      </c>
      <c r="C4976">
        <v>18.98</v>
      </c>
      <c r="D4976" t="s">
        <v>218</v>
      </c>
      <c r="E4976" s="97">
        <v>-2.1499999999999998E-2</v>
      </c>
    </row>
    <row r="4977" spans="1:5" ht="15">
      <c r="A4977" s="98">
        <v>25</v>
      </c>
      <c r="B4977">
        <v>21.34</v>
      </c>
      <c r="C4977">
        <v>19.04</v>
      </c>
      <c r="D4977" t="s">
        <v>218</v>
      </c>
      <c r="E4977" s="97">
        <v>-8.4599999999999995E-2</v>
      </c>
    </row>
    <row r="4978" spans="1:5" ht="15">
      <c r="A4978" s="98">
        <v>24</v>
      </c>
      <c r="B4978">
        <v>17.920000000000002</v>
      </c>
      <c r="C4978">
        <v>16.29</v>
      </c>
      <c r="D4978" t="s">
        <v>218</v>
      </c>
      <c r="E4978" s="97">
        <v>0.41860000000000003</v>
      </c>
    </row>
    <row r="4979" spans="1:5" ht="15">
      <c r="A4979" s="98">
        <v>23</v>
      </c>
      <c r="B4979">
        <v>16.38</v>
      </c>
      <c r="C4979">
        <v>15.46</v>
      </c>
      <c r="D4979" t="s">
        <v>218</v>
      </c>
      <c r="E4979" s="97">
        <v>1.32E-2</v>
      </c>
    </row>
    <row r="4980" spans="1:5" ht="15">
      <c r="A4980" s="98">
        <v>22</v>
      </c>
      <c r="B4980">
        <v>17.739999999999998</v>
      </c>
      <c r="C4980">
        <v>15.8</v>
      </c>
      <c r="D4980" t="s">
        <v>218</v>
      </c>
      <c r="E4980" s="97">
        <v>-3.8E-3</v>
      </c>
    </row>
    <row r="4981" spans="1:5" ht="15">
      <c r="A4981" s="98">
        <v>21</v>
      </c>
      <c r="B4981">
        <v>18.670000000000002</v>
      </c>
      <c r="C4981">
        <v>16.16</v>
      </c>
      <c r="D4981" t="s">
        <v>218</v>
      </c>
      <c r="E4981" s="97">
        <v>1.9E-3</v>
      </c>
    </row>
    <row r="4982" spans="1:5" ht="15">
      <c r="A4982" s="98">
        <v>20</v>
      </c>
      <c r="B4982">
        <v>17.149999999999999</v>
      </c>
      <c r="C4982">
        <v>14.67</v>
      </c>
      <c r="D4982" t="s">
        <v>218</v>
      </c>
      <c r="E4982" s="97">
        <v>6.9400000000000003E-2</v>
      </c>
    </row>
    <row r="4983" spans="1:5" ht="15">
      <c r="A4983" s="98">
        <v>19</v>
      </c>
      <c r="B4983">
        <v>14.59</v>
      </c>
      <c r="C4983">
        <v>12.89</v>
      </c>
      <c r="D4983" t="s">
        <v>218</v>
      </c>
      <c r="E4983" s="97">
        <v>-3.5000000000000003E-2</v>
      </c>
    </row>
    <row r="4984" spans="1:5" ht="15">
      <c r="A4984" s="98">
        <v>18</v>
      </c>
      <c r="B4984">
        <v>13.53</v>
      </c>
      <c r="C4984">
        <v>12.34</v>
      </c>
      <c r="D4984" t="s">
        <v>218</v>
      </c>
      <c r="E4984" s="97">
        <v>-7.7899999999999997E-2</v>
      </c>
    </row>
    <row r="4985" spans="1:5" ht="15">
      <c r="A4985" s="98">
        <v>17</v>
      </c>
      <c r="B4985">
        <v>13.63</v>
      </c>
      <c r="C4985">
        <v>13.07</v>
      </c>
      <c r="D4985" t="s">
        <v>218</v>
      </c>
      <c r="E4985" s="97">
        <v>-1.8499999999999999E-2</v>
      </c>
    </row>
    <row r="4986" spans="1:5" ht="15">
      <c r="A4986" s="98">
        <v>16</v>
      </c>
      <c r="B4986">
        <v>13.92</v>
      </c>
      <c r="C4986">
        <v>12.93</v>
      </c>
      <c r="D4986" t="s">
        <v>218</v>
      </c>
      <c r="E4986" s="97">
        <v>-1.9E-2</v>
      </c>
    </row>
    <row r="4987" spans="1:5" ht="15">
      <c r="A4987" s="98">
        <v>15</v>
      </c>
      <c r="B4987">
        <v>14.21</v>
      </c>
      <c r="C4987">
        <v>13.42</v>
      </c>
      <c r="D4987" t="s">
        <v>218</v>
      </c>
      <c r="E4987" s="97">
        <v>4.5999999999999999E-2</v>
      </c>
    </row>
    <row r="4988" spans="1:5" ht="15">
      <c r="A4988" s="98">
        <v>14</v>
      </c>
      <c r="B4988">
        <v>13.62</v>
      </c>
      <c r="C4988">
        <v>13.15</v>
      </c>
      <c r="D4988" t="s">
        <v>218</v>
      </c>
      <c r="E4988" s="97">
        <v>-6.3E-3</v>
      </c>
    </row>
    <row r="4989" spans="1:5" ht="15">
      <c r="A4989" s="98">
        <v>13</v>
      </c>
      <c r="B4989">
        <v>13.44</v>
      </c>
      <c r="C4989">
        <v>13.08</v>
      </c>
      <c r="D4989" t="s">
        <v>218</v>
      </c>
      <c r="E4989" s="97">
        <v>-5.0999999999999997E-2</v>
      </c>
    </row>
    <row r="4990" spans="1:5" ht="15">
      <c r="A4990" s="98">
        <v>12</v>
      </c>
      <c r="B4990">
        <v>13.72</v>
      </c>
      <c r="C4990">
        <v>13.22</v>
      </c>
      <c r="D4990" t="s">
        <v>218</v>
      </c>
      <c r="E4990" s="97">
        <v>1.12E-2</v>
      </c>
    </row>
    <row r="4991" spans="1:5" ht="15">
      <c r="A4991" s="98">
        <v>11</v>
      </c>
      <c r="B4991">
        <v>13.63</v>
      </c>
      <c r="C4991">
        <v>13.06</v>
      </c>
      <c r="D4991" t="s">
        <v>218</v>
      </c>
      <c r="E4991" s="97">
        <v>-2.1000000000000001E-2</v>
      </c>
    </row>
    <row r="4992" spans="1:5" ht="15">
      <c r="A4992" s="98">
        <v>10</v>
      </c>
      <c r="B4992">
        <v>14.36</v>
      </c>
      <c r="C4992">
        <v>13.64</v>
      </c>
      <c r="D4992" t="s">
        <v>218</v>
      </c>
      <c r="E4992" s="97">
        <v>6.5500000000000003E-2</v>
      </c>
    </row>
    <row r="4993" spans="1:5" ht="15">
      <c r="A4993" s="98">
        <v>9</v>
      </c>
      <c r="B4993">
        <v>14.02</v>
      </c>
      <c r="C4993">
        <v>13.28</v>
      </c>
      <c r="D4993" t="s">
        <v>218</v>
      </c>
      <c r="E4993" s="97">
        <v>-7.6999999999999999E-2</v>
      </c>
    </row>
    <row r="4994" spans="1:5" ht="15">
      <c r="A4994" s="98">
        <v>8</v>
      </c>
      <c r="B4994">
        <v>13.92</v>
      </c>
      <c r="C4994">
        <v>13.22</v>
      </c>
      <c r="D4994" t="s">
        <v>218</v>
      </c>
      <c r="E4994" s="97">
        <v>3.6900000000000002E-2</v>
      </c>
    </row>
    <row r="4995" spans="1:5" ht="15">
      <c r="A4995" s="98">
        <v>7</v>
      </c>
      <c r="B4995">
        <v>13.67</v>
      </c>
      <c r="C4995">
        <v>12.91</v>
      </c>
      <c r="D4995" t="s">
        <v>218</v>
      </c>
      <c r="E4995" s="97">
        <v>3.1899999999999998E-2</v>
      </c>
    </row>
    <row r="4996" spans="1:5" ht="15">
      <c r="A4996" s="98">
        <v>6</v>
      </c>
      <c r="B4996">
        <v>13.64</v>
      </c>
      <c r="C4996">
        <v>12.86</v>
      </c>
      <c r="D4996" t="s">
        <v>218</v>
      </c>
      <c r="E4996" s="97">
        <v>5.1200000000000002E-2</v>
      </c>
    </row>
    <row r="4997" spans="1:5" ht="15">
      <c r="A4997" s="98">
        <v>5</v>
      </c>
      <c r="B4997">
        <v>13.33</v>
      </c>
      <c r="C4997">
        <v>12.67</v>
      </c>
      <c r="D4997" t="s">
        <v>218</v>
      </c>
      <c r="E4997" s="97">
        <v>-2.01E-2</v>
      </c>
    </row>
    <row r="4998" spans="1:5" ht="15">
      <c r="A4998" s="98">
        <v>4</v>
      </c>
      <c r="B4998">
        <v>14.14</v>
      </c>
      <c r="C4998">
        <v>12.93</v>
      </c>
      <c r="D4998" t="s">
        <v>218</v>
      </c>
      <c r="E4998" s="97">
        <v>-2.75E-2</v>
      </c>
    </row>
    <row r="4999" spans="1:5" ht="15">
      <c r="A4999" s="98">
        <v>3</v>
      </c>
      <c r="B4999">
        <v>13.8</v>
      </c>
      <c r="C4999">
        <v>12.84</v>
      </c>
      <c r="D4999" t="s">
        <v>218</v>
      </c>
      <c r="E4999" s="97">
        <v>3.0200000000000001E-2</v>
      </c>
    </row>
    <row r="5000" spans="1:5" ht="15">
      <c r="A5000" s="98">
        <v>2</v>
      </c>
      <c r="B5000">
        <v>12.93</v>
      </c>
      <c r="C5000">
        <v>12.4</v>
      </c>
      <c r="D5000" t="s">
        <v>218</v>
      </c>
      <c r="E5000" s="97">
        <v>-8.14E-2</v>
      </c>
    </row>
    <row r="5001" spans="1:5" ht="15">
      <c r="A5001" s="98">
        <v>1</v>
      </c>
      <c r="B5001">
        <v>13.06</v>
      </c>
      <c r="C5001">
        <v>12.63</v>
      </c>
      <c r="D5001" t="s">
        <v>218</v>
      </c>
      <c r="E5001" s="97">
        <v>-5.2499999999999998E-2</v>
      </c>
    </row>
  </sheetData>
  <sortState ref="A2:C5001">
    <sortCondition descending="1" ref="A2:A5001"/>
  </sortState>
  <phoneticPr fontId="1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31"/>
  <sheetViews>
    <sheetView workbookViewId="0">
      <selection activeCell="K11" sqref="K11"/>
    </sheetView>
  </sheetViews>
  <sheetFormatPr defaultColWidth="4.1640625" defaultRowHeight="15"/>
  <cols>
    <col min="1" max="1" width="4.1640625" style="77"/>
    <col min="2" max="2" width="19.1640625" style="79" bestFit="1" customWidth="1"/>
    <col min="3" max="3" width="16.6640625" style="77" bestFit="1" customWidth="1"/>
    <col min="4" max="4" width="18.1640625" style="77" bestFit="1" customWidth="1"/>
    <col min="5" max="16384" width="4.1640625" style="77"/>
  </cols>
  <sheetData>
    <row r="2" spans="2:4" ht="18.75" customHeight="1">
      <c r="B2" s="78" t="s">
        <v>171</v>
      </c>
      <c r="C2" s="77" t="s">
        <v>178</v>
      </c>
    </row>
    <row r="3" spans="2:4" ht="18.75" customHeight="1">
      <c r="C3" s="80" t="s">
        <v>179</v>
      </c>
      <c r="D3" s="80" t="s">
        <v>180</v>
      </c>
    </row>
    <row r="4" spans="2:4" ht="18.75" customHeight="1">
      <c r="C4" s="81" t="s">
        <v>181</v>
      </c>
      <c r="D4" s="81" t="s">
        <v>182</v>
      </c>
    </row>
    <row r="5" spans="2:4" ht="18.75" customHeight="1"/>
    <row r="6" spans="2:4" ht="18.75" customHeight="1">
      <c r="B6" s="78" t="s">
        <v>172</v>
      </c>
      <c r="C6" s="77" t="s">
        <v>178</v>
      </c>
    </row>
    <row r="7" spans="2:4" ht="18.75" customHeight="1">
      <c r="C7" s="80" t="s">
        <v>179</v>
      </c>
      <c r="D7" s="80" t="s">
        <v>180</v>
      </c>
    </row>
    <row r="8" spans="2:4" ht="18.75" customHeight="1">
      <c r="C8" s="81" t="s">
        <v>189</v>
      </c>
      <c r="D8" s="81" t="s">
        <v>182</v>
      </c>
    </row>
    <row r="9" spans="2:4" ht="18.75" customHeight="1"/>
    <row r="10" spans="2:4" ht="18.75" customHeight="1">
      <c r="B10" s="78" t="s">
        <v>173</v>
      </c>
      <c r="C10" s="77" t="s">
        <v>178</v>
      </c>
    </row>
    <row r="11" spans="2:4" ht="18.75" customHeight="1">
      <c r="C11" s="80" t="s">
        <v>179</v>
      </c>
      <c r="D11" s="80" t="s">
        <v>180</v>
      </c>
    </row>
    <row r="12" spans="2:4" ht="18.75" customHeight="1">
      <c r="C12" s="81" t="s">
        <v>181</v>
      </c>
      <c r="D12" s="81" t="s">
        <v>182</v>
      </c>
    </row>
    <row r="13" spans="2:4" ht="18.75" customHeight="1"/>
    <row r="14" spans="2:4" ht="18.75" customHeight="1">
      <c r="B14" s="78" t="s">
        <v>174</v>
      </c>
      <c r="C14" s="77" t="s">
        <v>178</v>
      </c>
    </row>
    <row r="15" spans="2:4" ht="18.75" customHeight="1">
      <c r="C15" s="80" t="s">
        <v>179</v>
      </c>
      <c r="D15" s="80" t="s">
        <v>180</v>
      </c>
    </row>
    <row r="16" spans="2:4" ht="18.75" customHeight="1">
      <c r="C16" s="81" t="s">
        <v>183</v>
      </c>
      <c r="D16" s="81" t="s">
        <v>182</v>
      </c>
    </row>
    <row r="17" spans="2:4" ht="18.75" customHeight="1"/>
    <row r="18" spans="2:4" ht="18.75" customHeight="1">
      <c r="B18" s="78" t="s">
        <v>175</v>
      </c>
      <c r="C18" s="77" t="s">
        <v>178</v>
      </c>
    </row>
    <row r="19" spans="2:4" ht="18.75" customHeight="1">
      <c r="C19" s="80" t="s">
        <v>179</v>
      </c>
      <c r="D19" s="80" t="s">
        <v>180</v>
      </c>
    </row>
    <row r="20" spans="2:4" ht="18.75" customHeight="1">
      <c r="C20" s="81" t="s">
        <v>184</v>
      </c>
      <c r="D20" s="81" t="s">
        <v>182</v>
      </c>
    </row>
    <row r="21" spans="2:4" ht="18.75" customHeight="1"/>
    <row r="22" spans="2:4" ht="18.75" customHeight="1">
      <c r="B22" s="78" t="s">
        <v>176</v>
      </c>
      <c r="C22" s="77" t="s">
        <v>178</v>
      </c>
    </row>
    <row r="23" spans="2:4" ht="18.75" customHeight="1">
      <c r="C23" s="80" t="s">
        <v>179</v>
      </c>
      <c r="D23" s="80" t="s">
        <v>180</v>
      </c>
    </row>
    <row r="24" spans="2:4" ht="18.75" customHeight="1">
      <c r="C24" s="81" t="s">
        <v>191</v>
      </c>
      <c r="D24" s="81" t="s">
        <v>182</v>
      </c>
    </row>
    <row r="25" spans="2:4" ht="18.75" customHeight="1">
      <c r="C25" s="81" t="s">
        <v>185</v>
      </c>
      <c r="D25" s="81" t="s">
        <v>182</v>
      </c>
    </row>
    <row r="26" spans="2:4" ht="18.75" customHeight="1"/>
    <row r="27" spans="2:4" ht="18.75" customHeight="1">
      <c r="B27" s="78" t="s">
        <v>190</v>
      </c>
      <c r="C27" s="77" t="s">
        <v>178</v>
      </c>
    </row>
    <row r="28" spans="2:4" ht="18.75" customHeight="1">
      <c r="C28" s="80" t="s">
        <v>179</v>
      </c>
      <c r="D28" s="80" t="s">
        <v>180</v>
      </c>
    </row>
    <row r="29" spans="2:4" ht="18.75" customHeight="1">
      <c r="C29" s="81" t="s">
        <v>191</v>
      </c>
      <c r="D29" s="81" t="s">
        <v>192</v>
      </c>
    </row>
    <row r="30" spans="2:4" ht="18.75" customHeight="1">
      <c r="C30" s="81" t="s">
        <v>185</v>
      </c>
      <c r="D30" s="81" t="s">
        <v>182</v>
      </c>
    </row>
    <row r="31" spans="2:4" ht="18.75" customHeight="1"/>
  </sheetData>
  <phoneticPr fontId="12"/>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CJ60"/>
  <sheetViews>
    <sheetView zoomScaleNormal="100" zoomScaleSheetLayoutView="85" workbookViewId="0">
      <pane xSplit="20" ySplit="9" topLeftCell="U10" activePane="bottomRight" state="frozen"/>
      <selection activeCell="X39" sqref="X39"/>
      <selection pane="topRight" activeCell="X39" sqref="X39"/>
      <selection pane="bottomLeft" activeCell="X39" sqref="X39"/>
      <selection pane="bottomRight" activeCell="A6" sqref="A6:I6"/>
    </sheetView>
  </sheetViews>
  <sheetFormatPr defaultColWidth="2.1640625" defaultRowHeight="13.5" customHeight="1"/>
  <cols>
    <col min="1" max="1" width="5" style="3" customWidth="1"/>
    <col min="2" max="14" width="2.1640625" style="3" customWidth="1"/>
    <col min="15" max="15" width="2.33203125" style="3" customWidth="1"/>
    <col min="16" max="19" width="2.1640625" style="3" customWidth="1"/>
    <col min="20" max="20" width="2.5" style="3" customWidth="1"/>
    <col min="21" max="16384" width="2.1640625" style="3"/>
  </cols>
  <sheetData>
    <row r="1" spans="1:88" ht="13.5" customHeight="1">
      <c r="A1" s="132" t="s">
        <v>0</v>
      </c>
      <c r="B1" s="132"/>
      <c r="C1" s="132"/>
      <c r="D1" s="132"/>
      <c r="E1" s="132"/>
      <c r="F1" s="132"/>
      <c r="G1" s="132"/>
      <c r="H1" s="132"/>
      <c r="I1" s="132"/>
      <c r="J1" s="132"/>
      <c r="K1" s="132"/>
      <c r="L1" s="132"/>
      <c r="M1" s="132"/>
      <c r="N1" s="132"/>
      <c r="O1" s="132" t="s">
        <v>1</v>
      </c>
      <c r="P1" s="132"/>
      <c r="Q1" s="132"/>
      <c r="R1" s="132"/>
      <c r="S1" s="132"/>
      <c r="T1" s="132"/>
      <c r="U1" s="132"/>
      <c r="V1" s="132"/>
      <c r="W1" s="132"/>
      <c r="X1" s="132"/>
      <c r="Y1" s="132"/>
      <c r="Z1" s="132"/>
      <c r="AA1" s="132"/>
      <c r="AB1" s="132"/>
      <c r="AC1" s="132" t="s">
        <v>2</v>
      </c>
      <c r="AD1" s="132"/>
      <c r="AE1" s="132"/>
      <c r="AF1" s="132"/>
      <c r="AG1" s="132"/>
      <c r="AH1" s="132"/>
      <c r="AI1" s="132"/>
      <c r="AJ1" s="132"/>
      <c r="AK1" s="132"/>
      <c r="AL1" s="132"/>
      <c r="AM1" s="132"/>
      <c r="AN1" s="132"/>
      <c r="AO1" s="132"/>
      <c r="AP1" s="132"/>
      <c r="AQ1" s="132"/>
      <c r="AR1" s="132" t="s">
        <v>3</v>
      </c>
      <c r="AS1" s="132"/>
      <c r="AT1" s="132"/>
      <c r="AU1" s="132"/>
      <c r="AV1" s="132"/>
      <c r="AW1" s="132"/>
      <c r="AX1" s="132"/>
      <c r="AY1" s="132"/>
      <c r="AZ1" s="132"/>
      <c r="BA1" s="132" t="s">
        <v>4</v>
      </c>
      <c r="BB1" s="132"/>
      <c r="BC1" s="132"/>
      <c r="BD1" s="132"/>
      <c r="BE1" s="132"/>
      <c r="BF1" s="132"/>
      <c r="BG1" s="132"/>
      <c r="BH1" s="132"/>
      <c r="BI1" s="132"/>
      <c r="BJ1" s="132" t="s">
        <v>5</v>
      </c>
      <c r="BK1" s="132"/>
      <c r="BL1" s="132"/>
      <c r="BM1" s="132"/>
      <c r="BN1" s="132"/>
      <c r="BO1" s="132"/>
      <c r="BP1" s="132"/>
      <c r="BQ1" s="132"/>
      <c r="BR1" s="132"/>
      <c r="BS1" s="132" t="s">
        <v>6</v>
      </c>
      <c r="BT1" s="132"/>
      <c r="BU1" s="132"/>
      <c r="BV1" s="132"/>
      <c r="BW1" s="132"/>
      <c r="BX1" s="132"/>
      <c r="BY1" s="132"/>
      <c r="BZ1" s="132"/>
      <c r="CA1" s="132"/>
    </row>
    <row r="2" spans="1:88" ht="13.5" customHeight="1">
      <c r="A2" s="114" t="s">
        <v>112</v>
      </c>
      <c r="B2" s="115"/>
      <c r="C2" s="115"/>
      <c r="D2" s="115"/>
      <c r="E2" s="115"/>
      <c r="F2" s="115"/>
      <c r="G2" s="115"/>
      <c r="H2" s="115"/>
      <c r="I2" s="115"/>
      <c r="J2" s="115"/>
      <c r="K2" s="115"/>
      <c r="L2" s="115"/>
      <c r="M2" s="115"/>
      <c r="N2" s="115"/>
      <c r="O2" s="113" t="str">
        <f>変更履歴!O2</f>
        <v>バイヤ1</v>
      </c>
      <c r="P2" s="113"/>
      <c r="Q2" s="113"/>
      <c r="R2" s="113"/>
      <c r="S2" s="113"/>
      <c r="T2" s="113"/>
      <c r="U2" s="113"/>
      <c r="V2" s="113"/>
      <c r="W2" s="113"/>
      <c r="X2" s="113"/>
      <c r="Y2" s="113"/>
      <c r="Z2" s="113"/>
      <c r="AA2" s="113"/>
      <c r="AB2" s="113"/>
      <c r="AC2" s="113" t="s">
        <v>16</v>
      </c>
      <c r="AD2" s="113"/>
      <c r="AE2" s="113"/>
      <c r="AF2" s="113"/>
      <c r="AG2" s="113"/>
      <c r="AH2" s="113"/>
      <c r="AI2" s="113"/>
      <c r="AJ2" s="113"/>
      <c r="AK2" s="113"/>
      <c r="AL2" s="113"/>
      <c r="AM2" s="113"/>
      <c r="AN2" s="113"/>
      <c r="AO2" s="113"/>
      <c r="AP2" s="113"/>
      <c r="AQ2" s="113"/>
      <c r="AR2" s="133" t="str">
        <f>変更履歴!AV2</f>
        <v>NSSOL 史</v>
      </c>
      <c r="AS2" s="133"/>
      <c r="AT2" s="133"/>
      <c r="AU2" s="133"/>
      <c r="AV2" s="133"/>
      <c r="AW2" s="133"/>
      <c r="AX2" s="133"/>
      <c r="AY2" s="133"/>
      <c r="AZ2" s="133"/>
      <c r="BA2" s="134">
        <f>変更履歴!D5</f>
        <v>43641</v>
      </c>
      <c r="BB2" s="134"/>
      <c r="BC2" s="134"/>
      <c r="BD2" s="134"/>
      <c r="BE2" s="134"/>
      <c r="BF2" s="134"/>
      <c r="BG2" s="134"/>
      <c r="BH2" s="134"/>
      <c r="BI2" s="134"/>
      <c r="BJ2" s="190" t="str">
        <f>変更履歴!BN2</f>
        <v/>
      </c>
      <c r="BK2" s="191"/>
      <c r="BL2" s="191"/>
      <c r="BM2" s="191"/>
      <c r="BN2" s="191"/>
      <c r="BO2" s="191"/>
      <c r="BP2" s="191"/>
      <c r="BQ2" s="191"/>
      <c r="BR2" s="192"/>
      <c r="BS2" s="134" t="str">
        <f>変更履歴!BW2</f>
        <v/>
      </c>
      <c r="BT2" s="133"/>
      <c r="BU2" s="133"/>
      <c r="BV2" s="133"/>
      <c r="BW2" s="133"/>
      <c r="BX2" s="133"/>
      <c r="BY2" s="133"/>
      <c r="BZ2" s="133"/>
      <c r="CA2" s="133"/>
    </row>
    <row r="3" spans="1:88" ht="5.0999999999999996" customHeigh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row>
    <row r="4" spans="1:88" ht="12">
      <c r="A4" s="45" t="s">
        <v>46</v>
      </c>
      <c r="B4" s="45" t="s">
        <v>47</v>
      </c>
      <c r="C4" s="45" t="s">
        <v>48</v>
      </c>
      <c r="D4" s="45" t="s">
        <v>49</v>
      </c>
      <c r="E4" s="45" t="s">
        <v>50</v>
      </c>
      <c r="F4" s="45" t="s">
        <v>51</v>
      </c>
      <c r="G4" s="45" t="s">
        <v>25</v>
      </c>
      <c r="H4" s="45" t="s">
        <v>30</v>
      </c>
      <c r="I4" s="46" t="s">
        <v>113</v>
      </c>
      <c r="J4" s="45" t="s">
        <v>114</v>
      </c>
      <c r="K4" s="45" t="s">
        <v>54</v>
      </c>
      <c r="L4" s="6"/>
    </row>
    <row r="5" spans="1:88" ht="12">
      <c r="A5" s="47">
        <f>SUM(B5:H5)</f>
        <v>0</v>
      </c>
      <c r="B5" s="47">
        <f>COUNTIF($U40:$IV40,定義!$A$2)</f>
        <v>0</v>
      </c>
      <c r="C5" s="47">
        <f>COUNTIF($U40:$IV40,定義!$A$3)</f>
        <v>0</v>
      </c>
      <c r="D5" s="47">
        <f>COUNTIF($U40:$IV40,定義!$A$4)</f>
        <v>0</v>
      </c>
      <c r="E5" s="47">
        <f>COUNTIF($U40:$IV40,定義!$A$5)</f>
        <v>0</v>
      </c>
      <c r="F5" s="47">
        <f>COUNTIF($U40:$IV40,定義!$A$6)</f>
        <v>0</v>
      </c>
      <c r="G5" s="47">
        <f>COUNTIF($U40:$IV40,定義!$A$7)</f>
        <v>0</v>
      </c>
      <c r="H5" s="47">
        <f>COUNTIF($U40:$IV40,定義!$A$8)</f>
        <v>0</v>
      </c>
      <c r="I5" s="48">
        <f>COUNTIF($U43:$IV43,定義!$D$2)</f>
        <v>0</v>
      </c>
      <c r="J5" s="47">
        <f>COUNTIF($U43:$IV43,定義!$D$3)</f>
        <v>0</v>
      </c>
      <c r="K5" s="47">
        <f>COUNTIF($U43:$IV43,定義!$D$4)</f>
        <v>0</v>
      </c>
      <c r="L5" s="13"/>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row>
    <row r="6" spans="1:88" s="52" customFormat="1" ht="105.75" customHeight="1">
      <c r="A6" s="187" t="s">
        <v>17</v>
      </c>
      <c r="B6" s="188"/>
      <c r="C6" s="188"/>
      <c r="D6" s="188"/>
      <c r="E6" s="188"/>
      <c r="F6" s="188"/>
      <c r="G6" s="188"/>
      <c r="H6" s="188"/>
      <c r="I6" s="189"/>
      <c r="J6" s="138" t="str">
        <f>サマリ!J4</f>
        <v xml:space="preserve">DAD03020：商品番号・数量入力
</v>
      </c>
      <c r="K6" s="139"/>
      <c r="L6" s="139"/>
      <c r="M6" s="139"/>
      <c r="N6" s="139"/>
      <c r="O6" s="139"/>
      <c r="P6" s="139"/>
      <c r="Q6" s="139"/>
      <c r="R6" s="139"/>
      <c r="S6" s="139"/>
      <c r="T6" s="139"/>
      <c r="U6" s="139"/>
      <c r="V6" s="139"/>
      <c r="W6" s="139"/>
      <c r="X6" s="140"/>
      <c r="Y6" s="187" t="s">
        <v>18</v>
      </c>
      <c r="Z6" s="188"/>
      <c r="AA6" s="188"/>
      <c r="AB6" s="188"/>
      <c r="AC6" s="188"/>
      <c r="AD6" s="188"/>
      <c r="AE6" s="188"/>
      <c r="AF6" s="188"/>
      <c r="AG6" s="189"/>
      <c r="AH6" s="138" t="str">
        <f>サマリ!AH4</f>
        <v xml:space="preserve">DAD03020：商品番号・数量入力
</v>
      </c>
      <c r="AI6" s="139"/>
      <c r="AJ6" s="139"/>
      <c r="AK6" s="139"/>
      <c r="AL6" s="139"/>
      <c r="AM6" s="139"/>
      <c r="AN6" s="139"/>
      <c r="AO6" s="139"/>
      <c r="AP6" s="139"/>
      <c r="AQ6" s="139"/>
      <c r="AR6" s="139"/>
      <c r="AS6" s="139"/>
      <c r="AT6" s="139"/>
      <c r="AU6" s="139"/>
      <c r="AV6" s="139"/>
      <c r="AW6" s="139"/>
      <c r="AX6" s="139"/>
      <c r="AY6" s="139"/>
      <c r="AZ6" s="139"/>
      <c r="BA6" s="139"/>
      <c r="BB6" s="139"/>
      <c r="BC6" s="140"/>
      <c r="BD6" s="50"/>
      <c r="BE6" s="51"/>
      <c r="BF6" s="51"/>
      <c r="BG6" s="51"/>
      <c r="BH6" s="51"/>
      <c r="BI6" s="51"/>
      <c r="BJ6" s="51"/>
      <c r="BK6" s="51"/>
      <c r="BL6" s="51"/>
      <c r="BM6" s="51"/>
      <c r="BN6" s="51"/>
      <c r="BO6" s="51"/>
      <c r="BP6" s="51"/>
      <c r="BQ6" s="51"/>
      <c r="BR6" s="51"/>
      <c r="BS6" s="51"/>
      <c r="BT6" s="51"/>
      <c r="BU6" s="51"/>
      <c r="BV6" s="51"/>
      <c r="BW6" s="51"/>
      <c r="BX6" s="51"/>
      <c r="BY6" s="51"/>
      <c r="BZ6" s="51"/>
      <c r="CA6" s="51"/>
    </row>
    <row r="7" spans="1:88" ht="4.5" customHeight="1"/>
    <row r="8" spans="1:88" s="44" customFormat="1" ht="13.5" customHeight="1">
      <c r="A8" s="193"/>
      <c r="B8" s="194"/>
      <c r="C8" s="194"/>
      <c r="D8" s="194"/>
      <c r="E8" s="194"/>
      <c r="F8" s="194"/>
      <c r="G8" s="194"/>
      <c r="H8" s="194"/>
      <c r="I8" s="194"/>
      <c r="J8" s="194"/>
      <c r="K8" s="194"/>
      <c r="L8" s="194"/>
      <c r="M8" s="194"/>
      <c r="N8" s="194"/>
      <c r="O8" s="194"/>
      <c r="P8" s="194"/>
      <c r="Q8" s="194"/>
      <c r="R8" s="194"/>
      <c r="S8" s="194"/>
      <c r="T8" s="195"/>
      <c r="U8" s="41" t="s">
        <v>115</v>
      </c>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2"/>
      <c r="AX8" s="42"/>
      <c r="AY8" s="42"/>
      <c r="AZ8" s="42"/>
      <c r="BA8" s="42"/>
      <c r="BB8" s="42"/>
      <c r="BC8" s="42"/>
      <c r="BD8" s="42"/>
      <c r="BE8" s="42"/>
      <c r="BF8" s="42"/>
      <c r="BG8" s="42"/>
      <c r="BH8" s="42"/>
      <c r="BI8" s="42"/>
      <c r="BJ8" s="42"/>
      <c r="BK8" s="42"/>
      <c r="BL8" s="42"/>
      <c r="BM8" s="42"/>
      <c r="BN8" s="42"/>
      <c r="BO8" s="42"/>
      <c r="BP8" s="42"/>
      <c r="BQ8" s="42"/>
      <c r="BR8" s="42"/>
      <c r="BS8" s="42"/>
      <c r="BT8" s="42"/>
      <c r="BU8" s="42"/>
      <c r="BV8" s="42"/>
      <c r="BW8" s="42"/>
      <c r="BX8" s="42"/>
      <c r="BY8" s="42"/>
      <c r="BZ8" s="42"/>
      <c r="CA8" s="42"/>
      <c r="CB8" s="42"/>
      <c r="CC8" s="42"/>
      <c r="CD8" s="42"/>
      <c r="CE8" s="42"/>
      <c r="CF8" s="42"/>
      <c r="CG8" s="42"/>
      <c r="CH8" s="42"/>
      <c r="CI8" s="42"/>
      <c r="CJ8" s="43"/>
    </row>
    <row r="9" spans="1:88" s="44" customFormat="1" ht="13.5" customHeight="1">
      <c r="A9" s="196"/>
      <c r="B9" s="197"/>
      <c r="C9" s="197"/>
      <c r="D9" s="197"/>
      <c r="E9" s="197"/>
      <c r="F9" s="197"/>
      <c r="G9" s="197"/>
      <c r="H9" s="197"/>
      <c r="I9" s="197"/>
      <c r="J9" s="197"/>
      <c r="K9" s="197"/>
      <c r="L9" s="197"/>
      <c r="M9" s="197"/>
      <c r="N9" s="197"/>
      <c r="O9" s="197"/>
      <c r="P9" s="197"/>
      <c r="Q9" s="197"/>
      <c r="R9" s="197"/>
      <c r="S9" s="197"/>
      <c r="T9" s="198"/>
      <c r="U9" s="185" t="s">
        <v>116</v>
      </c>
      <c r="V9" s="186"/>
      <c r="W9" s="185" t="s">
        <v>117</v>
      </c>
      <c r="X9" s="186"/>
      <c r="Y9" s="185" t="s">
        <v>118</v>
      </c>
      <c r="Z9" s="186"/>
      <c r="AA9" s="185" t="s">
        <v>119</v>
      </c>
      <c r="AB9" s="186"/>
      <c r="AC9" s="185" t="s">
        <v>120</v>
      </c>
      <c r="AD9" s="186"/>
      <c r="AE9" s="185" t="s">
        <v>122</v>
      </c>
      <c r="AF9" s="186"/>
      <c r="AG9" s="185" t="s">
        <v>123</v>
      </c>
      <c r="AH9" s="186"/>
      <c r="AI9" s="185" t="s">
        <v>124</v>
      </c>
      <c r="AJ9" s="186"/>
      <c r="AK9" s="185" t="s">
        <v>126</v>
      </c>
      <c r="AL9" s="186"/>
      <c r="AM9" s="185" t="s">
        <v>127</v>
      </c>
      <c r="AN9" s="186"/>
      <c r="AO9" s="185" t="s">
        <v>128</v>
      </c>
      <c r="AP9" s="186"/>
      <c r="AQ9" s="185" t="s">
        <v>129</v>
      </c>
      <c r="AR9" s="186"/>
      <c r="AS9" s="185" t="s">
        <v>130</v>
      </c>
      <c r="AT9" s="186"/>
      <c r="AU9" s="185" t="s">
        <v>131</v>
      </c>
      <c r="AV9" s="186"/>
      <c r="AW9" s="185" t="s">
        <v>132</v>
      </c>
      <c r="AX9" s="186"/>
      <c r="AY9" s="185" t="s">
        <v>133</v>
      </c>
      <c r="AZ9" s="186"/>
      <c r="BA9" s="185" t="s">
        <v>134</v>
      </c>
      <c r="BB9" s="186"/>
      <c r="BC9" s="185" t="s">
        <v>135</v>
      </c>
      <c r="BD9" s="186"/>
      <c r="BE9" s="185" t="s">
        <v>136</v>
      </c>
      <c r="BF9" s="186"/>
      <c r="BG9" s="185" t="s">
        <v>137</v>
      </c>
      <c r="BH9" s="186"/>
      <c r="BI9" s="185" t="s">
        <v>138</v>
      </c>
      <c r="BJ9" s="186"/>
      <c r="BK9" s="185" t="s">
        <v>139</v>
      </c>
      <c r="BL9" s="186"/>
      <c r="BM9" s="185" t="s">
        <v>140</v>
      </c>
      <c r="BN9" s="186"/>
      <c r="BO9" s="185" t="s">
        <v>141</v>
      </c>
      <c r="BP9" s="186"/>
      <c r="BQ9" s="185" t="s">
        <v>144</v>
      </c>
      <c r="BR9" s="186"/>
      <c r="BS9" s="185" t="s">
        <v>145</v>
      </c>
      <c r="BT9" s="186"/>
      <c r="BU9" s="185" t="s">
        <v>146</v>
      </c>
      <c r="BV9" s="186"/>
      <c r="BW9" s="185" t="s">
        <v>147</v>
      </c>
      <c r="BX9" s="186"/>
      <c r="BY9" s="185" t="s">
        <v>148</v>
      </c>
      <c r="BZ9" s="186"/>
      <c r="CA9" s="185" t="s">
        <v>149</v>
      </c>
      <c r="CB9" s="186"/>
      <c r="CC9" s="185" t="s">
        <v>150</v>
      </c>
      <c r="CD9" s="186"/>
      <c r="CE9" s="185" t="s">
        <v>151</v>
      </c>
      <c r="CF9" s="186"/>
      <c r="CG9" s="185" t="s">
        <v>152</v>
      </c>
      <c r="CH9" s="186"/>
      <c r="CI9" s="185" t="s">
        <v>153</v>
      </c>
      <c r="CJ9" s="186"/>
    </row>
    <row r="10" spans="1:88" s="44" customFormat="1" ht="13.5" customHeight="1">
      <c r="A10" s="233" t="s">
        <v>125</v>
      </c>
      <c r="B10" s="54"/>
      <c r="C10" s="64"/>
      <c r="D10" s="64"/>
      <c r="E10" s="64"/>
      <c r="F10" s="64"/>
      <c r="G10" s="64"/>
      <c r="H10" s="64"/>
      <c r="I10" s="64"/>
      <c r="J10" s="64"/>
      <c r="K10" s="64"/>
      <c r="L10" s="64"/>
      <c r="M10" s="64"/>
      <c r="N10" s="64"/>
      <c r="O10" s="64"/>
      <c r="P10" s="64"/>
      <c r="Q10" s="64"/>
      <c r="R10" s="64"/>
      <c r="S10" s="66"/>
      <c r="T10" s="68"/>
      <c r="U10" s="236"/>
      <c r="V10" s="236"/>
      <c r="W10" s="236"/>
      <c r="X10" s="236"/>
      <c r="Y10" s="236"/>
      <c r="Z10" s="236"/>
      <c r="AA10" s="236"/>
      <c r="AB10" s="236"/>
      <c r="AC10" s="236"/>
      <c r="AD10" s="236"/>
      <c r="AE10" s="236"/>
      <c r="AF10" s="236"/>
      <c r="AG10" s="236"/>
      <c r="AH10" s="236"/>
      <c r="AI10" s="236"/>
      <c r="AJ10" s="236"/>
      <c r="AK10" s="236"/>
      <c r="AL10" s="236"/>
      <c r="AM10" s="236"/>
      <c r="AN10" s="236"/>
      <c r="AO10" s="236"/>
      <c r="AP10" s="236"/>
      <c r="AQ10" s="236"/>
      <c r="AR10" s="236"/>
      <c r="AS10" s="236"/>
      <c r="AT10" s="236"/>
      <c r="AU10" s="236"/>
      <c r="AV10" s="236"/>
      <c r="AW10" s="236"/>
      <c r="AX10" s="236"/>
      <c r="AY10" s="236"/>
      <c r="AZ10" s="236"/>
      <c r="BA10" s="236"/>
      <c r="BB10" s="236"/>
      <c r="BC10" s="236"/>
      <c r="BD10" s="236"/>
      <c r="BE10" s="236"/>
      <c r="BF10" s="236"/>
      <c r="BG10" s="236"/>
      <c r="BH10" s="236"/>
      <c r="BI10" s="236"/>
      <c r="BJ10" s="236"/>
      <c r="BK10" s="236"/>
      <c r="BL10" s="236"/>
      <c r="BM10" s="236"/>
      <c r="BN10" s="236"/>
      <c r="BO10" s="236"/>
      <c r="BP10" s="236"/>
      <c r="BQ10" s="236"/>
      <c r="BR10" s="236"/>
      <c r="BS10" s="236"/>
      <c r="BT10" s="236"/>
      <c r="BU10" s="236"/>
      <c r="BV10" s="236"/>
      <c r="BW10" s="236"/>
      <c r="BX10" s="236"/>
      <c r="BY10" s="236"/>
      <c r="BZ10" s="236"/>
      <c r="CA10" s="236"/>
      <c r="CB10" s="236"/>
      <c r="CC10" s="236"/>
      <c r="CD10" s="236"/>
      <c r="CE10" s="236"/>
      <c r="CF10" s="236"/>
      <c r="CG10" s="236"/>
      <c r="CH10" s="236"/>
      <c r="CI10" s="236"/>
      <c r="CJ10" s="247"/>
    </row>
    <row r="11" spans="1:88" s="44" customFormat="1" ht="13.5" customHeight="1">
      <c r="A11" s="177"/>
      <c r="B11" s="55"/>
      <c r="C11" s="56"/>
      <c r="D11" s="56"/>
      <c r="E11" s="56"/>
      <c r="F11" s="56"/>
      <c r="G11" s="56"/>
      <c r="H11" s="56"/>
      <c r="I11" s="56"/>
      <c r="J11" s="56"/>
      <c r="K11" s="56"/>
      <c r="L11" s="56"/>
      <c r="M11" s="56"/>
      <c r="N11" s="56"/>
      <c r="O11" s="56"/>
      <c r="P11" s="56"/>
      <c r="Q11" s="56"/>
      <c r="R11" s="56"/>
      <c r="S11" s="56"/>
      <c r="T11" s="69"/>
      <c r="U11" s="238"/>
      <c r="V11" s="239"/>
      <c r="W11" s="239"/>
      <c r="X11" s="239"/>
      <c r="Y11" s="239"/>
      <c r="Z11" s="239"/>
      <c r="AA11" s="239"/>
      <c r="AB11" s="239"/>
      <c r="AC11" s="239"/>
      <c r="AD11" s="239"/>
      <c r="AE11" s="239"/>
      <c r="AF11" s="239"/>
      <c r="AG11" s="239"/>
      <c r="AH11" s="239"/>
      <c r="AI11" s="239"/>
      <c r="AJ11" s="239"/>
      <c r="AK11" s="239"/>
      <c r="AL11" s="239"/>
      <c r="AM11" s="239"/>
      <c r="AN11" s="239"/>
      <c r="AO11" s="239"/>
      <c r="AP11" s="239"/>
      <c r="AQ11" s="239"/>
      <c r="AR11" s="239"/>
      <c r="AS11" s="239"/>
      <c r="AT11" s="239"/>
      <c r="AU11" s="239"/>
      <c r="AV11" s="239"/>
      <c r="AW11" s="239"/>
      <c r="AX11" s="239"/>
      <c r="AY11" s="239"/>
      <c r="AZ11" s="239"/>
      <c r="BA11" s="239"/>
      <c r="BB11" s="239"/>
      <c r="BC11" s="239"/>
      <c r="BD11" s="239"/>
      <c r="BE11" s="239"/>
      <c r="BF11" s="239"/>
      <c r="BG11" s="239"/>
      <c r="BH11" s="239"/>
      <c r="BI11" s="239"/>
      <c r="BJ11" s="239"/>
      <c r="BK11" s="239"/>
      <c r="BL11" s="239"/>
      <c r="BM11" s="239"/>
      <c r="BN11" s="239"/>
      <c r="BO11" s="239"/>
      <c r="BP11" s="239"/>
      <c r="BQ11" s="239"/>
      <c r="BR11" s="239"/>
      <c r="BS11" s="239"/>
      <c r="BT11" s="239"/>
      <c r="BU11" s="239"/>
      <c r="BV11" s="239"/>
      <c r="BW11" s="239"/>
      <c r="BX11" s="239"/>
      <c r="BY11" s="239"/>
      <c r="BZ11" s="239"/>
      <c r="CA11" s="239"/>
      <c r="CB11" s="239"/>
      <c r="CC11" s="239"/>
      <c r="CD11" s="239"/>
      <c r="CE11" s="239"/>
      <c r="CF11" s="239"/>
      <c r="CG11" s="239"/>
      <c r="CH11" s="239"/>
      <c r="CI11" s="239"/>
      <c r="CJ11" s="240"/>
    </row>
    <row r="12" spans="1:88" s="44" customFormat="1" ht="13.5" customHeight="1">
      <c r="A12" s="177"/>
      <c r="B12" s="55"/>
      <c r="C12" s="56"/>
      <c r="D12" s="56"/>
      <c r="E12" s="56"/>
      <c r="F12" s="56"/>
      <c r="G12" s="56"/>
      <c r="H12" s="56"/>
      <c r="I12" s="56"/>
      <c r="J12" s="56"/>
      <c r="K12" s="56"/>
      <c r="L12" s="56"/>
      <c r="M12" s="56"/>
      <c r="N12" s="56"/>
      <c r="O12" s="56"/>
      <c r="P12" s="56"/>
      <c r="Q12" s="56"/>
      <c r="R12" s="56"/>
      <c r="S12" s="56"/>
      <c r="T12" s="69"/>
      <c r="U12" s="237"/>
      <c r="V12" s="174"/>
      <c r="W12" s="174"/>
      <c r="X12" s="174"/>
      <c r="Y12" s="174"/>
      <c r="Z12" s="174"/>
      <c r="AA12" s="174"/>
      <c r="AB12" s="174"/>
      <c r="AC12" s="174"/>
      <c r="AD12" s="174"/>
      <c r="AE12" s="174"/>
      <c r="AF12" s="174"/>
      <c r="AG12" s="174"/>
      <c r="AH12" s="174"/>
      <c r="AI12" s="174"/>
      <c r="AJ12" s="174"/>
      <c r="AK12" s="174"/>
      <c r="AL12" s="174"/>
      <c r="AM12" s="174"/>
      <c r="AN12" s="174"/>
      <c r="AO12" s="174"/>
      <c r="AP12" s="174"/>
      <c r="AQ12" s="174"/>
      <c r="AR12" s="174"/>
      <c r="AS12" s="174"/>
      <c r="AT12" s="174"/>
      <c r="AU12" s="174"/>
      <c r="AV12" s="174"/>
      <c r="AW12" s="174"/>
      <c r="AX12" s="174"/>
      <c r="AY12" s="174"/>
      <c r="AZ12" s="174"/>
      <c r="BA12" s="174"/>
      <c r="BB12" s="174"/>
      <c r="BC12" s="174"/>
      <c r="BD12" s="174"/>
      <c r="BE12" s="174"/>
      <c r="BF12" s="174"/>
      <c r="BG12" s="174"/>
      <c r="BH12" s="174"/>
      <c r="BI12" s="174"/>
      <c r="BJ12" s="174"/>
      <c r="BK12" s="174"/>
      <c r="BL12" s="174"/>
      <c r="BM12" s="174"/>
      <c r="BN12" s="174"/>
      <c r="BO12" s="174"/>
      <c r="BP12" s="174"/>
      <c r="BQ12" s="174"/>
      <c r="BR12" s="174"/>
      <c r="BS12" s="174"/>
      <c r="BT12" s="174"/>
      <c r="BU12" s="174"/>
      <c r="BV12" s="174"/>
      <c r="BW12" s="174"/>
      <c r="BX12" s="174"/>
      <c r="BY12" s="174"/>
      <c r="BZ12" s="174"/>
      <c r="CA12" s="174"/>
      <c r="CB12" s="174"/>
      <c r="CC12" s="174"/>
      <c r="CD12" s="174"/>
      <c r="CE12" s="174"/>
      <c r="CF12" s="174"/>
      <c r="CG12" s="174"/>
      <c r="CH12" s="174"/>
      <c r="CI12" s="174"/>
      <c r="CJ12" s="175"/>
    </row>
    <row r="13" spans="1:88" s="44" customFormat="1" ht="13.5" customHeight="1">
      <c r="A13" s="177"/>
      <c r="B13" s="55"/>
      <c r="C13" s="56"/>
      <c r="D13" s="56"/>
      <c r="E13" s="56"/>
      <c r="F13" s="56"/>
      <c r="G13" s="56"/>
      <c r="H13" s="56"/>
      <c r="I13" s="56"/>
      <c r="J13" s="56"/>
      <c r="K13" s="56"/>
      <c r="L13" s="56"/>
      <c r="M13" s="56"/>
      <c r="N13" s="56"/>
      <c r="O13" s="56"/>
      <c r="P13" s="56"/>
      <c r="Q13" s="56"/>
      <c r="R13" s="56"/>
      <c r="S13" s="56"/>
      <c r="T13" s="69"/>
      <c r="U13" s="237"/>
      <c r="V13" s="174"/>
      <c r="W13" s="174"/>
      <c r="X13" s="174"/>
      <c r="Y13" s="174"/>
      <c r="Z13" s="174"/>
      <c r="AA13" s="174"/>
      <c r="AB13" s="174"/>
      <c r="AC13" s="174"/>
      <c r="AD13" s="174"/>
      <c r="AE13" s="174"/>
      <c r="AF13" s="174"/>
      <c r="AG13" s="174"/>
      <c r="AH13" s="174"/>
      <c r="AI13" s="174"/>
      <c r="AJ13" s="174"/>
      <c r="AK13" s="174"/>
      <c r="AL13" s="174"/>
      <c r="AM13" s="174"/>
      <c r="AN13" s="174"/>
      <c r="AO13" s="174"/>
      <c r="AP13" s="174"/>
      <c r="AQ13" s="174"/>
      <c r="AR13" s="174"/>
      <c r="AS13" s="174"/>
      <c r="AT13" s="174"/>
      <c r="AU13" s="174"/>
      <c r="AV13" s="174"/>
      <c r="AW13" s="174"/>
      <c r="AX13" s="174"/>
      <c r="AY13" s="174"/>
      <c r="AZ13" s="174"/>
      <c r="BA13" s="174"/>
      <c r="BB13" s="174"/>
      <c r="BC13" s="174"/>
      <c r="BD13" s="174"/>
      <c r="BE13" s="174"/>
      <c r="BF13" s="174"/>
      <c r="BG13" s="174"/>
      <c r="BH13" s="174"/>
      <c r="BI13" s="174"/>
      <c r="BJ13" s="174"/>
      <c r="BK13" s="174"/>
      <c r="BL13" s="174"/>
      <c r="BM13" s="174"/>
      <c r="BN13" s="174"/>
      <c r="BO13" s="174"/>
      <c r="BP13" s="174"/>
      <c r="BQ13" s="174"/>
      <c r="BR13" s="174"/>
      <c r="BS13" s="174"/>
      <c r="BT13" s="174"/>
      <c r="BU13" s="174"/>
      <c r="BV13" s="174"/>
      <c r="BW13" s="174"/>
      <c r="BX13" s="174"/>
      <c r="BY13" s="174"/>
      <c r="BZ13" s="174"/>
      <c r="CA13" s="174"/>
      <c r="CB13" s="174"/>
      <c r="CC13" s="174"/>
      <c r="CD13" s="174"/>
      <c r="CE13" s="174"/>
      <c r="CF13" s="174"/>
      <c r="CG13" s="174"/>
      <c r="CH13" s="174"/>
      <c r="CI13" s="174"/>
      <c r="CJ13" s="175"/>
    </row>
    <row r="14" spans="1:88" s="44" customFormat="1" ht="13.5" customHeight="1">
      <c r="A14" s="177"/>
      <c r="B14" s="55"/>
      <c r="C14" s="56"/>
      <c r="D14" s="56"/>
      <c r="E14" s="56"/>
      <c r="F14" s="56"/>
      <c r="G14" s="56"/>
      <c r="H14" s="56"/>
      <c r="I14" s="56"/>
      <c r="J14" s="56"/>
      <c r="K14" s="56"/>
      <c r="L14" s="56"/>
      <c r="M14" s="56"/>
      <c r="N14" s="56"/>
      <c r="O14" s="56"/>
      <c r="P14" s="56"/>
      <c r="Q14" s="56"/>
      <c r="R14" s="56"/>
      <c r="S14" s="56"/>
      <c r="T14" s="69"/>
      <c r="U14" s="237"/>
      <c r="V14" s="174"/>
      <c r="W14" s="174"/>
      <c r="X14" s="174"/>
      <c r="Y14" s="174"/>
      <c r="Z14" s="174"/>
      <c r="AA14" s="174"/>
      <c r="AB14" s="174"/>
      <c r="AC14" s="174"/>
      <c r="AD14" s="174"/>
      <c r="AE14" s="174"/>
      <c r="AF14" s="174"/>
      <c r="AG14" s="174"/>
      <c r="AH14" s="174"/>
      <c r="AI14" s="174"/>
      <c r="AJ14" s="174"/>
      <c r="AK14" s="174"/>
      <c r="AL14" s="174"/>
      <c r="AM14" s="174"/>
      <c r="AN14" s="174"/>
      <c r="AO14" s="174"/>
      <c r="AP14" s="174"/>
      <c r="AQ14" s="174"/>
      <c r="AR14" s="174"/>
      <c r="AS14" s="174"/>
      <c r="AT14" s="174"/>
      <c r="AU14" s="174"/>
      <c r="AV14" s="174"/>
      <c r="AW14" s="174"/>
      <c r="AX14" s="174"/>
      <c r="AY14" s="174"/>
      <c r="AZ14" s="174"/>
      <c r="BA14" s="174"/>
      <c r="BB14" s="174"/>
      <c r="BC14" s="174"/>
      <c r="BD14" s="174"/>
      <c r="BE14" s="174"/>
      <c r="BF14" s="174"/>
      <c r="BG14" s="174"/>
      <c r="BH14" s="174"/>
      <c r="BI14" s="174"/>
      <c r="BJ14" s="174"/>
      <c r="BK14" s="174"/>
      <c r="BL14" s="174"/>
      <c r="BM14" s="174"/>
      <c r="BN14" s="174"/>
      <c r="BO14" s="174"/>
      <c r="BP14" s="174"/>
      <c r="BQ14" s="174"/>
      <c r="BR14" s="174"/>
      <c r="BS14" s="174"/>
      <c r="BT14" s="174"/>
      <c r="BU14" s="174"/>
      <c r="BV14" s="174"/>
      <c r="BW14" s="174"/>
      <c r="BX14" s="174"/>
      <c r="BY14" s="174"/>
      <c r="BZ14" s="174"/>
      <c r="CA14" s="174"/>
      <c r="CB14" s="174"/>
      <c r="CC14" s="174"/>
      <c r="CD14" s="174"/>
      <c r="CE14" s="174"/>
      <c r="CF14" s="174"/>
      <c r="CG14" s="174"/>
      <c r="CH14" s="174"/>
      <c r="CI14" s="174"/>
      <c r="CJ14" s="175"/>
    </row>
    <row r="15" spans="1:88" s="44" customFormat="1" ht="13.5" customHeight="1">
      <c r="A15" s="177"/>
      <c r="B15" s="55"/>
      <c r="C15" s="56"/>
      <c r="D15" s="56"/>
      <c r="E15" s="56"/>
      <c r="F15" s="56"/>
      <c r="G15" s="56"/>
      <c r="H15" s="56"/>
      <c r="I15" s="56"/>
      <c r="J15" s="56"/>
      <c r="K15" s="56"/>
      <c r="L15" s="56"/>
      <c r="M15" s="56"/>
      <c r="N15" s="56"/>
      <c r="O15" s="56"/>
      <c r="P15" s="56"/>
      <c r="Q15" s="56"/>
      <c r="R15" s="56"/>
      <c r="S15" s="65"/>
      <c r="T15" s="69"/>
      <c r="U15" s="237"/>
      <c r="V15" s="174"/>
      <c r="W15" s="174"/>
      <c r="X15" s="174"/>
      <c r="Y15" s="174"/>
      <c r="Z15" s="174"/>
      <c r="AA15" s="174"/>
      <c r="AB15" s="174"/>
      <c r="AC15" s="174"/>
      <c r="AD15" s="174"/>
      <c r="AE15" s="174"/>
      <c r="AF15" s="174"/>
      <c r="AG15" s="174"/>
      <c r="AH15" s="174"/>
      <c r="AI15" s="174"/>
      <c r="AJ15" s="174"/>
      <c r="AK15" s="174"/>
      <c r="AL15" s="174"/>
      <c r="AM15" s="174"/>
      <c r="AN15" s="174"/>
      <c r="AO15" s="174"/>
      <c r="AP15" s="174"/>
      <c r="AQ15" s="174"/>
      <c r="AR15" s="174"/>
      <c r="AS15" s="174"/>
      <c r="AT15" s="174"/>
      <c r="AU15" s="174"/>
      <c r="AV15" s="174"/>
      <c r="AW15" s="174"/>
      <c r="AX15" s="174"/>
      <c r="AY15" s="174"/>
      <c r="AZ15" s="174"/>
      <c r="BA15" s="174"/>
      <c r="BB15" s="174"/>
      <c r="BC15" s="174"/>
      <c r="BD15" s="174"/>
      <c r="BE15" s="174"/>
      <c r="BF15" s="174"/>
      <c r="BG15" s="174"/>
      <c r="BH15" s="174"/>
      <c r="BI15" s="174"/>
      <c r="BJ15" s="174"/>
      <c r="BK15" s="174"/>
      <c r="BL15" s="174"/>
      <c r="BM15" s="174"/>
      <c r="BN15" s="174"/>
      <c r="BO15" s="174"/>
      <c r="BP15" s="174"/>
      <c r="BQ15" s="174"/>
      <c r="BR15" s="174"/>
      <c r="BS15" s="174"/>
      <c r="BT15" s="174"/>
      <c r="BU15" s="174"/>
      <c r="BV15" s="174"/>
      <c r="BW15" s="174"/>
      <c r="BX15" s="174"/>
      <c r="BY15" s="174"/>
      <c r="BZ15" s="174"/>
      <c r="CA15" s="174"/>
      <c r="CB15" s="174"/>
      <c r="CC15" s="174"/>
      <c r="CD15" s="174"/>
      <c r="CE15" s="174"/>
      <c r="CF15" s="174"/>
      <c r="CG15" s="174"/>
      <c r="CH15" s="174"/>
      <c r="CI15" s="174"/>
      <c r="CJ15" s="175"/>
    </row>
    <row r="16" spans="1:88" s="44" customFormat="1" ht="13.5" customHeight="1">
      <c r="A16" s="177"/>
      <c r="B16" s="55"/>
      <c r="C16" s="56"/>
      <c r="D16" s="56"/>
      <c r="E16" s="56"/>
      <c r="F16" s="56"/>
      <c r="G16" s="56"/>
      <c r="H16" s="56"/>
      <c r="I16" s="56"/>
      <c r="J16" s="56"/>
      <c r="K16" s="56"/>
      <c r="L16" s="56"/>
      <c r="M16" s="56"/>
      <c r="N16" s="56"/>
      <c r="O16" s="56"/>
      <c r="P16" s="56"/>
      <c r="Q16" s="56"/>
      <c r="R16" s="56"/>
      <c r="S16" s="56"/>
      <c r="T16" s="69"/>
      <c r="U16" s="237"/>
      <c r="V16" s="174"/>
      <c r="W16" s="174"/>
      <c r="X16" s="174"/>
      <c r="Y16" s="174"/>
      <c r="Z16" s="174"/>
      <c r="AA16" s="174"/>
      <c r="AB16" s="174"/>
      <c r="AC16" s="174"/>
      <c r="AD16" s="174"/>
      <c r="AE16" s="174"/>
      <c r="AF16" s="174"/>
      <c r="AG16" s="174"/>
      <c r="AH16" s="174"/>
      <c r="AI16" s="174"/>
      <c r="AJ16" s="174"/>
      <c r="AK16" s="174"/>
      <c r="AL16" s="174"/>
      <c r="AM16" s="174"/>
      <c r="AN16" s="174"/>
      <c r="AO16" s="174"/>
      <c r="AP16" s="174"/>
      <c r="AQ16" s="174"/>
      <c r="AR16" s="174"/>
      <c r="AS16" s="174"/>
      <c r="AT16" s="174"/>
      <c r="AU16" s="174"/>
      <c r="AV16" s="174"/>
      <c r="AW16" s="174"/>
      <c r="AX16" s="174"/>
      <c r="AY16" s="174"/>
      <c r="AZ16" s="174"/>
      <c r="BA16" s="174"/>
      <c r="BB16" s="174"/>
      <c r="BC16" s="174"/>
      <c r="BD16" s="174"/>
      <c r="BE16" s="174"/>
      <c r="BF16" s="174"/>
      <c r="BG16" s="174"/>
      <c r="BH16" s="174"/>
      <c r="BI16" s="174"/>
      <c r="BJ16" s="174"/>
      <c r="BK16" s="174"/>
      <c r="BL16" s="174"/>
      <c r="BM16" s="174"/>
      <c r="BN16" s="174"/>
      <c r="BO16" s="174"/>
      <c r="BP16" s="174"/>
      <c r="BQ16" s="174"/>
      <c r="BR16" s="174"/>
      <c r="BS16" s="174"/>
      <c r="BT16" s="174"/>
      <c r="BU16" s="174"/>
      <c r="BV16" s="174"/>
      <c r="BW16" s="174"/>
      <c r="BX16" s="174"/>
      <c r="BY16" s="174"/>
      <c r="BZ16" s="174"/>
      <c r="CA16" s="174"/>
      <c r="CB16" s="174"/>
      <c r="CC16" s="174"/>
      <c r="CD16" s="174"/>
      <c r="CE16" s="174"/>
      <c r="CF16" s="174"/>
      <c r="CG16" s="174"/>
      <c r="CH16" s="174"/>
      <c r="CI16" s="174"/>
      <c r="CJ16" s="175"/>
    </row>
    <row r="17" spans="1:88" s="44" customFormat="1" ht="13.5" customHeight="1">
      <c r="A17" s="177"/>
      <c r="B17" s="55"/>
      <c r="C17" s="56"/>
      <c r="D17" s="56"/>
      <c r="E17" s="56"/>
      <c r="F17" s="56"/>
      <c r="G17" s="56"/>
      <c r="H17" s="56"/>
      <c r="I17" s="56"/>
      <c r="J17" s="56"/>
      <c r="K17" s="56"/>
      <c r="L17" s="56"/>
      <c r="M17" s="56"/>
      <c r="N17" s="56"/>
      <c r="O17" s="56"/>
      <c r="P17" s="56"/>
      <c r="Q17" s="56"/>
      <c r="R17" s="56"/>
      <c r="S17" s="56"/>
      <c r="T17" s="69"/>
      <c r="U17" s="237"/>
      <c r="V17" s="174"/>
      <c r="W17" s="174"/>
      <c r="X17" s="174"/>
      <c r="Y17" s="174"/>
      <c r="Z17" s="174"/>
      <c r="AA17" s="174"/>
      <c r="AB17" s="174"/>
      <c r="AC17" s="174"/>
      <c r="AD17" s="174"/>
      <c r="AE17" s="174"/>
      <c r="AF17" s="174"/>
      <c r="AG17" s="174"/>
      <c r="AH17" s="174"/>
      <c r="AI17" s="174"/>
      <c r="AJ17" s="174"/>
      <c r="AK17" s="174"/>
      <c r="AL17" s="174"/>
      <c r="AM17" s="174"/>
      <c r="AN17" s="174"/>
      <c r="AO17" s="174"/>
      <c r="AP17" s="174"/>
      <c r="AQ17" s="174"/>
      <c r="AR17" s="174"/>
      <c r="AS17" s="174"/>
      <c r="AT17" s="174"/>
      <c r="AU17" s="174"/>
      <c r="AV17" s="174"/>
      <c r="AW17" s="174"/>
      <c r="AX17" s="174"/>
      <c r="AY17" s="174"/>
      <c r="AZ17" s="174"/>
      <c r="BA17" s="174"/>
      <c r="BB17" s="174"/>
      <c r="BC17" s="174"/>
      <c r="BD17" s="174"/>
      <c r="BE17" s="174"/>
      <c r="BF17" s="174"/>
      <c r="BG17" s="174"/>
      <c r="BH17" s="174"/>
      <c r="BI17" s="174"/>
      <c r="BJ17" s="174"/>
      <c r="BK17" s="174"/>
      <c r="BL17" s="174"/>
      <c r="BM17" s="174"/>
      <c r="BN17" s="174"/>
      <c r="BO17" s="174"/>
      <c r="BP17" s="174"/>
      <c r="BQ17" s="174"/>
      <c r="BR17" s="174"/>
      <c r="BS17" s="174"/>
      <c r="BT17" s="174"/>
      <c r="BU17" s="174"/>
      <c r="BV17" s="174"/>
      <c r="BW17" s="174"/>
      <c r="BX17" s="174"/>
      <c r="BY17" s="174"/>
      <c r="BZ17" s="174"/>
      <c r="CA17" s="174"/>
      <c r="CB17" s="174"/>
      <c r="CC17" s="174"/>
      <c r="CD17" s="174"/>
      <c r="CE17" s="174"/>
      <c r="CF17" s="174"/>
      <c r="CG17" s="174"/>
      <c r="CH17" s="174"/>
      <c r="CI17" s="174"/>
      <c r="CJ17" s="175"/>
    </row>
    <row r="18" spans="1:88" s="44" customFormat="1" ht="13.5" customHeight="1">
      <c r="A18" s="177"/>
      <c r="B18" s="55"/>
      <c r="C18" s="56"/>
      <c r="D18" s="56"/>
      <c r="E18" s="56"/>
      <c r="F18" s="56"/>
      <c r="G18" s="56"/>
      <c r="H18" s="56"/>
      <c r="I18" s="56"/>
      <c r="J18" s="56"/>
      <c r="K18" s="56"/>
      <c r="L18" s="56"/>
      <c r="M18" s="56"/>
      <c r="N18" s="56"/>
      <c r="O18" s="56"/>
      <c r="P18" s="56"/>
      <c r="Q18" s="56"/>
      <c r="R18" s="56"/>
      <c r="S18" s="56"/>
      <c r="T18" s="69"/>
      <c r="U18" s="237"/>
      <c r="V18" s="174"/>
      <c r="W18" s="174"/>
      <c r="X18" s="174"/>
      <c r="Y18" s="174"/>
      <c r="Z18" s="174"/>
      <c r="AA18" s="174"/>
      <c r="AB18" s="174"/>
      <c r="AC18" s="174"/>
      <c r="AD18" s="174"/>
      <c r="AE18" s="174"/>
      <c r="AF18" s="174"/>
      <c r="AG18" s="174"/>
      <c r="AH18" s="174"/>
      <c r="AI18" s="174"/>
      <c r="AJ18" s="174"/>
      <c r="AK18" s="174"/>
      <c r="AL18" s="174"/>
      <c r="AM18" s="174"/>
      <c r="AN18" s="174"/>
      <c r="AO18" s="174"/>
      <c r="AP18" s="174"/>
      <c r="AQ18" s="174"/>
      <c r="AR18" s="174"/>
      <c r="AS18" s="174"/>
      <c r="AT18" s="174"/>
      <c r="AU18" s="174"/>
      <c r="AV18" s="174"/>
      <c r="AW18" s="174"/>
      <c r="AX18" s="174"/>
      <c r="AY18" s="174"/>
      <c r="AZ18" s="174"/>
      <c r="BA18" s="174"/>
      <c r="BB18" s="174"/>
      <c r="BC18" s="174"/>
      <c r="BD18" s="174"/>
      <c r="BE18" s="174"/>
      <c r="BF18" s="174"/>
      <c r="BG18" s="174"/>
      <c r="BH18" s="174"/>
      <c r="BI18" s="174"/>
      <c r="BJ18" s="174"/>
      <c r="BK18" s="174"/>
      <c r="BL18" s="174"/>
      <c r="BM18" s="174"/>
      <c r="BN18" s="174"/>
      <c r="BO18" s="174"/>
      <c r="BP18" s="174"/>
      <c r="BQ18" s="174"/>
      <c r="BR18" s="174"/>
      <c r="BS18" s="174"/>
      <c r="BT18" s="174"/>
      <c r="BU18" s="174"/>
      <c r="BV18" s="174"/>
      <c r="BW18" s="174"/>
      <c r="BX18" s="174"/>
      <c r="BY18" s="174"/>
      <c r="BZ18" s="174"/>
      <c r="CA18" s="174"/>
      <c r="CB18" s="174"/>
      <c r="CC18" s="174"/>
      <c r="CD18" s="174"/>
      <c r="CE18" s="174"/>
      <c r="CF18" s="174"/>
      <c r="CG18" s="174"/>
      <c r="CH18" s="174"/>
      <c r="CI18" s="174"/>
      <c r="CJ18" s="175"/>
    </row>
    <row r="19" spans="1:88" s="44" customFormat="1" ht="13.5" customHeight="1">
      <c r="A19" s="177"/>
      <c r="B19" s="55"/>
      <c r="C19" s="56"/>
      <c r="D19" s="56"/>
      <c r="E19" s="56"/>
      <c r="F19" s="56"/>
      <c r="G19" s="56"/>
      <c r="H19" s="56"/>
      <c r="I19" s="56"/>
      <c r="J19" s="56"/>
      <c r="K19" s="56"/>
      <c r="L19" s="56"/>
      <c r="M19" s="56"/>
      <c r="N19" s="56"/>
      <c r="O19" s="56"/>
      <c r="P19" s="56"/>
      <c r="Q19" s="56"/>
      <c r="R19" s="56"/>
      <c r="S19" s="56"/>
      <c r="T19" s="69"/>
      <c r="U19" s="237"/>
      <c r="V19" s="174"/>
      <c r="W19" s="174"/>
      <c r="X19" s="174"/>
      <c r="Y19" s="174"/>
      <c r="Z19" s="174"/>
      <c r="AA19" s="174"/>
      <c r="AB19" s="174"/>
      <c r="AC19" s="174"/>
      <c r="AD19" s="174"/>
      <c r="AE19" s="174"/>
      <c r="AF19" s="174"/>
      <c r="AG19" s="174"/>
      <c r="AH19" s="174"/>
      <c r="AI19" s="174"/>
      <c r="AJ19" s="174"/>
      <c r="AK19" s="174"/>
      <c r="AL19" s="174"/>
      <c r="AM19" s="174"/>
      <c r="AN19" s="174"/>
      <c r="AO19" s="174"/>
      <c r="AP19" s="174"/>
      <c r="AQ19" s="174"/>
      <c r="AR19" s="174"/>
      <c r="AS19" s="174"/>
      <c r="AT19" s="174"/>
      <c r="AU19" s="174"/>
      <c r="AV19" s="174"/>
      <c r="AW19" s="174"/>
      <c r="AX19" s="174"/>
      <c r="AY19" s="174"/>
      <c r="AZ19" s="174"/>
      <c r="BA19" s="174"/>
      <c r="BB19" s="174"/>
      <c r="BC19" s="174"/>
      <c r="BD19" s="174"/>
      <c r="BE19" s="174"/>
      <c r="BF19" s="174"/>
      <c r="BG19" s="174"/>
      <c r="BH19" s="174"/>
      <c r="BI19" s="174"/>
      <c r="BJ19" s="174"/>
      <c r="BK19" s="174"/>
      <c r="BL19" s="174"/>
      <c r="BM19" s="174"/>
      <c r="BN19" s="174"/>
      <c r="BO19" s="174"/>
      <c r="BP19" s="174"/>
      <c r="BQ19" s="174"/>
      <c r="BR19" s="174"/>
      <c r="BS19" s="174"/>
      <c r="BT19" s="174"/>
      <c r="BU19" s="174"/>
      <c r="BV19" s="174"/>
      <c r="BW19" s="174"/>
      <c r="BX19" s="174"/>
      <c r="BY19" s="174"/>
      <c r="BZ19" s="174"/>
      <c r="CA19" s="174"/>
      <c r="CB19" s="174"/>
      <c r="CC19" s="174"/>
      <c r="CD19" s="174"/>
      <c r="CE19" s="174"/>
      <c r="CF19" s="174"/>
      <c r="CG19" s="174"/>
      <c r="CH19" s="174"/>
      <c r="CI19" s="174"/>
      <c r="CJ19" s="175"/>
    </row>
    <row r="20" spans="1:88" s="44" customFormat="1" ht="13.5" customHeight="1">
      <c r="A20" s="177"/>
      <c r="B20" s="55"/>
      <c r="C20" s="56"/>
      <c r="D20" s="56"/>
      <c r="E20" s="56"/>
      <c r="F20" s="56"/>
      <c r="G20" s="56"/>
      <c r="H20" s="56"/>
      <c r="I20" s="56"/>
      <c r="J20" s="56"/>
      <c r="K20" s="56"/>
      <c r="L20" s="56"/>
      <c r="M20" s="56"/>
      <c r="N20" s="56"/>
      <c r="O20" s="56"/>
      <c r="P20" s="56"/>
      <c r="Q20" s="56"/>
      <c r="R20" s="56"/>
      <c r="S20" s="56"/>
      <c r="T20" s="69"/>
      <c r="U20" s="237"/>
      <c r="V20" s="174"/>
      <c r="W20" s="174"/>
      <c r="X20" s="174"/>
      <c r="Y20" s="174"/>
      <c r="Z20" s="174"/>
      <c r="AA20" s="174"/>
      <c r="AB20" s="174"/>
      <c r="AC20" s="174"/>
      <c r="AD20" s="174"/>
      <c r="AE20" s="174"/>
      <c r="AF20" s="174"/>
      <c r="AG20" s="174"/>
      <c r="AH20" s="174"/>
      <c r="AI20" s="174"/>
      <c r="AJ20" s="174"/>
      <c r="AK20" s="174"/>
      <c r="AL20" s="174"/>
      <c r="AM20" s="174"/>
      <c r="AN20" s="174"/>
      <c r="AO20" s="174"/>
      <c r="AP20" s="174"/>
      <c r="AQ20" s="174"/>
      <c r="AR20" s="174"/>
      <c r="AS20" s="174"/>
      <c r="AT20" s="174"/>
      <c r="AU20" s="174"/>
      <c r="AV20" s="174"/>
      <c r="AW20" s="174"/>
      <c r="AX20" s="174"/>
      <c r="AY20" s="174"/>
      <c r="AZ20" s="174"/>
      <c r="BA20" s="174"/>
      <c r="BB20" s="174"/>
      <c r="BC20" s="174"/>
      <c r="BD20" s="174"/>
      <c r="BE20" s="174"/>
      <c r="BF20" s="174"/>
      <c r="BG20" s="174"/>
      <c r="BH20" s="174"/>
      <c r="BI20" s="174"/>
      <c r="BJ20" s="174"/>
      <c r="BK20" s="174"/>
      <c r="BL20" s="174"/>
      <c r="BM20" s="174"/>
      <c r="BN20" s="174"/>
      <c r="BO20" s="174"/>
      <c r="BP20" s="174"/>
      <c r="BQ20" s="174"/>
      <c r="BR20" s="174"/>
      <c r="BS20" s="174"/>
      <c r="BT20" s="174"/>
      <c r="BU20" s="174"/>
      <c r="BV20" s="174"/>
      <c r="BW20" s="174"/>
      <c r="BX20" s="174"/>
      <c r="BY20" s="174"/>
      <c r="BZ20" s="174"/>
      <c r="CA20" s="174"/>
      <c r="CB20" s="174"/>
      <c r="CC20" s="174"/>
      <c r="CD20" s="174"/>
      <c r="CE20" s="174"/>
      <c r="CF20" s="174"/>
      <c r="CG20" s="174"/>
      <c r="CH20" s="174"/>
      <c r="CI20" s="174"/>
      <c r="CJ20" s="175"/>
    </row>
    <row r="21" spans="1:88" s="44" customFormat="1" ht="13.5" customHeight="1">
      <c r="A21" s="177"/>
      <c r="B21" s="55"/>
      <c r="C21" s="56"/>
      <c r="D21" s="56"/>
      <c r="E21" s="56"/>
      <c r="F21" s="56"/>
      <c r="G21" s="56"/>
      <c r="H21" s="56"/>
      <c r="I21" s="56"/>
      <c r="J21" s="56"/>
      <c r="K21" s="56"/>
      <c r="L21" s="56"/>
      <c r="M21" s="56"/>
      <c r="N21" s="56"/>
      <c r="O21" s="56"/>
      <c r="P21" s="56"/>
      <c r="Q21" s="56"/>
      <c r="R21" s="56"/>
      <c r="S21" s="56"/>
      <c r="T21" s="69"/>
      <c r="U21" s="237"/>
      <c r="V21" s="174"/>
      <c r="W21" s="174"/>
      <c r="X21" s="174"/>
      <c r="Y21" s="174"/>
      <c r="Z21" s="174"/>
      <c r="AA21" s="174"/>
      <c r="AB21" s="174"/>
      <c r="AC21" s="174"/>
      <c r="AD21" s="174"/>
      <c r="AE21" s="174"/>
      <c r="AF21" s="174"/>
      <c r="AG21" s="174"/>
      <c r="AH21" s="174"/>
      <c r="AI21" s="174"/>
      <c r="AJ21" s="174"/>
      <c r="AK21" s="174"/>
      <c r="AL21" s="174"/>
      <c r="AM21" s="174"/>
      <c r="AN21" s="174"/>
      <c r="AO21" s="174"/>
      <c r="AP21" s="174"/>
      <c r="AQ21" s="174"/>
      <c r="AR21" s="174"/>
      <c r="AS21" s="174"/>
      <c r="AT21" s="174"/>
      <c r="AU21" s="174"/>
      <c r="AV21" s="174"/>
      <c r="AW21" s="174"/>
      <c r="AX21" s="174"/>
      <c r="AY21" s="174"/>
      <c r="AZ21" s="174"/>
      <c r="BA21" s="174"/>
      <c r="BB21" s="174"/>
      <c r="BC21" s="174"/>
      <c r="BD21" s="174"/>
      <c r="BE21" s="174"/>
      <c r="BF21" s="174"/>
      <c r="BG21" s="174"/>
      <c r="BH21" s="174"/>
      <c r="BI21" s="174"/>
      <c r="BJ21" s="174"/>
      <c r="BK21" s="174"/>
      <c r="BL21" s="174"/>
      <c r="BM21" s="174"/>
      <c r="BN21" s="174"/>
      <c r="BO21" s="174"/>
      <c r="BP21" s="174"/>
      <c r="BQ21" s="174"/>
      <c r="BR21" s="174"/>
      <c r="BS21" s="174"/>
      <c r="BT21" s="174"/>
      <c r="BU21" s="174"/>
      <c r="BV21" s="174"/>
      <c r="BW21" s="174"/>
      <c r="BX21" s="174"/>
      <c r="BY21" s="174"/>
      <c r="BZ21" s="174"/>
      <c r="CA21" s="174"/>
      <c r="CB21" s="174"/>
      <c r="CC21" s="174"/>
      <c r="CD21" s="174"/>
      <c r="CE21" s="174"/>
      <c r="CF21" s="174"/>
      <c r="CG21" s="174"/>
      <c r="CH21" s="174"/>
      <c r="CI21" s="174"/>
      <c r="CJ21" s="175"/>
    </row>
    <row r="22" spans="1:88" s="44" customFormat="1" ht="13.5" customHeight="1">
      <c r="A22" s="177"/>
      <c r="B22" s="55"/>
      <c r="C22" s="56"/>
      <c r="D22" s="56"/>
      <c r="E22" s="56"/>
      <c r="F22" s="56"/>
      <c r="G22" s="56"/>
      <c r="H22" s="56"/>
      <c r="I22" s="56"/>
      <c r="J22" s="56"/>
      <c r="K22" s="56"/>
      <c r="L22" s="56"/>
      <c r="M22" s="56"/>
      <c r="N22" s="56"/>
      <c r="O22" s="56"/>
      <c r="P22" s="56"/>
      <c r="Q22" s="56"/>
      <c r="R22" s="56"/>
      <c r="S22" s="56"/>
      <c r="T22" s="69"/>
      <c r="U22" s="237"/>
      <c r="V22" s="174"/>
      <c r="W22" s="174"/>
      <c r="X22" s="174"/>
      <c r="Y22" s="174"/>
      <c r="Z22" s="174"/>
      <c r="AA22" s="174"/>
      <c r="AB22" s="174"/>
      <c r="AC22" s="174"/>
      <c r="AD22" s="174"/>
      <c r="AE22" s="174"/>
      <c r="AF22" s="174"/>
      <c r="AG22" s="174"/>
      <c r="AH22" s="174"/>
      <c r="AI22" s="174"/>
      <c r="AJ22" s="174"/>
      <c r="AK22" s="174"/>
      <c r="AL22" s="174"/>
      <c r="AM22" s="174"/>
      <c r="AN22" s="174"/>
      <c r="AO22" s="174"/>
      <c r="AP22" s="174"/>
      <c r="AQ22" s="174"/>
      <c r="AR22" s="174"/>
      <c r="AS22" s="174"/>
      <c r="AT22" s="174"/>
      <c r="AU22" s="174"/>
      <c r="AV22" s="174"/>
      <c r="AW22" s="174"/>
      <c r="AX22" s="174"/>
      <c r="AY22" s="174"/>
      <c r="AZ22" s="174"/>
      <c r="BA22" s="174"/>
      <c r="BB22" s="174"/>
      <c r="BC22" s="174"/>
      <c r="BD22" s="174"/>
      <c r="BE22" s="174"/>
      <c r="BF22" s="174"/>
      <c r="BG22" s="174"/>
      <c r="BH22" s="174"/>
      <c r="BI22" s="174"/>
      <c r="BJ22" s="174"/>
      <c r="BK22" s="174"/>
      <c r="BL22" s="174"/>
      <c r="BM22" s="174"/>
      <c r="BN22" s="174"/>
      <c r="BO22" s="174"/>
      <c r="BP22" s="174"/>
      <c r="BQ22" s="174"/>
      <c r="BR22" s="174"/>
      <c r="BS22" s="174"/>
      <c r="BT22" s="174"/>
      <c r="BU22" s="174"/>
      <c r="BV22" s="174"/>
      <c r="BW22" s="174"/>
      <c r="BX22" s="174"/>
      <c r="BY22" s="174"/>
      <c r="BZ22" s="174"/>
      <c r="CA22" s="174"/>
      <c r="CB22" s="174"/>
      <c r="CC22" s="174"/>
      <c r="CD22" s="174"/>
      <c r="CE22" s="174"/>
      <c r="CF22" s="174"/>
      <c r="CG22" s="174"/>
      <c r="CH22" s="174"/>
      <c r="CI22" s="174"/>
      <c r="CJ22" s="175"/>
    </row>
    <row r="23" spans="1:88" s="44" customFormat="1" ht="13.5" customHeight="1">
      <c r="A23" s="177"/>
      <c r="B23" s="55"/>
      <c r="C23" s="56"/>
      <c r="D23" s="56"/>
      <c r="E23" s="56"/>
      <c r="F23" s="56"/>
      <c r="G23" s="56"/>
      <c r="H23" s="56"/>
      <c r="I23" s="56"/>
      <c r="J23" s="56"/>
      <c r="K23" s="56"/>
      <c r="L23" s="56"/>
      <c r="M23" s="56"/>
      <c r="N23" s="56"/>
      <c r="O23" s="56"/>
      <c r="P23" s="56"/>
      <c r="Q23" s="56"/>
      <c r="R23" s="56"/>
      <c r="S23" s="56"/>
      <c r="T23" s="69"/>
      <c r="U23" s="237"/>
      <c r="V23" s="174"/>
      <c r="W23" s="174"/>
      <c r="X23" s="174"/>
      <c r="Y23" s="174"/>
      <c r="Z23" s="174"/>
      <c r="AA23" s="174"/>
      <c r="AB23" s="174"/>
      <c r="AC23" s="174"/>
      <c r="AD23" s="174"/>
      <c r="AE23" s="174"/>
      <c r="AF23" s="174"/>
      <c r="AG23" s="174"/>
      <c r="AH23" s="174"/>
      <c r="AI23" s="174"/>
      <c r="AJ23" s="174"/>
      <c r="AK23" s="174"/>
      <c r="AL23" s="174"/>
      <c r="AM23" s="174"/>
      <c r="AN23" s="174"/>
      <c r="AO23" s="174"/>
      <c r="AP23" s="174"/>
      <c r="AQ23" s="174"/>
      <c r="AR23" s="174"/>
      <c r="AS23" s="174"/>
      <c r="AT23" s="174"/>
      <c r="AU23" s="174"/>
      <c r="AV23" s="174"/>
      <c r="AW23" s="174"/>
      <c r="AX23" s="174"/>
      <c r="AY23" s="174"/>
      <c r="AZ23" s="174"/>
      <c r="BA23" s="174"/>
      <c r="BB23" s="174"/>
      <c r="BC23" s="174"/>
      <c r="BD23" s="174"/>
      <c r="BE23" s="174"/>
      <c r="BF23" s="174"/>
      <c r="BG23" s="174"/>
      <c r="BH23" s="174"/>
      <c r="BI23" s="174"/>
      <c r="BJ23" s="174"/>
      <c r="BK23" s="174"/>
      <c r="BL23" s="174"/>
      <c r="BM23" s="174"/>
      <c r="BN23" s="174"/>
      <c r="BO23" s="174"/>
      <c r="BP23" s="174"/>
      <c r="BQ23" s="174"/>
      <c r="BR23" s="174"/>
      <c r="BS23" s="174"/>
      <c r="BT23" s="174"/>
      <c r="BU23" s="174"/>
      <c r="BV23" s="174"/>
      <c r="BW23" s="174"/>
      <c r="BX23" s="174"/>
      <c r="BY23" s="174"/>
      <c r="BZ23" s="174"/>
      <c r="CA23" s="174"/>
      <c r="CB23" s="174"/>
      <c r="CC23" s="174"/>
      <c r="CD23" s="174"/>
      <c r="CE23" s="174"/>
      <c r="CF23" s="174"/>
      <c r="CG23" s="174"/>
      <c r="CH23" s="174"/>
      <c r="CI23" s="174"/>
      <c r="CJ23" s="175"/>
    </row>
    <row r="24" spans="1:88" s="44" customFormat="1" ht="13.5" customHeight="1">
      <c r="A24" s="177"/>
      <c r="B24" s="55"/>
      <c r="C24" s="56"/>
      <c r="D24" s="56"/>
      <c r="E24" s="56"/>
      <c r="F24" s="56"/>
      <c r="G24" s="56"/>
      <c r="H24" s="56"/>
      <c r="I24" s="56"/>
      <c r="J24" s="56"/>
      <c r="K24" s="56"/>
      <c r="L24" s="56"/>
      <c r="M24" s="56"/>
      <c r="N24" s="56"/>
      <c r="O24" s="56"/>
      <c r="P24" s="56"/>
      <c r="Q24" s="56"/>
      <c r="R24" s="56"/>
      <c r="S24" s="56"/>
      <c r="T24" s="69"/>
      <c r="U24" s="237"/>
      <c r="V24" s="174"/>
      <c r="W24" s="174"/>
      <c r="X24" s="174"/>
      <c r="Y24" s="174"/>
      <c r="Z24" s="174"/>
      <c r="AA24" s="174"/>
      <c r="AB24" s="174"/>
      <c r="AC24" s="174"/>
      <c r="AD24" s="174"/>
      <c r="AE24" s="174"/>
      <c r="AF24" s="174"/>
      <c r="AG24" s="174"/>
      <c r="AH24" s="174"/>
      <c r="AI24" s="174"/>
      <c r="AJ24" s="174"/>
      <c r="AK24" s="174"/>
      <c r="AL24" s="174"/>
      <c r="AM24" s="174"/>
      <c r="AN24" s="174"/>
      <c r="AO24" s="174"/>
      <c r="AP24" s="174"/>
      <c r="AQ24" s="174"/>
      <c r="AR24" s="174"/>
      <c r="AS24" s="174"/>
      <c r="AT24" s="174"/>
      <c r="AU24" s="174"/>
      <c r="AV24" s="174"/>
      <c r="AW24" s="174"/>
      <c r="AX24" s="174"/>
      <c r="AY24" s="174"/>
      <c r="AZ24" s="174"/>
      <c r="BA24" s="174"/>
      <c r="BB24" s="174"/>
      <c r="BC24" s="174"/>
      <c r="BD24" s="174"/>
      <c r="BE24" s="174"/>
      <c r="BF24" s="174"/>
      <c r="BG24" s="174"/>
      <c r="BH24" s="174"/>
      <c r="BI24" s="174"/>
      <c r="BJ24" s="174"/>
      <c r="BK24" s="174"/>
      <c r="BL24" s="174"/>
      <c r="BM24" s="174"/>
      <c r="BN24" s="174"/>
      <c r="BO24" s="174"/>
      <c r="BP24" s="174"/>
      <c r="BQ24" s="174"/>
      <c r="BR24" s="174"/>
      <c r="BS24" s="174"/>
      <c r="BT24" s="174"/>
      <c r="BU24" s="174"/>
      <c r="BV24" s="174"/>
      <c r="BW24" s="174"/>
      <c r="BX24" s="174"/>
      <c r="BY24" s="174"/>
      <c r="BZ24" s="174"/>
      <c r="CA24" s="174"/>
      <c r="CB24" s="174"/>
      <c r="CC24" s="174"/>
      <c r="CD24" s="174"/>
      <c r="CE24" s="174"/>
      <c r="CF24" s="174"/>
      <c r="CG24" s="174"/>
      <c r="CH24" s="174"/>
      <c r="CI24" s="174"/>
      <c r="CJ24" s="175"/>
    </row>
    <row r="25" spans="1:88" s="44" customFormat="1" ht="13.5" customHeight="1">
      <c r="A25" s="177"/>
      <c r="B25" s="55"/>
      <c r="C25" s="56"/>
      <c r="D25" s="56"/>
      <c r="E25" s="56"/>
      <c r="F25" s="56"/>
      <c r="G25" s="56"/>
      <c r="H25" s="56"/>
      <c r="I25" s="56"/>
      <c r="J25" s="56"/>
      <c r="K25" s="56"/>
      <c r="L25" s="56"/>
      <c r="M25" s="56"/>
      <c r="N25" s="56"/>
      <c r="O25" s="56"/>
      <c r="P25" s="56"/>
      <c r="Q25" s="56"/>
      <c r="R25" s="56"/>
      <c r="S25" s="56"/>
      <c r="T25" s="69"/>
      <c r="U25" s="237"/>
      <c r="V25" s="174"/>
      <c r="W25" s="174"/>
      <c r="X25" s="174"/>
      <c r="Y25" s="174"/>
      <c r="Z25" s="174"/>
      <c r="AA25" s="174"/>
      <c r="AB25" s="174"/>
      <c r="AC25" s="174"/>
      <c r="AD25" s="174"/>
      <c r="AE25" s="174"/>
      <c r="AF25" s="174"/>
      <c r="AG25" s="174"/>
      <c r="AH25" s="174"/>
      <c r="AI25" s="174"/>
      <c r="AJ25" s="174"/>
      <c r="AK25" s="174"/>
      <c r="AL25" s="174"/>
      <c r="AM25" s="174"/>
      <c r="AN25" s="174"/>
      <c r="AO25" s="174"/>
      <c r="AP25" s="174"/>
      <c r="AQ25" s="174"/>
      <c r="AR25" s="174"/>
      <c r="AS25" s="174"/>
      <c r="AT25" s="174"/>
      <c r="AU25" s="174"/>
      <c r="AV25" s="174"/>
      <c r="AW25" s="174"/>
      <c r="AX25" s="174"/>
      <c r="AY25" s="174"/>
      <c r="AZ25" s="174"/>
      <c r="BA25" s="174"/>
      <c r="BB25" s="174"/>
      <c r="BC25" s="174"/>
      <c r="BD25" s="174"/>
      <c r="BE25" s="174"/>
      <c r="BF25" s="174"/>
      <c r="BG25" s="174"/>
      <c r="BH25" s="174"/>
      <c r="BI25" s="174"/>
      <c r="BJ25" s="174"/>
      <c r="BK25" s="174"/>
      <c r="BL25" s="174"/>
      <c r="BM25" s="174"/>
      <c r="BN25" s="174"/>
      <c r="BO25" s="174"/>
      <c r="BP25" s="174"/>
      <c r="BQ25" s="174"/>
      <c r="BR25" s="174"/>
      <c r="BS25" s="174"/>
      <c r="BT25" s="174"/>
      <c r="BU25" s="174"/>
      <c r="BV25" s="174"/>
      <c r="BW25" s="174"/>
      <c r="BX25" s="174"/>
      <c r="BY25" s="174"/>
      <c r="BZ25" s="174"/>
      <c r="CA25" s="174"/>
      <c r="CB25" s="174"/>
      <c r="CC25" s="174"/>
      <c r="CD25" s="174"/>
      <c r="CE25" s="174"/>
      <c r="CF25" s="174"/>
      <c r="CG25" s="174"/>
      <c r="CH25" s="174"/>
      <c r="CI25" s="174"/>
      <c r="CJ25" s="175"/>
    </row>
    <row r="26" spans="1:88" s="44" customFormat="1" ht="13.5" customHeight="1">
      <c r="A26" s="177"/>
      <c r="B26" s="55"/>
      <c r="C26" s="56"/>
      <c r="D26" s="56"/>
      <c r="E26" s="56"/>
      <c r="F26" s="56"/>
      <c r="G26" s="56"/>
      <c r="H26" s="56"/>
      <c r="I26" s="56"/>
      <c r="J26" s="56"/>
      <c r="K26" s="56"/>
      <c r="L26" s="56"/>
      <c r="M26" s="56"/>
      <c r="N26" s="56"/>
      <c r="O26" s="56"/>
      <c r="P26" s="56"/>
      <c r="Q26" s="56"/>
      <c r="R26" s="56"/>
      <c r="S26" s="56"/>
      <c r="T26" s="69"/>
      <c r="U26" s="237"/>
      <c r="V26" s="174"/>
      <c r="W26" s="174"/>
      <c r="X26" s="174"/>
      <c r="Y26" s="174"/>
      <c r="Z26" s="174"/>
      <c r="AA26" s="174"/>
      <c r="AB26" s="174"/>
      <c r="AC26" s="174"/>
      <c r="AD26" s="174"/>
      <c r="AE26" s="174"/>
      <c r="AF26" s="174"/>
      <c r="AG26" s="174"/>
      <c r="AH26" s="174"/>
      <c r="AI26" s="174"/>
      <c r="AJ26" s="174"/>
      <c r="AK26" s="174"/>
      <c r="AL26" s="174"/>
      <c r="AM26" s="174"/>
      <c r="AN26" s="174"/>
      <c r="AO26" s="174"/>
      <c r="AP26" s="174"/>
      <c r="AQ26" s="174"/>
      <c r="AR26" s="174"/>
      <c r="AS26" s="174"/>
      <c r="AT26" s="174"/>
      <c r="AU26" s="174"/>
      <c r="AV26" s="174"/>
      <c r="AW26" s="174"/>
      <c r="AX26" s="174"/>
      <c r="AY26" s="174"/>
      <c r="AZ26" s="174"/>
      <c r="BA26" s="174"/>
      <c r="BB26" s="174"/>
      <c r="BC26" s="174"/>
      <c r="BD26" s="174"/>
      <c r="BE26" s="174"/>
      <c r="BF26" s="174"/>
      <c r="BG26" s="174"/>
      <c r="BH26" s="174"/>
      <c r="BI26" s="174"/>
      <c r="BJ26" s="174"/>
      <c r="BK26" s="174"/>
      <c r="BL26" s="174"/>
      <c r="BM26" s="174"/>
      <c r="BN26" s="174"/>
      <c r="BO26" s="174"/>
      <c r="BP26" s="174"/>
      <c r="BQ26" s="174"/>
      <c r="BR26" s="174"/>
      <c r="BS26" s="174"/>
      <c r="BT26" s="174"/>
      <c r="BU26" s="174"/>
      <c r="BV26" s="174"/>
      <c r="BW26" s="174"/>
      <c r="BX26" s="174"/>
      <c r="BY26" s="174"/>
      <c r="BZ26" s="174"/>
      <c r="CA26" s="174"/>
      <c r="CB26" s="174"/>
      <c r="CC26" s="174"/>
      <c r="CD26" s="174"/>
      <c r="CE26" s="174"/>
      <c r="CF26" s="174"/>
      <c r="CG26" s="174"/>
      <c r="CH26" s="174"/>
      <c r="CI26" s="174"/>
      <c r="CJ26" s="175"/>
    </row>
    <row r="27" spans="1:88" s="44" customFormat="1" ht="13.5" customHeight="1">
      <c r="A27" s="177"/>
      <c r="B27" s="55"/>
      <c r="C27" s="56"/>
      <c r="D27" s="56"/>
      <c r="E27" s="56"/>
      <c r="F27" s="56"/>
      <c r="G27" s="56"/>
      <c r="H27" s="56"/>
      <c r="I27" s="56"/>
      <c r="J27" s="56"/>
      <c r="K27" s="56"/>
      <c r="L27" s="56"/>
      <c r="M27" s="56"/>
      <c r="N27" s="56"/>
      <c r="O27" s="56"/>
      <c r="P27" s="56"/>
      <c r="Q27" s="56"/>
      <c r="R27" s="56"/>
      <c r="S27" s="56"/>
      <c r="T27" s="69"/>
      <c r="U27" s="237"/>
      <c r="V27" s="174"/>
      <c r="W27" s="174"/>
      <c r="X27" s="174"/>
      <c r="Y27" s="174"/>
      <c r="Z27" s="174"/>
      <c r="AA27" s="174"/>
      <c r="AB27" s="174"/>
      <c r="AC27" s="174"/>
      <c r="AD27" s="174"/>
      <c r="AE27" s="174"/>
      <c r="AF27" s="174"/>
      <c r="AG27" s="174"/>
      <c r="AH27" s="174"/>
      <c r="AI27" s="174"/>
      <c r="AJ27" s="174"/>
      <c r="AK27" s="174"/>
      <c r="AL27" s="174"/>
      <c r="AM27" s="174"/>
      <c r="AN27" s="174"/>
      <c r="AO27" s="174"/>
      <c r="AP27" s="174"/>
      <c r="AQ27" s="174"/>
      <c r="AR27" s="174"/>
      <c r="AS27" s="174"/>
      <c r="AT27" s="174"/>
      <c r="AU27" s="174"/>
      <c r="AV27" s="174"/>
      <c r="AW27" s="174"/>
      <c r="AX27" s="174"/>
      <c r="AY27" s="174"/>
      <c r="AZ27" s="174"/>
      <c r="BA27" s="174"/>
      <c r="BB27" s="174"/>
      <c r="BC27" s="174"/>
      <c r="BD27" s="174"/>
      <c r="BE27" s="174"/>
      <c r="BF27" s="174"/>
      <c r="BG27" s="174"/>
      <c r="BH27" s="174"/>
      <c r="BI27" s="174"/>
      <c r="BJ27" s="174"/>
      <c r="BK27" s="174"/>
      <c r="BL27" s="174"/>
      <c r="BM27" s="174"/>
      <c r="BN27" s="174"/>
      <c r="BO27" s="174"/>
      <c r="BP27" s="174"/>
      <c r="BQ27" s="174"/>
      <c r="BR27" s="174"/>
      <c r="BS27" s="174"/>
      <c r="BT27" s="174"/>
      <c r="BU27" s="174"/>
      <c r="BV27" s="174"/>
      <c r="BW27" s="174"/>
      <c r="BX27" s="174"/>
      <c r="BY27" s="174"/>
      <c r="BZ27" s="174"/>
      <c r="CA27" s="174"/>
      <c r="CB27" s="174"/>
      <c r="CC27" s="174"/>
      <c r="CD27" s="174"/>
      <c r="CE27" s="174"/>
      <c r="CF27" s="174"/>
      <c r="CG27" s="174"/>
      <c r="CH27" s="174"/>
      <c r="CI27" s="174"/>
      <c r="CJ27" s="175"/>
    </row>
    <row r="28" spans="1:88" s="44" customFormat="1" ht="13.5" customHeight="1">
      <c r="A28" s="177"/>
      <c r="B28" s="55"/>
      <c r="C28" s="56"/>
      <c r="D28" s="56"/>
      <c r="E28" s="56"/>
      <c r="F28" s="56"/>
      <c r="G28" s="56"/>
      <c r="H28" s="56"/>
      <c r="I28" s="56"/>
      <c r="J28" s="56"/>
      <c r="K28" s="56"/>
      <c r="L28" s="56"/>
      <c r="M28" s="56"/>
      <c r="N28" s="56"/>
      <c r="O28" s="56"/>
      <c r="P28" s="56"/>
      <c r="Q28" s="56"/>
      <c r="R28" s="56"/>
      <c r="S28" s="56"/>
      <c r="T28" s="69"/>
      <c r="U28" s="237"/>
      <c r="V28" s="174"/>
      <c r="W28" s="174"/>
      <c r="X28" s="174"/>
      <c r="Y28" s="174"/>
      <c r="Z28" s="174"/>
      <c r="AA28" s="174"/>
      <c r="AB28" s="174"/>
      <c r="AC28" s="174"/>
      <c r="AD28" s="174"/>
      <c r="AE28" s="174"/>
      <c r="AF28" s="174"/>
      <c r="AG28" s="174"/>
      <c r="AH28" s="174"/>
      <c r="AI28" s="174"/>
      <c r="AJ28" s="174"/>
      <c r="AK28" s="174"/>
      <c r="AL28" s="174"/>
      <c r="AM28" s="174"/>
      <c r="AN28" s="174"/>
      <c r="AO28" s="174"/>
      <c r="AP28" s="174"/>
      <c r="AQ28" s="174"/>
      <c r="AR28" s="174"/>
      <c r="AS28" s="174"/>
      <c r="AT28" s="174"/>
      <c r="AU28" s="174"/>
      <c r="AV28" s="174"/>
      <c r="AW28" s="174"/>
      <c r="AX28" s="174"/>
      <c r="AY28" s="174"/>
      <c r="AZ28" s="174"/>
      <c r="BA28" s="174"/>
      <c r="BB28" s="174"/>
      <c r="BC28" s="174"/>
      <c r="BD28" s="174"/>
      <c r="BE28" s="174"/>
      <c r="BF28" s="174"/>
      <c r="BG28" s="174"/>
      <c r="BH28" s="174"/>
      <c r="BI28" s="174"/>
      <c r="BJ28" s="174"/>
      <c r="BK28" s="174"/>
      <c r="BL28" s="174"/>
      <c r="BM28" s="174"/>
      <c r="BN28" s="174"/>
      <c r="BO28" s="174"/>
      <c r="BP28" s="174"/>
      <c r="BQ28" s="174"/>
      <c r="BR28" s="174"/>
      <c r="BS28" s="174"/>
      <c r="BT28" s="174"/>
      <c r="BU28" s="174"/>
      <c r="BV28" s="174"/>
      <c r="BW28" s="174"/>
      <c r="BX28" s="174"/>
      <c r="BY28" s="174"/>
      <c r="BZ28" s="174"/>
      <c r="CA28" s="174"/>
      <c r="CB28" s="174"/>
      <c r="CC28" s="174"/>
      <c r="CD28" s="174"/>
      <c r="CE28" s="174"/>
      <c r="CF28" s="174"/>
      <c r="CG28" s="174"/>
      <c r="CH28" s="174"/>
      <c r="CI28" s="174"/>
      <c r="CJ28" s="175"/>
    </row>
    <row r="29" spans="1:88" s="44" customFormat="1" ht="13.5" customHeight="1">
      <c r="A29" s="177"/>
      <c r="B29" s="55"/>
      <c r="C29" s="56"/>
      <c r="D29" s="56"/>
      <c r="E29" s="56"/>
      <c r="F29" s="56"/>
      <c r="G29" s="56"/>
      <c r="H29" s="56"/>
      <c r="I29" s="56"/>
      <c r="J29" s="56"/>
      <c r="K29" s="56"/>
      <c r="L29" s="56"/>
      <c r="M29" s="56"/>
      <c r="N29" s="56"/>
      <c r="O29" s="56"/>
      <c r="P29" s="56"/>
      <c r="Q29" s="56"/>
      <c r="R29" s="56"/>
      <c r="S29" s="56"/>
      <c r="T29" s="69"/>
      <c r="U29" s="237"/>
      <c r="V29" s="174"/>
      <c r="W29" s="174"/>
      <c r="X29" s="174"/>
      <c r="Y29" s="174"/>
      <c r="Z29" s="174"/>
      <c r="AA29" s="174"/>
      <c r="AB29" s="174"/>
      <c r="AC29" s="174"/>
      <c r="AD29" s="174"/>
      <c r="AE29" s="174"/>
      <c r="AF29" s="174"/>
      <c r="AG29" s="174"/>
      <c r="AH29" s="174"/>
      <c r="AI29" s="174"/>
      <c r="AJ29" s="174"/>
      <c r="AK29" s="174"/>
      <c r="AL29" s="174"/>
      <c r="AM29" s="174"/>
      <c r="AN29" s="174"/>
      <c r="AO29" s="174"/>
      <c r="AP29" s="174"/>
      <c r="AQ29" s="174"/>
      <c r="AR29" s="174"/>
      <c r="AS29" s="174"/>
      <c r="AT29" s="174"/>
      <c r="AU29" s="174"/>
      <c r="AV29" s="174"/>
      <c r="AW29" s="174"/>
      <c r="AX29" s="174"/>
      <c r="AY29" s="174"/>
      <c r="AZ29" s="174"/>
      <c r="BA29" s="174"/>
      <c r="BB29" s="174"/>
      <c r="BC29" s="174"/>
      <c r="BD29" s="174"/>
      <c r="BE29" s="174"/>
      <c r="BF29" s="174"/>
      <c r="BG29" s="174"/>
      <c r="BH29" s="174"/>
      <c r="BI29" s="174"/>
      <c r="BJ29" s="174"/>
      <c r="BK29" s="174"/>
      <c r="BL29" s="174"/>
      <c r="BM29" s="174"/>
      <c r="BN29" s="174"/>
      <c r="BO29" s="174"/>
      <c r="BP29" s="174"/>
      <c r="BQ29" s="174"/>
      <c r="BR29" s="174"/>
      <c r="BS29" s="174"/>
      <c r="BT29" s="174"/>
      <c r="BU29" s="174"/>
      <c r="BV29" s="174"/>
      <c r="BW29" s="174"/>
      <c r="BX29" s="174"/>
      <c r="BY29" s="174"/>
      <c r="BZ29" s="174"/>
      <c r="CA29" s="174"/>
      <c r="CB29" s="174"/>
      <c r="CC29" s="174"/>
      <c r="CD29" s="174"/>
      <c r="CE29" s="174"/>
      <c r="CF29" s="174"/>
      <c r="CG29" s="174"/>
      <c r="CH29" s="174"/>
      <c r="CI29" s="174"/>
      <c r="CJ29" s="175"/>
    </row>
    <row r="30" spans="1:88" s="44" customFormat="1" ht="13.5" customHeight="1">
      <c r="A30" s="177"/>
      <c r="B30" s="55"/>
      <c r="C30" s="56"/>
      <c r="D30" s="56"/>
      <c r="E30" s="56"/>
      <c r="F30" s="56"/>
      <c r="G30" s="56"/>
      <c r="H30" s="56"/>
      <c r="I30" s="56"/>
      <c r="J30" s="56"/>
      <c r="K30" s="56"/>
      <c r="L30" s="56"/>
      <c r="M30" s="56"/>
      <c r="N30" s="56"/>
      <c r="O30" s="56"/>
      <c r="P30" s="56"/>
      <c r="Q30" s="56"/>
      <c r="R30" s="56"/>
      <c r="S30" s="56"/>
      <c r="T30" s="69"/>
      <c r="U30" s="237"/>
      <c r="V30" s="174"/>
      <c r="W30" s="174"/>
      <c r="X30" s="174"/>
      <c r="Y30" s="174"/>
      <c r="Z30" s="174"/>
      <c r="AA30" s="174"/>
      <c r="AB30" s="174"/>
      <c r="AC30" s="174"/>
      <c r="AD30" s="174"/>
      <c r="AE30" s="174"/>
      <c r="AF30" s="174"/>
      <c r="AG30" s="174"/>
      <c r="AH30" s="174"/>
      <c r="AI30" s="174"/>
      <c r="AJ30" s="174"/>
      <c r="AK30" s="174"/>
      <c r="AL30" s="174"/>
      <c r="AM30" s="174"/>
      <c r="AN30" s="174"/>
      <c r="AO30" s="174"/>
      <c r="AP30" s="174"/>
      <c r="AQ30" s="174"/>
      <c r="AR30" s="174"/>
      <c r="AS30" s="174"/>
      <c r="AT30" s="174"/>
      <c r="AU30" s="174"/>
      <c r="AV30" s="174"/>
      <c r="AW30" s="174"/>
      <c r="AX30" s="174"/>
      <c r="AY30" s="174"/>
      <c r="AZ30" s="174"/>
      <c r="BA30" s="174"/>
      <c r="BB30" s="174"/>
      <c r="BC30" s="174"/>
      <c r="BD30" s="174"/>
      <c r="BE30" s="174"/>
      <c r="BF30" s="174"/>
      <c r="BG30" s="174"/>
      <c r="BH30" s="174"/>
      <c r="BI30" s="174"/>
      <c r="BJ30" s="174"/>
      <c r="BK30" s="174"/>
      <c r="BL30" s="174"/>
      <c r="BM30" s="174"/>
      <c r="BN30" s="174"/>
      <c r="BO30" s="174"/>
      <c r="BP30" s="174"/>
      <c r="BQ30" s="174"/>
      <c r="BR30" s="174"/>
      <c r="BS30" s="174"/>
      <c r="BT30" s="174"/>
      <c r="BU30" s="174"/>
      <c r="BV30" s="174"/>
      <c r="BW30" s="174"/>
      <c r="BX30" s="174"/>
      <c r="BY30" s="174"/>
      <c r="BZ30" s="174"/>
      <c r="CA30" s="174"/>
      <c r="CB30" s="174"/>
      <c r="CC30" s="174"/>
      <c r="CD30" s="174"/>
      <c r="CE30" s="174"/>
      <c r="CF30" s="174"/>
      <c r="CG30" s="174"/>
      <c r="CH30" s="174"/>
      <c r="CI30" s="174"/>
      <c r="CJ30" s="175"/>
    </row>
    <row r="31" spans="1:88" s="44" customFormat="1" ht="13.5" customHeight="1">
      <c r="A31" s="177"/>
      <c r="B31" s="55"/>
      <c r="C31" s="56"/>
      <c r="D31" s="56"/>
      <c r="E31" s="56"/>
      <c r="F31" s="56"/>
      <c r="G31" s="56"/>
      <c r="H31" s="56"/>
      <c r="I31" s="56"/>
      <c r="J31" s="56"/>
      <c r="K31" s="56"/>
      <c r="L31" s="56"/>
      <c r="M31" s="56"/>
      <c r="N31" s="56"/>
      <c r="O31" s="56"/>
      <c r="P31" s="56"/>
      <c r="Q31" s="56"/>
      <c r="R31" s="56"/>
      <c r="S31" s="56"/>
      <c r="T31" s="69"/>
      <c r="U31" s="237"/>
      <c r="V31" s="174"/>
      <c r="W31" s="174"/>
      <c r="X31" s="174"/>
      <c r="Y31" s="174"/>
      <c r="Z31" s="174"/>
      <c r="AA31" s="174"/>
      <c r="AB31" s="174"/>
      <c r="AC31" s="174"/>
      <c r="AD31" s="174"/>
      <c r="AE31" s="174"/>
      <c r="AF31" s="174"/>
      <c r="AG31" s="174"/>
      <c r="AH31" s="174"/>
      <c r="AI31" s="174"/>
      <c r="AJ31" s="174"/>
      <c r="AK31" s="174"/>
      <c r="AL31" s="174"/>
      <c r="AM31" s="174"/>
      <c r="AN31" s="174"/>
      <c r="AO31" s="174"/>
      <c r="AP31" s="174"/>
      <c r="AQ31" s="174"/>
      <c r="AR31" s="174"/>
      <c r="AS31" s="174"/>
      <c r="AT31" s="174"/>
      <c r="AU31" s="174"/>
      <c r="AV31" s="174"/>
      <c r="AW31" s="174"/>
      <c r="AX31" s="174"/>
      <c r="AY31" s="174"/>
      <c r="AZ31" s="174"/>
      <c r="BA31" s="174"/>
      <c r="BB31" s="174"/>
      <c r="BC31" s="174"/>
      <c r="BD31" s="174"/>
      <c r="BE31" s="174"/>
      <c r="BF31" s="174"/>
      <c r="BG31" s="174"/>
      <c r="BH31" s="174"/>
      <c r="BI31" s="174"/>
      <c r="BJ31" s="174"/>
      <c r="BK31" s="174"/>
      <c r="BL31" s="174"/>
      <c r="BM31" s="174"/>
      <c r="BN31" s="174"/>
      <c r="BO31" s="174"/>
      <c r="BP31" s="174"/>
      <c r="BQ31" s="174"/>
      <c r="BR31" s="174"/>
      <c r="BS31" s="174"/>
      <c r="BT31" s="174"/>
      <c r="BU31" s="174"/>
      <c r="BV31" s="174"/>
      <c r="BW31" s="174"/>
      <c r="BX31" s="174"/>
      <c r="BY31" s="174"/>
      <c r="BZ31" s="174"/>
      <c r="CA31" s="174"/>
      <c r="CB31" s="174"/>
      <c r="CC31" s="174"/>
      <c r="CD31" s="174"/>
      <c r="CE31" s="174"/>
      <c r="CF31" s="174"/>
      <c r="CG31" s="174"/>
      <c r="CH31" s="174"/>
      <c r="CI31" s="174"/>
      <c r="CJ31" s="175"/>
    </row>
    <row r="32" spans="1:88" s="44" customFormat="1" ht="13.5" customHeight="1">
      <c r="A32" s="177"/>
      <c r="B32" s="55"/>
      <c r="C32" s="56"/>
      <c r="D32" s="56"/>
      <c r="E32" s="56"/>
      <c r="F32" s="56"/>
      <c r="G32" s="56"/>
      <c r="H32" s="56"/>
      <c r="I32" s="56"/>
      <c r="J32" s="56"/>
      <c r="K32" s="56"/>
      <c r="L32" s="56"/>
      <c r="M32" s="56"/>
      <c r="N32" s="56"/>
      <c r="O32" s="56"/>
      <c r="P32" s="56"/>
      <c r="Q32" s="56"/>
      <c r="R32" s="56"/>
      <c r="S32" s="56"/>
      <c r="T32" s="69"/>
      <c r="U32" s="237"/>
      <c r="V32" s="174"/>
      <c r="W32" s="174"/>
      <c r="X32" s="174"/>
      <c r="Y32" s="174"/>
      <c r="Z32" s="174"/>
      <c r="AA32" s="174"/>
      <c r="AB32" s="174"/>
      <c r="AC32" s="174"/>
      <c r="AD32" s="174"/>
      <c r="AE32" s="174"/>
      <c r="AF32" s="174"/>
      <c r="AG32" s="174"/>
      <c r="AH32" s="174"/>
      <c r="AI32" s="174"/>
      <c r="AJ32" s="174"/>
      <c r="AK32" s="174"/>
      <c r="AL32" s="174"/>
      <c r="AM32" s="174"/>
      <c r="AN32" s="174"/>
      <c r="AO32" s="174"/>
      <c r="AP32" s="174"/>
      <c r="AQ32" s="174"/>
      <c r="AR32" s="174"/>
      <c r="AS32" s="174"/>
      <c r="AT32" s="174"/>
      <c r="AU32" s="174"/>
      <c r="AV32" s="174"/>
      <c r="AW32" s="174"/>
      <c r="AX32" s="174"/>
      <c r="AY32" s="174"/>
      <c r="AZ32" s="174"/>
      <c r="BA32" s="174"/>
      <c r="BB32" s="174"/>
      <c r="BC32" s="174"/>
      <c r="BD32" s="174"/>
      <c r="BE32" s="174"/>
      <c r="BF32" s="174"/>
      <c r="BG32" s="174"/>
      <c r="BH32" s="174"/>
      <c r="BI32" s="174"/>
      <c r="BJ32" s="174"/>
      <c r="BK32" s="174"/>
      <c r="BL32" s="174"/>
      <c r="BM32" s="174"/>
      <c r="BN32" s="174"/>
      <c r="BO32" s="174"/>
      <c r="BP32" s="174"/>
      <c r="BQ32" s="174"/>
      <c r="BR32" s="174"/>
      <c r="BS32" s="174"/>
      <c r="BT32" s="174"/>
      <c r="BU32" s="174"/>
      <c r="BV32" s="174"/>
      <c r="BW32" s="174"/>
      <c r="BX32" s="174"/>
      <c r="BY32" s="174"/>
      <c r="BZ32" s="174"/>
      <c r="CA32" s="174"/>
      <c r="CB32" s="174"/>
      <c r="CC32" s="174"/>
      <c r="CD32" s="174"/>
      <c r="CE32" s="174"/>
      <c r="CF32" s="174"/>
      <c r="CG32" s="174"/>
      <c r="CH32" s="174"/>
      <c r="CI32" s="174"/>
      <c r="CJ32" s="175"/>
    </row>
    <row r="33" spans="1:88" s="44" customFormat="1" ht="13.5" customHeight="1">
      <c r="A33" s="177"/>
      <c r="B33" s="55"/>
      <c r="C33" s="56"/>
      <c r="D33" s="56"/>
      <c r="E33" s="56"/>
      <c r="F33" s="56"/>
      <c r="G33" s="56"/>
      <c r="H33" s="56"/>
      <c r="I33" s="56"/>
      <c r="J33" s="56"/>
      <c r="K33" s="56"/>
      <c r="L33" s="56"/>
      <c r="M33" s="56"/>
      <c r="N33" s="56"/>
      <c r="O33" s="56"/>
      <c r="P33" s="56"/>
      <c r="Q33" s="56"/>
      <c r="R33" s="56"/>
      <c r="S33" s="56"/>
      <c r="T33" s="69"/>
      <c r="U33" s="237"/>
      <c r="V33" s="174"/>
      <c r="W33" s="174"/>
      <c r="X33" s="174"/>
      <c r="Y33" s="174"/>
      <c r="Z33" s="174"/>
      <c r="AA33" s="174"/>
      <c r="AB33" s="174"/>
      <c r="AC33" s="174"/>
      <c r="AD33" s="174"/>
      <c r="AE33" s="174"/>
      <c r="AF33" s="174"/>
      <c r="AG33" s="174"/>
      <c r="AH33" s="174"/>
      <c r="AI33" s="174"/>
      <c r="AJ33" s="174"/>
      <c r="AK33" s="174"/>
      <c r="AL33" s="174"/>
      <c r="AM33" s="174"/>
      <c r="AN33" s="174"/>
      <c r="AO33" s="174"/>
      <c r="AP33" s="174"/>
      <c r="AQ33" s="174"/>
      <c r="AR33" s="174"/>
      <c r="AS33" s="174"/>
      <c r="AT33" s="174"/>
      <c r="AU33" s="174"/>
      <c r="AV33" s="174"/>
      <c r="AW33" s="174"/>
      <c r="AX33" s="174"/>
      <c r="AY33" s="174"/>
      <c r="AZ33" s="174"/>
      <c r="BA33" s="174"/>
      <c r="BB33" s="174"/>
      <c r="BC33" s="174"/>
      <c r="BD33" s="174"/>
      <c r="BE33" s="174"/>
      <c r="BF33" s="174"/>
      <c r="BG33" s="174"/>
      <c r="BH33" s="174"/>
      <c r="BI33" s="174"/>
      <c r="BJ33" s="174"/>
      <c r="BK33" s="174"/>
      <c r="BL33" s="174"/>
      <c r="BM33" s="174"/>
      <c r="BN33" s="174"/>
      <c r="BO33" s="174"/>
      <c r="BP33" s="174"/>
      <c r="BQ33" s="174"/>
      <c r="BR33" s="174"/>
      <c r="BS33" s="174"/>
      <c r="BT33" s="174"/>
      <c r="BU33" s="174"/>
      <c r="BV33" s="174"/>
      <c r="BW33" s="174"/>
      <c r="BX33" s="174"/>
      <c r="BY33" s="174"/>
      <c r="BZ33" s="174"/>
      <c r="CA33" s="174"/>
      <c r="CB33" s="174"/>
      <c r="CC33" s="174"/>
      <c r="CD33" s="174"/>
      <c r="CE33" s="174"/>
      <c r="CF33" s="174"/>
      <c r="CG33" s="174"/>
      <c r="CH33" s="174"/>
      <c r="CI33" s="174"/>
      <c r="CJ33" s="175"/>
    </row>
    <row r="34" spans="1:88" s="44" customFormat="1" ht="13.5" customHeight="1">
      <c r="A34" s="177"/>
      <c r="B34" s="55"/>
      <c r="C34" s="67"/>
      <c r="D34" s="56"/>
      <c r="E34" s="56"/>
      <c r="F34" s="56"/>
      <c r="G34" s="56"/>
      <c r="H34" s="56"/>
      <c r="I34" s="56"/>
      <c r="J34" s="56"/>
      <c r="K34" s="56"/>
      <c r="L34" s="56"/>
      <c r="M34" s="56"/>
      <c r="N34" s="56"/>
      <c r="O34" s="56"/>
      <c r="P34" s="56"/>
      <c r="Q34" s="56"/>
      <c r="R34" s="56"/>
      <c r="S34" s="56"/>
      <c r="T34" s="69"/>
      <c r="U34" s="237"/>
      <c r="V34" s="174"/>
      <c r="W34" s="174"/>
      <c r="X34" s="174"/>
      <c r="Y34" s="174"/>
      <c r="Z34" s="174"/>
      <c r="AA34" s="174"/>
      <c r="AB34" s="174"/>
      <c r="AC34" s="174"/>
      <c r="AD34" s="174"/>
      <c r="AE34" s="174"/>
      <c r="AF34" s="174"/>
      <c r="AG34" s="174"/>
      <c r="AH34" s="174"/>
      <c r="AI34" s="174"/>
      <c r="AJ34" s="174"/>
      <c r="AK34" s="174"/>
      <c r="AL34" s="174"/>
      <c r="AM34" s="174"/>
      <c r="AN34" s="174"/>
      <c r="AO34" s="174"/>
      <c r="AP34" s="174"/>
      <c r="AQ34" s="174"/>
      <c r="AR34" s="174"/>
      <c r="AS34" s="174"/>
      <c r="AT34" s="174"/>
      <c r="AU34" s="174"/>
      <c r="AV34" s="174"/>
      <c r="AW34" s="174"/>
      <c r="AX34" s="174"/>
      <c r="AY34" s="174"/>
      <c r="AZ34" s="174"/>
      <c r="BA34" s="174"/>
      <c r="BB34" s="174"/>
      <c r="BC34" s="174"/>
      <c r="BD34" s="174"/>
      <c r="BE34" s="174"/>
      <c r="BF34" s="174"/>
      <c r="BG34" s="174"/>
      <c r="BH34" s="174"/>
      <c r="BI34" s="174"/>
      <c r="BJ34" s="174"/>
      <c r="BK34" s="174"/>
      <c r="BL34" s="174"/>
      <c r="BM34" s="174"/>
      <c r="BN34" s="174"/>
      <c r="BO34" s="174"/>
      <c r="BP34" s="174"/>
      <c r="BQ34" s="174"/>
      <c r="BR34" s="174"/>
      <c r="BS34" s="174"/>
      <c r="BT34" s="174"/>
      <c r="BU34" s="174"/>
      <c r="BV34" s="174"/>
      <c r="BW34" s="174"/>
      <c r="BX34" s="174"/>
      <c r="BY34" s="174"/>
      <c r="BZ34" s="174"/>
      <c r="CA34" s="174"/>
      <c r="CB34" s="174"/>
      <c r="CC34" s="174"/>
      <c r="CD34" s="174"/>
      <c r="CE34" s="174"/>
      <c r="CF34" s="174"/>
      <c r="CG34" s="174"/>
      <c r="CH34" s="174"/>
      <c r="CI34" s="174"/>
      <c r="CJ34" s="175"/>
    </row>
    <row r="35" spans="1:88" s="44" customFormat="1" ht="13.5" customHeight="1">
      <c r="A35" s="234"/>
      <c r="B35" s="55"/>
      <c r="C35" s="67"/>
      <c r="D35" s="56"/>
      <c r="E35" s="56"/>
      <c r="F35" s="56"/>
      <c r="G35" s="56"/>
      <c r="H35" s="56"/>
      <c r="I35" s="56"/>
      <c r="J35" s="56"/>
      <c r="K35" s="56"/>
      <c r="L35" s="56"/>
      <c r="M35" s="56"/>
      <c r="N35" s="56"/>
      <c r="O35" s="56"/>
      <c r="P35" s="56"/>
      <c r="Q35" s="56"/>
      <c r="R35" s="56"/>
      <c r="S35" s="56"/>
      <c r="T35" s="69"/>
      <c r="U35" s="260"/>
      <c r="V35" s="243"/>
      <c r="W35" s="243"/>
      <c r="X35" s="243"/>
      <c r="Y35" s="243"/>
      <c r="Z35" s="243"/>
      <c r="AA35" s="243"/>
      <c r="AB35" s="243"/>
      <c r="AC35" s="243"/>
      <c r="AD35" s="243"/>
      <c r="AE35" s="243"/>
      <c r="AF35" s="243"/>
      <c r="AG35" s="243"/>
      <c r="AH35" s="243"/>
      <c r="AI35" s="243"/>
      <c r="AJ35" s="243"/>
      <c r="AK35" s="243"/>
      <c r="AL35" s="243"/>
      <c r="AM35" s="243"/>
      <c r="AN35" s="243"/>
      <c r="AO35" s="243"/>
      <c r="AP35" s="243"/>
      <c r="AQ35" s="243"/>
      <c r="AR35" s="243"/>
      <c r="AS35" s="243"/>
      <c r="AT35" s="243"/>
      <c r="AU35" s="243"/>
      <c r="AV35" s="243"/>
      <c r="AW35" s="243"/>
      <c r="AX35" s="243"/>
      <c r="AY35" s="243"/>
      <c r="AZ35" s="243"/>
      <c r="BA35" s="243"/>
      <c r="BB35" s="243"/>
      <c r="BC35" s="243"/>
      <c r="BD35" s="243"/>
      <c r="BE35" s="243"/>
      <c r="BF35" s="243"/>
      <c r="BG35" s="243"/>
      <c r="BH35" s="243"/>
      <c r="BI35" s="243"/>
      <c r="BJ35" s="243"/>
      <c r="BK35" s="243"/>
      <c r="BL35" s="243"/>
      <c r="BM35" s="243"/>
      <c r="BN35" s="243"/>
      <c r="BO35" s="243"/>
      <c r="BP35" s="243"/>
      <c r="BQ35" s="243"/>
      <c r="BR35" s="243"/>
      <c r="BS35" s="243"/>
      <c r="BT35" s="243"/>
      <c r="BU35" s="243"/>
      <c r="BV35" s="243"/>
      <c r="BW35" s="243"/>
      <c r="BX35" s="243"/>
      <c r="BY35" s="243"/>
      <c r="BZ35" s="243"/>
      <c r="CA35" s="243"/>
      <c r="CB35" s="243"/>
      <c r="CC35" s="243"/>
      <c r="CD35" s="243"/>
      <c r="CE35" s="243"/>
      <c r="CF35" s="243"/>
      <c r="CG35" s="243"/>
      <c r="CH35" s="243"/>
      <c r="CI35" s="243"/>
      <c r="CJ35" s="246"/>
    </row>
    <row r="36" spans="1:88" s="44" customFormat="1" ht="35.1" customHeight="1">
      <c r="A36" s="177" t="s">
        <v>154</v>
      </c>
      <c r="B36" s="241"/>
      <c r="C36" s="242"/>
      <c r="D36" s="242"/>
      <c r="E36" s="242"/>
      <c r="F36" s="242"/>
      <c r="G36" s="242"/>
      <c r="H36" s="242"/>
      <c r="I36" s="242"/>
      <c r="J36" s="242"/>
      <c r="K36" s="242"/>
      <c r="L36" s="242"/>
      <c r="M36" s="242"/>
      <c r="N36" s="242"/>
      <c r="O36" s="242"/>
      <c r="P36" s="242"/>
      <c r="Q36" s="242"/>
      <c r="R36" s="242"/>
      <c r="S36" s="242"/>
      <c r="T36" s="242"/>
      <c r="U36" s="183"/>
      <c r="V36" s="183"/>
      <c r="W36" s="183"/>
      <c r="X36" s="183"/>
      <c r="Y36" s="183"/>
      <c r="Z36" s="183"/>
      <c r="AA36" s="183"/>
      <c r="AB36" s="183"/>
      <c r="AC36" s="183"/>
      <c r="AD36" s="183"/>
      <c r="AE36" s="183"/>
      <c r="AF36" s="183"/>
      <c r="AG36" s="183"/>
      <c r="AH36" s="183"/>
      <c r="AI36" s="183"/>
      <c r="AJ36" s="183"/>
      <c r="AK36" s="183"/>
      <c r="AL36" s="183"/>
      <c r="AM36" s="183"/>
      <c r="AN36" s="183"/>
      <c r="AO36" s="183"/>
      <c r="AP36" s="183"/>
      <c r="AQ36" s="183"/>
      <c r="AR36" s="183"/>
      <c r="AS36" s="183"/>
      <c r="AT36" s="183"/>
      <c r="AU36" s="183"/>
      <c r="AV36" s="183"/>
      <c r="AW36" s="183"/>
      <c r="AX36" s="183"/>
      <c r="AY36" s="183"/>
      <c r="AZ36" s="183"/>
      <c r="BA36" s="183"/>
      <c r="BB36" s="183"/>
      <c r="BC36" s="183"/>
      <c r="BD36" s="183"/>
      <c r="BE36" s="183"/>
      <c r="BF36" s="183"/>
      <c r="BG36" s="183"/>
      <c r="BH36" s="183"/>
      <c r="BI36" s="183"/>
      <c r="BJ36" s="183"/>
      <c r="BK36" s="183"/>
      <c r="BL36" s="183"/>
      <c r="BM36" s="183"/>
      <c r="BN36" s="183"/>
      <c r="BO36" s="183"/>
      <c r="BP36" s="183"/>
      <c r="BQ36" s="183"/>
      <c r="BR36" s="183"/>
      <c r="BS36" s="183"/>
      <c r="BT36" s="183"/>
      <c r="BU36" s="183"/>
      <c r="BV36" s="183"/>
      <c r="BW36" s="183"/>
      <c r="BX36" s="183"/>
      <c r="BY36" s="183"/>
      <c r="BZ36" s="183"/>
      <c r="CA36" s="183"/>
      <c r="CB36" s="183"/>
      <c r="CC36" s="183"/>
      <c r="CD36" s="183"/>
      <c r="CE36" s="183"/>
      <c r="CF36" s="183"/>
      <c r="CG36" s="183"/>
      <c r="CH36" s="183"/>
      <c r="CI36" s="183"/>
      <c r="CJ36" s="199"/>
    </row>
    <row r="37" spans="1:88" s="44" customFormat="1" ht="35.1" customHeight="1">
      <c r="A37" s="177"/>
      <c r="B37" s="255"/>
      <c r="C37" s="256"/>
      <c r="D37" s="256"/>
      <c r="E37" s="256"/>
      <c r="F37" s="256"/>
      <c r="G37" s="256"/>
      <c r="H37" s="256"/>
      <c r="I37" s="256"/>
      <c r="J37" s="256"/>
      <c r="K37" s="256"/>
      <c r="L37" s="256"/>
      <c r="M37" s="256"/>
      <c r="N37" s="256"/>
      <c r="O37" s="256"/>
      <c r="P37" s="256"/>
      <c r="Q37" s="256"/>
      <c r="R37" s="256"/>
      <c r="S37" s="256"/>
      <c r="T37" s="256"/>
      <c r="U37" s="174"/>
      <c r="V37" s="174"/>
      <c r="W37" s="174"/>
      <c r="X37" s="174"/>
      <c r="Y37" s="174"/>
      <c r="Z37" s="174"/>
      <c r="AA37" s="174"/>
      <c r="AB37" s="174"/>
      <c r="AC37" s="174"/>
      <c r="AD37" s="174"/>
      <c r="AE37" s="174"/>
      <c r="AF37" s="174"/>
      <c r="AG37" s="174"/>
      <c r="AH37" s="174"/>
      <c r="AI37" s="174"/>
      <c r="AJ37" s="174"/>
      <c r="AK37" s="174"/>
      <c r="AL37" s="174"/>
      <c r="AM37" s="174"/>
      <c r="AN37" s="174"/>
      <c r="AO37" s="174"/>
      <c r="AP37" s="174"/>
      <c r="AQ37" s="174"/>
      <c r="AR37" s="174"/>
      <c r="AS37" s="174"/>
      <c r="AT37" s="174"/>
      <c r="AU37" s="174"/>
      <c r="AV37" s="174"/>
      <c r="AW37" s="174"/>
      <c r="AX37" s="174"/>
      <c r="AY37" s="174"/>
      <c r="AZ37" s="174"/>
      <c r="BA37" s="174"/>
      <c r="BB37" s="174"/>
      <c r="BC37" s="174"/>
      <c r="BD37" s="174"/>
      <c r="BE37" s="174"/>
      <c r="BF37" s="174"/>
      <c r="BG37" s="174"/>
      <c r="BH37" s="174"/>
      <c r="BI37" s="174"/>
      <c r="BJ37" s="174"/>
      <c r="BK37" s="174"/>
      <c r="BL37" s="174"/>
      <c r="BM37" s="174"/>
      <c r="BN37" s="174"/>
      <c r="BO37" s="174"/>
      <c r="BP37" s="174"/>
      <c r="BQ37" s="174"/>
      <c r="BR37" s="174"/>
      <c r="BS37" s="174"/>
      <c r="BT37" s="174"/>
      <c r="BU37" s="174"/>
      <c r="BV37" s="174"/>
      <c r="BW37" s="174"/>
      <c r="BX37" s="174"/>
      <c r="BY37" s="174"/>
      <c r="BZ37" s="174"/>
      <c r="CA37" s="174"/>
      <c r="CB37" s="174"/>
      <c r="CC37" s="174"/>
      <c r="CD37" s="174"/>
      <c r="CE37" s="174"/>
      <c r="CF37" s="174"/>
      <c r="CG37" s="174"/>
      <c r="CH37" s="174"/>
      <c r="CI37" s="174"/>
      <c r="CJ37" s="175"/>
    </row>
    <row r="38" spans="1:88" s="44" customFormat="1" ht="35.1" customHeight="1">
      <c r="A38" s="177"/>
      <c r="B38" s="255"/>
      <c r="C38" s="256"/>
      <c r="D38" s="256"/>
      <c r="E38" s="256"/>
      <c r="F38" s="256"/>
      <c r="G38" s="256"/>
      <c r="H38" s="256"/>
      <c r="I38" s="256"/>
      <c r="J38" s="256"/>
      <c r="K38" s="256"/>
      <c r="L38" s="256"/>
      <c r="M38" s="256"/>
      <c r="N38" s="256"/>
      <c r="O38" s="256"/>
      <c r="P38" s="256"/>
      <c r="Q38" s="256"/>
      <c r="R38" s="256"/>
      <c r="S38" s="256"/>
      <c r="T38" s="256"/>
      <c r="U38" s="174"/>
      <c r="V38" s="174"/>
      <c r="W38" s="174"/>
      <c r="X38" s="174"/>
      <c r="Y38" s="174"/>
      <c r="Z38" s="174"/>
      <c r="AA38" s="174"/>
      <c r="AB38" s="174"/>
      <c r="AC38" s="174"/>
      <c r="AD38" s="174"/>
      <c r="AE38" s="174"/>
      <c r="AF38" s="174"/>
      <c r="AG38" s="174"/>
      <c r="AH38" s="174"/>
      <c r="AI38" s="174"/>
      <c r="AJ38" s="174"/>
      <c r="AK38" s="174"/>
      <c r="AL38" s="174"/>
      <c r="AM38" s="174"/>
      <c r="AN38" s="174"/>
      <c r="AO38" s="174"/>
      <c r="AP38" s="174"/>
      <c r="AQ38" s="174"/>
      <c r="AR38" s="174"/>
      <c r="AS38" s="174"/>
      <c r="AT38" s="174"/>
      <c r="AU38" s="174"/>
      <c r="AV38" s="174"/>
      <c r="AW38" s="174"/>
      <c r="AX38" s="174"/>
      <c r="AY38" s="174"/>
      <c r="AZ38" s="174"/>
      <c r="BA38" s="174"/>
      <c r="BB38" s="174"/>
      <c r="BC38" s="174"/>
      <c r="BD38" s="174"/>
      <c r="BE38" s="174"/>
      <c r="BF38" s="174"/>
      <c r="BG38" s="174"/>
      <c r="BH38" s="174"/>
      <c r="BI38" s="174"/>
      <c r="BJ38" s="174"/>
      <c r="BK38" s="174"/>
      <c r="BL38" s="174"/>
      <c r="BM38" s="174"/>
      <c r="BN38" s="174"/>
      <c r="BO38" s="174"/>
      <c r="BP38" s="174"/>
      <c r="BQ38" s="174"/>
      <c r="BR38" s="174"/>
      <c r="BS38" s="174"/>
      <c r="BT38" s="174"/>
      <c r="BU38" s="174"/>
      <c r="BV38" s="174"/>
      <c r="BW38" s="174"/>
      <c r="BX38" s="174"/>
      <c r="BY38" s="174"/>
      <c r="BZ38" s="174"/>
      <c r="CA38" s="174"/>
      <c r="CB38" s="174"/>
      <c r="CC38" s="174"/>
      <c r="CD38" s="174"/>
      <c r="CE38" s="174"/>
      <c r="CF38" s="174"/>
      <c r="CG38" s="174"/>
      <c r="CH38" s="174"/>
      <c r="CI38" s="174"/>
      <c r="CJ38" s="175"/>
    </row>
    <row r="39" spans="1:88" s="44" customFormat="1" ht="35.1" customHeight="1" thickBot="1">
      <c r="A39" s="235"/>
      <c r="B39" s="244"/>
      <c r="C39" s="245"/>
      <c r="D39" s="245"/>
      <c r="E39" s="245"/>
      <c r="F39" s="245"/>
      <c r="G39" s="245"/>
      <c r="H39" s="245"/>
      <c r="I39" s="245"/>
      <c r="J39" s="245"/>
      <c r="K39" s="245"/>
      <c r="L39" s="245"/>
      <c r="M39" s="245"/>
      <c r="N39" s="245"/>
      <c r="O39" s="245"/>
      <c r="P39" s="245"/>
      <c r="Q39" s="245"/>
      <c r="R39" s="245"/>
      <c r="S39" s="245"/>
      <c r="T39" s="245"/>
      <c r="U39" s="243"/>
      <c r="V39" s="243"/>
      <c r="W39" s="243"/>
      <c r="X39" s="243"/>
      <c r="Y39" s="243"/>
      <c r="Z39" s="243"/>
      <c r="AA39" s="243"/>
      <c r="AB39" s="243"/>
      <c r="AC39" s="243"/>
      <c r="AD39" s="243"/>
      <c r="AE39" s="243"/>
      <c r="AF39" s="243"/>
      <c r="AG39" s="243"/>
      <c r="AH39" s="243"/>
      <c r="AI39" s="243"/>
      <c r="AJ39" s="243"/>
      <c r="AK39" s="243"/>
      <c r="AL39" s="243"/>
      <c r="AM39" s="243"/>
      <c r="AN39" s="243"/>
      <c r="AO39" s="243"/>
      <c r="AP39" s="243"/>
      <c r="AQ39" s="243"/>
      <c r="AR39" s="243"/>
      <c r="AS39" s="243"/>
      <c r="AT39" s="243"/>
      <c r="AU39" s="243"/>
      <c r="AV39" s="243"/>
      <c r="AW39" s="243"/>
      <c r="AX39" s="243"/>
      <c r="AY39" s="243"/>
      <c r="AZ39" s="243"/>
      <c r="BA39" s="243"/>
      <c r="BB39" s="243"/>
      <c r="BC39" s="243"/>
      <c r="BD39" s="243"/>
      <c r="BE39" s="243"/>
      <c r="BF39" s="243"/>
      <c r="BG39" s="243"/>
      <c r="BH39" s="243"/>
      <c r="BI39" s="243"/>
      <c r="BJ39" s="243"/>
      <c r="BK39" s="243"/>
      <c r="BL39" s="243"/>
      <c r="BM39" s="243"/>
      <c r="BN39" s="243"/>
      <c r="BO39" s="243"/>
      <c r="BP39" s="243"/>
      <c r="BQ39" s="243"/>
      <c r="BR39" s="243"/>
      <c r="BS39" s="243"/>
      <c r="BT39" s="243"/>
      <c r="BU39" s="243"/>
      <c r="BV39" s="243"/>
      <c r="BW39" s="243"/>
      <c r="BX39" s="243"/>
      <c r="BY39" s="243"/>
      <c r="BZ39" s="243"/>
      <c r="CA39" s="243"/>
      <c r="CB39" s="243"/>
      <c r="CC39" s="243"/>
      <c r="CD39" s="243"/>
      <c r="CE39" s="243"/>
      <c r="CF39" s="243"/>
      <c r="CG39" s="243"/>
      <c r="CH39" s="243"/>
      <c r="CI39" s="243"/>
      <c r="CJ39" s="246"/>
    </row>
    <row r="40" spans="1:88" s="44" customFormat="1" ht="75" customHeight="1" thickTop="1">
      <c r="A40" s="257" t="s">
        <v>19</v>
      </c>
      <c r="B40" s="258"/>
      <c r="C40" s="258"/>
      <c r="D40" s="258"/>
      <c r="E40" s="258"/>
      <c r="F40" s="258"/>
      <c r="G40" s="258"/>
      <c r="H40" s="258"/>
      <c r="I40" s="258"/>
      <c r="J40" s="258"/>
      <c r="K40" s="258"/>
      <c r="L40" s="258"/>
      <c r="M40" s="258"/>
      <c r="N40" s="258"/>
      <c r="O40" s="258"/>
      <c r="P40" s="258"/>
      <c r="Q40" s="258"/>
      <c r="R40" s="258"/>
      <c r="S40" s="258"/>
      <c r="T40" s="259"/>
      <c r="U40" s="249"/>
      <c r="V40" s="248"/>
      <c r="W40" s="248"/>
      <c r="X40" s="248"/>
      <c r="Y40" s="248"/>
      <c r="Z40" s="248"/>
      <c r="AA40" s="248"/>
      <c r="AB40" s="248"/>
      <c r="AC40" s="248"/>
      <c r="AD40" s="248"/>
      <c r="AE40" s="248"/>
      <c r="AF40" s="248"/>
      <c r="AG40" s="248"/>
      <c r="AH40" s="248"/>
      <c r="AI40" s="248"/>
      <c r="AJ40" s="248"/>
      <c r="AK40" s="248"/>
      <c r="AL40" s="248"/>
      <c r="AM40" s="248"/>
      <c r="AN40" s="248"/>
      <c r="AO40" s="248"/>
      <c r="AP40" s="248"/>
      <c r="AQ40" s="248"/>
      <c r="AR40" s="248"/>
      <c r="AS40" s="248"/>
      <c r="AT40" s="248"/>
      <c r="AU40" s="248"/>
      <c r="AV40" s="248"/>
      <c r="AW40" s="248"/>
      <c r="AX40" s="248"/>
      <c r="AY40" s="248"/>
      <c r="AZ40" s="248"/>
      <c r="BA40" s="248"/>
      <c r="BB40" s="248"/>
      <c r="BC40" s="248"/>
      <c r="BD40" s="248"/>
      <c r="BE40" s="248"/>
      <c r="BF40" s="248"/>
      <c r="BG40" s="248"/>
      <c r="BH40" s="248"/>
      <c r="BI40" s="248"/>
      <c r="BJ40" s="248"/>
      <c r="BK40" s="248"/>
      <c r="BL40" s="248"/>
      <c r="BM40" s="248"/>
      <c r="BN40" s="248"/>
      <c r="BO40" s="248"/>
      <c r="BP40" s="248"/>
      <c r="BQ40" s="248"/>
      <c r="BR40" s="248"/>
      <c r="BS40" s="248"/>
      <c r="BT40" s="248"/>
      <c r="BU40" s="248"/>
      <c r="BV40" s="248"/>
      <c r="BW40" s="248"/>
      <c r="BX40" s="248"/>
      <c r="BY40" s="248"/>
      <c r="BZ40" s="248"/>
      <c r="CA40" s="248"/>
      <c r="CB40" s="248"/>
      <c r="CC40" s="248"/>
      <c r="CD40" s="248"/>
      <c r="CE40" s="248"/>
      <c r="CF40" s="248"/>
      <c r="CG40" s="248"/>
      <c r="CH40" s="248"/>
      <c r="CI40" s="248"/>
      <c r="CJ40" s="250"/>
    </row>
    <row r="41" spans="1:88" s="44" customFormat="1" ht="13.5" customHeight="1">
      <c r="A41" s="251" t="s">
        <v>20</v>
      </c>
      <c r="B41" s="252"/>
      <c r="C41" s="252"/>
      <c r="D41" s="252"/>
      <c r="E41" s="252"/>
      <c r="F41" s="252"/>
      <c r="G41" s="252"/>
      <c r="H41" s="252"/>
      <c r="I41" s="252"/>
      <c r="J41" s="252"/>
      <c r="K41" s="252"/>
      <c r="L41" s="252"/>
      <c r="M41" s="252"/>
      <c r="N41" s="252"/>
      <c r="O41" s="252"/>
      <c r="P41" s="252"/>
      <c r="Q41" s="252"/>
      <c r="R41" s="252"/>
      <c r="S41" s="252"/>
      <c r="T41" s="253"/>
      <c r="U41" s="210"/>
      <c r="V41" s="207"/>
      <c r="W41" s="207"/>
      <c r="X41" s="207"/>
      <c r="Y41" s="207"/>
      <c r="Z41" s="207"/>
      <c r="AA41" s="207"/>
      <c r="AB41" s="207"/>
      <c r="AC41" s="207"/>
      <c r="AD41" s="207"/>
      <c r="AE41" s="207"/>
      <c r="AF41" s="207"/>
      <c r="AG41" s="207"/>
      <c r="AH41" s="207"/>
      <c r="AI41" s="207"/>
      <c r="AJ41" s="207"/>
      <c r="AK41" s="207"/>
      <c r="AL41" s="207"/>
      <c r="AM41" s="207"/>
      <c r="AN41" s="207"/>
      <c r="AO41" s="207"/>
      <c r="AP41" s="207"/>
      <c r="AQ41" s="207"/>
      <c r="AR41" s="207"/>
      <c r="AS41" s="207"/>
      <c r="AT41" s="207"/>
      <c r="AU41" s="207"/>
      <c r="AV41" s="207"/>
      <c r="AW41" s="207"/>
      <c r="AX41" s="207"/>
      <c r="AY41" s="207"/>
      <c r="AZ41" s="207"/>
      <c r="BA41" s="207"/>
      <c r="BB41" s="207"/>
      <c r="BC41" s="207"/>
      <c r="BD41" s="207"/>
      <c r="BE41" s="207"/>
      <c r="BF41" s="207"/>
      <c r="BG41" s="207"/>
      <c r="BH41" s="207"/>
      <c r="BI41" s="207"/>
      <c r="BJ41" s="207"/>
      <c r="BK41" s="207"/>
      <c r="BL41" s="207"/>
      <c r="BM41" s="207"/>
      <c r="BN41" s="207"/>
      <c r="BO41" s="207"/>
      <c r="BP41" s="207"/>
      <c r="BQ41" s="207"/>
      <c r="BR41" s="207"/>
      <c r="BS41" s="207"/>
      <c r="BT41" s="207"/>
      <c r="BU41" s="207"/>
      <c r="BV41" s="207"/>
      <c r="BW41" s="207"/>
      <c r="BX41" s="207"/>
      <c r="BY41" s="207"/>
      <c r="BZ41" s="207"/>
      <c r="CA41" s="207"/>
      <c r="CB41" s="207"/>
      <c r="CC41" s="207"/>
      <c r="CD41" s="207"/>
      <c r="CE41" s="207"/>
      <c r="CF41" s="207"/>
      <c r="CG41" s="207"/>
      <c r="CH41" s="207"/>
      <c r="CI41" s="207"/>
      <c r="CJ41" s="208"/>
    </row>
    <row r="42" spans="1:88" s="44" customFormat="1" ht="13.5" customHeight="1">
      <c r="A42" s="225" t="s">
        <v>21</v>
      </c>
      <c r="B42" s="226"/>
      <c r="C42" s="226"/>
      <c r="D42" s="226"/>
      <c r="E42" s="226"/>
      <c r="F42" s="226"/>
      <c r="G42" s="226"/>
      <c r="H42" s="226"/>
      <c r="I42" s="226"/>
      <c r="J42" s="226"/>
      <c r="K42" s="226"/>
      <c r="L42" s="226"/>
      <c r="M42" s="226"/>
      <c r="N42" s="226"/>
      <c r="O42" s="226"/>
      <c r="P42" s="226"/>
      <c r="Q42" s="226"/>
      <c r="R42" s="226"/>
      <c r="S42" s="226"/>
      <c r="T42" s="227"/>
      <c r="U42" s="254"/>
      <c r="V42" s="204"/>
      <c r="W42" s="204"/>
      <c r="X42" s="204"/>
      <c r="Y42" s="204"/>
      <c r="Z42" s="204"/>
      <c r="AA42" s="204"/>
      <c r="AB42" s="204"/>
      <c r="AC42" s="204"/>
      <c r="AD42" s="204"/>
      <c r="AE42" s="204"/>
      <c r="AF42" s="204"/>
      <c r="AG42" s="204"/>
      <c r="AH42" s="204"/>
      <c r="AI42" s="204"/>
      <c r="AJ42" s="204"/>
      <c r="AK42" s="204"/>
      <c r="AL42" s="204"/>
      <c r="AM42" s="204"/>
      <c r="AN42" s="204"/>
      <c r="AO42" s="204"/>
      <c r="AP42" s="204"/>
      <c r="AQ42" s="204"/>
      <c r="AR42" s="204"/>
      <c r="AS42" s="204"/>
      <c r="AT42" s="204"/>
      <c r="AU42" s="204"/>
      <c r="AV42" s="204"/>
      <c r="AW42" s="204"/>
      <c r="AX42" s="204"/>
      <c r="AY42" s="204"/>
      <c r="AZ42" s="204"/>
      <c r="BA42" s="204"/>
      <c r="BB42" s="204"/>
      <c r="BC42" s="204"/>
      <c r="BD42" s="204"/>
      <c r="BE42" s="204"/>
      <c r="BF42" s="204"/>
      <c r="BG42" s="204"/>
      <c r="BH42" s="204"/>
      <c r="BI42" s="204"/>
      <c r="BJ42" s="204"/>
      <c r="BK42" s="204"/>
      <c r="BL42" s="204"/>
      <c r="BM42" s="204"/>
      <c r="BN42" s="204"/>
      <c r="BO42" s="204"/>
      <c r="BP42" s="204"/>
      <c r="BQ42" s="204"/>
      <c r="BR42" s="204"/>
      <c r="BS42" s="204"/>
      <c r="BT42" s="204"/>
      <c r="BU42" s="204"/>
      <c r="BV42" s="204"/>
      <c r="BW42" s="204"/>
      <c r="BX42" s="204"/>
      <c r="BY42" s="204"/>
      <c r="BZ42" s="204"/>
      <c r="CA42" s="204"/>
      <c r="CB42" s="204"/>
      <c r="CC42" s="204"/>
      <c r="CD42" s="204"/>
      <c r="CE42" s="204"/>
      <c r="CF42" s="204"/>
      <c r="CG42" s="204"/>
      <c r="CH42" s="204"/>
      <c r="CI42" s="204"/>
      <c r="CJ42" s="209"/>
    </row>
    <row r="43" spans="1:88" s="44" customFormat="1" ht="13.5" customHeight="1">
      <c r="A43" s="225" t="s">
        <v>22</v>
      </c>
      <c r="B43" s="226"/>
      <c r="C43" s="226"/>
      <c r="D43" s="226"/>
      <c r="E43" s="226"/>
      <c r="F43" s="226"/>
      <c r="G43" s="226"/>
      <c r="H43" s="226"/>
      <c r="I43" s="226"/>
      <c r="J43" s="226"/>
      <c r="K43" s="226"/>
      <c r="L43" s="226"/>
      <c r="M43" s="226"/>
      <c r="N43" s="226"/>
      <c r="O43" s="226"/>
      <c r="P43" s="226"/>
      <c r="Q43" s="226"/>
      <c r="R43" s="226"/>
      <c r="S43" s="226"/>
      <c r="T43" s="227"/>
      <c r="U43" s="210"/>
      <c r="V43" s="207"/>
      <c r="W43" s="207"/>
      <c r="X43" s="207"/>
      <c r="Y43" s="207"/>
      <c r="Z43" s="207"/>
      <c r="AA43" s="207"/>
      <c r="AB43" s="207"/>
      <c r="AC43" s="207"/>
      <c r="AD43" s="207"/>
      <c r="AE43" s="207"/>
      <c r="AF43" s="207"/>
      <c r="AG43" s="207"/>
      <c r="AH43" s="207"/>
      <c r="AI43" s="207"/>
      <c r="AJ43" s="207"/>
      <c r="AK43" s="207"/>
      <c r="AL43" s="207"/>
      <c r="AM43" s="207"/>
      <c r="AN43" s="207"/>
      <c r="AO43" s="207"/>
      <c r="AP43" s="207"/>
      <c r="AQ43" s="207"/>
      <c r="AR43" s="207"/>
      <c r="AS43" s="207"/>
      <c r="AT43" s="207"/>
      <c r="AU43" s="207"/>
      <c r="AV43" s="207"/>
      <c r="AW43" s="207"/>
      <c r="AX43" s="207"/>
      <c r="AY43" s="207"/>
      <c r="AZ43" s="207"/>
      <c r="BA43" s="207"/>
      <c r="BB43" s="207"/>
      <c r="BC43" s="207"/>
      <c r="BD43" s="207"/>
      <c r="BE43" s="207"/>
      <c r="BF43" s="207"/>
      <c r="BG43" s="207"/>
      <c r="BH43" s="207"/>
      <c r="BI43" s="207"/>
      <c r="BJ43" s="207"/>
      <c r="BK43" s="207"/>
      <c r="BL43" s="207"/>
      <c r="BM43" s="207"/>
      <c r="BN43" s="207"/>
      <c r="BO43" s="207"/>
      <c r="BP43" s="207"/>
      <c r="BQ43" s="207"/>
      <c r="BR43" s="207"/>
      <c r="BS43" s="207"/>
      <c r="BT43" s="207"/>
      <c r="BU43" s="207"/>
      <c r="BV43" s="207"/>
      <c r="BW43" s="207"/>
      <c r="BX43" s="207"/>
      <c r="BY43" s="207"/>
      <c r="BZ43" s="207"/>
      <c r="CA43" s="207"/>
      <c r="CB43" s="207"/>
      <c r="CC43" s="207"/>
      <c r="CD43" s="207"/>
      <c r="CE43" s="207"/>
      <c r="CF43" s="207"/>
      <c r="CG43" s="207"/>
      <c r="CH43" s="207"/>
      <c r="CI43" s="207"/>
      <c r="CJ43" s="208"/>
    </row>
    <row r="44" spans="1:88" s="44" customFormat="1" ht="147.75" customHeight="1">
      <c r="A44" s="216" t="s">
        <v>23</v>
      </c>
      <c r="B44" s="217"/>
      <c r="C44" s="217"/>
      <c r="D44" s="217"/>
      <c r="E44" s="217"/>
      <c r="F44" s="217"/>
      <c r="G44" s="217"/>
      <c r="H44" s="217"/>
      <c r="I44" s="217"/>
      <c r="J44" s="217"/>
      <c r="K44" s="217"/>
      <c r="L44" s="217"/>
      <c r="M44" s="217"/>
      <c r="N44" s="217"/>
      <c r="O44" s="217"/>
      <c r="P44" s="217"/>
      <c r="Q44" s="217"/>
      <c r="R44" s="217"/>
      <c r="S44" s="217"/>
      <c r="T44" s="218"/>
      <c r="U44" s="210"/>
      <c r="V44" s="207"/>
      <c r="W44" s="207"/>
      <c r="X44" s="207"/>
      <c r="Y44" s="207"/>
      <c r="Z44" s="207"/>
      <c r="AA44" s="207"/>
      <c r="AB44" s="207"/>
      <c r="AC44" s="207"/>
      <c r="AD44" s="207"/>
      <c r="AE44" s="207"/>
      <c r="AF44" s="207"/>
      <c r="AG44" s="207"/>
      <c r="AH44" s="207"/>
      <c r="AI44" s="211"/>
      <c r="AJ44" s="211"/>
      <c r="AK44" s="207"/>
      <c r="AL44" s="207"/>
      <c r="AM44" s="207"/>
      <c r="AN44" s="207"/>
      <c r="AO44" s="207"/>
      <c r="AP44" s="207"/>
      <c r="AQ44" s="207"/>
      <c r="AR44" s="207"/>
      <c r="AS44" s="212"/>
      <c r="AT44" s="212"/>
      <c r="AU44" s="212"/>
      <c r="AV44" s="212"/>
      <c r="AW44" s="212"/>
      <c r="AX44" s="212"/>
      <c r="AY44" s="212"/>
      <c r="AZ44" s="212"/>
      <c r="BA44" s="212"/>
      <c r="BB44" s="212"/>
      <c r="BC44" s="212"/>
      <c r="BD44" s="212"/>
      <c r="BE44" s="212"/>
      <c r="BF44" s="212"/>
      <c r="BG44" s="211"/>
      <c r="BH44" s="211"/>
      <c r="BI44" s="214"/>
      <c r="BJ44" s="215"/>
      <c r="BK44" s="212"/>
      <c r="BL44" s="212"/>
      <c r="BM44" s="212"/>
      <c r="BN44" s="212"/>
      <c r="BO44" s="212"/>
      <c r="BP44" s="212"/>
      <c r="BQ44" s="212"/>
      <c r="BR44" s="212"/>
      <c r="BS44" s="212"/>
      <c r="BT44" s="212"/>
      <c r="BU44" s="212"/>
      <c r="BV44" s="212"/>
      <c r="BW44" s="212"/>
      <c r="BX44" s="212"/>
      <c r="BY44" s="212"/>
      <c r="BZ44" s="212"/>
      <c r="CA44" s="212"/>
      <c r="CB44" s="212"/>
      <c r="CC44" s="212"/>
      <c r="CD44" s="212"/>
      <c r="CE44" s="212"/>
      <c r="CF44" s="212"/>
      <c r="CG44" s="212"/>
      <c r="CH44" s="212"/>
      <c r="CI44" s="212"/>
      <c r="CJ44" s="213"/>
    </row>
    <row r="60" spans="7:7" ht="13.5" customHeight="1">
      <c r="G60" s="63"/>
    </row>
  </sheetData>
  <mergeCells count="1254">
    <mergeCell ref="BG10:BH10"/>
    <mergeCell ref="U35:V35"/>
    <mergeCell ref="W35:X35"/>
    <mergeCell ref="Y35:Z35"/>
    <mergeCell ref="AA35:AB35"/>
    <mergeCell ref="AC35:AD35"/>
    <mergeCell ref="AE35:AF35"/>
    <mergeCell ref="AM34:AN34"/>
    <mergeCell ref="U34:V34"/>
    <mergeCell ref="W34:X34"/>
    <mergeCell ref="AK34:AL34"/>
    <mergeCell ref="BE34:BF34"/>
    <mergeCell ref="AG35:AH35"/>
    <mergeCell ref="CG34:CH34"/>
    <mergeCell ref="BK34:BL34"/>
    <mergeCell ref="BM34:BN34"/>
    <mergeCell ref="BO34:BP34"/>
    <mergeCell ref="BQ34:BR34"/>
    <mergeCell ref="BI34:BJ34"/>
    <mergeCell ref="BY34:BZ34"/>
    <mergeCell ref="CA34:CB34"/>
    <mergeCell ref="BS34:BT34"/>
    <mergeCell ref="BA35:BB35"/>
    <mergeCell ref="BC35:BD35"/>
    <mergeCell ref="BE35:BF35"/>
    <mergeCell ref="BG35:BH35"/>
    <mergeCell ref="CE34:CF34"/>
    <mergeCell ref="AS34:AT34"/>
    <mergeCell ref="AU34:AV34"/>
    <mergeCell ref="AW34:AX34"/>
    <mergeCell ref="BG34:BH34"/>
    <mergeCell ref="BC33:BD33"/>
    <mergeCell ref="CI34:CJ34"/>
    <mergeCell ref="Y34:Z34"/>
    <mergeCell ref="AA34:AB34"/>
    <mergeCell ref="AC34:AD34"/>
    <mergeCell ref="AQ35:AR35"/>
    <mergeCell ref="AO34:AP34"/>
    <mergeCell ref="AE34:AF34"/>
    <mergeCell ref="AG34:AH34"/>
    <mergeCell ref="AI34:AJ34"/>
    <mergeCell ref="AI35:AJ35"/>
    <mergeCell ref="AK35:AL35"/>
    <mergeCell ref="AM35:AN35"/>
    <mergeCell ref="AO35:AP35"/>
    <mergeCell ref="AQ34:AR34"/>
    <mergeCell ref="BW34:BX34"/>
    <mergeCell ref="BU34:BV34"/>
    <mergeCell ref="AY34:AZ34"/>
    <mergeCell ref="BA34:BB34"/>
    <mergeCell ref="BC34:BD34"/>
    <mergeCell ref="AW35:AX35"/>
    <mergeCell ref="CG35:CH35"/>
    <mergeCell ref="CI35:CJ35"/>
    <mergeCell ref="BW35:BX35"/>
    <mergeCell ref="BY35:BZ35"/>
    <mergeCell ref="CA35:CB35"/>
    <mergeCell ref="CC35:CD35"/>
    <mergeCell ref="AS35:AT35"/>
    <mergeCell ref="AU35:AV35"/>
    <mergeCell ref="BS35:BT35"/>
    <mergeCell ref="CC34:CD34"/>
    <mergeCell ref="BU35:BV35"/>
    <mergeCell ref="AY35:AZ35"/>
    <mergeCell ref="CE35:CF35"/>
    <mergeCell ref="BK35:BL35"/>
    <mergeCell ref="BM35:BN35"/>
    <mergeCell ref="CC33:CD33"/>
    <mergeCell ref="CE33:CF33"/>
    <mergeCell ref="AM33:AN33"/>
    <mergeCell ref="AO33:AP33"/>
    <mergeCell ref="AQ33:AR33"/>
    <mergeCell ref="AS33:AT33"/>
    <mergeCell ref="AU33:AV33"/>
    <mergeCell ref="BI35:BJ35"/>
    <mergeCell ref="BO35:BP35"/>
    <mergeCell ref="BQ35:BR35"/>
    <mergeCell ref="BE33:BF33"/>
    <mergeCell ref="BW33:BX33"/>
    <mergeCell ref="BY33:BZ33"/>
    <mergeCell ref="CA33:CB33"/>
    <mergeCell ref="BQ33:BR33"/>
    <mergeCell ref="U33:V33"/>
    <mergeCell ref="W33:X33"/>
    <mergeCell ref="Y33:Z33"/>
    <mergeCell ref="AW19:AX19"/>
    <mergeCell ref="AY19:AZ19"/>
    <mergeCell ref="BA19:BB19"/>
    <mergeCell ref="AU19:AV19"/>
    <mergeCell ref="AG19:AH19"/>
    <mergeCell ref="AI19:AJ19"/>
    <mergeCell ref="AK19:AL19"/>
    <mergeCell ref="AA33:AB33"/>
    <mergeCell ref="AC33:AD33"/>
    <mergeCell ref="AE33:AF33"/>
    <mergeCell ref="AG33:AH33"/>
    <mergeCell ref="AI33:AJ33"/>
    <mergeCell ref="AK33:AL33"/>
    <mergeCell ref="AW33:AX33"/>
    <mergeCell ref="AY33:AZ33"/>
    <mergeCell ref="BA33:BB33"/>
    <mergeCell ref="U20:V20"/>
    <mergeCell ref="W20:X20"/>
    <mergeCell ref="Y20:Z20"/>
    <mergeCell ref="AA20:AB20"/>
    <mergeCell ref="AC20:AD20"/>
    <mergeCell ref="AE20:AF20"/>
    <mergeCell ref="AM19:AN19"/>
    <mergeCell ref="AO19:AP19"/>
    <mergeCell ref="AQ19:AR19"/>
    <mergeCell ref="AO26:AP26"/>
    <mergeCell ref="AQ26:AR26"/>
    <mergeCell ref="AS26:AT26"/>
    <mergeCell ref="AU26:AV26"/>
    <mergeCell ref="BU18:BV18"/>
    <mergeCell ref="BW18:BX18"/>
    <mergeCell ref="BY18:BZ18"/>
    <mergeCell ref="CA18:CB18"/>
    <mergeCell ref="CC18:CD18"/>
    <mergeCell ref="AM38:AN38"/>
    <mergeCell ref="AO38:AP38"/>
    <mergeCell ref="AQ38:AR38"/>
    <mergeCell ref="CE18:CF18"/>
    <mergeCell ref="U19:V19"/>
    <mergeCell ref="W19:X19"/>
    <mergeCell ref="Y19:Z19"/>
    <mergeCell ref="AA19:AB19"/>
    <mergeCell ref="AC19:AD19"/>
    <mergeCell ref="AE19:AF19"/>
    <mergeCell ref="B38:T38"/>
    <mergeCell ref="U38:V38"/>
    <mergeCell ref="W38:X38"/>
    <mergeCell ref="Y38:Z38"/>
    <mergeCell ref="AA38:AB38"/>
    <mergeCell ref="AC38:AD38"/>
    <mergeCell ref="AS38:AT38"/>
    <mergeCell ref="AU38:AV38"/>
    <mergeCell ref="AW38:AX38"/>
    <mergeCell ref="BO38:BP38"/>
    <mergeCell ref="BQ38:BR38"/>
    <mergeCell ref="BS38:BT38"/>
    <mergeCell ref="BU38:BV38"/>
    <mergeCell ref="AY38:AZ38"/>
    <mergeCell ref="BA38:BB38"/>
    <mergeCell ref="BC38:BD38"/>
    <mergeCell ref="BE38:BF38"/>
    <mergeCell ref="CC16:CD16"/>
    <mergeCell ref="CE16:CF16"/>
    <mergeCell ref="U32:V32"/>
    <mergeCell ref="W32:X32"/>
    <mergeCell ref="Y32:Z32"/>
    <mergeCell ref="AA32:AB32"/>
    <mergeCell ref="AC32:AD32"/>
    <mergeCell ref="AE32:AF32"/>
    <mergeCell ref="AG32:AH32"/>
    <mergeCell ref="AI32:AJ32"/>
    <mergeCell ref="BC32:BD32"/>
    <mergeCell ref="BE32:BF32"/>
    <mergeCell ref="BW32:BX32"/>
    <mergeCell ref="AK32:AL32"/>
    <mergeCell ref="AM32:AN32"/>
    <mergeCell ref="AO32:AP32"/>
    <mergeCell ref="AQ32:AR32"/>
    <mergeCell ref="AS32:AT32"/>
    <mergeCell ref="AU32:AV32"/>
    <mergeCell ref="BY32:BZ32"/>
    <mergeCell ref="CA32:CB32"/>
    <mergeCell ref="CC32:CD32"/>
    <mergeCell ref="BG32:BH32"/>
    <mergeCell ref="BI32:BJ32"/>
    <mergeCell ref="BK32:BL32"/>
    <mergeCell ref="BM32:BN32"/>
    <mergeCell ref="BO32:BP32"/>
    <mergeCell ref="BQ32:BR32"/>
    <mergeCell ref="CE32:CF32"/>
    <mergeCell ref="BS32:BT32"/>
    <mergeCell ref="BU32:BV32"/>
    <mergeCell ref="CE17:CF17"/>
    <mergeCell ref="CC15:CD15"/>
    <mergeCell ref="CE15:CF15"/>
    <mergeCell ref="U16:V16"/>
    <mergeCell ref="W16:X16"/>
    <mergeCell ref="Y16:Z16"/>
    <mergeCell ref="AA16:AB16"/>
    <mergeCell ref="AC16:AD16"/>
    <mergeCell ref="AE16:AF16"/>
    <mergeCell ref="AG16:AH16"/>
    <mergeCell ref="AI16:AJ16"/>
    <mergeCell ref="AK16:AL16"/>
    <mergeCell ref="AM16:AN16"/>
    <mergeCell ref="AO16:AP16"/>
    <mergeCell ref="AQ16:AR16"/>
    <mergeCell ref="AS16:AT16"/>
    <mergeCell ref="AU16:AV16"/>
    <mergeCell ref="AW16:AX16"/>
    <mergeCell ref="AY16:AZ16"/>
    <mergeCell ref="BA16:BB16"/>
    <mergeCell ref="BC16:BD16"/>
    <mergeCell ref="BE16:BF16"/>
    <mergeCell ref="BG16:BH16"/>
    <mergeCell ref="BI16:BJ16"/>
    <mergeCell ref="BK16:BL16"/>
    <mergeCell ref="BM16:BN16"/>
    <mergeCell ref="BO16:BP16"/>
    <mergeCell ref="BQ16:BR16"/>
    <mergeCell ref="BS16:BT16"/>
    <mergeCell ref="BU16:BV16"/>
    <mergeCell ref="BW16:BX16"/>
    <mergeCell ref="BY16:BZ16"/>
    <mergeCell ref="CA16:CB16"/>
    <mergeCell ref="CE14:CF14"/>
    <mergeCell ref="BS14:BT14"/>
    <mergeCell ref="BU14:BV14"/>
    <mergeCell ref="BQ17:BR17"/>
    <mergeCell ref="BS17:BT17"/>
    <mergeCell ref="BU17:BV17"/>
    <mergeCell ref="BW17:BX17"/>
    <mergeCell ref="BY17:BZ17"/>
    <mergeCell ref="CA17:CB17"/>
    <mergeCell ref="CC17:CD17"/>
    <mergeCell ref="AI15:AJ15"/>
    <mergeCell ref="AK15:AL15"/>
    <mergeCell ref="AM15:AN15"/>
    <mergeCell ref="AO15:AP15"/>
    <mergeCell ref="AQ15:AR15"/>
    <mergeCell ref="AS15:AT15"/>
    <mergeCell ref="AU15:AV15"/>
    <mergeCell ref="AW15:AX15"/>
    <mergeCell ref="AY15:AZ15"/>
    <mergeCell ref="BA15:BB15"/>
    <mergeCell ref="BC15:BD15"/>
    <mergeCell ref="BE15:BF15"/>
    <mergeCell ref="BG15:BH15"/>
    <mergeCell ref="BI15:BJ15"/>
    <mergeCell ref="BK15:BL15"/>
    <mergeCell ref="BM15:BN15"/>
    <mergeCell ref="BO15:BP15"/>
    <mergeCell ref="BQ15:BR15"/>
    <mergeCell ref="BS15:BT15"/>
    <mergeCell ref="BU15:BV15"/>
    <mergeCell ref="BW15:BX15"/>
    <mergeCell ref="BY15:BZ15"/>
    <mergeCell ref="CC12:CD12"/>
    <mergeCell ref="CE12:CF12"/>
    <mergeCell ref="CG12:CH12"/>
    <mergeCell ref="CI12:CJ12"/>
    <mergeCell ref="U14:V14"/>
    <mergeCell ref="W14:X14"/>
    <mergeCell ref="Y14:Z14"/>
    <mergeCell ref="AA14:AB14"/>
    <mergeCell ref="AC14:AD14"/>
    <mergeCell ref="AE14:AF14"/>
    <mergeCell ref="AG14:AH14"/>
    <mergeCell ref="AI14:AJ14"/>
    <mergeCell ref="AK14:AL14"/>
    <mergeCell ref="AM14:AN14"/>
    <mergeCell ref="AO14:AP14"/>
    <mergeCell ref="AQ14:AR14"/>
    <mergeCell ref="AS14:AT14"/>
    <mergeCell ref="AU14:AV14"/>
    <mergeCell ref="AW14:AX14"/>
    <mergeCell ref="AY14:AZ14"/>
    <mergeCell ref="BA14:BB14"/>
    <mergeCell ref="BC14:BD14"/>
    <mergeCell ref="BE14:BF14"/>
    <mergeCell ref="BW14:BX14"/>
    <mergeCell ref="BY14:BZ14"/>
    <mergeCell ref="CA14:CB14"/>
    <mergeCell ref="CC14:CD14"/>
    <mergeCell ref="BG14:BH14"/>
    <mergeCell ref="BI14:BJ14"/>
    <mergeCell ref="BK14:BL14"/>
    <mergeCell ref="BM14:BN14"/>
    <mergeCell ref="BO14:BP14"/>
    <mergeCell ref="U12:V12"/>
    <mergeCell ref="W12:X12"/>
    <mergeCell ref="Y12:Z12"/>
    <mergeCell ref="AA12:AB12"/>
    <mergeCell ref="AC12:AD12"/>
    <mergeCell ref="AE12:AF12"/>
    <mergeCell ref="AO12:AP12"/>
    <mergeCell ref="AQ12:AR12"/>
    <mergeCell ref="AS12:AT12"/>
    <mergeCell ref="AU12:AV12"/>
    <mergeCell ref="AW12:AX12"/>
    <mergeCell ref="AY12:AZ12"/>
    <mergeCell ref="BA12:BB12"/>
    <mergeCell ref="BC12:BD12"/>
    <mergeCell ref="BE12:BF12"/>
    <mergeCell ref="BG12:BH12"/>
    <mergeCell ref="BI12:BJ12"/>
    <mergeCell ref="AG12:AH12"/>
    <mergeCell ref="AI12:AJ12"/>
    <mergeCell ref="AK12:AL12"/>
    <mergeCell ref="AM12:AN12"/>
    <mergeCell ref="BK12:BL12"/>
    <mergeCell ref="BM12:BN12"/>
    <mergeCell ref="BO12:BP12"/>
    <mergeCell ref="BQ12:BR12"/>
    <mergeCell ref="BS12:BT12"/>
    <mergeCell ref="BU12:BV12"/>
    <mergeCell ref="BW12:BX12"/>
    <mergeCell ref="BY12:BZ12"/>
    <mergeCell ref="CA12:CB12"/>
    <mergeCell ref="BQ14:BR14"/>
    <mergeCell ref="CA15:CB15"/>
    <mergeCell ref="AS18:AT18"/>
    <mergeCell ref="AU18:AV18"/>
    <mergeCell ref="AW18:AX18"/>
    <mergeCell ref="AY18:AZ18"/>
    <mergeCell ref="BE18:BF18"/>
    <mergeCell ref="BG33:BH33"/>
    <mergeCell ref="BI33:BJ33"/>
    <mergeCell ref="BK33:BL33"/>
    <mergeCell ref="BM33:BN33"/>
    <mergeCell ref="BO33:BP33"/>
    <mergeCell ref="BO13:BP13"/>
    <mergeCell ref="BS33:BT33"/>
    <mergeCell ref="BU33:BV33"/>
    <mergeCell ref="BO17:BP17"/>
    <mergeCell ref="BU19:BV19"/>
    <mergeCell ref="BW19:BX19"/>
    <mergeCell ref="BY19:BZ19"/>
    <mergeCell ref="CA19:CB19"/>
    <mergeCell ref="AS19:AT19"/>
    <mergeCell ref="BI22:BJ22"/>
    <mergeCell ref="BK22:BL22"/>
    <mergeCell ref="BA18:BB18"/>
    <mergeCell ref="BC18:BD18"/>
    <mergeCell ref="BG18:BH18"/>
    <mergeCell ref="BI18:BJ18"/>
    <mergeCell ref="BK18:BL18"/>
    <mergeCell ref="BM18:BN18"/>
    <mergeCell ref="BO18:BP18"/>
    <mergeCell ref="BQ18:BR18"/>
    <mergeCell ref="BS18:BT18"/>
    <mergeCell ref="AI38:AJ38"/>
    <mergeCell ref="AK38:AL38"/>
    <mergeCell ref="BG36:BH36"/>
    <mergeCell ref="BI36:BJ36"/>
    <mergeCell ref="BK36:BL36"/>
    <mergeCell ref="AU37:AV37"/>
    <mergeCell ref="BI37:BJ37"/>
    <mergeCell ref="BM37:BN37"/>
    <mergeCell ref="BO37:BP37"/>
    <mergeCell ref="AW37:AX37"/>
    <mergeCell ref="AY37:AZ37"/>
    <mergeCell ref="BA37:BB37"/>
    <mergeCell ref="BC37:BD37"/>
    <mergeCell ref="BE37:BF37"/>
    <mergeCell ref="BG37:BH37"/>
    <mergeCell ref="AI20:AJ20"/>
    <mergeCell ref="AW32:AX32"/>
    <mergeCell ref="AY32:AZ32"/>
    <mergeCell ref="BA32:BB32"/>
    <mergeCell ref="AW36:AX36"/>
    <mergeCell ref="AY36:AZ36"/>
    <mergeCell ref="BA36:BB36"/>
    <mergeCell ref="BC36:BD36"/>
    <mergeCell ref="AC44:AD44"/>
    <mergeCell ref="AE44:AF44"/>
    <mergeCell ref="W37:X37"/>
    <mergeCell ref="AG44:AH44"/>
    <mergeCell ref="AI44:AJ44"/>
    <mergeCell ref="AK44:AL44"/>
    <mergeCell ref="AE43:AF43"/>
    <mergeCell ref="AG43:AH43"/>
    <mergeCell ref="AI13:AJ13"/>
    <mergeCell ref="AK13:AL13"/>
    <mergeCell ref="AM44:AN44"/>
    <mergeCell ref="B37:T37"/>
    <mergeCell ref="U44:V44"/>
    <mergeCell ref="W44:X44"/>
    <mergeCell ref="Y44:Z44"/>
    <mergeCell ref="AA44:AB44"/>
    <mergeCell ref="AE38:AF38"/>
    <mergeCell ref="AG38:AH38"/>
    <mergeCell ref="U13:V13"/>
    <mergeCell ref="Y13:Z13"/>
    <mergeCell ref="AA13:AB13"/>
    <mergeCell ref="AC13:AD13"/>
    <mergeCell ref="AE13:AF13"/>
    <mergeCell ref="AG13:AH13"/>
    <mergeCell ref="W13:X13"/>
    <mergeCell ref="AM13:AN13"/>
    <mergeCell ref="U18:V18"/>
    <mergeCell ref="W18:X18"/>
    <mergeCell ref="AC18:AD18"/>
    <mergeCell ref="AE18:AF18"/>
    <mergeCell ref="AG36:AH36"/>
    <mergeCell ref="A40:T40"/>
    <mergeCell ref="Y37:Z37"/>
    <mergeCell ref="AA37:AB37"/>
    <mergeCell ref="AE37:AF37"/>
    <mergeCell ref="CA36:CB36"/>
    <mergeCell ref="BY37:BZ37"/>
    <mergeCell ref="W11:X11"/>
    <mergeCell ref="Y11:Z11"/>
    <mergeCell ref="AA11:AB11"/>
    <mergeCell ref="AC11:AD11"/>
    <mergeCell ref="AE11:AF11"/>
    <mergeCell ref="BE17:BF17"/>
    <mergeCell ref="AG11:AH11"/>
    <mergeCell ref="AI11:AJ11"/>
    <mergeCell ref="AK11:AL11"/>
    <mergeCell ref="AM11:AN11"/>
    <mergeCell ref="BI11:BJ11"/>
    <mergeCell ref="AO11:AP11"/>
    <mergeCell ref="AQ11:AR11"/>
    <mergeCell ref="AS11:AT11"/>
    <mergeCell ref="AU11:AV11"/>
    <mergeCell ref="AW11:AX11"/>
    <mergeCell ref="AY11:AZ11"/>
    <mergeCell ref="BM11:BN11"/>
    <mergeCell ref="BO11:BP11"/>
    <mergeCell ref="BQ11:BR11"/>
    <mergeCell ref="BE36:BF36"/>
    <mergeCell ref="AG18:AH18"/>
    <mergeCell ref="AI18:AJ18"/>
    <mergeCell ref="BA11:BB11"/>
    <mergeCell ref="BC11:BD11"/>
    <mergeCell ref="BE11:BF11"/>
    <mergeCell ref="BG11:BH11"/>
    <mergeCell ref="BM44:BN44"/>
    <mergeCell ref="BO44:BP44"/>
    <mergeCell ref="BW43:BX43"/>
    <mergeCell ref="BI42:BJ42"/>
    <mergeCell ref="CG36:CH36"/>
    <mergeCell ref="CI36:CJ36"/>
    <mergeCell ref="BM36:BN36"/>
    <mergeCell ref="BO36:BP36"/>
    <mergeCell ref="BQ36:BR36"/>
    <mergeCell ref="BS36:BT36"/>
    <mergeCell ref="BY36:BZ36"/>
    <mergeCell ref="BU36:BV36"/>
    <mergeCell ref="BW36:BX36"/>
    <mergeCell ref="BG38:BH38"/>
    <mergeCell ref="BI38:BJ38"/>
    <mergeCell ref="BK38:BL38"/>
    <mergeCell ref="BM38:BN38"/>
    <mergeCell ref="CI38:CJ38"/>
    <mergeCell ref="BW38:BX38"/>
    <mergeCell ref="BY38:BZ38"/>
    <mergeCell ref="CA38:CB38"/>
    <mergeCell ref="CC38:CD38"/>
    <mergeCell ref="CE38:CF38"/>
    <mergeCell ref="CG38:CH38"/>
    <mergeCell ref="BK43:BL43"/>
    <mergeCell ref="BM43:BN43"/>
    <mergeCell ref="BO43:BP43"/>
    <mergeCell ref="BQ43:BR43"/>
    <mergeCell ref="CC36:CD36"/>
    <mergeCell ref="CE36:CF36"/>
    <mergeCell ref="BU43:BV43"/>
    <mergeCell ref="BY43:BZ43"/>
    <mergeCell ref="AS44:AT44"/>
    <mergeCell ref="CI43:CJ43"/>
    <mergeCell ref="A44:T44"/>
    <mergeCell ref="AU44:AV44"/>
    <mergeCell ref="AW44:AX44"/>
    <mergeCell ref="AY44:AZ44"/>
    <mergeCell ref="BA44:BB44"/>
    <mergeCell ref="BC44:BD44"/>
    <mergeCell ref="BE44:BF44"/>
    <mergeCell ref="BG44:BH44"/>
    <mergeCell ref="CG44:CH44"/>
    <mergeCell ref="CI44:CJ44"/>
    <mergeCell ref="BQ44:BR44"/>
    <mergeCell ref="BS44:BT44"/>
    <mergeCell ref="CC44:CD44"/>
    <mergeCell ref="CE44:CF44"/>
    <mergeCell ref="BY44:BZ44"/>
    <mergeCell ref="CA44:CB44"/>
    <mergeCell ref="BU44:BV44"/>
    <mergeCell ref="BW44:BX44"/>
    <mergeCell ref="BI44:BJ44"/>
    <mergeCell ref="BK44:BL44"/>
    <mergeCell ref="AM43:AN43"/>
    <mergeCell ref="AO43:AP43"/>
    <mergeCell ref="AQ43:AR43"/>
    <mergeCell ref="AS43:AT43"/>
    <mergeCell ref="AU43:AV43"/>
    <mergeCell ref="AW43:AX43"/>
    <mergeCell ref="CA43:CB43"/>
    <mergeCell ref="CC43:CD43"/>
    <mergeCell ref="CE43:CF43"/>
    <mergeCell ref="CG43:CH43"/>
    <mergeCell ref="BC43:BD43"/>
    <mergeCell ref="BE43:BF43"/>
    <mergeCell ref="BG43:BH43"/>
    <mergeCell ref="BI43:BJ43"/>
    <mergeCell ref="CI41:CJ41"/>
    <mergeCell ref="A42:T42"/>
    <mergeCell ref="U42:V42"/>
    <mergeCell ref="W42:X42"/>
    <mergeCell ref="Y42:Z42"/>
    <mergeCell ref="AA42:AB42"/>
    <mergeCell ref="BM42:BN42"/>
    <mergeCell ref="BO42:BP42"/>
    <mergeCell ref="AS42:AT42"/>
    <mergeCell ref="AU42:AV42"/>
    <mergeCell ref="AW42:AX42"/>
    <mergeCell ref="AY42:AZ42"/>
    <mergeCell ref="BA42:BB42"/>
    <mergeCell ref="BC42:BD42"/>
    <mergeCell ref="CG42:CH42"/>
    <mergeCell ref="CI42:CJ42"/>
    <mergeCell ref="A43:T43"/>
    <mergeCell ref="U43:V43"/>
    <mergeCell ref="W43:X43"/>
    <mergeCell ref="Y43:Z43"/>
    <mergeCell ref="AA43:AB43"/>
    <mergeCell ref="AC43:AD43"/>
    <mergeCell ref="BQ42:BR42"/>
    <mergeCell ref="BK42:BL42"/>
    <mergeCell ref="BS42:BT42"/>
    <mergeCell ref="AI43:AJ43"/>
    <mergeCell ref="AK43:AL43"/>
    <mergeCell ref="CC42:CD42"/>
    <mergeCell ref="CE42:CF42"/>
    <mergeCell ref="BU42:BV42"/>
    <mergeCell ref="BW42:BX42"/>
    <mergeCell ref="BY42:BZ42"/>
    <mergeCell ref="CA42:CB42"/>
    <mergeCell ref="BK41:BL41"/>
    <mergeCell ref="BM41:BN41"/>
    <mergeCell ref="BO41:BP41"/>
    <mergeCell ref="BQ41:BR41"/>
    <mergeCell ref="BS41:BT41"/>
    <mergeCell ref="BU41:BV41"/>
    <mergeCell ref="AC42:AD42"/>
    <mergeCell ref="AE42:AF42"/>
    <mergeCell ref="AG42:AH42"/>
    <mergeCell ref="AI42:AJ42"/>
    <mergeCell ref="BW41:BX41"/>
    <mergeCell ref="BY41:BZ41"/>
    <mergeCell ref="AY41:AZ41"/>
    <mergeCell ref="BA41:BB41"/>
    <mergeCell ref="BC41:BD41"/>
    <mergeCell ref="BE41:BF41"/>
    <mergeCell ref="AK42:AL42"/>
    <mergeCell ref="AM42:AN42"/>
    <mergeCell ref="AO42:AP42"/>
    <mergeCell ref="AQ42:AR42"/>
    <mergeCell ref="BE42:BF42"/>
    <mergeCell ref="BG42:BH42"/>
    <mergeCell ref="BS43:BT43"/>
    <mergeCell ref="AY43:AZ43"/>
    <mergeCell ref="BA43:BB43"/>
    <mergeCell ref="BQ40:BR40"/>
    <mergeCell ref="BS40:BT40"/>
    <mergeCell ref="BU40:BV40"/>
    <mergeCell ref="BW40:BX40"/>
    <mergeCell ref="BY40:BZ40"/>
    <mergeCell ref="CA40:CB40"/>
    <mergeCell ref="CC40:CD40"/>
    <mergeCell ref="CE40:CF40"/>
    <mergeCell ref="CG40:CH40"/>
    <mergeCell ref="CI40:CJ40"/>
    <mergeCell ref="AE41:AF41"/>
    <mergeCell ref="AG41:AH41"/>
    <mergeCell ref="AI41:AJ41"/>
    <mergeCell ref="AK41:AL41"/>
    <mergeCell ref="BG41:BH41"/>
    <mergeCell ref="BI41:BJ41"/>
    <mergeCell ref="A41:T41"/>
    <mergeCell ref="U41:V41"/>
    <mergeCell ref="W41:X41"/>
    <mergeCell ref="Y41:Z41"/>
    <mergeCell ref="AA41:AB41"/>
    <mergeCell ref="AC41:AD41"/>
    <mergeCell ref="AM41:AN41"/>
    <mergeCell ref="AO41:AP41"/>
    <mergeCell ref="AQ41:AR41"/>
    <mergeCell ref="AS41:AT41"/>
    <mergeCell ref="AU41:AV41"/>
    <mergeCell ref="AW41:AX41"/>
    <mergeCell ref="CA41:CB41"/>
    <mergeCell ref="CC41:CD41"/>
    <mergeCell ref="CE41:CF41"/>
    <mergeCell ref="CG41:CH41"/>
    <mergeCell ref="W40:X40"/>
    <mergeCell ref="Y40:Z40"/>
    <mergeCell ref="AA40:AB40"/>
    <mergeCell ref="AC40:AD40"/>
    <mergeCell ref="AE40:AF40"/>
    <mergeCell ref="U40:V40"/>
    <mergeCell ref="AG40:AH40"/>
    <mergeCell ref="AI40:AJ40"/>
    <mergeCell ref="AK40:AL40"/>
    <mergeCell ref="AM40:AN40"/>
    <mergeCell ref="AO40:AP40"/>
    <mergeCell ref="AQ40:AR40"/>
    <mergeCell ref="BK40:BL40"/>
    <mergeCell ref="BM40:BN40"/>
    <mergeCell ref="BO40:BP40"/>
    <mergeCell ref="AS40:AT40"/>
    <mergeCell ref="AU40:AV40"/>
    <mergeCell ref="AW40:AX40"/>
    <mergeCell ref="AY40:AZ40"/>
    <mergeCell ref="BA40:BB40"/>
    <mergeCell ref="BC40:BD40"/>
    <mergeCell ref="BE40:BF40"/>
    <mergeCell ref="BG40:BH40"/>
    <mergeCell ref="BI40:BJ40"/>
    <mergeCell ref="CG37:CH37"/>
    <mergeCell ref="CI37:CJ37"/>
    <mergeCell ref="CC37:CD37"/>
    <mergeCell ref="CE37:CF37"/>
    <mergeCell ref="BQ37:BR37"/>
    <mergeCell ref="BS37:BT37"/>
    <mergeCell ref="BW37:BX37"/>
    <mergeCell ref="CA37:CB37"/>
    <mergeCell ref="AU9:AV9"/>
    <mergeCell ref="AW9:AX9"/>
    <mergeCell ref="AY9:AZ9"/>
    <mergeCell ref="BA9:BB9"/>
    <mergeCell ref="BC9:BD9"/>
    <mergeCell ref="BE9:BF9"/>
    <mergeCell ref="BG9:BH9"/>
    <mergeCell ref="BI9:BJ9"/>
    <mergeCell ref="BK9:BL9"/>
    <mergeCell ref="BM9:BN9"/>
    <mergeCell ref="BO9:BP9"/>
    <mergeCell ref="BQ9:BR9"/>
    <mergeCell ref="BS9:BT9"/>
    <mergeCell ref="BU9:BV9"/>
    <mergeCell ref="CI9:CJ9"/>
    <mergeCell ref="BW9:BX9"/>
    <mergeCell ref="BY9:BZ9"/>
    <mergeCell ref="CA9:CB9"/>
    <mergeCell ref="CC9:CD9"/>
    <mergeCell ref="CE9:CF9"/>
    <mergeCell ref="CG9:CH9"/>
    <mergeCell ref="AU36:AV36"/>
    <mergeCell ref="CG33:CH33"/>
    <mergeCell ref="CI10:CJ10"/>
    <mergeCell ref="BJ2:BR2"/>
    <mergeCell ref="BS2:CA2"/>
    <mergeCell ref="A1:N1"/>
    <mergeCell ref="O1:AB1"/>
    <mergeCell ref="AC1:AQ1"/>
    <mergeCell ref="AR1:AZ1"/>
    <mergeCell ref="BA1:BI1"/>
    <mergeCell ref="BJ1:BR1"/>
    <mergeCell ref="W9:X9"/>
    <mergeCell ref="Y9:Z9"/>
    <mergeCell ref="AA9:AB9"/>
    <mergeCell ref="AC9:AD9"/>
    <mergeCell ref="BS1:CA1"/>
    <mergeCell ref="A2:N2"/>
    <mergeCell ref="O2:AB2"/>
    <mergeCell ref="AC2:AQ2"/>
    <mergeCell ref="AR2:AZ2"/>
    <mergeCell ref="BA2:BI2"/>
    <mergeCell ref="AE9:AF9"/>
    <mergeCell ref="AG9:AH9"/>
    <mergeCell ref="AI9:AJ9"/>
    <mergeCell ref="AK9:AL9"/>
    <mergeCell ref="A6:I6"/>
    <mergeCell ref="J6:X6"/>
    <mergeCell ref="Y6:AG6"/>
    <mergeCell ref="AH6:BC6"/>
    <mergeCell ref="A8:T9"/>
    <mergeCell ref="U9:V9"/>
    <mergeCell ref="AM9:AN9"/>
    <mergeCell ref="AO9:AP9"/>
    <mergeCell ref="AQ9:AR9"/>
    <mergeCell ref="AS9:AT9"/>
    <mergeCell ref="AO44:AP44"/>
    <mergeCell ref="AQ44:AR44"/>
    <mergeCell ref="U37:V37"/>
    <mergeCell ref="U36:V36"/>
    <mergeCell ref="AK39:AL39"/>
    <mergeCell ref="AM39:AN39"/>
    <mergeCell ref="AC37:AD37"/>
    <mergeCell ref="AQ37:AR37"/>
    <mergeCell ref="AG37:AH37"/>
    <mergeCell ref="AI37:AJ37"/>
    <mergeCell ref="BK39:BL39"/>
    <mergeCell ref="CC10:CD10"/>
    <mergeCell ref="CE10:CF10"/>
    <mergeCell ref="BQ10:BR10"/>
    <mergeCell ref="BS10:BT10"/>
    <mergeCell ref="BU10:BV10"/>
    <mergeCell ref="BW10:BX10"/>
    <mergeCell ref="BY10:BZ10"/>
    <mergeCell ref="CA10:CB10"/>
    <mergeCell ref="BK37:BL37"/>
    <mergeCell ref="BE10:BF10"/>
    <mergeCell ref="BI10:BJ10"/>
    <mergeCell ref="BK10:BL10"/>
    <mergeCell ref="BM10:BN10"/>
    <mergeCell ref="BO10:BP10"/>
    <mergeCell ref="AS10:AT10"/>
    <mergeCell ref="AU10:AV10"/>
    <mergeCell ref="AW10:AX10"/>
    <mergeCell ref="AY10:AZ10"/>
    <mergeCell ref="BA10:BB10"/>
    <mergeCell ref="AK10:AL10"/>
    <mergeCell ref="AM10:AN10"/>
    <mergeCell ref="CC39:CD39"/>
    <mergeCell ref="CE39:CF39"/>
    <mergeCell ref="CG39:CH39"/>
    <mergeCell ref="CI39:CJ39"/>
    <mergeCell ref="BM39:BN39"/>
    <mergeCell ref="BO39:BP39"/>
    <mergeCell ref="BQ39:BR39"/>
    <mergeCell ref="BS39:BT39"/>
    <mergeCell ref="BU39:BV39"/>
    <mergeCell ref="BW39:BX39"/>
    <mergeCell ref="AO39:AP39"/>
    <mergeCell ref="AQ39:AR39"/>
    <mergeCell ref="AS39:AT39"/>
    <mergeCell ref="AU39:AV39"/>
    <mergeCell ref="AW39:AX39"/>
    <mergeCell ref="AY39:AZ39"/>
    <mergeCell ref="Y10:Z10"/>
    <mergeCell ref="AA10:AB10"/>
    <mergeCell ref="AC39:AD39"/>
    <mergeCell ref="AE39:AF39"/>
    <mergeCell ref="AG39:AH39"/>
    <mergeCell ref="AI39:AJ39"/>
    <mergeCell ref="Y18:Z18"/>
    <mergeCell ref="AA18:AB18"/>
    <mergeCell ref="AG10:AH10"/>
    <mergeCell ref="AI10:AJ10"/>
    <mergeCell ref="Y39:Z39"/>
    <mergeCell ref="AA39:AB39"/>
    <mergeCell ref="Y36:Z36"/>
    <mergeCell ref="AA36:AB36"/>
    <mergeCell ref="AO10:AP10"/>
    <mergeCell ref="AQ10:AR10"/>
    <mergeCell ref="B36:T36"/>
    <mergeCell ref="AI36:AJ36"/>
    <mergeCell ref="AK36:AL36"/>
    <mergeCell ref="AM36:AN36"/>
    <mergeCell ref="AQ36:AR36"/>
    <mergeCell ref="AS36:AT36"/>
    <mergeCell ref="AC36:AD36"/>
    <mergeCell ref="AE36:AF36"/>
    <mergeCell ref="AO36:AP36"/>
    <mergeCell ref="BC10:BD10"/>
    <mergeCell ref="BY39:BZ39"/>
    <mergeCell ref="CA39:CB39"/>
    <mergeCell ref="BA39:BB39"/>
    <mergeCell ref="BC39:BD39"/>
    <mergeCell ref="BE39:BF39"/>
    <mergeCell ref="BG39:BH39"/>
    <mergeCell ref="BU37:BV37"/>
    <mergeCell ref="BC17:BD17"/>
    <mergeCell ref="BI39:BJ39"/>
    <mergeCell ref="B39:T39"/>
    <mergeCell ref="U39:V39"/>
    <mergeCell ref="W39:X39"/>
    <mergeCell ref="U10:V10"/>
    <mergeCell ref="W10:X10"/>
    <mergeCell ref="W36:X36"/>
    <mergeCell ref="AC10:AD10"/>
    <mergeCell ref="AE10:AF10"/>
    <mergeCell ref="AK37:AL37"/>
    <mergeCell ref="AM37:AN37"/>
    <mergeCell ref="AO37:AP37"/>
    <mergeCell ref="AS37:AT37"/>
    <mergeCell ref="BS11:BT11"/>
    <mergeCell ref="CI25:CJ25"/>
    <mergeCell ref="CI28:CJ28"/>
    <mergeCell ref="CI31:CJ31"/>
    <mergeCell ref="CI33:CJ33"/>
    <mergeCell ref="AE15:AF15"/>
    <mergeCell ref="AC15:AD15"/>
    <mergeCell ref="AA15:AB15"/>
    <mergeCell ref="Y15:Z15"/>
    <mergeCell ref="W15:X15"/>
    <mergeCell ref="U15:V15"/>
    <mergeCell ref="AQ17:AR17"/>
    <mergeCell ref="AS17:AT17"/>
    <mergeCell ref="AU17:AV17"/>
    <mergeCell ref="AW17:AX17"/>
    <mergeCell ref="AY17:AZ17"/>
    <mergeCell ref="BA17:BB17"/>
    <mergeCell ref="U17:V17"/>
    <mergeCell ref="W17:X17"/>
    <mergeCell ref="Y17:Z17"/>
    <mergeCell ref="AA17:AB17"/>
    <mergeCell ref="AC17:AD17"/>
    <mergeCell ref="AE17:AF17"/>
    <mergeCell ref="AG17:AH17"/>
    <mergeCell ref="AI17:AJ17"/>
    <mergeCell ref="AG15:AH15"/>
    <mergeCell ref="AK17:AL17"/>
    <mergeCell ref="AM17:AN17"/>
    <mergeCell ref="AO17:AP17"/>
    <mergeCell ref="AK18:AL18"/>
    <mergeCell ref="AM18:AN18"/>
    <mergeCell ref="AO18:AP18"/>
    <mergeCell ref="AQ18:AR18"/>
    <mergeCell ref="BU11:BV11"/>
    <mergeCell ref="CG32:CH32"/>
    <mergeCell ref="CI32:CJ32"/>
    <mergeCell ref="CG17:CH17"/>
    <mergeCell ref="CI17:CJ17"/>
    <mergeCell ref="CG18:CH18"/>
    <mergeCell ref="CI18:CJ18"/>
    <mergeCell ref="CG20:CH20"/>
    <mergeCell ref="CI20:CJ20"/>
    <mergeCell ref="CG23:CH23"/>
    <mergeCell ref="CI23:CJ23"/>
    <mergeCell ref="CE19:CF19"/>
    <mergeCell ref="BI19:BJ19"/>
    <mergeCell ref="BK19:BL19"/>
    <mergeCell ref="BM19:BN19"/>
    <mergeCell ref="BO19:BP19"/>
    <mergeCell ref="BQ19:BR19"/>
    <mergeCell ref="BS19:BT19"/>
    <mergeCell ref="CG14:CH14"/>
    <mergeCell ref="CI14:CJ14"/>
    <mergeCell ref="BI13:BJ13"/>
    <mergeCell ref="BK13:BL13"/>
    <mergeCell ref="BQ13:BR13"/>
    <mergeCell ref="BS13:BT13"/>
    <mergeCell ref="BY11:BZ11"/>
    <mergeCell ref="CA11:CB11"/>
    <mergeCell ref="CC11:CD11"/>
    <mergeCell ref="CE11:CF11"/>
    <mergeCell ref="CC19:CD19"/>
    <mergeCell ref="CE22:CF22"/>
    <mergeCell ref="CE20:CF20"/>
    <mergeCell ref="BM20:BN20"/>
    <mergeCell ref="BG17:BH17"/>
    <mergeCell ref="BI17:BJ17"/>
    <mergeCell ref="BK17:BL17"/>
    <mergeCell ref="BM17:BN17"/>
    <mergeCell ref="CI15:CJ15"/>
    <mergeCell ref="CI16:CJ16"/>
    <mergeCell ref="CI19:CJ19"/>
    <mergeCell ref="CI22:CJ22"/>
    <mergeCell ref="U11:V11"/>
    <mergeCell ref="CG11:CH11"/>
    <mergeCell ref="CI11:CJ11"/>
    <mergeCell ref="BM13:BN13"/>
    <mergeCell ref="BW13:BX13"/>
    <mergeCell ref="BY13:BZ13"/>
    <mergeCell ref="CA13:CB13"/>
    <mergeCell ref="CC13:CD13"/>
    <mergeCell ref="CE13:CF13"/>
    <mergeCell ref="BK11:BL11"/>
    <mergeCell ref="BW11:BX11"/>
    <mergeCell ref="AO13:AP13"/>
    <mergeCell ref="AQ13:AR13"/>
    <mergeCell ref="AS13:AT13"/>
    <mergeCell ref="AU13:AV13"/>
    <mergeCell ref="AW13:AX13"/>
    <mergeCell ref="BU13:BV13"/>
    <mergeCell ref="AY13:AZ13"/>
    <mergeCell ref="BA13:BB13"/>
    <mergeCell ref="BC13:BD13"/>
    <mergeCell ref="BE13:BF13"/>
    <mergeCell ref="BG13:BH13"/>
    <mergeCell ref="CG13:CH13"/>
    <mergeCell ref="CI13:CJ13"/>
    <mergeCell ref="BC19:BD19"/>
    <mergeCell ref="BE19:BF19"/>
    <mergeCell ref="BG19:BH19"/>
    <mergeCell ref="AO21:AP21"/>
    <mergeCell ref="AQ21:AR21"/>
    <mergeCell ref="U21:V21"/>
    <mergeCell ref="W21:X21"/>
    <mergeCell ref="Y21:Z21"/>
    <mergeCell ref="AA21:AB21"/>
    <mergeCell ref="AC21:AD21"/>
    <mergeCell ref="AE21:AF21"/>
    <mergeCell ref="BU20:BV20"/>
    <mergeCell ref="BW20:BX20"/>
    <mergeCell ref="BY20:BZ20"/>
    <mergeCell ref="CA20:CB20"/>
    <mergeCell ref="CC20:CD20"/>
    <mergeCell ref="CC21:CD21"/>
    <mergeCell ref="AG20:AH20"/>
    <mergeCell ref="BM21:BN21"/>
    <mergeCell ref="BO21:BP21"/>
    <mergeCell ref="AS21:AT21"/>
    <mergeCell ref="AU21:AV21"/>
    <mergeCell ref="AW21:AX21"/>
    <mergeCell ref="AY21:AZ21"/>
    <mergeCell ref="BA21:BB21"/>
    <mergeCell ref="BC21:BD21"/>
    <mergeCell ref="AG21:AH21"/>
    <mergeCell ref="AI21:AJ21"/>
    <mergeCell ref="AK21:AL21"/>
    <mergeCell ref="AM21:AN21"/>
    <mergeCell ref="BI20:BJ20"/>
    <mergeCell ref="BK20:BL20"/>
    <mergeCell ref="BO20:BP20"/>
    <mergeCell ref="BQ20:BR20"/>
    <mergeCell ref="BS20:BT20"/>
    <mergeCell ref="AW20:AX20"/>
    <mergeCell ref="AY20:AZ20"/>
    <mergeCell ref="BA20:BB20"/>
    <mergeCell ref="BC20:BD20"/>
    <mergeCell ref="BE20:BF20"/>
    <mergeCell ref="BG20:BH20"/>
    <mergeCell ref="AK20:AL20"/>
    <mergeCell ref="AM20:AN20"/>
    <mergeCell ref="AO20:AP20"/>
    <mergeCell ref="AQ20:AR20"/>
    <mergeCell ref="AS20:AT20"/>
    <mergeCell ref="AU20:AV20"/>
    <mergeCell ref="AM22:AN22"/>
    <mergeCell ref="AO22:AP22"/>
    <mergeCell ref="AQ22:AR22"/>
    <mergeCell ref="AS22:AT22"/>
    <mergeCell ref="AU22:AV22"/>
    <mergeCell ref="AY22:AZ22"/>
    <mergeCell ref="BA22:BB22"/>
    <mergeCell ref="BC22:BD22"/>
    <mergeCell ref="U23:V23"/>
    <mergeCell ref="W23:X23"/>
    <mergeCell ref="Y23:Z23"/>
    <mergeCell ref="AA23:AB23"/>
    <mergeCell ref="AC23:AD23"/>
    <mergeCell ref="AE23:AF23"/>
    <mergeCell ref="AG23:AH23"/>
    <mergeCell ref="AI23:AJ23"/>
    <mergeCell ref="CE21:CF21"/>
    <mergeCell ref="CG21:CH21"/>
    <mergeCell ref="CI21:CJ21"/>
    <mergeCell ref="U22:V22"/>
    <mergeCell ref="W22:X22"/>
    <mergeCell ref="Y22:Z22"/>
    <mergeCell ref="AA22:AB22"/>
    <mergeCell ref="AC22:AD22"/>
    <mergeCell ref="AE22:AF22"/>
    <mergeCell ref="BQ21:BR21"/>
    <mergeCell ref="BS21:BT21"/>
    <mergeCell ref="BU21:BV21"/>
    <mergeCell ref="BW21:BX21"/>
    <mergeCell ref="BY21:BZ21"/>
    <mergeCell ref="CA21:CB21"/>
    <mergeCell ref="BE21:BF21"/>
    <mergeCell ref="BG21:BH21"/>
    <mergeCell ref="BI21:BJ21"/>
    <mergeCell ref="BK21:BL21"/>
    <mergeCell ref="BU22:BV22"/>
    <mergeCell ref="BW22:BX22"/>
    <mergeCell ref="BY22:BZ22"/>
    <mergeCell ref="CA22:CB22"/>
    <mergeCell ref="AW22:AX22"/>
    <mergeCell ref="CC22:CD22"/>
    <mergeCell ref="AO24:AP24"/>
    <mergeCell ref="AQ24:AR24"/>
    <mergeCell ref="U24:V24"/>
    <mergeCell ref="W24:X24"/>
    <mergeCell ref="Y24:Z24"/>
    <mergeCell ref="AA24:AB24"/>
    <mergeCell ref="AC24:AD24"/>
    <mergeCell ref="AE24:AF24"/>
    <mergeCell ref="BU23:BV23"/>
    <mergeCell ref="BW23:BX23"/>
    <mergeCell ref="BY23:BZ23"/>
    <mergeCell ref="CA23:CB23"/>
    <mergeCell ref="CC23:CD23"/>
    <mergeCell ref="CC24:CD24"/>
    <mergeCell ref="BM22:BN22"/>
    <mergeCell ref="BO22:BP22"/>
    <mergeCell ref="BQ22:BR22"/>
    <mergeCell ref="BS22:BT22"/>
    <mergeCell ref="AG22:AH22"/>
    <mergeCell ref="AI22:AJ22"/>
    <mergeCell ref="BE22:BF22"/>
    <mergeCell ref="BG22:BH22"/>
    <mergeCell ref="AK22:AL22"/>
    <mergeCell ref="AW24:AX24"/>
    <mergeCell ref="AY24:AZ24"/>
    <mergeCell ref="BA24:BB24"/>
    <mergeCell ref="BC24:BD24"/>
    <mergeCell ref="AG24:AH24"/>
    <mergeCell ref="AI24:AJ24"/>
    <mergeCell ref="AK24:AL24"/>
    <mergeCell ref="AM24:AN24"/>
    <mergeCell ref="CC25:CD25"/>
    <mergeCell ref="CE23:CF23"/>
    <mergeCell ref="BI23:BJ23"/>
    <mergeCell ref="BK23:BL23"/>
    <mergeCell ref="BM23:BN23"/>
    <mergeCell ref="BO23:BP23"/>
    <mergeCell ref="BQ23:BR23"/>
    <mergeCell ref="BS23:BT23"/>
    <mergeCell ref="AW23:AX23"/>
    <mergeCell ref="AY23:AZ23"/>
    <mergeCell ref="BA23:BB23"/>
    <mergeCell ref="BC23:BD23"/>
    <mergeCell ref="BE23:BF23"/>
    <mergeCell ref="BG23:BH23"/>
    <mergeCell ref="AK23:AL23"/>
    <mergeCell ref="AM23:AN23"/>
    <mergeCell ref="AO23:AP23"/>
    <mergeCell ref="AQ23:AR23"/>
    <mergeCell ref="AS23:AT23"/>
    <mergeCell ref="AU23:AV23"/>
    <mergeCell ref="AI25:AJ25"/>
    <mergeCell ref="BE25:BF25"/>
    <mergeCell ref="BG25:BH25"/>
    <mergeCell ref="AK25:AL25"/>
    <mergeCell ref="AM25:AN25"/>
    <mergeCell ref="AO25:AP25"/>
    <mergeCell ref="AQ25:AR25"/>
    <mergeCell ref="AS25:AT25"/>
    <mergeCell ref="AU25:AV25"/>
    <mergeCell ref="CE24:CF24"/>
    <mergeCell ref="CG24:CH24"/>
    <mergeCell ref="CI24:CJ24"/>
    <mergeCell ref="U25:V25"/>
    <mergeCell ref="W25:X25"/>
    <mergeCell ref="Y25:Z25"/>
    <mergeCell ref="AA25:AB25"/>
    <mergeCell ref="AC25:AD25"/>
    <mergeCell ref="AE25:AF25"/>
    <mergeCell ref="BQ24:BR24"/>
    <mergeCell ref="BS24:BT24"/>
    <mergeCell ref="BU24:BV24"/>
    <mergeCell ref="BW24:BX24"/>
    <mergeCell ref="BY24:BZ24"/>
    <mergeCell ref="CA24:CB24"/>
    <mergeCell ref="BE24:BF24"/>
    <mergeCell ref="BG24:BH24"/>
    <mergeCell ref="BI24:BJ24"/>
    <mergeCell ref="BK24:BL24"/>
    <mergeCell ref="BM24:BN24"/>
    <mergeCell ref="BO24:BP24"/>
    <mergeCell ref="AS24:AT24"/>
    <mergeCell ref="AU24:AV24"/>
    <mergeCell ref="BE26:BF26"/>
    <mergeCell ref="BG26:BH26"/>
    <mergeCell ref="AK26:AL26"/>
    <mergeCell ref="AM26:AN26"/>
    <mergeCell ref="CG27:CH27"/>
    <mergeCell ref="CI27:CJ27"/>
    <mergeCell ref="U26:V26"/>
    <mergeCell ref="W26:X26"/>
    <mergeCell ref="Y26:Z26"/>
    <mergeCell ref="AA26:AB26"/>
    <mergeCell ref="AC26:AD26"/>
    <mergeCell ref="AE26:AF26"/>
    <mergeCell ref="AG26:AH26"/>
    <mergeCell ref="AI26:AJ26"/>
    <mergeCell ref="BU25:BV25"/>
    <mergeCell ref="BW25:BX25"/>
    <mergeCell ref="BY25:BZ25"/>
    <mergeCell ref="CA25:CB25"/>
    <mergeCell ref="AW25:AX25"/>
    <mergeCell ref="AY25:AZ25"/>
    <mergeCell ref="BA25:BB25"/>
    <mergeCell ref="BC25:BD25"/>
    <mergeCell ref="AS27:AT27"/>
    <mergeCell ref="AU27:AV27"/>
    <mergeCell ref="CE25:CF25"/>
    <mergeCell ref="BI25:BJ25"/>
    <mergeCell ref="BK25:BL25"/>
    <mergeCell ref="BM25:BN25"/>
    <mergeCell ref="BO25:BP25"/>
    <mergeCell ref="BQ25:BR25"/>
    <mergeCell ref="BS25:BT25"/>
    <mergeCell ref="AG25:AH25"/>
    <mergeCell ref="AK27:AL27"/>
    <mergeCell ref="AM27:AN27"/>
    <mergeCell ref="AO27:AP27"/>
    <mergeCell ref="AQ27:AR27"/>
    <mergeCell ref="CA28:CB28"/>
    <mergeCell ref="AW28:AX28"/>
    <mergeCell ref="CG26:CH26"/>
    <mergeCell ref="CI26:CJ26"/>
    <mergeCell ref="U27:V27"/>
    <mergeCell ref="W27:X27"/>
    <mergeCell ref="Y27:Z27"/>
    <mergeCell ref="AA27:AB27"/>
    <mergeCell ref="AC27:AD27"/>
    <mergeCell ref="AE27:AF27"/>
    <mergeCell ref="AG27:AH27"/>
    <mergeCell ref="AI27:AJ27"/>
    <mergeCell ref="BU26:BV26"/>
    <mergeCell ref="BW26:BX26"/>
    <mergeCell ref="BY26:BZ26"/>
    <mergeCell ref="CA26:CB26"/>
    <mergeCell ref="CC26:CD26"/>
    <mergeCell ref="CE26:CF26"/>
    <mergeCell ref="BI26:BJ26"/>
    <mergeCell ref="BK26:BL26"/>
    <mergeCell ref="BM26:BN26"/>
    <mergeCell ref="BO26:BP26"/>
    <mergeCell ref="BQ26:BR26"/>
    <mergeCell ref="BS26:BT26"/>
    <mergeCell ref="AW26:AX26"/>
    <mergeCell ref="AY26:AZ26"/>
    <mergeCell ref="BA26:BB26"/>
    <mergeCell ref="BC26:BD26"/>
    <mergeCell ref="BU27:BV27"/>
    <mergeCell ref="BW27:BX27"/>
    <mergeCell ref="BY27:BZ27"/>
    <mergeCell ref="CA27:CB27"/>
    <mergeCell ref="CC27:CD27"/>
    <mergeCell ref="CE27:CF27"/>
    <mergeCell ref="BI27:BJ27"/>
    <mergeCell ref="BK27:BL27"/>
    <mergeCell ref="BM27:BN27"/>
    <mergeCell ref="BO27:BP27"/>
    <mergeCell ref="BQ27:BR27"/>
    <mergeCell ref="BS27:BT27"/>
    <mergeCell ref="AW27:AX27"/>
    <mergeCell ref="AY27:AZ27"/>
    <mergeCell ref="BA27:BB27"/>
    <mergeCell ref="BC27:BD27"/>
    <mergeCell ref="BE27:BF27"/>
    <mergeCell ref="BG27:BH27"/>
    <mergeCell ref="CC28:CD28"/>
    <mergeCell ref="CE28:CF28"/>
    <mergeCell ref="BI28:BJ28"/>
    <mergeCell ref="BK28:BL28"/>
    <mergeCell ref="BM28:BN28"/>
    <mergeCell ref="BO28:BP28"/>
    <mergeCell ref="BQ28:BR28"/>
    <mergeCell ref="BS28:BT28"/>
    <mergeCell ref="BE28:BF28"/>
    <mergeCell ref="BG28:BH28"/>
    <mergeCell ref="AK28:AL28"/>
    <mergeCell ref="AM28:AN28"/>
    <mergeCell ref="AO28:AP28"/>
    <mergeCell ref="AQ28:AR28"/>
    <mergeCell ref="AS28:AT28"/>
    <mergeCell ref="AU28:AV28"/>
    <mergeCell ref="U28:V28"/>
    <mergeCell ref="W28:X28"/>
    <mergeCell ref="Y28:Z28"/>
    <mergeCell ref="AA28:AB28"/>
    <mergeCell ref="AC28:AD28"/>
    <mergeCell ref="AE28:AF28"/>
    <mergeCell ref="AG28:AH28"/>
    <mergeCell ref="AI28:AJ28"/>
    <mergeCell ref="AK29:AL29"/>
    <mergeCell ref="AM29:AN29"/>
    <mergeCell ref="AO29:AP29"/>
    <mergeCell ref="AQ29:AR29"/>
    <mergeCell ref="AS29:AT29"/>
    <mergeCell ref="AU29:AV29"/>
    <mergeCell ref="U29:V29"/>
    <mergeCell ref="W29:X29"/>
    <mergeCell ref="Y29:Z29"/>
    <mergeCell ref="AA29:AB29"/>
    <mergeCell ref="AC29:AD29"/>
    <mergeCell ref="AE29:AF29"/>
    <mergeCell ref="AG29:AH29"/>
    <mergeCell ref="AI29:AJ29"/>
    <mergeCell ref="BU28:BV28"/>
    <mergeCell ref="BW28:BX28"/>
    <mergeCell ref="BY28:BZ28"/>
    <mergeCell ref="AY28:AZ28"/>
    <mergeCell ref="BA28:BB28"/>
    <mergeCell ref="BC28:BD28"/>
    <mergeCell ref="AO30:AP30"/>
    <mergeCell ref="AQ30:AR30"/>
    <mergeCell ref="AS30:AT30"/>
    <mergeCell ref="AU30:AV30"/>
    <mergeCell ref="CG29:CH29"/>
    <mergeCell ref="CI29:CJ29"/>
    <mergeCell ref="U30:V30"/>
    <mergeCell ref="W30:X30"/>
    <mergeCell ref="Y30:Z30"/>
    <mergeCell ref="AA30:AB30"/>
    <mergeCell ref="AC30:AD30"/>
    <mergeCell ref="AE30:AF30"/>
    <mergeCell ref="AG30:AH30"/>
    <mergeCell ref="AI30:AJ30"/>
    <mergeCell ref="BU29:BV29"/>
    <mergeCell ref="BW29:BX29"/>
    <mergeCell ref="BY29:BZ29"/>
    <mergeCell ref="CA29:CB29"/>
    <mergeCell ref="CC29:CD29"/>
    <mergeCell ref="CE29:CF29"/>
    <mergeCell ref="BI29:BJ29"/>
    <mergeCell ref="BK29:BL29"/>
    <mergeCell ref="BM29:BN29"/>
    <mergeCell ref="BO29:BP29"/>
    <mergeCell ref="BQ29:BR29"/>
    <mergeCell ref="BS29:BT29"/>
    <mergeCell ref="AW29:AX29"/>
    <mergeCell ref="AY29:AZ29"/>
    <mergeCell ref="BA29:BB29"/>
    <mergeCell ref="BC29:BD29"/>
    <mergeCell ref="BE29:BF29"/>
    <mergeCell ref="BG29:BH29"/>
    <mergeCell ref="AS31:AT31"/>
    <mergeCell ref="AU31:AV31"/>
    <mergeCell ref="CG30:CH30"/>
    <mergeCell ref="CI30:CJ30"/>
    <mergeCell ref="U31:V31"/>
    <mergeCell ref="W31:X31"/>
    <mergeCell ref="Y31:Z31"/>
    <mergeCell ref="AA31:AB31"/>
    <mergeCell ref="AC31:AD31"/>
    <mergeCell ref="AE31:AF31"/>
    <mergeCell ref="AG31:AH31"/>
    <mergeCell ref="AI31:AJ31"/>
    <mergeCell ref="BU30:BV30"/>
    <mergeCell ref="BW30:BX30"/>
    <mergeCell ref="BY30:BZ30"/>
    <mergeCell ref="CA30:CB30"/>
    <mergeCell ref="CC30:CD30"/>
    <mergeCell ref="CE30:CF30"/>
    <mergeCell ref="BI30:BJ30"/>
    <mergeCell ref="BK30:BL30"/>
    <mergeCell ref="BM30:BN30"/>
    <mergeCell ref="BO30:BP30"/>
    <mergeCell ref="BQ30:BR30"/>
    <mergeCell ref="BS30:BT30"/>
    <mergeCell ref="AW30:AX30"/>
    <mergeCell ref="AY30:AZ30"/>
    <mergeCell ref="BA30:BB30"/>
    <mergeCell ref="BC30:BD30"/>
    <mergeCell ref="BE30:BF30"/>
    <mergeCell ref="BG30:BH30"/>
    <mergeCell ref="AK30:AL30"/>
    <mergeCell ref="AM30:AN30"/>
    <mergeCell ref="A10:A35"/>
    <mergeCell ref="A36:A39"/>
    <mergeCell ref="CG10:CH10"/>
    <mergeCell ref="CG15:CH15"/>
    <mergeCell ref="CG16:CH16"/>
    <mergeCell ref="CG19:CH19"/>
    <mergeCell ref="CG22:CH22"/>
    <mergeCell ref="CG25:CH25"/>
    <mergeCell ref="CG28:CH28"/>
    <mergeCell ref="CG31:CH31"/>
    <mergeCell ref="BU31:BV31"/>
    <mergeCell ref="BW31:BX31"/>
    <mergeCell ref="BY31:BZ31"/>
    <mergeCell ref="CA31:CB31"/>
    <mergeCell ref="CC31:CD31"/>
    <mergeCell ref="CE31:CF31"/>
    <mergeCell ref="BI31:BJ31"/>
    <mergeCell ref="BK31:BL31"/>
    <mergeCell ref="BM31:BN31"/>
    <mergeCell ref="BO31:BP31"/>
    <mergeCell ref="BQ31:BR31"/>
    <mergeCell ref="BS31:BT31"/>
    <mergeCell ref="AW31:AX31"/>
    <mergeCell ref="AY31:AZ31"/>
    <mergeCell ref="BA31:BB31"/>
    <mergeCell ref="BC31:BD31"/>
    <mergeCell ref="BE31:BF31"/>
    <mergeCell ref="BG31:BH31"/>
    <mergeCell ref="AK31:AL31"/>
    <mergeCell ref="AM31:AN31"/>
    <mergeCell ref="AO31:AP31"/>
    <mergeCell ref="AQ31:AR31"/>
  </mergeCells>
  <phoneticPr fontId="12"/>
  <dataValidations disablePrompts="1" count="1">
    <dataValidation type="list" allowBlank="1" showInputMessage="1" showErrorMessage="1" sqref="U40:BP40">
      <formula1>テスト分類</formula1>
    </dataValidation>
  </dataValidations>
  <pageMargins left="0.39370078740157483" right="0.19685039370078741" top="0.59055118110236227" bottom="0.39370078740157483" header="0.78740157480314965" footer="0.19685039370078741"/>
  <pageSetup paperSize="9" scale="98" fitToHeight="0" orientation="landscape" r:id="rId1"/>
  <headerFooter alignWithMargins="0">
    <oddFooter>&amp;C&amp;P / &amp;N&amp;RInternal Use Only</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13</vt:i4>
      </vt:variant>
    </vt:vector>
  </HeadingPairs>
  <TitlesOfParts>
    <vt:vector size="23" baseType="lpstr">
      <vt:lpstr>変更履歴</vt:lpstr>
      <vt:lpstr>定義</vt:lpstr>
      <vt:lpstr>作業チェックリスト</vt:lpstr>
      <vt:lpstr>サマリ</vt:lpstr>
      <vt:lpstr>履歴シートを削除できるようにする</vt:lpstr>
      <vt:lpstr>Sheet1</vt:lpstr>
      <vt:lpstr>index</vt:lpstr>
      <vt:lpstr>Sheet2</vt:lpstr>
      <vt:lpstr>対象データ</vt:lpstr>
      <vt:lpstr>tmp</vt:lpstr>
      <vt:lpstr>サマリ!Print_Area</vt:lpstr>
      <vt:lpstr>変更履歴!Print_Area</vt:lpstr>
      <vt:lpstr>tmp!Print_Titles</vt:lpstr>
      <vt:lpstr>サマリ!Print_Titles</vt:lpstr>
      <vt:lpstr>作業チェックリスト!Print_Titles</vt:lpstr>
      <vt:lpstr>変更履歴!Print_Titles</vt:lpstr>
      <vt:lpstr>履歴シートを削除できるようにする!Print_Titles</vt:lpstr>
      <vt:lpstr>tmp!テスト分類</vt:lpstr>
      <vt:lpstr>履歴シートを削除できるようにする!テスト分類</vt:lpstr>
      <vt:lpstr>テスト分類</vt:lpstr>
      <vt:lpstr>tmp!確認結果</vt:lpstr>
      <vt:lpstr>履歴シートを削除できるようにする!確認結果</vt:lpstr>
      <vt:lpstr>確認結果</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津久井　崇文</dc:creator>
  <cp:lastModifiedBy>史 正韵</cp:lastModifiedBy>
  <dcterms:created xsi:type="dcterms:W3CDTF">2014-09-29T07:35:18Z</dcterms:created>
  <dcterms:modified xsi:type="dcterms:W3CDTF">2019-07-04T09:43:57Z</dcterms:modified>
</cp:coreProperties>
</file>